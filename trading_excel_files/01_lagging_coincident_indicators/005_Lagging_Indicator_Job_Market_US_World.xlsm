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drawings/drawing4.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5.xml" ContentType="application/vnd.openxmlformats-officedocument.drawing+xml"/>
  <Override PartName="/xl/tables/table3.xml" ContentType="application/vnd.openxmlformats-officedocument.spreadsheetml.table+xml"/>
  <Override PartName="/xl/charts/chart1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workbookPr codeName="ThisWorkbook" defaultThemeVersion="124226"/>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06CF7CEC-D9AC-9440-A1A4-B46F3E6E8711}" xr6:coauthVersionLast="47" xr6:coauthVersionMax="47" xr10:uidLastSave="{00000000-0000-0000-0000-000000000000}"/>
  <bookViews>
    <workbookView xWindow="-68380" yWindow="-340" windowWidth="35160" windowHeight="25060" xr2:uid="{00000000-000D-0000-FFFF-FFFF00000000}"/>
  </bookViews>
  <sheets>
    <sheet name="Note" sheetId="1" r:id="rId1"/>
    <sheet name="Database" sheetId="2" r:id="rId2"/>
    <sheet name="Database Claims" sheetId="3" r:id="rId3"/>
    <sheet name="Database ADP" sheetId="4" r:id="rId4"/>
    <sheet name="NFP" sheetId="5" r:id="rId5"/>
    <sheet name="Claims" sheetId="6" r:id="rId6"/>
    <sheet name="Graphs" sheetId="7" r:id="rId7"/>
    <sheet name="ADP" sheetId="8" r:id="rId8"/>
    <sheet name="Data World" sheetId="9" r:id="rId9"/>
    <sheet name="World"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76" i="10" l="1"/>
  <c r="S76" i="10"/>
  <c r="Q76" i="10"/>
  <c r="O76" i="10"/>
  <c r="N76" i="10"/>
  <c r="M76" i="10"/>
  <c r="L76" i="10"/>
  <c r="K76" i="10"/>
  <c r="J76" i="10"/>
  <c r="I76" i="10"/>
  <c r="G76" i="10"/>
  <c r="F76" i="10"/>
  <c r="E76" i="10"/>
  <c r="D76" i="10"/>
  <c r="C76" i="10"/>
  <c r="T75" i="10"/>
  <c r="S75" i="10"/>
  <c r="R75" i="10"/>
  <c r="Q75" i="10"/>
  <c r="O75" i="10"/>
  <c r="N75" i="10"/>
  <c r="M75" i="10"/>
  <c r="L75" i="10"/>
  <c r="K75" i="10"/>
  <c r="J75" i="10"/>
  <c r="I75" i="10"/>
  <c r="H75" i="10"/>
  <c r="G75" i="10"/>
  <c r="F75" i="10"/>
  <c r="E75" i="10"/>
  <c r="D75" i="10"/>
  <c r="C75" i="10"/>
  <c r="T74" i="10"/>
  <c r="S74" i="10"/>
  <c r="R74" i="10"/>
  <c r="Q74" i="10"/>
  <c r="P74" i="10"/>
  <c r="O74" i="10"/>
  <c r="N74" i="10"/>
  <c r="M74" i="10"/>
  <c r="L74" i="10"/>
  <c r="K74" i="10"/>
  <c r="J74" i="10"/>
  <c r="I74" i="10"/>
  <c r="H74" i="10"/>
  <c r="G74" i="10"/>
  <c r="F74" i="10"/>
  <c r="E74" i="10"/>
  <c r="D74" i="10"/>
  <c r="C74" i="10"/>
  <c r="T73" i="10"/>
  <c r="S73" i="10"/>
  <c r="R73" i="10"/>
  <c r="Q73" i="10"/>
  <c r="P73" i="10"/>
  <c r="O73" i="10"/>
  <c r="N73" i="10"/>
  <c r="M73" i="10"/>
  <c r="L73" i="10"/>
  <c r="K73" i="10"/>
  <c r="J73" i="10"/>
  <c r="I73" i="10"/>
  <c r="H73" i="10"/>
  <c r="G73" i="10"/>
  <c r="F73" i="10"/>
  <c r="E73" i="10"/>
  <c r="D73" i="10"/>
  <c r="C73" i="10"/>
  <c r="T72" i="10"/>
  <c r="S72" i="10"/>
  <c r="R72" i="10"/>
  <c r="Q72" i="10"/>
  <c r="P72" i="10"/>
  <c r="O72" i="10"/>
  <c r="N72" i="10"/>
  <c r="M72" i="10"/>
  <c r="L72" i="10"/>
  <c r="K72" i="10"/>
  <c r="J72" i="10"/>
  <c r="I72" i="10"/>
  <c r="H72" i="10"/>
  <c r="G72" i="10"/>
  <c r="F72" i="10"/>
  <c r="E72" i="10"/>
  <c r="D72" i="10"/>
  <c r="C72" i="10"/>
  <c r="T71" i="10"/>
  <c r="S71" i="10"/>
  <c r="R71" i="10"/>
  <c r="Q71" i="10"/>
  <c r="P71" i="10"/>
  <c r="O71" i="10"/>
  <c r="N71" i="10"/>
  <c r="M71" i="10"/>
  <c r="L71" i="10"/>
  <c r="K71" i="10"/>
  <c r="J71" i="10"/>
  <c r="I71" i="10"/>
  <c r="H71" i="10"/>
  <c r="G71" i="10"/>
  <c r="F71" i="10"/>
  <c r="E71" i="10"/>
  <c r="D71" i="10"/>
  <c r="C71" i="10"/>
  <c r="T70" i="10"/>
  <c r="S70" i="10"/>
  <c r="R70" i="10"/>
  <c r="Q70" i="10"/>
  <c r="P70" i="10"/>
  <c r="O70" i="10"/>
  <c r="N70" i="10"/>
  <c r="M70" i="10"/>
  <c r="L70" i="10"/>
  <c r="K70" i="10"/>
  <c r="J70" i="10"/>
  <c r="I70" i="10"/>
  <c r="H70" i="10"/>
  <c r="G70" i="10"/>
  <c r="F70" i="10"/>
  <c r="E70" i="10"/>
  <c r="D70" i="10"/>
  <c r="C70" i="10"/>
  <c r="T69" i="10"/>
  <c r="S69" i="10"/>
  <c r="R69" i="10"/>
  <c r="Q69" i="10"/>
  <c r="P69" i="10"/>
  <c r="O69" i="10"/>
  <c r="N69" i="10"/>
  <c r="M69" i="10"/>
  <c r="L69" i="10"/>
  <c r="K69" i="10"/>
  <c r="J69" i="10"/>
  <c r="I69" i="10"/>
  <c r="H69" i="10"/>
  <c r="G69" i="10"/>
  <c r="F69" i="10"/>
  <c r="E69" i="10"/>
  <c r="D69" i="10"/>
  <c r="C69" i="10"/>
  <c r="T68" i="10"/>
  <c r="S68" i="10"/>
  <c r="R68" i="10"/>
  <c r="Q68" i="10"/>
  <c r="P68" i="10"/>
  <c r="O68" i="10"/>
  <c r="N68" i="10"/>
  <c r="M68" i="10"/>
  <c r="L68" i="10"/>
  <c r="K68" i="10"/>
  <c r="J68" i="10"/>
  <c r="I68" i="10"/>
  <c r="H68" i="10"/>
  <c r="G68" i="10"/>
  <c r="F68" i="10"/>
  <c r="E68" i="10"/>
  <c r="D68" i="10"/>
  <c r="C68" i="10"/>
  <c r="T67" i="10"/>
  <c r="S67" i="10"/>
  <c r="R67" i="10"/>
  <c r="Q67" i="10"/>
  <c r="P67" i="10"/>
  <c r="O67" i="10"/>
  <c r="N67" i="10"/>
  <c r="M67" i="10"/>
  <c r="L67" i="10"/>
  <c r="K67" i="10"/>
  <c r="J67" i="10"/>
  <c r="I67" i="10"/>
  <c r="H67" i="10"/>
  <c r="G67" i="10"/>
  <c r="F67" i="10"/>
  <c r="E67" i="10"/>
  <c r="D67" i="10"/>
  <c r="C67" i="10"/>
  <c r="T66" i="10"/>
  <c r="S66" i="10"/>
  <c r="R66" i="10"/>
  <c r="Q66" i="10"/>
  <c r="P66" i="10"/>
  <c r="O66" i="10"/>
  <c r="N66" i="10"/>
  <c r="M66" i="10"/>
  <c r="L66" i="10"/>
  <c r="K66" i="10"/>
  <c r="J66" i="10"/>
  <c r="I66" i="10"/>
  <c r="H66" i="10"/>
  <c r="G66" i="10"/>
  <c r="F66" i="10"/>
  <c r="E66" i="10"/>
  <c r="D66" i="10"/>
  <c r="C66" i="10"/>
  <c r="T65" i="10"/>
  <c r="S65" i="10"/>
  <c r="R65" i="10"/>
  <c r="Q65" i="10"/>
  <c r="P65" i="10"/>
  <c r="O65" i="10"/>
  <c r="N65" i="10"/>
  <c r="M65" i="10"/>
  <c r="L65" i="10"/>
  <c r="K65" i="10"/>
  <c r="J65" i="10"/>
  <c r="I65" i="10"/>
  <c r="H65" i="10"/>
  <c r="G65" i="10"/>
  <c r="F65" i="10"/>
  <c r="E65" i="10"/>
  <c r="D65" i="10"/>
  <c r="C65" i="10"/>
  <c r="T64" i="10"/>
  <c r="S64" i="10"/>
  <c r="R64" i="10"/>
  <c r="Q64" i="10"/>
  <c r="P64" i="10"/>
  <c r="O64" i="10"/>
  <c r="N64" i="10"/>
  <c r="M64" i="10"/>
  <c r="L64" i="10"/>
  <c r="K64" i="10"/>
  <c r="J64" i="10"/>
  <c r="I64" i="10"/>
  <c r="H64" i="10"/>
  <c r="G64" i="10"/>
  <c r="F64" i="10"/>
  <c r="E64" i="10"/>
  <c r="D64" i="10"/>
  <c r="C64" i="10"/>
  <c r="T63" i="10"/>
  <c r="S63" i="10"/>
  <c r="R63" i="10"/>
  <c r="Q63" i="10"/>
  <c r="P63" i="10"/>
  <c r="O63" i="10"/>
  <c r="N63" i="10"/>
  <c r="M63" i="10"/>
  <c r="L63" i="10"/>
  <c r="K63" i="10"/>
  <c r="J63" i="10"/>
  <c r="I63" i="10"/>
  <c r="H63" i="10"/>
  <c r="G63" i="10"/>
  <c r="F63" i="10"/>
  <c r="E63" i="10"/>
  <c r="D63" i="10"/>
  <c r="C63" i="10"/>
  <c r="T62" i="10"/>
  <c r="S62" i="10"/>
  <c r="R62" i="10"/>
  <c r="Q62" i="10"/>
  <c r="P62" i="10"/>
  <c r="O62" i="10"/>
  <c r="N62" i="10"/>
  <c r="M62" i="10"/>
  <c r="L62" i="10"/>
  <c r="K62" i="10"/>
  <c r="J62" i="10"/>
  <c r="I62" i="10"/>
  <c r="H62" i="10"/>
  <c r="G62" i="10"/>
  <c r="F62" i="10"/>
  <c r="E62" i="10"/>
  <c r="D62" i="10"/>
  <c r="C62" i="10"/>
  <c r="T61" i="10"/>
  <c r="S61" i="10"/>
  <c r="R61" i="10"/>
  <c r="Q61" i="10"/>
  <c r="P61" i="10"/>
  <c r="O61" i="10"/>
  <c r="N61" i="10"/>
  <c r="M61" i="10"/>
  <c r="L61" i="10"/>
  <c r="K61" i="10"/>
  <c r="J61" i="10"/>
  <c r="I61" i="10"/>
  <c r="H61" i="10"/>
  <c r="G61" i="10"/>
  <c r="F61" i="10"/>
  <c r="E61" i="10"/>
  <c r="D61" i="10"/>
  <c r="C61" i="10"/>
  <c r="T60" i="10"/>
  <c r="S60" i="10"/>
  <c r="R60" i="10"/>
  <c r="Q60" i="10"/>
  <c r="P60" i="10"/>
  <c r="O60" i="10"/>
  <c r="N60" i="10"/>
  <c r="M60" i="10"/>
  <c r="L60" i="10"/>
  <c r="K60" i="10"/>
  <c r="J60" i="10"/>
  <c r="I60" i="10"/>
  <c r="H60" i="10"/>
  <c r="G60" i="10"/>
  <c r="F60" i="10"/>
  <c r="E60" i="10"/>
  <c r="D60" i="10"/>
  <c r="C60" i="10"/>
  <c r="T59" i="10"/>
  <c r="S59" i="10"/>
  <c r="R59" i="10"/>
  <c r="Q59" i="10"/>
  <c r="P59" i="10"/>
  <c r="O59" i="10"/>
  <c r="N59" i="10"/>
  <c r="M59" i="10"/>
  <c r="L59" i="10"/>
  <c r="K59" i="10"/>
  <c r="J59" i="10"/>
  <c r="I59" i="10"/>
  <c r="H59" i="10"/>
  <c r="G59" i="10"/>
  <c r="F59" i="10"/>
  <c r="E59" i="10"/>
  <c r="D59" i="10"/>
  <c r="C59" i="10"/>
  <c r="T58" i="10"/>
  <c r="S58" i="10"/>
  <c r="R58" i="10"/>
  <c r="Q58" i="10"/>
  <c r="P58" i="10"/>
  <c r="O58" i="10"/>
  <c r="N58" i="10"/>
  <c r="M58" i="10"/>
  <c r="L58" i="10"/>
  <c r="K58" i="10"/>
  <c r="J58" i="10"/>
  <c r="I58" i="10"/>
  <c r="H58" i="10"/>
  <c r="G58" i="10"/>
  <c r="F58" i="10"/>
  <c r="E58" i="10"/>
  <c r="D58" i="10"/>
  <c r="C58" i="10"/>
  <c r="T57" i="10"/>
  <c r="S57" i="10"/>
  <c r="R57" i="10"/>
  <c r="Q57" i="10"/>
  <c r="P57" i="10"/>
  <c r="O57" i="10"/>
  <c r="N57" i="10"/>
  <c r="M57" i="10"/>
  <c r="L57" i="10"/>
  <c r="K57" i="10"/>
  <c r="J57" i="10"/>
  <c r="I57" i="10"/>
  <c r="H57" i="10"/>
  <c r="G57" i="10"/>
  <c r="F57" i="10"/>
  <c r="E57" i="10"/>
  <c r="D57" i="10"/>
  <c r="C57" i="10"/>
  <c r="T56" i="10"/>
  <c r="S56" i="10"/>
  <c r="R56" i="10"/>
  <c r="Q56" i="10"/>
  <c r="P56" i="10"/>
  <c r="O56" i="10"/>
  <c r="N56" i="10"/>
  <c r="M56" i="10"/>
  <c r="L56" i="10"/>
  <c r="K56" i="10"/>
  <c r="J56" i="10"/>
  <c r="I56" i="10"/>
  <c r="H56" i="10"/>
  <c r="G56" i="10"/>
  <c r="F56" i="10"/>
  <c r="E56" i="10"/>
  <c r="D56" i="10"/>
  <c r="C56" i="10"/>
  <c r="T55" i="10"/>
  <c r="S55" i="10"/>
  <c r="R55" i="10"/>
  <c r="Q55" i="10"/>
  <c r="P55" i="10"/>
  <c r="O55" i="10"/>
  <c r="N55" i="10"/>
  <c r="M55" i="10"/>
  <c r="L55" i="10"/>
  <c r="K55" i="10"/>
  <c r="J55" i="10"/>
  <c r="I55" i="10"/>
  <c r="H55" i="10"/>
  <c r="G55" i="10"/>
  <c r="F55" i="10"/>
  <c r="E55" i="10"/>
  <c r="D55" i="10"/>
  <c r="C55" i="10"/>
  <c r="T54" i="10"/>
  <c r="S54" i="10"/>
  <c r="R54" i="10"/>
  <c r="Q54" i="10"/>
  <c r="P54" i="10"/>
  <c r="O54" i="10"/>
  <c r="N54" i="10"/>
  <c r="M54" i="10"/>
  <c r="L54" i="10"/>
  <c r="K54" i="10"/>
  <c r="J54" i="10"/>
  <c r="I54" i="10"/>
  <c r="H54" i="10"/>
  <c r="G54" i="10"/>
  <c r="F54" i="10"/>
  <c r="E54" i="10"/>
  <c r="D54" i="10"/>
  <c r="C54" i="10"/>
  <c r="T53" i="10"/>
  <c r="S53" i="10"/>
  <c r="R53" i="10"/>
  <c r="Q53" i="10"/>
  <c r="P53" i="10"/>
  <c r="O53" i="10"/>
  <c r="N53" i="10"/>
  <c r="M53" i="10"/>
  <c r="L53" i="10"/>
  <c r="K53" i="10"/>
  <c r="J53" i="10"/>
  <c r="I53" i="10"/>
  <c r="H53" i="10"/>
  <c r="G53" i="10"/>
  <c r="F53" i="10"/>
  <c r="E53" i="10"/>
  <c r="D53" i="10"/>
  <c r="C53" i="10"/>
  <c r="T52" i="10"/>
  <c r="S52" i="10"/>
  <c r="R52" i="10"/>
  <c r="Q52" i="10"/>
  <c r="P52" i="10"/>
  <c r="O52" i="10"/>
  <c r="N52" i="10"/>
  <c r="M52" i="10"/>
  <c r="L52" i="10"/>
  <c r="K52" i="10"/>
  <c r="J52" i="10"/>
  <c r="I52" i="10"/>
  <c r="H52" i="10"/>
  <c r="G52" i="10"/>
  <c r="F52" i="10"/>
  <c r="E52" i="10"/>
  <c r="D52" i="10"/>
  <c r="C52" i="10"/>
  <c r="T51" i="10"/>
  <c r="S51" i="10"/>
  <c r="R51" i="10"/>
  <c r="Q51" i="10"/>
  <c r="P51" i="10"/>
  <c r="O51" i="10"/>
  <c r="N51" i="10"/>
  <c r="M51" i="10"/>
  <c r="L51" i="10"/>
  <c r="K51" i="10"/>
  <c r="J51" i="10"/>
  <c r="I51" i="10"/>
  <c r="H51" i="10"/>
  <c r="G51" i="10"/>
  <c r="F51" i="10"/>
  <c r="E51" i="10"/>
  <c r="D51" i="10"/>
  <c r="C51" i="10"/>
  <c r="T50" i="10"/>
  <c r="S50" i="10"/>
  <c r="R50" i="10"/>
  <c r="Q50" i="10"/>
  <c r="P50" i="10"/>
  <c r="O50" i="10"/>
  <c r="N50" i="10"/>
  <c r="M50" i="10"/>
  <c r="L50" i="10"/>
  <c r="K50" i="10"/>
  <c r="J50" i="10"/>
  <c r="I50" i="10"/>
  <c r="H50" i="10"/>
  <c r="G50" i="10"/>
  <c r="F50" i="10"/>
  <c r="E50" i="10"/>
  <c r="D50" i="10"/>
  <c r="C50" i="10"/>
  <c r="T49" i="10"/>
  <c r="S49" i="10"/>
  <c r="R49" i="10"/>
  <c r="Q49" i="10"/>
  <c r="P49" i="10"/>
  <c r="O49" i="10"/>
  <c r="N49" i="10"/>
  <c r="M49" i="10"/>
  <c r="L49" i="10"/>
  <c r="K49" i="10"/>
  <c r="J49" i="10"/>
  <c r="I49" i="10"/>
  <c r="H49" i="10"/>
  <c r="G49" i="10"/>
  <c r="F49" i="10"/>
  <c r="E49" i="10"/>
  <c r="D49" i="10"/>
  <c r="C49" i="10"/>
  <c r="T48" i="10"/>
  <c r="S48" i="10"/>
  <c r="R48" i="10"/>
  <c r="Q48" i="10"/>
  <c r="P48" i="10"/>
  <c r="O48" i="10"/>
  <c r="N48" i="10"/>
  <c r="M48" i="10"/>
  <c r="L48" i="10"/>
  <c r="K48" i="10"/>
  <c r="J48" i="10"/>
  <c r="I48" i="10"/>
  <c r="H48" i="10"/>
  <c r="G48" i="10"/>
  <c r="F48" i="10"/>
  <c r="E48" i="10"/>
  <c r="D48" i="10"/>
  <c r="C48" i="10"/>
  <c r="T47" i="10"/>
  <c r="S47" i="10"/>
  <c r="R47" i="10"/>
  <c r="Q47" i="10"/>
  <c r="P47" i="10"/>
  <c r="O47" i="10"/>
  <c r="N47" i="10"/>
  <c r="M47" i="10"/>
  <c r="L47" i="10"/>
  <c r="K47" i="10"/>
  <c r="J47" i="10"/>
  <c r="I47" i="10"/>
  <c r="H47" i="10"/>
  <c r="G47" i="10"/>
  <c r="F47" i="10"/>
  <c r="E47" i="10"/>
  <c r="D47" i="10"/>
  <c r="C47" i="10"/>
  <c r="T46" i="10"/>
  <c r="S46" i="10"/>
  <c r="R46" i="10"/>
  <c r="Q46" i="10"/>
  <c r="P46" i="10"/>
  <c r="O46" i="10"/>
  <c r="N46" i="10"/>
  <c r="M46" i="10"/>
  <c r="L46" i="10"/>
  <c r="K46" i="10"/>
  <c r="J46" i="10"/>
  <c r="I46" i="10"/>
  <c r="H46" i="10"/>
  <c r="G46" i="10"/>
  <c r="F46" i="10"/>
  <c r="E46" i="10"/>
  <c r="D46" i="10"/>
  <c r="C46" i="10"/>
  <c r="T45" i="10"/>
  <c r="S45" i="10"/>
  <c r="R45" i="10"/>
  <c r="Q45" i="10"/>
  <c r="P45" i="10"/>
  <c r="O45" i="10"/>
  <c r="N45" i="10"/>
  <c r="M45" i="10"/>
  <c r="L45" i="10"/>
  <c r="K45" i="10"/>
  <c r="J45" i="10"/>
  <c r="I45" i="10"/>
  <c r="H45" i="10"/>
  <c r="G45" i="10"/>
  <c r="F45" i="10"/>
  <c r="E45" i="10"/>
  <c r="D45" i="10"/>
  <c r="C45" i="10"/>
  <c r="T44" i="10"/>
  <c r="S44" i="10"/>
  <c r="R44" i="10"/>
  <c r="Q44" i="10"/>
  <c r="P44" i="10"/>
  <c r="O44" i="10"/>
  <c r="N44" i="10"/>
  <c r="M44" i="10"/>
  <c r="L44" i="10"/>
  <c r="K44" i="10"/>
  <c r="J44" i="10"/>
  <c r="I44" i="10"/>
  <c r="H44" i="10"/>
  <c r="G44" i="10"/>
  <c r="F44" i="10"/>
  <c r="E44" i="10"/>
  <c r="D44" i="10"/>
  <c r="C44" i="10"/>
  <c r="T43" i="10"/>
  <c r="S43" i="10"/>
  <c r="R43" i="10"/>
  <c r="Q43" i="10"/>
  <c r="P43" i="10"/>
  <c r="O43" i="10"/>
  <c r="N43" i="10"/>
  <c r="M43" i="10"/>
  <c r="L43" i="10"/>
  <c r="K43" i="10"/>
  <c r="J43" i="10"/>
  <c r="I43" i="10"/>
  <c r="H43" i="10"/>
  <c r="G43" i="10"/>
  <c r="F43" i="10"/>
  <c r="E43" i="10"/>
  <c r="D43" i="10"/>
  <c r="C43" i="10"/>
  <c r="T42" i="10"/>
  <c r="S42" i="10"/>
  <c r="R42" i="10"/>
  <c r="Q42" i="10"/>
  <c r="P42" i="10"/>
  <c r="O42" i="10"/>
  <c r="N42" i="10"/>
  <c r="M42" i="10"/>
  <c r="L42" i="10"/>
  <c r="K42" i="10"/>
  <c r="J42" i="10"/>
  <c r="I42" i="10"/>
  <c r="H42" i="10"/>
  <c r="G42" i="10"/>
  <c r="F42" i="10"/>
  <c r="E42" i="10"/>
  <c r="D42" i="10"/>
  <c r="C42" i="10"/>
  <c r="T41" i="10"/>
  <c r="S41" i="10"/>
  <c r="R41" i="10"/>
  <c r="Q41" i="10"/>
  <c r="P41" i="10"/>
  <c r="O41" i="10"/>
  <c r="N41" i="10"/>
  <c r="M41" i="10"/>
  <c r="L41" i="10"/>
  <c r="K41" i="10"/>
  <c r="J41" i="10"/>
  <c r="I41" i="10"/>
  <c r="H41" i="10"/>
  <c r="G41" i="10"/>
  <c r="F41" i="10"/>
  <c r="E41" i="10"/>
  <c r="D41" i="10"/>
  <c r="C41" i="10"/>
  <c r="T40" i="10"/>
  <c r="S40" i="10"/>
  <c r="R40" i="10"/>
  <c r="Q40" i="10"/>
  <c r="P40" i="10"/>
  <c r="O40" i="10"/>
  <c r="N40" i="10"/>
  <c r="M40" i="10"/>
  <c r="L40" i="10"/>
  <c r="K40" i="10"/>
  <c r="J40" i="10"/>
  <c r="I40" i="10"/>
  <c r="H40" i="10"/>
  <c r="G40" i="10"/>
  <c r="F40" i="10"/>
  <c r="E40" i="10"/>
  <c r="D40" i="10"/>
  <c r="C40" i="10"/>
  <c r="T39" i="10"/>
  <c r="S39" i="10"/>
  <c r="R39" i="10"/>
  <c r="Q39" i="10"/>
  <c r="P39" i="10"/>
  <c r="O39" i="10"/>
  <c r="N39" i="10"/>
  <c r="M39" i="10"/>
  <c r="L39" i="10"/>
  <c r="K39" i="10"/>
  <c r="J39" i="10"/>
  <c r="I39" i="10"/>
  <c r="H39" i="10"/>
  <c r="G39" i="10"/>
  <c r="F39" i="10"/>
  <c r="E39" i="10"/>
  <c r="D39" i="10"/>
  <c r="C39" i="10"/>
  <c r="T38" i="10"/>
  <c r="S38" i="10"/>
  <c r="R38" i="10"/>
  <c r="Q38" i="10"/>
  <c r="P38" i="10"/>
  <c r="O38" i="10"/>
  <c r="N38" i="10"/>
  <c r="M38" i="10"/>
  <c r="L38" i="10"/>
  <c r="K38" i="10"/>
  <c r="J38" i="10"/>
  <c r="I38" i="10"/>
  <c r="H38" i="10"/>
  <c r="G38" i="10"/>
  <c r="F38" i="10"/>
  <c r="E38" i="10"/>
  <c r="D38" i="10"/>
  <c r="C38" i="10"/>
  <c r="T37" i="10"/>
  <c r="S37" i="10"/>
  <c r="R37" i="10"/>
  <c r="Q37" i="10"/>
  <c r="P37" i="10"/>
  <c r="O37" i="10"/>
  <c r="N37" i="10"/>
  <c r="M37" i="10"/>
  <c r="L37" i="10"/>
  <c r="K37" i="10"/>
  <c r="J37" i="10"/>
  <c r="I37" i="10"/>
  <c r="H37" i="10"/>
  <c r="G37" i="10"/>
  <c r="F37" i="10"/>
  <c r="E37" i="10"/>
  <c r="D37" i="10"/>
  <c r="C37" i="10"/>
  <c r="T36" i="10"/>
  <c r="S36" i="10"/>
  <c r="R36" i="10"/>
  <c r="Q36" i="10"/>
  <c r="P36" i="10"/>
  <c r="O36" i="10"/>
  <c r="N36" i="10"/>
  <c r="M36" i="10"/>
  <c r="L36" i="10"/>
  <c r="K36" i="10"/>
  <c r="J36" i="10"/>
  <c r="I36" i="10"/>
  <c r="H36" i="10"/>
  <c r="G36" i="10"/>
  <c r="F36" i="10"/>
  <c r="E36" i="10"/>
  <c r="D36" i="10"/>
  <c r="C36" i="10"/>
  <c r="T35" i="10"/>
  <c r="S35" i="10"/>
  <c r="R35" i="10"/>
  <c r="Q35" i="10"/>
  <c r="P35" i="10"/>
  <c r="O35" i="10"/>
  <c r="N35" i="10"/>
  <c r="M35" i="10"/>
  <c r="L35" i="10"/>
  <c r="K35" i="10"/>
  <c r="J35" i="10"/>
  <c r="I35" i="10"/>
  <c r="H35" i="10"/>
  <c r="G35" i="10"/>
  <c r="F35" i="10"/>
  <c r="E35" i="10"/>
  <c r="D35" i="10"/>
  <c r="C35" i="10"/>
  <c r="T34" i="10"/>
  <c r="S34" i="10"/>
  <c r="R34" i="10"/>
  <c r="Q34" i="10"/>
  <c r="P34" i="10"/>
  <c r="O34" i="10"/>
  <c r="N34" i="10"/>
  <c r="M34" i="10"/>
  <c r="L34" i="10"/>
  <c r="K34" i="10"/>
  <c r="J34" i="10"/>
  <c r="I34" i="10"/>
  <c r="H34" i="10"/>
  <c r="G34" i="10"/>
  <c r="F34" i="10"/>
  <c r="E34" i="10"/>
  <c r="D34" i="10"/>
  <c r="C34" i="10"/>
  <c r="T33" i="10"/>
  <c r="S33" i="10"/>
  <c r="R33" i="10"/>
  <c r="Q33" i="10"/>
  <c r="P33" i="10"/>
  <c r="O33" i="10"/>
  <c r="N33" i="10"/>
  <c r="M33" i="10"/>
  <c r="L33" i="10"/>
  <c r="K33" i="10"/>
  <c r="J33" i="10"/>
  <c r="I33" i="10"/>
  <c r="H33" i="10"/>
  <c r="G33" i="10"/>
  <c r="F33" i="10"/>
  <c r="E33" i="10"/>
  <c r="D33" i="10"/>
  <c r="C33" i="10"/>
  <c r="T32" i="10"/>
  <c r="S32" i="10"/>
  <c r="R32" i="10"/>
  <c r="Q32" i="10"/>
  <c r="P32" i="10"/>
  <c r="O32" i="10"/>
  <c r="N32" i="10"/>
  <c r="M32" i="10"/>
  <c r="L32" i="10"/>
  <c r="K32" i="10"/>
  <c r="J32" i="10"/>
  <c r="I32" i="10"/>
  <c r="H32" i="10"/>
  <c r="G32" i="10"/>
  <c r="F32" i="10"/>
  <c r="E32" i="10"/>
  <c r="D32" i="10"/>
  <c r="C32" i="10"/>
  <c r="T31" i="10"/>
  <c r="S31" i="10"/>
  <c r="R31" i="10"/>
  <c r="Q31" i="10"/>
  <c r="P31" i="10"/>
  <c r="O31" i="10"/>
  <c r="N31" i="10"/>
  <c r="M31" i="10"/>
  <c r="L31" i="10"/>
  <c r="K31" i="10"/>
  <c r="J31" i="10"/>
  <c r="I31" i="10"/>
  <c r="H31" i="10"/>
  <c r="G31" i="10"/>
  <c r="F31" i="10"/>
  <c r="E31" i="10"/>
  <c r="D31" i="10"/>
  <c r="C31" i="10"/>
  <c r="T30" i="10"/>
  <c r="S30" i="10"/>
  <c r="R30" i="10"/>
  <c r="Q30" i="10"/>
  <c r="P30" i="10"/>
  <c r="O30" i="10"/>
  <c r="N30" i="10"/>
  <c r="M30" i="10"/>
  <c r="L30" i="10"/>
  <c r="K30" i="10"/>
  <c r="J30" i="10"/>
  <c r="I30" i="10"/>
  <c r="H30" i="10"/>
  <c r="G30" i="10"/>
  <c r="F30" i="10"/>
  <c r="E30" i="10"/>
  <c r="D30" i="10"/>
  <c r="C30" i="10"/>
  <c r="T29" i="10"/>
  <c r="S29" i="10"/>
  <c r="R29" i="10"/>
  <c r="Q29" i="10"/>
  <c r="P29" i="10"/>
  <c r="O29" i="10"/>
  <c r="N29" i="10"/>
  <c r="M29" i="10"/>
  <c r="L29" i="10"/>
  <c r="K29" i="10"/>
  <c r="J29" i="10"/>
  <c r="I29" i="10"/>
  <c r="H29" i="10"/>
  <c r="G29" i="10"/>
  <c r="F29" i="10"/>
  <c r="E29" i="10"/>
  <c r="D29" i="10"/>
  <c r="C29" i="10"/>
  <c r="T28" i="10"/>
  <c r="S28" i="10"/>
  <c r="R28" i="10"/>
  <c r="Q28" i="10"/>
  <c r="P28" i="10"/>
  <c r="O28" i="10"/>
  <c r="N28" i="10"/>
  <c r="M28" i="10"/>
  <c r="L28" i="10"/>
  <c r="K28" i="10"/>
  <c r="J28" i="10"/>
  <c r="I28" i="10"/>
  <c r="H28" i="10"/>
  <c r="G28" i="10"/>
  <c r="F28" i="10"/>
  <c r="E28" i="10"/>
  <c r="D28" i="10"/>
  <c r="C28" i="10"/>
  <c r="T27" i="10"/>
  <c r="S27" i="10"/>
  <c r="R27" i="10"/>
  <c r="Q27" i="10"/>
  <c r="P27" i="10"/>
  <c r="O27" i="10"/>
  <c r="N27" i="10"/>
  <c r="M27" i="10"/>
  <c r="L27" i="10"/>
  <c r="K27" i="10"/>
  <c r="J27" i="10"/>
  <c r="I27" i="10"/>
  <c r="H27" i="10"/>
  <c r="G27" i="10"/>
  <c r="F27" i="10"/>
  <c r="E27" i="10"/>
  <c r="D27" i="10"/>
  <c r="C27" i="10"/>
  <c r="T26" i="10"/>
  <c r="S26" i="10"/>
  <c r="R26" i="10"/>
  <c r="Q26" i="10"/>
  <c r="P26" i="10"/>
  <c r="O26" i="10"/>
  <c r="N26" i="10"/>
  <c r="M26" i="10"/>
  <c r="L26" i="10"/>
  <c r="K26" i="10"/>
  <c r="J26" i="10"/>
  <c r="I26" i="10"/>
  <c r="H26" i="10"/>
  <c r="G26" i="10"/>
  <c r="F26" i="10"/>
  <c r="E26" i="10"/>
  <c r="D26" i="10"/>
  <c r="C26" i="10"/>
  <c r="T25" i="10"/>
  <c r="S25" i="10"/>
  <c r="R25" i="10"/>
  <c r="Q25" i="10"/>
  <c r="P25" i="10"/>
  <c r="O25" i="10"/>
  <c r="N25" i="10"/>
  <c r="M25" i="10"/>
  <c r="L25" i="10"/>
  <c r="K25" i="10"/>
  <c r="J25" i="10"/>
  <c r="I25" i="10"/>
  <c r="H25" i="10"/>
  <c r="G25" i="10"/>
  <c r="F25" i="10"/>
  <c r="E25" i="10"/>
  <c r="D25" i="10"/>
  <c r="C25" i="10"/>
  <c r="T24" i="10"/>
  <c r="S24" i="10"/>
  <c r="R24" i="10"/>
  <c r="Q24" i="10"/>
  <c r="P24" i="10"/>
  <c r="O24" i="10"/>
  <c r="N24" i="10"/>
  <c r="M24" i="10"/>
  <c r="L24" i="10"/>
  <c r="K24" i="10"/>
  <c r="J24" i="10"/>
  <c r="I24" i="10"/>
  <c r="H24" i="10"/>
  <c r="G24" i="10"/>
  <c r="F24" i="10"/>
  <c r="E24" i="10"/>
  <c r="D24" i="10"/>
  <c r="C24" i="10"/>
  <c r="T23" i="10"/>
  <c r="S23" i="10"/>
  <c r="R23" i="10"/>
  <c r="Q23" i="10"/>
  <c r="P23" i="10"/>
  <c r="O23" i="10"/>
  <c r="N23" i="10"/>
  <c r="M23" i="10"/>
  <c r="L23" i="10"/>
  <c r="K23" i="10"/>
  <c r="J23" i="10"/>
  <c r="I23" i="10"/>
  <c r="H23" i="10"/>
  <c r="G23" i="10"/>
  <c r="F23" i="10"/>
  <c r="E23" i="10"/>
  <c r="D23" i="10"/>
  <c r="C23" i="10"/>
  <c r="T22" i="10"/>
  <c r="S22" i="10"/>
  <c r="R22" i="10"/>
  <c r="Q22" i="10"/>
  <c r="P22" i="10"/>
  <c r="O22" i="10"/>
  <c r="N22" i="10"/>
  <c r="M22" i="10"/>
  <c r="L22" i="10"/>
  <c r="K22" i="10"/>
  <c r="J22" i="10"/>
  <c r="I22" i="10"/>
  <c r="H22" i="10"/>
  <c r="G22" i="10"/>
  <c r="F22" i="10"/>
  <c r="E22" i="10"/>
  <c r="D22" i="10"/>
  <c r="C22" i="10"/>
  <c r="T21" i="10"/>
  <c r="S21" i="10"/>
  <c r="R21" i="10"/>
  <c r="Q21" i="10"/>
  <c r="P21" i="10"/>
  <c r="O21" i="10"/>
  <c r="N21" i="10"/>
  <c r="M21" i="10"/>
  <c r="L21" i="10"/>
  <c r="K21" i="10"/>
  <c r="J21" i="10"/>
  <c r="I21" i="10"/>
  <c r="H21" i="10"/>
  <c r="G21" i="10"/>
  <c r="F21" i="10"/>
  <c r="E21" i="10"/>
  <c r="D21" i="10"/>
  <c r="C21" i="10"/>
  <c r="T20" i="10"/>
  <c r="S20" i="10"/>
  <c r="R20" i="10"/>
  <c r="Q20" i="10"/>
  <c r="P20" i="10"/>
  <c r="O20" i="10"/>
  <c r="N20" i="10"/>
  <c r="M20" i="10"/>
  <c r="L20" i="10"/>
  <c r="K20" i="10"/>
  <c r="J20" i="10"/>
  <c r="I20" i="10"/>
  <c r="H20" i="10"/>
  <c r="G20" i="10"/>
  <c r="F20" i="10"/>
  <c r="E20" i="10"/>
  <c r="D20" i="10"/>
  <c r="C20" i="10"/>
  <c r="T19" i="10"/>
  <c r="S19" i="10"/>
  <c r="R19" i="10"/>
  <c r="Q19" i="10"/>
  <c r="P19" i="10"/>
  <c r="O19" i="10"/>
  <c r="N19" i="10"/>
  <c r="M19" i="10"/>
  <c r="L19" i="10"/>
  <c r="K19" i="10"/>
  <c r="J19" i="10"/>
  <c r="I19" i="10"/>
  <c r="H19" i="10"/>
  <c r="G19" i="10"/>
  <c r="F19" i="10"/>
  <c r="E19" i="10"/>
  <c r="D19" i="10"/>
  <c r="C19" i="10"/>
  <c r="T18" i="10"/>
  <c r="S18" i="10"/>
  <c r="R18" i="10"/>
  <c r="Q18" i="10"/>
  <c r="P18" i="10"/>
  <c r="O18" i="10"/>
  <c r="N18" i="10"/>
  <c r="M18" i="10"/>
  <c r="L18" i="10"/>
  <c r="K18" i="10"/>
  <c r="J18" i="10"/>
  <c r="I18" i="10"/>
  <c r="H18" i="10"/>
  <c r="G18" i="10"/>
  <c r="F18" i="10"/>
  <c r="E18" i="10"/>
  <c r="D18" i="10"/>
  <c r="C18" i="10"/>
  <c r="T17" i="10"/>
  <c r="S17" i="10"/>
  <c r="R17" i="10"/>
  <c r="Q17" i="10"/>
  <c r="P17" i="10"/>
  <c r="O17" i="10"/>
  <c r="N17" i="10"/>
  <c r="M17" i="10"/>
  <c r="L17" i="10"/>
  <c r="K17" i="10"/>
  <c r="J17" i="10"/>
  <c r="I17" i="10"/>
  <c r="H17" i="10"/>
  <c r="G17" i="10"/>
  <c r="F17" i="10"/>
  <c r="E17" i="10"/>
  <c r="D17" i="10"/>
  <c r="C17" i="10"/>
  <c r="T16" i="10"/>
  <c r="S16" i="10"/>
  <c r="R16" i="10"/>
  <c r="Q16" i="10"/>
  <c r="P16" i="10"/>
  <c r="O16" i="10"/>
  <c r="N16" i="10"/>
  <c r="M16" i="10"/>
  <c r="L16" i="10"/>
  <c r="K16" i="10"/>
  <c r="J16" i="10"/>
  <c r="I16" i="10"/>
  <c r="H16" i="10"/>
  <c r="G16" i="10"/>
  <c r="F16" i="10"/>
  <c r="E16" i="10"/>
  <c r="D16" i="10"/>
  <c r="C16" i="10"/>
  <c r="T15" i="10"/>
  <c r="S15" i="10"/>
  <c r="R15" i="10"/>
  <c r="Q15" i="10"/>
  <c r="P15" i="10"/>
  <c r="O15" i="10"/>
  <c r="N15" i="10"/>
  <c r="M15" i="10"/>
  <c r="L15" i="10"/>
  <c r="K15" i="10"/>
  <c r="J15" i="10"/>
  <c r="I15" i="10"/>
  <c r="H15" i="10"/>
  <c r="G15" i="10"/>
  <c r="F15" i="10"/>
  <c r="E15" i="10"/>
  <c r="D15" i="10"/>
  <c r="C15" i="10"/>
  <c r="T14" i="10"/>
  <c r="S14" i="10"/>
  <c r="R14" i="10"/>
  <c r="Q14" i="10"/>
  <c r="P14" i="10"/>
  <c r="O14" i="10"/>
  <c r="N14" i="10"/>
  <c r="M14" i="10"/>
  <c r="L14" i="10"/>
  <c r="K14" i="10"/>
  <c r="J14" i="10"/>
  <c r="I14" i="10"/>
  <c r="H14" i="10"/>
  <c r="G14" i="10"/>
  <c r="F14" i="10"/>
  <c r="E14" i="10"/>
  <c r="D14" i="10"/>
  <c r="C14" i="10"/>
  <c r="T13" i="10"/>
  <c r="S13" i="10"/>
  <c r="R13" i="10"/>
  <c r="Q13" i="10"/>
  <c r="P13" i="10"/>
  <c r="O13" i="10"/>
  <c r="N13" i="10"/>
  <c r="M13" i="10"/>
  <c r="L13" i="10"/>
  <c r="K13" i="10"/>
  <c r="J13" i="10"/>
  <c r="I13" i="10"/>
  <c r="H13" i="10"/>
  <c r="G13" i="10"/>
  <c r="F13" i="10"/>
  <c r="E13" i="10"/>
  <c r="D13" i="10"/>
  <c r="C13" i="10"/>
  <c r="T12" i="10"/>
  <c r="S12" i="10"/>
  <c r="R12" i="10"/>
  <c r="Q12" i="10"/>
  <c r="P12" i="10"/>
  <c r="O12" i="10"/>
  <c r="N12" i="10"/>
  <c r="M12" i="10"/>
  <c r="L12" i="10"/>
  <c r="K12" i="10"/>
  <c r="J12" i="10"/>
  <c r="I12" i="10"/>
  <c r="H12" i="10"/>
  <c r="G12" i="10"/>
  <c r="F12" i="10"/>
  <c r="E12" i="10"/>
  <c r="D12" i="10"/>
  <c r="C12" i="10"/>
  <c r="T11" i="10"/>
  <c r="S11" i="10"/>
  <c r="R11" i="10"/>
  <c r="Q11" i="10"/>
  <c r="P11" i="10"/>
  <c r="O11" i="10"/>
  <c r="N11" i="10"/>
  <c r="M11" i="10"/>
  <c r="L11" i="10"/>
  <c r="K11" i="10"/>
  <c r="J11" i="10"/>
  <c r="I11" i="10"/>
  <c r="H11" i="10"/>
  <c r="G11" i="10"/>
  <c r="F11" i="10"/>
  <c r="E11" i="10"/>
  <c r="D11" i="10"/>
  <c r="C11" i="10"/>
  <c r="T10" i="10"/>
  <c r="S10" i="10"/>
  <c r="R10" i="10"/>
  <c r="Q10" i="10"/>
  <c r="P10" i="10"/>
  <c r="O10" i="10"/>
  <c r="N10" i="10"/>
  <c r="M10" i="10"/>
  <c r="L10" i="10"/>
  <c r="K10" i="10"/>
  <c r="J10" i="10"/>
  <c r="I10" i="10"/>
  <c r="H10" i="10"/>
  <c r="G10" i="10"/>
  <c r="F10" i="10"/>
  <c r="E10" i="10"/>
  <c r="D10" i="10"/>
  <c r="C10" i="10"/>
  <c r="T9" i="10"/>
  <c r="S9" i="10"/>
  <c r="R9" i="10"/>
  <c r="Q9" i="10"/>
  <c r="P9" i="10"/>
  <c r="O9" i="10"/>
  <c r="N9" i="10"/>
  <c r="M9" i="10"/>
  <c r="L9" i="10"/>
  <c r="K9" i="10"/>
  <c r="J9" i="10"/>
  <c r="I9" i="10"/>
  <c r="H9" i="10"/>
  <c r="G9" i="10"/>
  <c r="F9" i="10"/>
  <c r="E9" i="10"/>
  <c r="D9" i="10"/>
  <c r="C9" i="10"/>
  <c r="T8" i="10"/>
  <c r="S8" i="10"/>
  <c r="R8" i="10"/>
  <c r="Q8" i="10"/>
  <c r="P8" i="10"/>
  <c r="O8" i="10"/>
  <c r="N8" i="10"/>
  <c r="M8" i="10"/>
  <c r="L8" i="10"/>
  <c r="K8" i="10"/>
  <c r="J8" i="10"/>
  <c r="I8" i="10"/>
  <c r="H8" i="10"/>
  <c r="G8" i="10"/>
  <c r="F8" i="10"/>
  <c r="E8" i="10"/>
  <c r="D8" i="10"/>
  <c r="C8" i="10"/>
  <c r="T7" i="10"/>
  <c r="S7" i="10"/>
  <c r="R7" i="10"/>
  <c r="Q7" i="10"/>
  <c r="P7" i="10"/>
  <c r="O7" i="10"/>
  <c r="N7" i="10"/>
  <c r="M7" i="10"/>
  <c r="L7" i="10"/>
  <c r="K7" i="10"/>
  <c r="J7" i="10"/>
  <c r="I7" i="10"/>
  <c r="H7" i="10"/>
  <c r="G7" i="10"/>
  <c r="F7" i="10"/>
  <c r="E7" i="10"/>
  <c r="D7" i="10"/>
  <c r="C7" i="10"/>
  <c r="T6" i="10"/>
  <c r="S6" i="10"/>
  <c r="R6" i="10"/>
  <c r="Q6" i="10"/>
  <c r="P6" i="10"/>
  <c r="O6" i="10"/>
  <c r="N6" i="10"/>
  <c r="M6" i="10"/>
  <c r="L6" i="10"/>
  <c r="K6" i="10"/>
  <c r="J6" i="10"/>
  <c r="I6" i="10"/>
  <c r="H6" i="10"/>
  <c r="G6" i="10"/>
  <c r="F6" i="10"/>
  <c r="E6" i="10"/>
  <c r="D6" i="10"/>
  <c r="C6" i="10"/>
  <c r="T5" i="10"/>
  <c r="S5" i="10"/>
  <c r="R5" i="10"/>
  <c r="Q5" i="10"/>
  <c r="P5" i="10"/>
  <c r="O5" i="10"/>
  <c r="N5" i="10"/>
  <c r="M5" i="10"/>
  <c r="L5" i="10"/>
  <c r="K5" i="10"/>
  <c r="J5" i="10"/>
  <c r="I5" i="10"/>
  <c r="H5" i="10"/>
  <c r="G5" i="10"/>
  <c r="F5" i="10"/>
  <c r="E5" i="10"/>
  <c r="D5" i="10"/>
  <c r="C5" i="10"/>
  <c r="E2855" i="6"/>
  <c r="D2855" i="6"/>
  <c r="B2855" i="6"/>
  <c r="D2854" i="6"/>
  <c r="E2854" i="6" s="1"/>
  <c r="B2854" i="6"/>
  <c r="C2854" i="6" s="1"/>
  <c r="D2853" i="6"/>
  <c r="E2853" i="6" s="1"/>
  <c r="B2853" i="6"/>
  <c r="C2853" i="6" s="1"/>
  <c r="D2852" i="6"/>
  <c r="E2852" i="6" s="1"/>
  <c r="B2852" i="6"/>
  <c r="E2851" i="6"/>
  <c r="D2851" i="6"/>
  <c r="B2851" i="6"/>
  <c r="C2851" i="6" s="1"/>
  <c r="D2850" i="6"/>
  <c r="B2850" i="6"/>
  <c r="C2850" i="6" s="1"/>
  <c r="D2849" i="6"/>
  <c r="E2849" i="6" s="1"/>
  <c r="B2849" i="6"/>
  <c r="C2849" i="6" s="1"/>
  <c r="E2848" i="6"/>
  <c r="D2848" i="6"/>
  <c r="B2848" i="6"/>
  <c r="C2848" i="6" s="1"/>
  <c r="D2847" i="6"/>
  <c r="B2847" i="6"/>
  <c r="C2847" i="6" s="1"/>
  <c r="D2846" i="6"/>
  <c r="E2847" i="6" s="1"/>
  <c r="C2846" i="6"/>
  <c r="B2846" i="6"/>
  <c r="D2845" i="6"/>
  <c r="E2845" i="6" s="1"/>
  <c r="B2845" i="6"/>
  <c r="E2844" i="6"/>
  <c r="D2844" i="6"/>
  <c r="C2844" i="6"/>
  <c r="B2844" i="6"/>
  <c r="D2843" i="6"/>
  <c r="E2843" i="6" s="1"/>
  <c r="B2843" i="6"/>
  <c r="D2842" i="6"/>
  <c r="E2842" i="6" s="1"/>
  <c r="B2842" i="6"/>
  <c r="C2842" i="6" s="1"/>
  <c r="E2841" i="6"/>
  <c r="D2841" i="6"/>
  <c r="B2841" i="6"/>
  <c r="D2840" i="6"/>
  <c r="C2840" i="6"/>
  <c r="B2840" i="6"/>
  <c r="E2839" i="6"/>
  <c r="D2839" i="6"/>
  <c r="E2840" i="6" s="1"/>
  <c r="B2839" i="6"/>
  <c r="D2838" i="6"/>
  <c r="E2838" i="6" s="1"/>
  <c r="B2838" i="6"/>
  <c r="C2838" i="6" s="1"/>
  <c r="D2837" i="6"/>
  <c r="E2837" i="6" s="1"/>
  <c r="B2837" i="6"/>
  <c r="C2837" i="6" s="1"/>
  <c r="D2836" i="6"/>
  <c r="E2836" i="6" s="1"/>
  <c r="B2836" i="6"/>
  <c r="E2835" i="6"/>
  <c r="D2835" i="6"/>
  <c r="B2835" i="6"/>
  <c r="C2835" i="6" s="1"/>
  <c r="D2834" i="6"/>
  <c r="B2834" i="6"/>
  <c r="C2834" i="6" s="1"/>
  <c r="D2833" i="6"/>
  <c r="E2833" i="6" s="1"/>
  <c r="B2833" i="6"/>
  <c r="C2833" i="6" s="1"/>
  <c r="E2832" i="6"/>
  <c r="D2832" i="6"/>
  <c r="B2832" i="6"/>
  <c r="C2832" i="6" s="1"/>
  <c r="D2831" i="6"/>
  <c r="B2831" i="6"/>
  <c r="C2831" i="6" s="1"/>
  <c r="D2830" i="6"/>
  <c r="E2831" i="6" s="1"/>
  <c r="C2830" i="6"/>
  <c r="B2830" i="6"/>
  <c r="D2829" i="6"/>
  <c r="E2829" i="6" s="1"/>
  <c r="B2829" i="6"/>
  <c r="E2828" i="6"/>
  <c r="D2828" i="6"/>
  <c r="C2828" i="6"/>
  <c r="B2828" i="6"/>
  <c r="D2827" i="6"/>
  <c r="E2827" i="6" s="1"/>
  <c r="B2827" i="6"/>
  <c r="D2826" i="6"/>
  <c r="E2826" i="6" s="1"/>
  <c r="B2826" i="6"/>
  <c r="C2826" i="6" s="1"/>
  <c r="E2825" i="6"/>
  <c r="D2825" i="6"/>
  <c r="B2825" i="6"/>
  <c r="D2824" i="6"/>
  <c r="C2824" i="6"/>
  <c r="B2824" i="6"/>
  <c r="E2823" i="6"/>
  <c r="D2823" i="6"/>
  <c r="E2824" i="6" s="1"/>
  <c r="B2823" i="6"/>
  <c r="D2822" i="6"/>
  <c r="B2822" i="6"/>
  <c r="C2822" i="6" s="1"/>
  <c r="D2821" i="6"/>
  <c r="E2821" i="6" s="1"/>
  <c r="B2821" i="6"/>
  <c r="C2821" i="6" s="1"/>
  <c r="D2820" i="6"/>
  <c r="E2820" i="6" s="1"/>
  <c r="B2820" i="6"/>
  <c r="E2819" i="6"/>
  <c r="D2819" i="6"/>
  <c r="B2819" i="6"/>
  <c r="D2818" i="6"/>
  <c r="B2818" i="6"/>
  <c r="C2818" i="6" s="1"/>
  <c r="D2817" i="6"/>
  <c r="B2817" i="6"/>
  <c r="C2817" i="6" s="1"/>
  <c r="E2816" i="6"/>
  <c r="D2816" i="6"/>
  <c r="B2816" i="6"/>
  <c r="D2815" i="6"/>
  <c r="B2815" i="6"/>
  <c r="C2815" i="6" s="1"/>
  <c r="D2814" i="6"/>
  <c r="C2814" i="6"/>
  <c r="B2814" i="6"/>
  <c r="D2813" i="6"/>
  <c r="E2813" i="6" s="1"/>
  <c r="B2813" i="6"/>
  <c r="E2812" i="6"/>
  <c r="D2812" i="6"/>
  <c r="C2812" i="6"/>
  <c r="B2812" i="6"/>
  <c r="D2811" i="6"/>
  <c r="E2811" i="6" s="1"/>
  <c r="B2811" i="6"/>
  <c r="D2810" i="6"/>
  <c r="E2810" i="6" s="1"/>
  <c r="B2810" i="6"/>
  <c r="C2810" i="6" s="1"/>
  <c r="E2809" i="6"/>
  <c r="D2809" i="6"/>
  <c r="B2809" i="6"/>
  <c r="D2808" i="6"/>
  <c r="C2808" i="6"/>
  <c r="B2808" i="6"/>
  <c r="E2807" i="6"/>
  <c r="D2807" i="6"/>
  <c r="E2808" i="6" s="1"/>
  <c r="B2807" i="6"/>
  <c r="D2806" i="6"/>
  <c r="B2806" i="6"/>
  <c r="C2806" i="6" s="1"/>
  <c r="D2805" i="6"/>
  <c r="E2805" i="6" s="1"/>
  <c r="B2805" i="6"/>
  <c r="C2805" i="6" s="1"/>
  <c r="D2804" i="6"/>
  <c r="E2804" i="6" s="1"/>
  <c r="B2804" i="6"/>
  <c r="E2803" i="6"/>
  <c r="D2803" i="6"/>
  <c r="B2803" i="6"/>
  <c r="E2802" i="6"/>
  <c r="D2802" i="6"/>
  <c r="B2802" i="6"/>
  <c r="C2802" i="6" s="1"/>
  <c r="D2801" i="6"/>
  <c r="E2801" i="6" s="1"/>
  <c r="B2801" i="6"/>
  <c r="C2801" i="6" s="1"/>
  <c r="D2800" i="6"/>
  <c r="E2800" i="6" s="1"/>
  <c r="B2800" i="6"/>
  <c r="D2799" i="6"/>
  <c r="B2799" i="6"/>
  <c r="C2799" i="6" s="1"/>
  <c r="E2798" i="6"/>
  <c r="D2798" i="6"/>
  <c r="E2799" i="6" s="1"/>
  <c r="C2798" i="6"/>
  <c r="B2798" i="6"/>
  <c r="D2797" i="6"/>
  <c r="B2797" i="6"/>
  <c r="D2796" i="6"/>
  <c r="E2796" i="6" s="1"/>
  <c r="C2796" i="6"/>
  <c r="B2796" i="6"/>
  <c r="D2795" i="6"/>
  <c r="B2795" i="6"/>
  <c r="D2794" i="6"/>
  <c r="E2794" i="6" s="1"/>
  <c r="B2794" i="6"/>
  <c r="C2794" i="6" s="1"/>
  <c r="E2793" i="6"/>
  <c r="D2793" i="6"/>
  <c r="B2793" i="6"/>
  <c r="D2792" i="6"/>
  <c r="B2792" i="6"/>
  <c r="C2792" i="6" s="1"/>
  <c r="D2791" i="6"/>
  <c r="E2792" i="6" s="1"/>
  <c r="B2791" i="6"/>
  <c r="D2790" i="6"/>
  <c r="E2790" i="6" s="1"/>
  <c r="B2790" i="6"/>
  <c r="C2790" i="6" s="1"/>
  <c r="D2789" i="6"/>
  <c r="E2789" i="6" s="1"/>
  <c r="B2789" i="6"/>
  <c r="C2789" i="6" s="1"/>
  <c r="D2788" i="6"/>
  <c r="B2788" i="6"/>
  <c r="D2787" i="6"/>
  <c r="E2787" i="6" s="1"/>
  <c r="B2787" i="6"/>
  <c r="D2786" i="6"/>
  <c r="B2786" i="6"/>
  <c r="D2785" i="6"/>
  <c r="B2785" i="6"/>
  <c r="C2785" i="6" s="1"/>
  <c r="D2784" i="6"/>
  <c r="E2784" i="6" s="1"/>
  <c r="B2784" i="6"/>
  <c r="C2784" i="6" s="1"/>
  <c r="D2783" i="6"/>
  <c r="B2783" i="6"/>
  <c r="C2783" i="6" s="1"/>
  <c r="D2782" i="6"/>
  <c r="C2782" i="6"/>
  <c r="B2782" i="6"/>
  <c r="D2781" i="6"/>
  <c r="E2781" i="6" s="1"/>
  <c r="B2781" i="6"/>
  <c r="D2780" i="6"/>
  <c r="E2780" i="6" s="1"/>
  <c r="B2780" i="6"/>
  <c r="C2780" i="6" s="1"/>
  <c r="D2779" i="6"/>
  <c r="E2779" i="6" s="1"/>
  <c r="B2779" i="6"/>
  <c r="D2778" i="6"/>
  <c r="E2778" i="6" s="1"/>
  <c r="C2778" i="6"/>
  <c r="B2778" i="6"/>
  <c r="E2777" i="6"/>
  <c r="D2777" i="6"/>
  <c r="B2777" i="6"/>
  <c r="D2776" i="6"/>
  <c r="C2776" i="6"/>
  <c r="B2776" i="6"/>
  <c r="E2775" i="6"/>
  <c r="D2775" i="6"/>
  <c r="E2776" i="6" s="1"/>
  <c r="B2775" i="6"/>
  <c r="D2774" i="6"/>
  <c r="B2774" i="6"/>
  <c r="C2774" i="6" s="1"/>
  <c r="D2773" i="6"/>
  <c r="E2773" i="6" s="1"/>
  <c r="B2773" i="6"/>
  <c r="C2773" i="6" s="1"/>
  <c r="D2772" i="6"/>
  <c r="B2772" i="6"/>
  <c r="D2771" i="6"/>
  <c r="E2771" i="6" s="1"/>
  <c r="B2771" i="6"/>
  <c r="E2770" i="6"/>
  <c r="D2770" i="6"/>
  <c r="B2770" i="6"/>
  <c r="C2770" i="6" s="1"/>
  <c r="D2769" i="6"/>
  <c r="B2769" i="6"/>
  <c r="C2769" i="6" s="1"/>
  <c r="D2768" i="6"/>
  <c r="E2768" i="6" s="1"/>
  <c r="B2768" i="6"/>
  <c r="C2768" i="6" s="1"/>
  <c r="E2767" i="6"/>
  <c r="D2767" i="6"/>
  <c r="B2767" i="6"/>
  <c r="C2767" i="6" s="1"/>
  <c r="D2766" i="6"/>
  <c r="E2766" i="6" s="1"/>
  <c r="C2766" i="6"/>
  <c r="B2766" i="6"/>
  <c r="D2765" i="6"/>
  <c r="E2765" i="6" s="1"/>
  <c r="B2765" i="6"/>
  <c r="E2764" i="6"/>
  <c r="D2764" i="6"/>
  <c r="B2764" i="6"/>
  <c r="C2764" i="6" s="1"/>
  <c r="D2763" i="6"/>
  <c r="B2763" i="6"/>
  <c r="C2763" i="6" s="1"/>
  <c r="D2762" i="6"/>
  <c r="E2762" i="6" s="1"/>
  <c r="B2762" i="6"/>
  <c r="C2762" i="6" s="1"/>
  <c r="E2761" i="6"/>
  <c r="D2761" i="6"/>
  <c r="B2761" i="6"/>
  <c r="D2760" i="6"/>
  <c r="C2760" i="6"/>
  <c r="B2760" i="6"/>
  <c r="D2759" i="6"/>
  <c r="E2760" i="6" s="1"/>
  <c r="B2759" i="6"/>
  <c r="D2758" i="6"/>
  <c r="B2758" i="6"/>
  <c r="E2757" i="6"/>
  <c r="D2757" i="6"/>
  <c r="B2757" i="6"/>
  <c r="C2757" i="6" s="1"/>
  <c r="D2756" i="6"/>
  <c r="E2756" i="6" s="1"/>
  <c r="B2756" i="6"/>
  <c r="D2755" i="6"/>
  <c r="E2755" i="6" s="1"/>
  <c r="B2755" i="6"/>
  <c r="E2754" i="6"/>
  <c r="D2754" i="6"/>
  <c r="B2754" i="6"/>
  <c r="C2754" i="6" s="1"/>
  <c r="D2753" i="6"/>
  <c r="E2753" i="6" s="1"/>
  <c r="B2753" i="6"/>
  <c r="C2753" i="6" s="1"/>
  <c r="D2752" i="6"/>
  <c r="E2752" i="6" s="1"/>
  <c r="B2752" i="6"/>
  <c r="C2752" i="6" s="1"/>
  <c r="E2751" i="6"/>
  <c r="D2751" i="6"/>
  <c r="B2751" i="6"/>
  <c r="C2751" i="6" s="1"/>
  <c r="D2750" i="6"/>
  <c r="C2750" i="6"/>
  <c r="B2750" i="6"/>
  <c r="D2749" i="6"/>
  <c r="B2749" i="6"/>
  <c r="E2748" i="6"/>
  <c r="D2748" i="6"/>
  <c r="C2748" i="6"/>
  <c r="B2748" i="6"/>
  <c r="D2747" i="6"/>
  <c r="B2747" i="6"/>
  <c r="D2746" i="6"/>
  <c r="E2746" i="6" s="1"/>
  <c r="B2746" i="6"/>
  <c r="C2746" i="6" s="1"/>
  <c r="E2745" i="6"/>
  <c r="D2745" i="6"/>
  <c r="B2745" i="6"/>
  <c r="D2744" i="6"/>
  <c r="B2744" i="6"/>
  <c r="C2744" i="6" s="1"/>
  <c r="D2743" i="6"/>
  <c r="E2744" i="6" s="1"/>
  <c r="B2743" i="6"/>
  <c r="D2742" i="6"/>
  <c r="B2742" i="6"/>
  <c r="D2741" i="6"/>
  <c r="E2741" i="6" s="1"/>
  <c r="B2741" i="6"/>
  <c r="C2741" i="6" s="1"/>
  <c r="D2740" i="6"/>
  <c r="E2740" i="6" s="1"/>
  <c r="C2740" i="6"/>
  <c r="B2740" i="6"/>
  <c r="D2739" i="6"/>
  <c r="E2739" i="6" s="1"/>
  <c r="B2739" i="6"/>
  <c r="D2738" i="6"/>
  <c r="B2738" i="6"/>
  <c r="D2737" i="6"/>
  <c r="B2737" i="6"/>
  <c r="C2737" i="6" s="1"/>
  <c r="D2736" i="6"/>
  <c r="E2736" i="6" s="1"/>
  <c r="B2736" i="6"/>
  <c r="D2735" i="6"/>
  <c r="B2735" i="6"/>
  <c r="C2735" i="6" s="1"/>
  <c r="D2734" i="6"/>
  <c r="E2735" i="6" s="1"/>
  <c r="C2734" i="6"/>
  <c r="B2734" i="6"/>
  <c r="D2733" i="6"/>
  <c r="B2733" i="6"/>
  <c r="D2732" i="6"/>
  <c r="E2732" i="6" s="1"/>
  <c r="B2732" i="6"/>
  <c r="C2732" i="6" s="1"/>
  <c r="D2731" i="6"/>
  <c r="B2731" i="6"/>
  <c r="D2730" i="6"/>
  <c r="E2730" i="6" s="1"/>
  <c r="B2730" i="6"/>
  <c r="C2730" i="6" s="1"/>
  <c r="E2729" i="6"/>
  <c r="D2729" i="6"/>
  <c r="B2729" i="6"/>
  <c r="D2728" i="6"/>
  <c r="C2728" i="6"/>
  <c r="B2728" i="6"/>
  <c r="D2727" i="6"/>
  <c r="E2728" i="6" s="1"/>
  <c r="B2727" i="6"/>
  <c r="D2726" i="6"/>
  <c r="E2726" i="6" s="1"/>
  <c r="B2726" i="6"/>
  <c r="D2725" i="6"/>
  <c r="E2725" i="6" s="1"/>
  <c r="B2725" i="6"/>
  <c r="C2725" i="6" s="1"/>
  <c r="D2724" i="6"/>
  <c r="E2724" i="6" s="1"/>
  <c r="C2724" i="6"/>
  <c r="B2724" i="6"/>
  <c r="E2723" i="6"/>
  <c r="D2723" i="6"/>
  <c r="B2723" i="6"/>
  <c r="E2722" i="6"/>
  <c r="D2722" i="6"/>
  <c r="B2722" i="6"/>
  <c r="D2721" i="6"/>
  <c r="E2721" i="6" s="1"/>
  <c r="B2721" i="6"/>
  <c r="C2721" i="6" s="1"/>
  <c r="E2720" i="6"/>
  <c r="D2720" i="6"/>
  <c r="B2720" i="6"/>
  <c r="E2719" i="6"/>
  <c r="D2719" i="6"/>
  <c r="B2719" i="6"/>
  <c r="C2719" i="6" s="1"/>
  <c r="D2718" i="6"/>
  <c r="E2718" i="6" s="1"/>
  <c r="C2718" i="6"/>
  <c r="B2718" i="6"/>
  <c r="D2717" i="6"/>
  <c r="B2717" i="6"/>
  <c r="E2716" i="6"/>
  <c r="D2716" i="6"/>
  <c r="B2716" i="6"/>
  <c r="C2716" i="6" s="1"/>
  <c r="D2715" i="6"/>
  <c r="E2715" i="6" s="1"/>
  <c r="B2715" i="6"/>
  <c r="D2714" i="6"/>
  <c r="E2714" i="6" s="1"/>
  <c r="C2714" i="6"/>
  <c r="B2714" i="6"/>
  <c r="E2713" i="6"/>
  <c r="D2713" i="6"/>
  <c r="B2713" i="6"/>
  <c r="E2712" i="6"/>
  <c r="D2712" i="6"/>
  <c r="B2712" i="6"/>
  <c r="C2712" i="6" s="1"/>
  <c r="E2711" i="6"/>
  <c r="D2711" i="6"/>
  <c r="B2711" i="6"/>
  <c r="D2710" i="6"/>
  <c r="E2710" i="6" s="1"/>
  <c r="B2710" i="6"/>
  <c r="D2709" i="6"/>
  <c r="E2709" i="6" s="1"/>
  <c r="B2709" i="6"/>
  <c r="C2709" i="6" s="1"/>
  <c r="D2708" i="6"/>
  <c r="E2708" i="6" s="1"/>
  <c r="C2708" i="6"/>
  <c r="B2708" i="6"/>
  <c r="D2707" i="6"/>
  <c r="E2707" i="6" s="1"/>
  <c r="B2707" i="6"/>
  <c r="D2706" i="6"/>
  <c r="B2706" i="6"/>
  <c r="D2705" i="6"/>
  <c r="B2705" i="6"/>
  <c r="C2705" i="6" s="1"/>
  <c r="E2704" i="6"/>
  <c r="D2704" i="6"/>
  <c r="B2704" i="6"/>
  <c r="D2703" i="6"/>
  <c r="B2703" i="6"/>
  <c r="C2703" i="6" s="1"/>
  <c r="D2702" i="6"/>
  <c r="E2703" i="6" s="1"/>
  <c r="C2702" i="6"/>
  <c r="B2702" i="6"/>
  <c r="D2701" i="6"/>
  <c r="B2701" i="6"/>
  <c r="D2700" i="6"/>
  <c r="E2700" i="6" s="1"/>
  <c r="B2700" i="6"/>
  <c r="C2700" i="6" s="1"/>
  <c r="E2699" i="6"/>
  <c r="D2699" i="6"/>
  <c r="B2699" i="6"/>
  <c r="D2698" i="6"/>
  <c r="B2698" i="6"/>
  <c r="D2697" i="6"/>
  <c r="E2697" i="6" s="1"/>
  <c r="B2697" i="6"/>
  <c r="C2697" i="6" s="1"/>
  <c r="D2696" i="6"/>
  <c r="B2696" i="6"/>
  <c r="C2696" i="6" s="1"/>
  <c r="D2695" i="6"/>
  <c r="B2695" i="6"/>
  <c r="C2695" i="6" s="1"/>
  <c r="E2694" i="6"/>
  <c r="D2694" i="6"/>
  <c r="B2694" i="6"/>
  <c r="D2693" i="6"/>
  <c r="E2693" i="6" s="1"/>
  <c r="B2693" i="6"/>
  <c r="C2693" i="6" s="1"/>
  <c r="D2692" i="6"/>
  <c r="E2692" i="6" s="1"/>
  <c r="C2692" i="6"/>
  <c r="B2692" i="6"/>
  <c r="D2691" i="6"/>
  <c r="E2691" i="6" s="1"/>
  <c r="B2691" i="6"/>
  <c r="D2690" i="6"/>
  <c r="E2690" i="6" s="1"/>
  <c r="C2690" i="6"/>
  <c r="B2690" i="6"/>
  <c r="D2689" i="6"/>
  <c r="B2689" i="6"/>
  <c r="E2688" i="6"/>
  <c r="D2688" i="6"/>
  <c r="B2688" i="6"/>
  <c r="C2688" i="6" s="1"/>
  <c r="E2687" i="6"/>
  <c r="D2687" i="6"/>
  <c r="B2687" i="6"/>
  <c r="D2686" i="6"/>
  <c r="E2686" i="6" s="1"/>
  <c r="B2686" i="6"/>
  <c r="D2685" i="6"/>
  <c r="E2685" i="6" s="1"/>
  <c r="B2685" i="6"/>
  <c r="D2684" i="6"/>
  <c r="E2684" i="6" s="1"/>
  <c r="C2684" i="6"/>
  <c r="B2684" i="6"/>
  <c r="E2683" i="6"/>
  <c r="D2683" i="6"/>
  <c r="B2683" i="6"/>
  <c r="D2682" i="6"/>
  <c r="B2682" i="6"/>
  <c r="C2682" i="6" s="1"/>
  <c r="D2681" i="6"/>
  <c r="B2681" i="6"/>
  <c r="C2681" i="6" s="1"/>
  <c r="D2680" i="6"/>
  <c r="E2680" i="6" s="1"/>
  <c r="B2680" i="6"/>
  <c r="E2679" i="6"/>
  <c r="D2679" i="6"/>
  <c r="B2679" i="6"/>
  <c r="C2679" i="6" s="1"/>
  <c r="E2678" i="6"/>
  <c r="D2678" i="6"/>
  <c r="B2678" i="6"/>
  <c r="D2677" i="6"/>
  <c r="B2677" i="6"/>
  <c r="E2676" i="6"/>
  <c r="D2676" i="6"/>
  <c r="C2676" i="6"/>
  <c r="B2676" i="6"/>
  <c r="D2675" i="6"/>
  <c r="B2675" i="6"/>
  <c r="D2674" i="6"/>
  <c r="E2674" i="6" s="1"/>
  <c r="C2674" i="6"/>
  <c r="B2674" i="6"/>
  <c r="E2673" i="6"/>
  <c r="D2673" i="6"/>
  <c r="B2673" i="6"/>
  <c r="D2672" i="6"/>
  <c r="E2672" i="6" s="1"/>
  <c r="C2672" i="6"/>
  <c r="B2672" i="6"/>
  <c r="E2671" i="6"/>
  <c r="D2671" i="6"/>
  <c r="B2671" i="6"/>
  <c r="D2670" i="6"/>
  <c r="B2670" i="6"/>
  <c r="D2669" i="6"/>
  <c r="E2669" i="6" s="1"/>
  <c r="B2669" i="6"/>
  <c r="C2669" i="6" s="1"/>
  <c r="D2668" i="6"/>
  <c r="E2668" i="6" s="1"/>
  <c r="B2668" i="6"/>
  <c r="D2667" i="6"/>
  <c r="E2667" i="6" s="1"/>
  <c r="B2667" i="6"/>
  <c r="E2666" i="6"/>
  <c r="D2666" i="6"/>
  <c r="B2666" i="6"/>
  <c r="C2666" i="6" s="1"/>
  <c r="D2665" i="6"/>
  <c r="B2665" i="6"/>
  <c r="C2665" i="6" s="1"/>
  <c r="D2664" i="6"/>
  <c r="B2664" i="6"/>
  <c r="C2664" i="6" s="1"/>
  <c r="D2663" i="6"/>
  <c r="E2663" i="6" s="1"/>
  <c r="B2663" i="6"/>
  <c r="C2663" i="6" s="1"/>
  <c r="D2662" i="6"/>
  <c r="E2662" i="6" s="1"/>
  <c r="B2662" i="6"/>
  <c r="D2661" i="6"/>
  <c r="E2661" i="6" s="1"/>
  <c r="B2661" i="6"/>
  <c r="E2660" i="6"/>
  <c r="D2660" i="6"/>
  <c r="B2660" i="6"/>
  <c r="D2659" i="6"/>
  <c r="B2659" i="6"/>
  <c r="C2659" i="6" s="1"/>
  <c r="E2658" i="6"/>
  <c r="D2658" i="6"/>
  <c r="B2658" i="6"/>
  <c r="D2657" i="6"/>
  <c r="B2657" i="6"/>
  <c r="D2656" i="6"/>
  <c r="E2656" i="6" s="1"/>
  <c r="C2656" i="6"/>
  <c r="B2656" i="6"/>
  <c r="D2655" i="6"/>
  <c r="B2655" i="6"/>
  <c r="D2654" i="6"/>
  <c r="E2654" i="6" s="1"/>
  <c r="C2654" i="6"/>
  <c r="B2654" i="6"/>
  <c r="D2653" i="6"/>
  <c r="B2653" i="6"/>
  <c r="C2653" i="6" s="1"/>
  <c r="D2652" i="6"/>
  <c r="B2652" i="6"/>
  <c r="C2652" i="6" s="1"/>
  <c r="D2651" i="6"/>
  <c r="E2651" i="6" s="1"/>
  <c r="B2651" i="6"/>
  <c r="D2650" i="6"/>
  <c r="E2650" i="6" s="1"/>
  <c r="B2650" i="6"/>
  <c r="C2651" i="6" s="1"/>
  <c r="D2649" i="6"/>
  <c r="E2649" i="6" s="1"/>
  <c r="B2649" i="6"/>
  <c r="D2648" i="6"/>
  <c r="B2648" i="6"/>
  <c r="D2647" i="6"/>
  <c r="E2647" i="6" s="1"/>
  <c r="C2647" i="6"/>
  <c r="B2647" i="6"/>
  <c r="D2646" i="6"/>
  <c r="B2646" i="6"/>
  <c r="D2645" i="6"/>
  <c r="B2645" i="6"/>
  <c r="C2645" i="6" s="1"/>
  <c r="E2644" i="6"/>
  <c r="D2644" i="6"/>
  <c r="B2644" i="6"/>
  <c r="C2644" i="6" s="1"/>
  <c r="D2643" i="6"/>
  <c r="B2643" i="6"/>
  <c r="C2643" i="6" s="1"/>
  <c r="D2642" i="6"/>
  <c r="E2642" i="6" s="1"/>
  <c r="B2642" i="6"/>
  <c r="D2641" i="6"/>
  <c r="B2641" i="6"/>
  <c r="E2640" i="6"/>
  <c r="D2640" i="6"/>
  <c r="C2640" i="6"/>
  <c r="B2640" i="6"/>
  <c r="D2639" i="6"/>
  <c r="B2639" i="6"/>
  <c r="C2639" i="6" s="1"/>
  <c r="D2638" i="6"/>
  <c r="E2638" i="6" s="1"/>
  <c r="C2638" i="6"/>
  <c r="B2638" i="6"/>
  <c r="D2637" i="6"/>
  <c r="B2637" i="6"/>
  <c r="D2636" i="6"/>
  <c r="E2636" i="6" s="1"/>
  <c r="C2636" i="6"/>
  <c r="B2636" i="6"/>
  <c r="D2635" i="6"/>
  <c r="E2635" i="6" s="1"/>
  <c r="B2635" i="6"/>
  <c r="D2634" i="6"/>
  <c r="B2634" i="6"/>
  <c r="C2635" i="6" s="1"/>
  <c r="D2633" i="6"/>
  <c r="E2633" i="6" s="1"/>
  <c r="C2633" i="6"/>
  <c r="B2633" i="6"/>
  <c r="D2632" i="6"/>
  <c r="E2632" i="6" s="1"/>
  <c r="B2632" i="6"/>
  <c r="D2631" i="6"/>
  <c r="E2631" i="6" s="1"/>
  <c r="B2631" i="6"/>
  <c r="C2631" i="6" s="1"/>
  <c r="D2630" i="6"/>
  <c r="B2630" i="6"/>
  <c r="C2630" i="6" s="1"/>
  <c r="D2629" i="6"/>
  <c r="C2629" i="6"/>
  <c r="B2629" i="6"/>
  <c r="E2628" i="6"/>
  <c r="D2628" i="6"/>
  <c r="B2628" i="6"/>
  <c r="D2627" i="6"/>
  <c r="B2627" i="6"/>
  <c r="C2627" i="6" s="1"/>
  <c r="E2626" i="6"/>
  <c r="D2626" i="6"/>
  <c r="B2626" i="6"/>
  <c r="D2625" i="6"/>
  <c r="B2625" i="6"/>
  <c r="E2624" i="6"/>
  <c r="D2624" i="6"/>
  <c r="C2624" i="6"/>
  <c r="B2624" i="6"/>
  <c r="D2623" i="6"/>
  <c r="B2623" i="6"/>
  <c r="D2622" i="6"/>
  <c r="E2622" i="6" s="1"/>
  <c r="C2622" i="6"/>
  <c r="B2622" i="6"/>
  <c r="D2621" i="6"/>
  <c r="B2621" i="6"/>
  <c r="C2621" i="6" s="1"/>
  <c r="D2620" i="6"/>
  <c r="B2620" i="6"/>
  <c r="C2620" i="6" s="1"/>
  <c r="D2619" i="6"/>
  <c r="E2619" i="6" s="1"/>
  <c r="B2619" i="6"/>
  <c r="D2618" i="6"/>
  <c r="E2618" i="6" s="1"/>
  <c r="C2618" i="6"/>
  <c r="B2618" i="6"/>
  <c r="C2619" i="6" s="1"/>
  <c r="D2617" i="6"/>
  <c r="E2617" i="6" s="1"/>
  <c r="B2617" i="6"/>
  <c r="D2616" i="6"/>
  <c r="B2616" i="6"/>
  <c r="D2615" i="6"/>
  <c r="E2615" i="6" s="1"/>
  <c r="C2615" i="6"/>
  <c r="B2615" i="6"/>
  <c r="D2614" i="6"/>
  <c r="B2614" i="6"/>
  <c r="D2613" i="6"/>
  <c r="B2613" i="6"/>
  <c r="C2613" i="6" s="1"/>
  <c r="E2612" i="6"/>
  <c r="D2612" i="6"/>
  <c r="B2612" i="6"/>
  <c r="C2612" i="6" s="1"/>
  <c r="D2611" i="6"/>
  <c r="B2611" i="6"/>
  <c r="C2611" i="6" s="1"/>
  <c r="D2610" i="6"/>
  <c r="E2610" i="6" s="1"/>
  <c r="B2610" i="6"/>
  <c r="D2609" i="6"/>
  <c r="B2609" i="6"/>
  <c r="E2608" i="6"/>
  <c r="D2608" i="6"/>
  <c r="C2608" i="6"/>
  <c r="B2608" i="6"/>
  <c r="D2607" i="6"/>
  <c r="B2607" i="6"/>
  <c r="C2607" i="6" s="1"/>
  <c r="D2606" i="6"/>
  <c r="E2606" i="6" s="1"/>
  <c r="C2606" i="6"/>
  <c r="B2606" i="6"/>
  <c r="D2605" i="6"/>
  <c r="B2605" i="6"/>
  <c r="D2604" i="6"/>
  <c r="E2604" i="6" s="1"/>
  <c r="C2604" i="6"/>
  <c r="B2604" i="6"/>
  <c r="D2603" i="6"/>
  <c r="E2603" i="6" s="1"/>
  <c r="B2603" i="6"/>
  <c r="D2602" i="6"/>
  <c r="B2602" i="6"/>
  <c r="C2603" i="6" s="1"/>
  <c r="D2601" i="6"/>
  <c r="E2601" i="6" s="1"/>
  <c r="C2601" i="6"/>
  <c r="B2601" i="6"/>
  <c r="D2600" i="6"/>
  <c r="E2600" i="6" s="1"/>
  <c r="B2600" i="6"/>
  <c r="D2599" i="6"/>
  <c r="E2599" i="6" s="1"/>
  <c r="B2599" i="6"/>
  <c r="C2599" i="6" s="1"/>
  <c r="D2598" i="6"/>
  <c r="B2598" i="6"/>
  <c r="C2598" i="6" s="1"/>
  <c r="D2597" i="6"/>
  <c r="C2597" i="6"/>
  <c r="B2597" i="6"/>
  <c r="E2596" i="6"/>
  <c r="D2596" i="6"/>
  <c r="B2596" i="6"/>
  <c r="D2595" i="6"/>
  <c r="C2595" i="6"/>
  <c r="B2595" i="6"/>
  <c r="E2594" i="6"/>
  <c r="D2594" i="6"/>
  <c r="B2594" i="6"/>
  <c r="D2593" i="6"/>
  <c r="B2593" i="6"/>
  <c r="E2592" i="6"/>
  <c r="D2592" i="6"/>
  <c r="C2592" i="6"/>
  <c r="B2592" i="6"/>
  <c r="D2591" i="6"/>
  <c r="B2591" i="6"/>
  <c r="D2590" i="6"/>
  <c r="E2590" i="6" s="1"/>
  <c r="C2590" i="6"/>
  <c r="B2590" i="6"/>
  <c r="D2589" i="6"/>
  <c r="B2589" i="6"/>
  <c r="C2589" i="6" s="1"/>
  <c r="D2588" i="6"/>
  <c r="B2588" i="6"/>
  <c r="C2588" i="6" s="1"/>
  <c r="D2587" i="6"/>
  <c r="E2587" i="6" s="1"/>
  <c r="B2587" i="6"/>
  <c r="D2586" i="6"/>
  <c r="E2586" i="6" s="1"/>
  <c r="C2586" i="6"/>
  <c r="B2586" i="6"/>
  <c r="C2587" i="6" s="1"/>
  <c r="D2585" i="6"/>
  <c r="E2585" i="6" s="1"/>
  <c r="B2585" i="6"/>
  <c r="D2584" i="6"/>
  <c r="B2584" i="6"/>
  <c r="D2583" i="6"/>
  <c r="E2583" i="6" s="1"/>
  <c r="C2583" i="6"/>
  <c r="B2583" i="6"/>
  <c r="D2582" i="6"/>
  <c r="B2582" i="6"/>
  <c r="D2581" i="6"/>
  <c r="B2581" i="6"/>
  <c r="C2581" i="6" s="1"/>
  <c r="E2580" i="6"/>
  <c r="D2580" i="6"/>
  <c r="B2580" i="6"/>
  <c r="C2580" i="6" s="1"/>
  <c r="D2579" i="6"/>
  <c r="B2579" i="6"/>
  <c r="C2579" i="6" s="1"/>
  <c r="D2578" i="6"/>
  <c r="E2578" i="6" s="1"/>
  <c r="B2578" i="6"/>
  <c r="D2577" i="6"/>
  <c r="B2577" i="6"/>
  <c r="E2576" i="6"/>
  <c r="D2576" i="6"/>
  <c r="C2576" i="6"/>
  <c r="B2576" i="6"/>
  <c r="D2575" i="6"/>
  <c r="B2575" i="6"/>
  <c r="C2575" i="6" s="1"/>
  <c r="D2574" i="6"/>
  <c r="E2574" i="6" s="1"/>
  <c r="C2574" i="6"/>
  <c r="B2574" i="6"/>
  <c r="D2573" i="6"/>
  <c r="B2573" i="6"/>
  <c r="D2572" i="6"/>
  <c r="E2572" i="6" s="1"/>
  <c r="C2572" i="6"/>
  <c r="B2572" i="6"/>
  <c r="D2571" i="6"/>
  <c r="E2571" i="6" s="1"/>
  <c r="B2571" i="6"/>
  <c r="D2570" i="6"/>
  <c r="B2570" i="6"/>
  <c r="C2571" i="6" s="1"/>
  <c r="D2569" i="6"/>
  <c r="E2569" i="6" s="1"/>
  <c r="C2569" i="6"/>
  <c r="B2569" i="6"/>
  <c r="D2568" i="6"/>
  <c r="E2568" i="6" s="1"/>
  <c r="B2568" i="6"/>
  <c r="D2567" i="6"/>
  <c r="E2567" i="6" s="1"/>
  <c r="B2567" i="6"/>
  <c r="C2567" i="6" s="1"/>
  <c r="D2566" i="6"/>
  <c r="B2566" i="6"/>
  <c r="C2566" i="6" s="1"/>
  <c r="D2565" i="6"/>
  <c r="C2565" i="6"/>
  <c r="B2565" i="6"/>
  <c r="E2564" i="6"/>
  <c r="D2564" i="6"/>
  <c r="B2564" i="6"/>
  <c r="D2563" i="6"/>
  <c r="C2563" i="6"/>
  <c r="B2563" i="6"/>
  <c r="E2562" i="6"/>
  <c r="D2562" i="6"/>
  <c r="B2562" i="6"/>
  <c r="D2561" i="6"/>
  <c r="B2561" i="6"/>
  <c r="E2560" i="6"/>
  <c r="D2560" i="6"/>
  <c r="C2560" i="6"/>
  <c r="B2560" i="6"/>
  <c r="D2559" i="6"/>
  <c r="B2559" i="6"/>
  <c r="D2558" i="6"/>
  <c r="E2558" i="6" s="1"/>
  <c r="B2558" i="6"/>
  <c r="C2558" i="6" s="1"/>
  <c r="D2557" i="6"/>
  <c r="B2557" i="6"/>
  <c r="C2557" i="6" s="1"/>
  <c r="D2556" i="6"/>
  <c r="E2556" i="6" s="1"/>
  <c r="B2556" i="6"/>
  <c r="C2556" i="6" s="1"/>
  <c r="D2555" i="6"/>
  <c r="E2555" i="6" s="1"/>
  <c r="B2555" i="6"/>
  <c r="D2554" i="6"/>
  <c r="E2554" i="6" s="1"/>
  <c r="C2554" i="6"/>
  <c r="B2554" i="6"/>
  <c r="C2555" i="6" s="1"/>
  <c r="D2553" i="6"/>
  <c r="E2553" i="6" s="1"/>
  <c r="B2553" i="6"/>
  <c r="D2552" i="6"/>
  <c r="B2552" i="6"/>
  <c r="D2551" i="6"/>
  <c r="E2551" i="6" s="1"/>
  <c r="B2551" i="6"/>
  <c r="C2551" i="6" s="1"/>
  <c r="E2550" i="6"/>
  <c r="D2550" i="6"/>
  <c r="B2550" i="6"/>
  <c r="D2549" i="6"/>
  <c r="B2549" i="6"/>
  <c r="C2549" i="6" s="1"/>
  <c r="E2548" i="6"/>
  <c r="D2548" i="6"/>
  <c r="B2548" i="6"/>
  <c r="D2547" i="6"/>
  <c r="B2547" i="6"/>
  <c r="C2547" i="6" s="1"/>
  <c r="D2546" i="6"/>
  <c r="E2546" i="6" s="1"/>
  <c r="C2546" i="6"/>
  <c r="B2546" i="6"/>
  <c r="D2545" i="6"/>
  <c r="B2545" i="6"/>
  <c r="C2545" i="6" s="1"/>
  <c r="D2544" i="6"/>
  <c r="E2544" i="6" s="1"/>
  <c r="C2544" i="6"/>
  <c r="B2544" i="6"/>
  <c r="D2543" i="6"/>
  <c r="E2543" i="6" s="1"/>
  <c r="C2543" i="6"/>
  <c r="B2543" i="6"/>
  <c r="D2542" i="6"/>
  <c r="E2542" i="6" s="1"/>
  <c r="C2542" i="6"/>
  <c r="B2542" i="6"/>
  <c r="D2541" i="6"/>
  <c r="E2541" i="6" s="1"/>
  <c r="C2541" i="6"/>
  <c r="B2541" i="6"/>
  <c r="D2540" i="6"/>
  <c r="B2540" i="6"/>
  <c r="D2539" i="6"/>
  <c r="E2539" i="6" s="1"/>
  <c r="B2539" i="6"/>
  <c r="C2540" i="6" s="1"/>
  <c r="D2538" i="6"/>
  <c r="B2538" i="6"/>
  <c r="D2537" i="6"/>
  <c r="B2537" i="6"/>
  <c r="E2536" i="6"/>
  <c r="D2536" i="6"/>
  <c r="B2536" i="6"/>
  <c r="D2535" i="6"/>
  <c r="B2535" i="6"/>
  <c r="C2536" i="6" s="1"/>
  <c r="D2534" i="6"/>
  <c r="E2534" i="6" s="1"/>
  <c r="B2534" i="6"/>
  <c r="D2533" i="6"/>
  <c r="B2533" i="6"/>
  <c r="E2532" i="6"/>
  <c r="D2532" i="6"/>
  <c r="C2532" i="6"/>
  <c r="B2532" i="6"/>
  <c r="D2531" i="6"/>
  <c r="B2531" i="6"/>
  <c r="C2531" i="6" s="1"/>
  <c r="D2530" i="6"/>
  <c r="E2530" i="6" s="1"/>
  <c r="C2530" i="6"/>
  <c r="B2530" i="6"/>
  <c r="D2529" i="6"/>
  <c r="B2529" i="6"/>
  <c r="C2529" i="6" s="1"/>
  <c r="D2528" i="6"/>
  <c r="E2528" i="6" s="1"/>
  <c r="C2528" i="6"/>
  <c r="B2528" i="6"/>
  <c r="D2527" i="6"/>
  <c r="E2527" i="6" s="1"/>
  <c r="C2527" i="6"/>
  <c r="B2527" i="6"/>
  <c r="D2526" i="6"/>
  <c r="C2526" i="6"/>
  <c r="B2526" i="6"/>
  <c r="D2525" i="6"/>
  <c r="E2525" i="6" s="1"/>
  <c r="C2525" i="6"/>
  <c r="B2525" i="6"/>
  <c r="D2524" i="6"/>
  <c r="E2524" i="6" s="1"/>
  <c r="B2524" i="6"/>
  <c r="D2523" i="6"/>
  <c r="E2523" i="6" s="1"/>
  <c r="B2523" i="6"/>
  <c r="D2522" i="6"/>
  <c r="B2522" i="6"/>
  <c r="D2521" i="6"/>
  <c r="C2521" i="6"/>
  <c r="B2521" i="6"/>
  <c r="C2522" i="6" s="1"/>
  <c r="E2520" i="6"/>
  <c r="D2520" i="6"/>
  <c r="B2520" i="6"/>
  <c r="D2519" i="6"/>
  <c r="B2519" i="6"/>
  <c r="C2520" i="6" s="1"/>
  <c r="E2518" i="6"/>
  <c r="D2518" i="6"/>
  <c r="B2518" i="6"/>
  <c r="D2517" i="6"/>
  <c r="B2517" i="6"/>
  <c r="E2516" i="6"/>
  <c r="D2516" i="6"/>
  <c r="C2516" i="6"/>
  <c r="B2516" i="6"/>
  <c r="D2515" i="6"/>
  <c r="B2515" i="6"/>
  <c r="C2515" i="6" s="1"/>
  <c r="D2514" i="6"/>
  <c r="E2514" i="6" s="1"/>
  <c r="C2514" i="6"/>
  <c r="B2514" i="6"/>
  <c r="D2513" i="6"/>
  <c r="B2513" i="6"/>
  <c r="C2513" i="6" s="1"/>
  <c r="D2512" i="6"/>
  <c r="C2512" i="6"/>
  <c r="B2512" i="6"/>
  <c r="D2511" i="6"/>
  <c r="E2511" i="6" s="1"/>
  <c r="C2511" i="6"/>
  <c r="B2511" i="6"/>
  <c r="D2510" i="6"/>
  <c r="E2510" i="6" s="1"/>
  <c r="C2510" i="6"/>
  <c r="B2510" i="6"/>
  <c r="D2509" i="6"/>
  <c r="E2509" i="6" s="1"/>
  <c r="C2509" i="6"/>
  <c r="B2509" i="6"/>
  <c r="D2508" i="6"/>
  <c r="E2508" i="6" s="1"/>
  <c r="B2508" i="6"/>
  <c r="D2507" i="6"/>
  <c r="E2507" i="6" s="1"/>
  <c r="C2507" i="6"/>
  <c r="B2507" i="6"/>
  <c r="C2508" i="6" s="1"/>
  <c r="D2506" i="6"/>
  <c r="B2506" i="6"/>
  <c r="D2505" i="6"/>
  <c r="C2505" i="6"/>
  <c r="B2505" i="6"/>
  <c r="C2506" i="6" s="1"/>
  <c r="E2504" i="6"/>
  <c r="D2504" i="6"/>
  <c r="B2504" i="6"/>
  <c r="D2503" i="6"/>
  <c r="B2503" i="6"/>
  <c r="D2502" i="6"/>
  <c r="E2502" i="6" s="1"/>
  <c r="B2502" i="6"/>
  <c r="D2501" i="6"/>
  <c r="B2501" i="6"/>
  <c r="D2500" i="6"/>
  <c r="E2500" i="6" s="1"/>
  <c r="C2500" i="6"/>
  <c r="B2500" i="6"/>
  <c r="D2499" i="6"/>
  <c r="B2499" i="6"/>
  <c r="C2499" i="6" s="1"/>
  <c r="E2498" i="6"/>
  <c r="D2498" i="6"/>
  <c r="C2498" i="6"/>
  <c r="B2498" i="6"/>
  <c r="D2497" i="6"/>
  <c r="B2497" i="6"/>
  <c r="C2497" i="6" s="1"/>
  <c r="D2496" i="6"/>
  <c r="E2496" i="6" s="1"/>
  <c r="C2496" i="6"/>
  <c r="B2496" i="6"/>
  <c r="D2495" i="6"/>
  <c r="E2495" i="6" s="1"/>
  <c r="C2495" i="6"/>
  <c r="B2495" i="6"/>
  <c r="D2494" i="6"/>
  <c r="C2494" i="6"/>
  <c r="B2494" i="6"/>
  <c r="D2493" i="6"/>
  <c r="E2493" i="6" s="1"/>
  <c r="C2493" i="6"/>
  <c r="B2493" i="6"/>
  <c r="D2492" i="6"/>
  <c r="B2492" i="6"/>
  <c r="D2491" i="6"/>
  <c r="E2491" i="6" s="1"/>
  <c r="B2491" i="6"/>
  <c r="D2490" i="6"/>
  <c r="B2490" i="6"/>
  <c r="D2489" i="6"/>
  <c r="B2489" i="6"/>
  <c r="C2490" i="6" s="1"/>
  <c r="E2488" i="6"/>
  <c r="D2488" i="6"/>
  <c r="B2488" i="6"/>
  <c r="D2487" i="6"/>
  <c r="C2487" i="6"/>
  <c r="B2487" i="6"/>
  <c r="C2488" i="6" s="1"/>
  <c r="D2486" i="6"/>
  <c r="E2486" i="6" s="1"/>
  <c r="B2486" i="6"/>
  <c r="D2485" i="6"/>
  <c r="B2485" i="6"/>
  <c r="E2484" i="6"/>
  <c r="D2484" i="6"/>
  <c r="C2484" i="6"/>
  <c r="B2484" i="6"/>
  <c r="D2483" i="6"/>
  <c r="B2483" i="6"/>
  <c r="C2483" i="6" s="1"/>
  <c r="D2482" i="6"/>
  <c r="E2482" i="6" s="1"/>
  <c r="C2482" i="6"/>
  <c r="B2482" i="6"/>
  <c r="D2481" i="6"/>
  <c r="B2481" i="6"/>
  <c r="C2481" i="6" s="1"/>
  <c r="D2480" i="6"/>
  <c r="C2480" i="6"/>
  <c r="B2480" i="6"/>
  <c r="D2479" i="6"/>
  <c r="E2479" i="6" s="1"/>
  <c r="C2479" i="6"/>
  <c r="B2479" i="6"/>
  <c r="D2478" i="6"/>
  <c r="C2478" i="6"/>
  <c r="B2478" i="6"/>
  <c r="D2477" i="6"/>
  <c r="E2477" i="6" s="1"/>
  <c r="C2477" i="6"/>
  <c r="B2477" i="6"/>
  <c r="D2476" i="6"/>
  <c r="E2476" i="6" s="1"/>
  <c r="B2476" i="6"/>
  <c r="D2475" i="6"/>
  <c r="E2475" i="6" s="1"/>
  <c r="B2475" i="6"/>
  <c r="C2476" i="6" s="1"/>
  <c r="D2474" i="6"/>
  <c r="B2474" i="6"/>
  <c r="D2473" i="6"/>
  <c r="C2473" i="6"/>
  <c r="B2473" i="6"/>
  <c r="C2474" i="6" s="1"/>
  <c r="E2472" i="6"/>
  <c r="D2472" i="6"/>
  <c r="B2472" i="6"/>
  <c r="D2471" i="6"/>
  <c r="B2471" i="6"/>
  <c r="C2472" i="6" s="1"/>
  <c r="E2470" i="6"/>
  <c r="D2470" i="6"/>
  <c r="B2470" i="6"/>
  <c r="D2469" i="6"/>
  <c r="B2469" i="6"/>
  <c r="D2468" i="6"/>
  <c r="E2468" i="6" s="1"/>
  <c r="B2468" i="6"/>
  <c r="D2467" i="6"/>
  <c r="B2467" i="6"/>
  <c r="C2468" i="6" s="1"/>
  <c r="D2466" i="6"/>
  <c r="E2466" i="6" s="1"/>
  <c r="B2466" i="6"/>
  <c r="D2465" i="6"/>
  <c r="E2465" i="6" s="1"/>
  <c r="C2465" i="6"/>
  <c r="B2465" i="6"/>
  <c r="C2466" i="6" s="1"/>
  <c r="D2464" i="6"/>
  <c r="E2464" i="6" s="1"/>
  <c r="B2464" i="6"/>
  <c r="D2463" i="6"/>
  <c r="E2463" i="6" s="1"/>
  <c r="B2463" i="6"/>
  <c r="C2464" i="6" s="1"/>
  <c r="E2462" i="6"/>
  <c r="D2462" i="6"/>
  <c r="B2462" i="6"/>
  <c r="D2461" i="6"/>
  <c r="B2461" i="6"/>
  <c r="E2460" i="6"/>
  <c r="D2460" i="6"/>
  <c r="B2460" i="6"/>
  <c r="D2459" i="6"/>
  <c r="B2459" i="6"/>
  <c r="C2460" i="6" s="1"/>
  <c r="D2458" i="6"/>
  <c r="E2458" i="6" s="1"/>
  <c r="B2458" i="6"/>
  <c r="D2457" i="6"/>
  <c r="E2457" i="6" s="1"/>
  <c r="C2457" i="6"/>
  <c r="B2457" i="6"/>
  <c r="C2458" i="6" s="1"/>
  <c r="D2456" i="6"/>
  <c r="E2456" i="6" s="1"/>
  <c r="B2456" i="6"/>
  <c r="D2455" i="6"/>
  <c r="E2455" i="6" s="1"/>
  <c r="B2455" i="6"/>
  <c r="C2456" i="6" s="1"/>
  <c r="E2454" i="6"/>
  <c r="D2454" i="6"/>
  <c r="B2454" i="6"/>
  <c r="D2453" i="6"/>
  <c r="B2453" i="6"/>
  <c r="D2452" i="6"/>
  <c r="E2452" i="6" s="1"/>
  <c r="B2452" i="6"/>
  <c r="D2451" i="6"/>
  <c r="B2451" i="6"/>
  <c r="C2452" i="6" s="1"/>
  <c r="D2450" i="6"/>
  <c r="E2450" i="6" s="1"/>
  <c r="B2450" i="6"/>
  <c r="D2449" i="6"/>
  <c r="E2449" i="6" s="1"/>
  <c r="C2449" i="6"/>
  <c r="B2449" i="6"/>
  <c r="C2450" i="6" s="1"/>
  <c r="D2448" i="6"/>
  <c r="B2448" i="6"/>
  <c r="D2447" i="6"/>
  <c r="E2447" i="6" s="1"/>
  <c r="B2447" i="6"/>
  <c r="C2448" i="6" s="1"/>
  <c r="E2446" i="6"/>
  <c r="D2446" i="6"/>
  <c r="B2446" i="6"/>
  <c r="D2445" i="6"/>
  <c r="B2445" i="6"/>
  <c r="E2444" i="6"/>
  <c r="D2444" i="6"/>
  <c r="B2444" i="6"/>
  <c r="D2443" i="6"/>
  <c r="B2443" i="6"/>
  <c r="C2444" i="6" s="1"/>
  <c r="D2442" i="6"/>
  <c r="B2442" i="6"/>
  <c r="D2441" i="6"/>
  <c r="E2441" i="6" s="1"/>
  <c r="C2441" i="6"/>
  <c r="B2441" i="6"/>
  <c r="C2442" i="6" s="1"/>
  <c r="D2440" i="6"/>
  <c r="E2440" i="6" s="1"/>
  <c r="B2440" i="6"/>
  <c r="D2439" i="6"/>
  <c r="E2439" i="6" s="1"/>
  <c r="B2439" i="6"/>
  <c r="C2440" i="6" s="1"/>
  <c r="E2438" i="6"/>
  <c r="D2438" i="6"/>
  <c r="B2438" i="6"/>
  <c r="D2437" i="6"/>
  <c r="B2437" i="6"/>
  <c r="D2436" i="6"/>
  <c r="E2436" i="6" s="1"/>
  <c r="B2436" i="6"/>
  <c r="D2435" i="6"/>
  <c r="B2435" i="6"/>
  <c r="C2436" i="6" s="1"/>
  <c r="D2434" i="6"/>
  <c r="E2434" i="6" s="1"/>
  <c r="B2434" i="6"/>
  <c r="D2433" i="6"/>
  <c r="E2433" i="6" s="1"/>
  <c r="C2433" i="6"/>
  <c r="B2433" i="6"/>
  <c r="C2434" i="6" s="1"/>
  <c r="D2432" i="6"/>
  <c r="B2432" i="6"/>
  <c r="D2431" i="6"/>
  <c r="E2431" i="6" s="1"/>
  <c r="B2431" i="6"/>
  <c r="C2432" i="6" s="1"/>
  <c r="E2430" i="6"/>
  <c r="D2430" i="6"/>
  <c r="B2430" i="6"/>
  <c r="D2429" i="6"/>
  <c r="B2429" i="6"/>
  <c r="E2428" i="6"/>
  <c r="D2428" i="6"/>
  <c r="B2428" i="6"/>
  <c r="D2427" i="6"/>
  <c r="B2427" i="6"/>
  <c r="C2428" i="6" s="1"/>
  <c r="D2426" i="6"/>
  <c r="B2426" i="6"/>
  <c r="D2425" i="6"/>
  <c r="E2425" i="6" s="1"/>
  <c r="C2425" i="6"/>
  <c r="B2425" i="6"/>
  <c r="C2426" i="6" s="1"/>
  <c r="D2424" i="6"/>
  <c r="E2424" i="6" s="1"/>
  <c r="B2424" i="6"/>
  <c r="D2423" i="6"/>
  <c r="E2423" i="6" s="1"/>
  <c r="B2423" i="6"/>
  <c r="C2424" i="6" s="1"/>
  <c r="E2422" i="6"/>
  <c r="D2422" i="6"/>
  <c r="B2422" i="6"/>
  <c r="D2421" i="6"/>
  <c r="B2421" i="6"/>
  <c r="D2420" i="6"/>
  <c r="E2420" i="6" s="1"/>
  <c r="B2420" i="6"/>
  <c r="D2419" i="6"/>
  <c r="B2419" i="6"/>
  <c r="C2420" i="6" s="1"/>
  <c r="D2418" i="6"/>
  <c r="E2418" i="6" s="1"/>
  <c r="B2418" i="6"/>
  <c r="D2417" i="6"/>
  <c r="E2417" i="6" s="1"/>
  <c r="C2417" i="6"/>
  <c r="B2417" i="6"/>
  <c r="C2418" i="6" s="1"/>
  <c r="D2416" i="6"/>
  <c r="B2416" i="6"/>
  <c r="D2415" i="6"/>
  <c r="E2415" i="6" s="1"/>
  <c r="C2415" i="6"/>
  <c r="B2415" i="6"/>
  <c r="C2416" i="6" s="1"/>
  <c r="E2414" i="6"/>
  <c r="D2414" i="6"/>
  <c r="B2414" i="6"/>
  <c r="D2413" i="6"/>
  <c r="B2413" i="6"/>
  <c r="D2412" i="6"/>
  <c r="E2412" i="6" s="1"/>
  <c r="B2412" i="6"/>
  <c r="D2411" i="6"/>
  <c r="E2411" i="6" s="1"/>
  <c r="B2411" i="6"/>
  <c r="C2412" i="6" s="1"/>
  <c r="D2410" i="6"/>
  <c r="B2410" i="6"/>
  <c r="D2409" i="6"/>
  <c r="E2409" i="6" s="1"/>
  <c r="B2409" i="6"/>
  <c r="D2408" i="6"/>
  <c r="E2408" i="6" s="1"/>
  <c r="B2408" i="6"/>
  <c r="D2407" i="6"/>
  <c r="B2407" i="6"/>
  <c r="C2408" i="6" s="1"/>
  <c r="E2406" i="6"/>
  <c r="D2406" i="6"/>
  <c r="B2406" i="6"/>
  <c r="D2405" i="6"/>
  <c r="B2405" i="6"/>
  <c r="D2404" i="6"/>
  <c r="E2404" i="6" s="1"/>
  <c r="B2404" i="6"/>
  <c r="D2403" i="6"/>
  <c r="E2403" i="6" s="1"/>
  <c r="B2403" i="6"/>
  <c r="C2404" i="6" s="1"/>
  <c r="D2402" i="6"/>
  <c r="E2402" i="6" s="1"/>
  <c r="B2402" i="6"/>
  <c r="D2401" i="6"/>
  <c r="E2401" i="6" s="1"/>
  <c r="B2401" i="6"/>
  <c r="C2402" i="6" s="1"/>
  <c r="D2400" i="6"/>
  <c r="B2400" i="6"/>
  <c r="D2399" i="6"/>
  <c r="E2399" i="6" s="1"/>
  <c r="C2399" i="6"/>
  <c r="B2399" i="6"/>
  <c r="C2400" i="6" s="1"/>
  <c r="E2398" i="6"/>
  <c r="D2398" i="6"/>
  <c r="B2398" i="6"/>
  <c r="D2397" i="6"/>
  <c r="B2397" i="6"/>
  <c r="D2396" i="6"/>
  <c r="E2396" i="6" s="1"/>
  <c r="B2396" i="6"/>
  <c r="D2395" i="6"/>
  <c r="E2395" i="6" s="1"/>
  <c r="B2395" i="6"/>
  <c r="C2396" i="6" s="1"/>
  <c r="D2394" i="6"/>
  <c r="B2394" i="6"/>
  <c r="D2393" i="6"/>
  <c r="E2393" i="6" s="1"/>
  <c r="B2393" i="6"/>
  <c r="C2394" i="6" s="1"/>
  <c r="D2392" i="6"/>
  <c r="E2392" i="6" s="1"/>
  <c r="B2392" i="6"/>
  <c r="D2391" i="6"/>
  <c r="B2391" i="6"/>
  <c r="C2392" i="6" s="1"/>
  <c r="D2390" i="6"/>
  <c r="E2390" i="6" s="1"/>
  <c r="B2390" i="6"/>
  <c r="D2389" i="6"/>
  <c r="B2389" i="6"/>
  <c r="D2388" i="6"/>
  <c r="B2388" i="6"/>
  <c r="D2387" i="6"/>
  <c r="B2387" i="6"/>
  <c r="C2388" i="6" s="1"/>
  <c r="D2386" i="6"/>
  <c r="E2386" i="6" s="1"/>
  <c r="B2386" i="6"/>
  <c r="D2385" i="6"/>
  <c r="E2385" i="6" s="1"/>
  <c r="B2385" i="6"/>
  <c r="C2386" i="6" s="1"/>
  <c r="D2384" i="6"/>
  <c r="B2384" i="6"/>
  <c r="D2383" i="6"/>
  <c r="E2383" i="6" s="1"/>
  <c r="B2383" i="6"/>
  <c r="E2382" i="6"/>
  <c r="D2382" i="6"/>
  <c r="B2382" i="6"/>
  <c r="D2381" i="6"/>
  <c r="B2381" i="6"/>
  <c r="D2380" i="6"/>
  <c r="E2380" i="6" s="1"/>
  <c r="B2380" i="6"/>
  <c r="D2379" i="6"/>
  <c r="E2379" i="6" s="1"/>
  <c r="B2379" i="6"/>
  <c r="C2380" i="6" s="1"/>
  <c r="D2378" i="6"/>
  <c r="B2378" i="6"/>
  <c r="D2377" i="6"/>
  <c r="E2377" i="6" s="1"/>
  <c r="B2377" i="6"/>
  <c r="C2378" i="6" s="1"/>
  <c r="D2376" i="6"/>
  <c r="E2376" i="6" s="1"/>
  <c r="B2376" i="6"/>
  <c r="D2375" i="6"/>
  <c r="B2375" i="6"/>
  <c r="C2376" i="6" s="1"/>
  <c r="D2374" i="6"/>
  <c r="E2374" i="6" s="1"/>
  <c r="B2374" i="6"/>
  <c r="D2373" i="6"/>
  <c r="B2373" i="6"/>
  <c r="D2372" i="6"/>
  <c r="E2372" i="6" s="1"/>
  <c r="B2372" i="6"/>
  <c r="D2371" i="6"/>
  <c r="B2371" i="6"/>
  <c r="C2372" i="6" s="1"/>
  <c r="D2370" i="6"/>
  <c r="E2370" i="6" s="1"/>
  <c r="B2370" i="6"/>
  <c r="D2369" i="6"/>
  <c r="E2369" i="6" s="1"/>
  <c r="B2369" i="6"/>
  <c r="C2370" i="6" s="1"/>
  <c r="D2368" i="6"/>
  <c r="B2368" i="6"/>
  <c r="D2367" i="6"/>
  <c r="E2367" i="6" s="1"/>
  <c r="B2367" i="6"/>
  <c r="E2366" i="6"/>
  <c r="D2366" i="6"/>
  <c r="B2366" i="6"/>
  <c r="D2365" i="6"/>
  <c r="B2365" i="6"/>
  <c r="D2364" i="6"/>
  <c r="E2364" i="6" s="1"/>
  <c r="B2364" i="6"/>
  <c r="D2363" i="6"/>
  <c r="E2363" i="6" s="1"/>
  <c r="B2363" i="6"/>
  <c r="D2362" i="6"/>
  <c r="B2362" i="6"/>
  <c r="D2361" i="6"/>
  <c r="B2361" i="6"/>
  <c r="C2362" i="6" s="1"/>
  <c r="D2360" i="6"/>
  <c r="E2360" i="6" s="1"/>
  <c r="B2360" i="6"/>
  <c r="D2359" i="6"/>
  <c r="B2359" i="6"/>
  <c r="C2360" i="6" s="1"/>
  <c r="D2358" i="6"/>
  <c r="E2358" i="6" s="1"/>
  <c r="B2358" i="6"/>
  <c r="D2357" i="6"/>
  <c r="E2357" i="6" s="1"/>
  <c r="B2357" i="6"/>
  <c r="D2356" i="6"/>
  <c r="E2356" i="6" s="1"/>
  <c r="C2356" i="6"/>
  <c r="B2356" i="6"/>
  <c r="D2355" i="6"/>
  <c r="C2355" i="6"/>
  <c r="B2355" i="6"/>
  <c r="D2354" i="6"/>
  <c r="B2354" i="6"/>
  <c r="D2353" i="6"/>
  <c r="B2353" i="6"/>
  <c r="D2352" i="6"/>
  <c r="E2352" i="6" s="1"/>
  <c r="C2352" i="6"/>
  <c r="B2352" i="6"/>
  <c r="D2351" i="6"/>
  <c r="E2351" i="6" s="1"/>
  <c r="C2351" i="6"/>
  <c r="B2351" i="6"/>
  <c r="E2350" i="6"/>
  <c r="D2350" i="6"/>
  <c r="C2350" i="6"/>
  <c r="B2350" i="6"/>
  <c r="D2349" i="6"/>
  <c r="E2349" i="6" s="1"/>
  <c r="B2349" i="6"/>
  <c r="C2349" i="6" s="1"/>
  <c r="D2348" i="6"/>
  <c r="B2348" i="6"/>
  <c r="D2347" i="6"/>
  <c r="E2347" i="6" s="1"/>
  <c r="C2347" i="6"/>
  <c r="B2347" i="6"/>
  <c r="C2348" i="6" s="1"/>
  <c r="D2346" i="6"/>
  <c r="B2346" i="6"/>
  <c r="D2345" i="6"/>
  <c r="B2345" i="6"/>
  <c r="E2344" i="6"/>
  <c r="D2344" i="6"/>
  <c r="B2344" i="6"/>
  <c r="D2343" i="6"/>
  <c r="B2343" i="6"/>
  <c r="D2342" i="6"/>
  <c r="E2342" i="6" s="1"/>
  <c r="C2342" i="6"/>
  <c r="B2342" i="6"/>
  <c r="D2341" i="6"/>
  <c r="B2341" i="6"/>
  <c r="C2341" i="6" s="1"/>
  <c r="D2340" i="6"/>
  <c r="E2340" i="6" s="1"/>
  <c r="C2340" i="6"/>
  <c r="B2340" i="6"/>
  <c r="D2339" i="6"/>
  <c r="C2339" i="6"/>
  <c r="B2339" i="6"/>
  <c r="D2338" i="6"/>
  <c r="E2338" i="6" s="1"/>
  <c r="C2338" i="6"/>
  <c r="B2338" i="6"/>
  <c r="D2337" i="6"/>
  <c r="E2337" i="6" s="1"/>
  <c r="B2337" i="6"/>
  <c r="C2337" i="6" s="1"/>
  <c r="D2336" i="6"/>
  <c r="E2336" i="6" s="1"/>
  <c r="C2336" i="6"/>
  <c r="B2336" i="6"/>
  <c r="D2335" i="6"/>
  <c r="E2335" i="6" s="1"/>
  <c r="C2335" i="6"/>
  <c r="B2335" i="6"/>
  <c r="E2334" i="6"/>
  <c r="D2334" i="6"/>
  <c r="B2334" i="6"/>
  <c r="D2333" i="6"/>
  <c r="B2333" i="6"/>
  <c r="D2332" i="6"/>
  <c r="E2332" i="6" s="1"/>
  <c r="B2332" i="6"/>
  <c r="D2331" i="6"/>
  <c r="E2331" i="6" s="1"/>
  <c r="C2331" i="6"/>
  <c r="B2331" i="6"/>
  <c r="C2332" i="6" s="1"/>
  <c r="D2330" i="6"/>
  <c r="C2330" i="6"/>
  <c r="B2330" i="6"/>
  <c r="D2329" i="6"/>
  <c r="C2329" i="6"/>
  <c r="B2329" i="6"/>
  <c r="D2328" i="6"/>
  <c r="E2328" i="6" s="1"/>
  <c r="B2328" i="6"/>
  <c r="D2327" i="6"/>
  <c r="B2327" i="6"/>
  <c r="C2328" i="6" s="1"/>
  <c r="E2326" i="6"/>
  <c r="D2326" i="6"/>
  <c r="B2326" i="6"/>
  <c r="D2325" i="6"/>
  <c r="B2325" i="6"/>
  <c r="D2324" i="6"/>
  <c r="E2324" i="6" s="1"/>
  <c r="C2324" i="6"/>
  <c r="B2324" i="6"/>
  <c r="D2323" i="6"/>
  <c r="C2323" i="6"/>
  <c r="B2323" i="6"/>
  <c r="D2322" i="6"/>
  <c r="E2322" i="6" s="1"/>
  <c r="C2322" i="6"/>
  <c r="B2322" i="6"/>
  <c r="D2321" i="6"/>
  <c r="E2321" i="6" s="1"/>
  <c r="B2321" i="6"/>
  <c r="C2321" i="6" s="1"/>
  <c r="D2320" i="6"/>
  <c r="C2320" i="6"/>
  <c r="B2320" i="6"/>
  <c r="D2319" i="6"/>
  <c r="E2319" i="6" s="1"/>
  <c r="C2319" i="6"/>
  <c r="B2319" i="6"/>
  <c r="D2318" i="6"/>
  <c r="B2318" i="6"/>
  <c r="D2317" i="6"/>
  <c r="C2317" i="6"/>
  <c r="B2317" i="6"/>
  <c r="C2318" i="6" s="1"/>
  <c r="D2316" i="6"/>
  <c r="E2316" i="6" s="1"/>
  <c r="B2316" i="6"/>
  <c r="D2315" i="6"/>
  <c r="E2315" i="6" s="1"/>
  <c r="B2315" i="6"/>
  <c r="E2314" i="6"/>
  <c r="D2314" i="6"/>
  <c r="C2314" i="6"/>
  <c r="B2314" i="6"/>
  <c r="D2313" i="6"/>
  <c r="B2313" i="6"/>
  <c r="C2313" i="6" s="1"/>
  <c r="D2312" i="6"/>
  <c r="E2312" i="6" s="1"/>
  <c r="B2312" i="6"/>
  <c r="D2311" i="6"/>
  <c r="E2311" i="6" s="1"/>
  <c r="C2311" i="6"/>
  <c r="B2311" i="6"/>
  <c r="C2312" i="6" s="1"/>
  <c r="D2310" i="6"/>
  <c r="C2310" i="6"/>
  <c r="B2310" i="6"/>
  <c r="D2309" i="6"/>
  <c r="E2309" i="6" s="1"/>
  <c r="C2309" i="6"/>
  <c r="B2309" i="6"/>
  <c r="D2308" i="6"/>
  <c r="E2308" i="6" s="1"/>
  <c r="B2308" i="6"/>
  <c r="D2307" i="6"/>
  <c r="B2307" i="6"/>
  <c r="C2308" i="6" s="1"/>
  <c r="D2306" i="6"/>
  <c r="B2306" i="6"/>
  <c r="D2305" i="6"/>
  <c r="B2305" i="6"/>
  <c r="D2304" i="6"/>
  <c r="E2304" i="6" s="1"/>
  <c r="C2304" i="6"/>
  <c r="B2304" i="6"/>
  <c r="D2303" i="6"/>
  <c r="C2303" i="6"/>
  <c r="B2303" i="6"/>
  <c r="E2302" i="6"/>
  <c r="D2302" i="6"/>
  <c r="C2302" i="6"/>
  <c r="B2302" i="6"/>
  <c r="D2301" i="6"/>
  <c r="B2301" i="6"/>
  <c r="C2301" i="6" s="1"/>
  <c r="D2300" i="6"/>
  <c r="E2300" i="6" s="1"/>
  <c r="C2300" i="6"/>
  <c r="B2300" i="6"/>
  <c r="D2299" i="6"/>
  <c r="E2299" i="6" s="1"/>
  <c r="C2299" i="6"/>
  <c r="B2299" i="6"/>
  <c r="D2298" i="6"/>
  <c r="C2298" i="6"/>
  <c r="B2298" i="6"/>
  <c r="D2297" i="6"/>
  <c r="C2297" i="6"/>
  <c r="B2297" i="6"/>
  <c r="D2296" i="6"/>
  <c r="B2296" i="6"/>
  <c r="D2295" i="6"/>
  <c r="E2295" i="6" s="1"/>
  <c r="B2295" i="6"/>
  <c r="C2296" i="6" s="1"/>
  <c r="E2294" i="6"/>
  <c r="D2294" i="6"/>
  <c r="B2294" i="6"/>
  <c r="D2293" i="6"/>
  <c r="B2293" i="6"/>
  <c r="C2294" i="6" s="1"/>
  <c r="D2292" i="6"/>
  <c r="E2292" i="6" s="1"/>
  <c r="B2292" i="6"/>
  <c r="D2291" i="6"/>
  <c r="B2291" i="6"/>
  <c r="D2290" i="6"/>
  <c r="E2290" i="6" s="1"/>
  <c r="C2290" i="6"/>
  <c r="B2290" i="6"/>
  <c r="D2289" i="6"/>
  <c r="B2289" i="6"/>
  <c r="C2289" i="6" s="1"/>
  <c r="D2288" i="6"/>
  <c r="C2288" i="6"/>
  <c r="B2288" i="6"/>
  <c r="D2287" i="6"/>
  <c r="E2287" i="6" s="1"/>
  <c r="C2287" i="6"/>
  <c r="B2287" i="6"/>
  <c r="D2286" i="6"/>
  <c r="E2286" i="6" s="1"/>
  <c r="C2286" i="6"/>
  <c r="B2286" i="6"/>
  <c r="D2285" i="6"/>
  <c r="E2285" i="6" s="1"/>
  <c r="C2285" i="6"/>
  <c r="B2285" i="6"/>
  <c r="D2284" i="6"/>
  <c r="B2284" i="6"/>
  <c r="D2283" i="6"/>
  <c r="E2283" i="6" s="1"/>
  <c r="B2283" i="6"/>
  <c r="C2284" i="6" s="1"/>
  <c r="E2282" i="6"/>
  <c r="D2282" i="6"/>
  <c r="B2282" i="6"/>
  <c r="D2281" i="6"/>
  <c r="B2281" i="6"/>
  <c r="C2282" i="6" s="1"/>
  <c r="D2280" i="6"/>
  <c r="E2280" i="6" s="1"/>
  <c r="B2280" i="6"/>
  <c r="D2279" i="6"/>
  <c r="B2279" i="6"/>
  <c r="C2280" i="6" s="1"/>
  <c r="E2278" i="6"/>
  <c r="D2278" i="6"/>
  <c r="C2278" i="6"/>
  <c r="B2278" i="6"/>
  <c r="D2277" i="6"/>
  <c r="B2277" i="6"/>
  <c r="C2277" i="6" s="1"/>
  <c r="D2276" i="6"/>
  <c r="E2276" i="6" s="1"/>
  <c r="C2276" i="6"/>
  <c r="B2276" i="6"/>
  <c r="D2275" i="6"/>
  <c r="C2275" i="6"/>
  <c r="B2275" i="6"/>
  <c r="D2274" i="6"/>
  <c r="B2274" i="6"/>
  <c r="D2273" i="6"/>
  <c r="E2273" i="6" s="1"/>
  <c r="B2273" i="6"/>
  <c r="D2272" i="6"/>
  <c r="C2272" i="6"/>
  <c r="B2272" i="6"/>
  <c r="D2271" i="6"/>
  <c r="C2271" i="6"/>
  <c r="B2271" i="6"/>
  <c r="E2270" i="6"/>
  <c r="D2270" i="6"/>
  <c r="B2270" i="6"/>
  <c r="D2269" i="6"/>
  <c r="B2269" i="6"/>
  <c r="C2270" i="6" s="1"/>
  <c r="D2268" i="6"/>
  <c r="E2268" i="6" s="1"/>
  <c r="C2268" i="6"/>
  <c r="B2268" i="6"/>
  <c r="D2267" i="6"/>
  <c r="E2267" i="6" s="1"/>
  <c r="B2267" i="6"/>
  <c r="C2267" i="6" s="1"/>
  <c r="E2266" i="6"/>
  <c r="D2266" i="6"/>
  <c r="C2266" i="6"/>
  <c r="B2266" i="6"/>
  <c r="D2265" i="6"/>
  <c r="B2265" i="6"/>
  <c r="C2265" i="6" s="1"/>
  <c r="D2264" i="6"/>
  <c r="E2264" i="6" s="1"/>
  <c r="B2264" i="6"/>
  <c r="D2263" i="6"/>
  <c r="E2263" i="6" s="1"/>
  <c r="C2263" i="6"/>
  <c r="B2263" i="6"/>
  <c r="C2264" i="6" s="1"/>
  <c r="D2262" i="6"/>
  <c r="B2262" i="6"/>
  <c r="D2261" i="6"/>
  <c r="E2261" i="6" s="1"/>
  <c r="B2261" i="6"/>
  <c r="E2260" i="6"/>
  <c r="D2260" i="6"/>
  <c r="B2260" i="6"/>
  <c r="D2259" i="6"/>
  <c r="B2259" i="6"/>
  <c r="E2258" i="6"/>
  <c r="D2258" i="6"/>
  <c r="B2258" i="6"/>
  <c r="D2257" i="6"/>
  <c r="B2257" i="6"/>
  <c r="D2256" i="6"/>
  <c r="E2256" i="6" s="1"/>
  <c r="C2256" i="6"/>
  <c r="B2256" i="6"/>
  <c r="D2255" i="6"/>
  <c r="C2255" i="6"/>
  <c r="B2255" i="6"/>
  <c r="E2254" i="6"/>
  <c r="D2254" i="6"/>
  <c r="C2254" i="6"/>
  <c r="B2254" i="6"/>
  <c r="D2253" i="6"/>
  <c r="E2253" i="6" s="1"/>
  <c r="B2253" i="6"/>
  <c r="C2253" i="6" s="1"/>
  <c r="D2252" i="6"/>
  <c r="C2252" i="6"/>
  <c r="B2252" i="6"/>
  <c r="D2251" i="6"/>
  <c r="E2251" i="6" s="1"/>
  <c r="C2251" i="6"/>
  <c r="B2251" i="6"/>
  <c r="D2250" i="6"/>
  <c r="B2250" i="6"/>
  <c r="D2249" i="6"/>
  <c r="B2249" i="6"/>
  <c r="C2250" i="6" s="1"/>
  <c r="E2248" i="6"/>
  <c r="D2248" i="6"/>
  <c r="B2248" i="6"/>
  <c r="D2247" i="6"/>
  <c r="B2247" i="6"/>
  <c r="C2248" i="6" s="1"/>
  <c r="D2246" i="6"/>
  <c r="E2246" i="6" s="1"/>
  <c r="B2246" i="6"/>
  <c r="D2245" i="6"/>
  <c r="B2245" i="6"/>
  <c r="D2244" i="6"/>
  <c r="E2244" i="6" s="1"/>
  <c r="C2244" i="6"/>
  <c r="B2244" i="6"/>
  <c r="D2243" i="6"/>
  <c r="B2243" i="6"/>
  <c r="C2243" i="6" s="1"/>
  <c r="D2242" i="6"/>
  <c r="E2242" i="6" s="1"/>
  <c r="C2242" i="6"/>
  <c r="B2242" i="6"/>
  <c r="D2241" i="6"/>
  <c r="E2241" i="6" s="1"/>
  <c r="B2241" i="6"/>
  <c r="C2241" i="6" s="1"/>
  <c r="D2240" i="6"/>
  <c r="C2240" i="6"/>
  <c r="B2240" i="6"/>
  <c r="D2239" i="6"/>
  <c r="E2239" i="6" s="1"/>
  <c r="C2239" i="6"/>
  <c r="B2239" i="6"/>
  <c r="D2238" i="6"/>
  <c r="E2238" i="6" s="1"/>
  <c r="B2238" i="6"/>
  <c r="D2237" i="6"/>
  <c r="E2237" i="6" s="1"/>
  <c r="B2237" i="6"/>
  <c r="C2238" i="6" s="1"/>
  <c r="D2236" i="6"/>
  <c r="E2236" i="6" s="1"/>
  <c r="B2236" i="6"/>
  <c r="D2235" i="6"/>
  <c r="E2235" i="6" s="1"/>
  <c r="C2235" i="6"/>
  <c r="B2235" i="6"/>
  <c r="C2236" i="6" s="1"/>
  <c r="E2234" i="6"/>
  <c r="D2234" i="6"/>
  <c r="B2234" i="6"/>
  <c r="D2233" i="6"/>
  <c r="B2233" i="6"/>
  <c r="E2232" i="6"/>
  <c r="D2232" i="6"/>
  <c r="B2232" i="6"/>
  <c r="D2231" i="6"/>
  <c r="B2231" i="6"/>
  <c r="C2232" i="6" s="1"/>
  <c r="D2230" i="6"/>
  <c r="C2230" i="6"/>
  <c r="B2230" i="6"/>
  <c r="D2229" i="6"/>
  <c r="E2229" i="6" s="1"/>
  <c r="C2229" i="6"/>
  <c r="B2229" i="6"/>
  <c r="D2228" i="6"/>
  <c r="E2228" i="6" s="1"/>
  <c r="C2228" i="6"/>
  <c r="B2228" i="6"/>
  <c r="D2227" i="6"/>
  <c r="C2227" i="6"/>
  <c r="B2227" i="6"/>
  <c r="D2226" i="6"/>
  <c r="E2226" i="6" s="1"/>
  <c r="B2226" i="6"/>
  <c r="D2225" i="6"/>
  <c r="E2225" i="6" s="1"/>
  <c r="B2225" i="6"/>
  <c r="E2224" i="6"/>
  <c r="D2224" i="6"/>
  <c r="B2224" i="6"/>
  <c r="C2224" i="6" s="1"/>
  <c r="D2223" i="6"/>
  <c r="C2223" i="6"/>
  <c r="B2223" i="6"/>
  <c r="E2222" i="6"/>
  <c r="D2222" i="6"/>
  <c r="B2222" i="6"/>
  <c r="D2221" i="6"/>
  <c r="B2221" i="6"/>
  <c r="D2220" i="6"/>
  <c r="E2220" i="6" s="1"/>
  <c r="C2220" i="6"/>
  <c r="B2220" i="6"/>
  <c r="D2219" i="6"/>
  <c r="E2219" i="6" s="1"/>
  <c r="B2219" i="6"/>
  <c r="D2218" i="6"/>
  <c r="C2218" i="6"/>
  <c r="B2218" i="6"/>
  <c r="D2217" i="6"/>
  <c r="B2217" i="6"/>
  <c r="D2216" i="6"/>
  <c r="E2216" i="6" s="1"/>
  <c r="B2216" i="6"/>
  <c r="D2215" i="6"/>
  <c r="E2215" i="6" s="1"/>
  <c r="B2215" i="6"/>
  <c r="C2215" i="6" s="1"/>
  <c r="D2214" i="6"/>
  <c r="B2214" i="6"/>
  <c r="D2213" i="6"/>
  <c r="B2213" i="6"/>
  <c r="C2214" i="6" s="1"/>
  <c r="E2212" i="6"/>
  <c r="D2212" i="6"/>
  <c r="B2212" i="6"/>
  <c r="D2211" i="6"/>
  <c r="C2211" i="6"/>
  <c r="B2211" i="6"/>
  <c r="D2210" i="6"/>
  <c r="E2210" i="6" s="1"/>
  <c r="C2210" i="6"/>
  <c r="B2210" i="6"/>
  <c r="D2209" i="6"/>
  <c r="B2209" i="6"/>
  <c r="D2208" i="6"/>
  <c r="E2208" i="6" s="1"/>
  <c r="B2208" i="6"/>
  <c r="C2208" i="6" s="1"/>
  <c r="D2207" i="6"/>
  <c r="B2207" i="6"/>
  <c r="D2206" i="6"/>
  <c r="B2206" i="6"/>
  <c r="C2207" i="6" s="1"/>
  <c r="D2205" i="6"/>
  <c r="E2205" i="6" s="1"/>
  <c r="B2205" i="6"/>
  <c r="D2204" i="6"/>
  <c r="B2204" i="6"/>
  <c r="D2203" i="6"/>
  <c r="E2203" i="6" s="1"/>
  <c r="B2203" i="6"/>
  <c r="C2203" i="6" s="1"/>
  <c r="D2202" i="6"/>
  <c r="B2202" i="6"/>
  <c r="C2202" i="6" s="1"/>
  <c r="D2201" i="6"/>
  <c r="C2201" i="6"/>
  <c r="B2201" i="6"/>
  <c r="E2200" i="6"/>
  <c r="D2200" i="6"/>
  <c r="B2200" i="6"/>
  <c r="D2199" i="6"/>
  <c r="E2199" i="6" s="1"/>
  <c r="C2199" i="6"/>
  <c r="B2199" i="6"/>
  <c r="E2198" i="6"/>
  <c r="D2198" i="6"/>
  <c r="B2198" i="6"/>
  <c r="D2197" i="6"/>
  <c r="B2197" i="6"/>
  <c r="C2197" i="6" s="1"/>
  <c r="D2196" i="6"/>
  <c r="E2196" i="6" s="1"/>
  <c r="B2196" i="6"/>
  <c r="C2196" i="6" s="1"/>
  <c r="D2195" i="6"/>
  <c r="B2195" i="6"/>
  <c r="D2194" i="6"/>
  <c r="B2194" i="6"/>
  <c r="C2194" i="6" s="1"/>
  <c r="E2193" i="6"/>
  <c r="D2193" i="6"/>
  <c r="B2193" i="6"/>
  <c r="C2193" i="6" s="1"/>
  <c r="D2192" i="6"/>
  <c r="B2192" i="6"/>
  <c r="C2192" i="6" s="1"/>
  <c r="D2191" i="6"/>
  <c r="E2191" i="6" s="1"/>
  <c r="B2191" i="6"/>
  <c r="D2190" i="6"/>
  <c r="E2190" i="6" s="1"/>
  <c r="B2190" i="6"/>
  <c r="D2189" i="6"/>
  <c r="E2189" i="6" s="1"/>
  <c r="C2189" i="6"/>
  <c r="B2189" i="6"/>
  <c r="D2188" i="6"/>
  <c r="E2188" i="6" s="1"/>
  <c r="B2188" i="6"/>
  <c r="D2187" i="6"/>
  <c r="E2187" i="6" s="1"/>
  <c r="B2187" i="6"/>
  <c r="C2187" i="6" s="1"/>
  <c r="D2186" i="6"/>
  <c r="B2186" i="6"/>
  <c r="D2185" i="6"/>
  <c r="C2185" i="6"/>
  <c r="B2185" i="6"/>
  <c r="E2184" i="6"/>
  <c r="D2184" i="6"/>
  <c r="B2184" i="6"/>
  <c r="D2183" i="6"/>
  <c r="B2183" i="6"/>
  <c r="C2183" i="6" s="1"/>
  <c r="E2182" i="6"/>
  <c r="D2182" i="6"/>
  <c r="B2182" i="6"/>
  <c r="D2181" i="6"/>
  <c r="E2181" i="6" s="1"/>
  <c r="B2181" i="6"/>
  <c r="D2180" i="6"/>
  <c r="E2180" i="6" s="1"/>
  <c r="B2180" i="6"/>
  <c r="C2180" i="6" s="1"/>
  <c r="D2179" i="6"/>
  <c r="B2179" i="6"/>
  <c r="C2179" i="6" s="1"/>
  <c r="E2178" i="6"/>
  <c r="D2178" i="6"/>
  <c r="E2179" i="6" s="1"/>
  <c r="B2178" i="6"/>
  <c r="C2178" i="6" s="1"/>
  <c r="D2177" i="6"/>
  <c r="B2177" i="6"/>
  <c r="D2176" i="6"/>
  <c r="B2176" i="6"/>
  <c r="C2176" i="6" s="1"/>
  <c r="E2175" i="6"/>
  <c r="D2175" i="6"/>
  <c r="B2175" i="6"/>
  <c r="D2174" i="6"/>
  <c r="B2174" i="6"/>
  <c r="D2173" i="6"/>
  <c r="E2173" i="6" s="1"/>
  <c r="C2173" i="6"/>
  <c r="B2173" i="6"/>
  <c r="D2172" i="6"/>
  <c r="E2172" i="6" s="1"/>
  <c r="B2172" i="6"/>
  <c r="D2171" i="6"/>
  <c r="E2171" i="6" s="1"/>
  <c r="B2171" i="6"/>
  <c r="C2171" i="6" s="1"/>
  <c r="D2170" i="6"/>
  <c r="B2170" i="6"/>
  <c r="D2169" i="6"/>
  <c r="C2169" i="6"/>
  <c r="B2169" i="6"/>
  <c r="E2168" i="6"/>
  <c r="D2168" i="6"/>
  <c r="B2168" i="6"/>
  <c r="D2167" i="6"/>
  <c r="E2167" i="6" s="1"/>
  <c r="C2167" i="6"/>
  <c r="B2167" i="6"/>
  <c r="E2166" i="6"/>
  <c r="D2166" i="6"/>
  <c r="B2166" i="6"/>
  <c r="D2165" i="6"/>
  <c r="B2165" i="6"/>
  <c r="C2165" i="6" s="1"/>
  <c r="D2164" i="6"/>
  <c r="E2164" i="6" s="1"/>
  <c r="B2164" i="6"/>
  <c r="C2164" i="6" s="1"/>
  <c r="D2163" i="6"/>
  <c r="B2163" i="6"/>
  <c r="D2162" i="6"/>
  <c r="B2162" i="6"/>
  <c r="C2162" i="6" s="1"/>
  <c r="E2161" i="6"/>
  <c r="D2161" i="6"/>
  <c r="B2161" i="6"/>
  <c r="C2161" i="6" s="1"/>
  <c r="D2160" i="6"/>
  <c r="B2160" i="6"/>
  <c r="C2160" i="6" s="1"/>
  <c r="D2159" i="6"/>
  <c r="E2159" i="6" s="1"/>
  <c r="B2159" i="6"/>
  <c r="D2158" i="6"/>
  <c r="E2158" i="6" s="1"/>
  <c r="B2158" i="6"/>
  <c r="D2157" i="6"/>
  <c r="E2157" i="6" s="1"/>
  <c r="C2157" i="6"/>
  <c r="B2157" i="6"/>
  <c r="D2156" i="6"/>
  <c r="E2156" i="6" s="1"/>
  <c r="B2156" i="6"/>
  <c r="D2155" i="6"/>
  <c r="E2155" i="6" s="1"/>
  <c r="B2155" i="6"/>
  <c r="C2155" i="6" s="1"/>
  <c r="D2154" i="6"/>
  <c r="B2154" i="6"/>
  <c r="D2153" i="6"/>
  <c r="C2153" i="6"/>
  <c r="B2153" i="6"/>
  <c r="E2152" i="6"/>
  <c r="D2152" i="6"/>
  <c r="B2152" i="6"/>
  <c r="D2151" i="6"/>
  <c r="B2151" i="6"/>
  <c r="C2151" i="6" s="1"/>
  <c r="E2150" i="6"/>
  <c r="D2150" i="6"/>
  <c r="B2150" i="6"/>
  <c r="D2149" i="6"/>
  <c r="E2149" i="6" s="1"/>
  <c r="B2149" i="6"/>
  <c r="D2148" i="6"/>
  <c r="E2148" i="6" s="1"/>
  <c r="B2148" i="6"/>
  <c r="C2148" i="6" s="1"/>
  <c r="D2147" i="6"/>
  <c r="B2147" i="6"/>
  <c r="C2147" i="6" s="1"/>
  <c r="E2146" i="6"/>
  <c r="D2146" i="6"/>
  <c r="E2147" i="6" s="1"/>
  <c r="B2146" i="6"/>
  <c r="C2146" i="6" s="1"/>
  <c r="D2145" i="6"/>
  <c r="B2145" i="6"/>
  <c r="D2144" i="6"/>
  <c r="B2144" i="6"/>
  <c r="C2144" i="6" s="1"/>
  <c r="E2143" i="6"/>
  <c r="D2143" i="6"/>
  <c r="B2143" i="6"/>
  <c r="D2142" i="6"/>
  <c r="B2142" i="6"/>
  <c r="D2141" i="6"/>
  <c r="E2141" i="6" s="1"/>
  <c r="C2141" i="6"/>
  <c r="B2141" i="6"/>
  <c r="D2140" i="6"/>
  <c r="E2140" i="6" s="1"/>
  <c r="B2140" i="6"/>
  <c r="D2139" i="6"/>
  <c r="E2139" i="6" s="1"/>
  <c r="B2139" i="6"/>
  <c r="C2139" i="6" s="1"/>
  <c r="D2138" i="6"/>
  <c r="B2138" i="6"/>
  <c r="D2137" i="6"/>
  <c r="C2137" i="6"/>
  <c r="B2137" i="6"/>
  <c r="E2136" i="6"/>
  <c r="D2136" i="6"/>
  <c r="B2136" i="6"/>
  <c r="D2135" i="6"/>
  <c r="E2135" i="6" s="1"/>
  <c r="C2135" i="6"/>
  <c r="B2135" i="6"/>
  <c r="E2134" i="6"/>
  <c r="D2134" i="6"/>
  <c r="B2134" i="6"/>
  <c r="D2133" i="6"/>
  <c r="B2133" i="6"/>
  <c r="C2133" i="6" s="1"/>
  <c r="D2132" i="6"/>
  <c r="E2132" i="6" s="1"/>
  <c r="B2132" i="6"/>
  <c r="C2132" i="6" s="1"/>
  <c r="D2131" i="6"/>
  <c r="B2131" i="6"/>
  <c r="D2130" i="6"/>
  <c r="B2130" i="6"/>
  <c r="C2130" i="6" s="1"/>
  <c r="E2129" i="6"/>
  <c r="D2129" i="6"/>
  <c r="B2129" i="6"/>
  <c r="C2129" i="6" s="1"/>
  <c r="D2128" i="6"/>
  <c r="B2128" i="6"/>
  <c r="C2128" i="6" s="1"/>
  <c r="D2127" i="6"/>
  <c r="E2127" i="6" s="1"/>
  <c r="C2127" i="6"/>
  <c r="B2127" i="6"/>
  <c r="D2126" i="6"/>
  <c r="E2126" i="6" s="1"/>
  <c r="B2126" i="6"/>
  <c r="E2125" i="6"/>
  <c r="D2125" i="6"/>
  <c r="B2125" i="6"/>
  <c r="C2125" i="6" s="1"/>
  <c r="D2124" i="6"/>
  <c r="E2124" i="6" s="1"/>
  <c r="B2124" i="6"/>
  <c r="E2123" i="6"/>
  <c r="D2123" i="6"/>
  <c r="C2123" i="6"/>
  <c r="B2123" i="6"/>
  <c r="D2122" i="6"/>
  <c r="B2122" i="6"/>
  <c r="D2121" i="6"/>
  <c r="C2121" i="6"/>
  <c r="B2121" i="6"/>
  <c r="E2120" i="6"/>
  <c r="D2120" i="6"/>
  <c r="B2120" i="6"/>
  <c r="D2119" i="6"/>
  <c r="E2119" i="6" s="1"/>
  <c r="C2119" i="6"/>
  <c r="B2119" i="6"/>
  <c r="E2118" i="6"/>
  <c r="D2118" i="6"/>
  <c r="B2118" i="6"/>
  <c r="C2118" i="6" s="1"/>
  <c r="D2117" i="6"/>
  <c r="B2117" i="6"/>
  <c r="E2116" i="6"/>
  <c r="D2116" i="6"/>
  <c r="B2116" i="6"/>
  <c r="C2116" i="6" s="1"/>
  <c r="E2115" i="6"/>
  <c r="D2115" i="6"/>
  <c r="B2115" i="6"/>
  <c r="D2114" i="6"/>
  <c r="B2114" i="6"/>
  <c r="C2114" i="6" s="1"/>
  <c r="E2113" i="6"/>
  <c r="D2113" i="6"/>
  <c r="B2113" i="6"/>
  <c r="C2113" i="6" s="1"/>
  <c r="D2112" i="6"/>
  <c r="E2112" i="6" s="1"/>
  <c r="B2112" i="6"/>
  <c r="C2112" i="6" s="1"/>
  <c r="D2111" i="6"/>
  <c r="E2111" i="6" s="1"/>
  <c r="B2111" i="6"/>
  <c r="D2110" i="6"/>
  <c r="E2110" i="6" s="1"/>
  <c r="B2110" i="6"/>
  <c r="C2110" i="6" s="1"/>
  <c r="D2109" i="6"/>
  <c r="E2109" i="6" s="1"/>
  <c r="B2109" i="6"/>
  <c r="C2109" i="6" s="1"/>
  <c r="D2108" i="6"/>
  <c r="B2108" i="6"/>
  <c r="D2107" i="6"/>
  <c r="E2107" i="6" s="1"/>
  <c r="B2107" i="6"/>
  <c r="C2107" i="6" s="1"/>
  <c r="D2106" i="6"/>
  <c r="B2106" i="6"/>
  <c r="D2105" i="6"/>
  <c r="B2105" i="6"/>
  <c r="C2105" i="6" s="1"/>
  <c r="D2104" i="6"/>
  <c r="E2104" i="6" s="1"/>
  <c r="B2104" i="6"/>
  <c r="D2103" i="6"/>
  <c r="C2103" i="6"/>
  <c r="B2103" i="6"/>
  <c r="D2102" i="6"/>
  <c r="E2102" i="6" s="1"/>
  <c r="B2102" i="6"/>
  <c r="C2102" i="6" s="1"/>
  <c r="D2101" i="6"/>
  <c r="B2101" i="6"/>
  <c r="D2100" i="6"/>
  <c r="E2100" i="6" s="1"/>
  <c r="B2100" i="6"/>
  <c r="C2100" i="6" s="1"/>
  <c r="E2099" i="6"/>
  <c r="D2099" i="6"/>
  <c r="B2099" i="6"/>
  <c r="C2099" i="6" s="1"/>
  <c r="D2098" i="6"/>
  <c r="B2098" i="6"/>
  <c r="C2098" i="6" s="1"/>
  <c r="E2097" i="6"/>
  <c r="D2097" i="6"/>
  <c r="E2098" i="6" s="1"/>
  <c r="B2097" i="6"/>
  <c r="C2097" i="6" s="1"/>
  <c r="D2096" i="6"/>
  <c r="E2096" i="6" s="1"/>
  <c r="B2096" i="6"/>
  <c r="C2096" i="6" s="1"/>
  <c r="E2095" i="6"/>
  <c r="D2095" i="6"/>
  <c r="B2095" i="6"/>
  <c r="D2094" i="6"/>
  <c r="E2094" i="6" s="1"/>
  <c r="B2094" i="6"/>
  <c r="E2093" i="6"/>
  <c r="D2093" i="6"/>
  <c r="C2093" i="6"/>
  <c r="B2093" i="6"/>
  <c r="D2092" i="6"/>
  <c r="B2092" i="6"/>
  <c r="C2092" i="6" s="1"/>
  <c r="D2091" i="6"/>
  <c r="E2091" i="6" s="1"/>
  <c r="C2091" i="6"/>
  <c r="B2091" i="6"/>
  <c r="D2090" i="6"/>
  <c r="B2090" i="6"/>
  <c r="D2089" i="6"/>
  <c r="E2090" i="6" s="1"/>
  <c r="C2089" i="6"/>
  <c r="B2089" i="6"/>
  <c r="D2088" i="6"/>
  <c r="E2088" i="6" s="1"/>
  <c r="B2088" i="6"/>
  <c r="D2087" i="6"/>
  <c r="B2087" i="6"/>
  <c r="C2087" i="6" s="1"/>
  <c r="D2086" i="6"/>
  <c r="E2086" i="6" s="1"/>
  <c r="B2086" i="6"/>
  <c r="C2086" i="6" s="1"/>
  <c r="D2085" i="6"/>
  <c r="B2085" i="6"/>
  <c r="D2084" i="6"/>
  <c r="E2084" i="6" s="1"/>
  <c r="B2084" i="6"/>
  <c r="C2084" i="6" s="1"/>
  <c r="E2083" i="6"/>
  <c r="D2083" i="6"/>
  <c r="B2083" i="6"/>
  <c r="C2083" i="6" s="1"/>
  <c r="D2082" i="6"/>
  <c r="B2082" i="6"/>
  <c r="C2082" i="6" s="1"/>
  <c r="D2081" i="6"/>
  <c r="E2081" i="6" s="1"/>
  <c r="B2081" i="6"/>
  <c r="C2081" i="6" s="1"/>
  <c r="D2080" i="6"/>
  <c r="E2080" i="6" s="1"/>
  <c r="B2080" i="6"/>
  <c r="C2080" i="6" s="1"/>
  <c r="D2079" i="6"/>
  <c r="E2079" i="6" s="1"/>
  <c r="C2079" i="6"/>
  <c r="B2079" i="6"/>
  <c r="D2078" i="6"/>
  <c r="E2078" i="6" s="1"/>
  <c r="B2078" i="6"/>
  <c r="E2077" i="6"/>
  <c r="D2077" i="6"/>
  <c r="B2077" i="6"/>
  <c r="C2077" i="6" s="1"/>
  <c r="D2076" i="6"/>
  <c r="E2076" i="6" s="1"/>
  <c r="B2076" i="6"/>
  <c r="C2076" i="6" s="1"/>
  <c r="E2075" i="6"/>
  <c r="D2075" i="6"/>
  <c r="C2075" i="6"/>
  <c r="B2075" i="6"/>
  <c r="D2074" i="6"/>
  <c r="B2074" i="6"/>
  <c r="E2073" i="6"/>
  <c r="D2073" i="6"/>
  <c r="E2074" i="6" s="1"/>
  <c r="B2073" i="6"/>
  <c r="C2073" i="6" s="1"/>
  <c r="D2072" i="6"/>
  <c r="B2072" i="6"/>
  <c r="D2071" i="6"/>
  <c r="E2071" i="6" s="1"/>
  <c r="C2071" i="6"/>
  <c r="B2071" i="6"/>
  <c r="D2070" i="6"/>
  <c r="E2070" i="6" s="1"/>
  <c r="B2070" i="6"/>
  <c r="D2069" i="6"/>
  <c r="B2069" i="6"/>
  <c r="C2069" i="6" s="1"/>
  <c r="E2068" i="6"/>
  <c r="D2068" i="6"/>
  <c r="B2068" i="6"/>
  <c r="C2068" i="6" s="1"/>
  <c r="D2067" i="6"/>
  <c r="B2067" i="6"/>
  <c r="D2066" i="6"/>
  <c r="B2066" i="6"/>
  <c r="C2066" i="6" s="1"/>
  <c r="E2065" i="6"/>
  <c r="D2065" i="6"/>
  <c r="B2065" i="6"/>
  <c r="C2065" i="6" s="1"/>
  <c r="D2064" i="6"/>
  <c r="B2064" i="6"/>
  <c r="C2064" i="6" s="1"/>
  <c r="D2063" i="6"/>
  <c r="C2063" i="6"/>
  <c r="B2063" i="6"/>
  <c r="D2062" i="6"/>
  <c r="E2062" i="6" s="1"/>
  <c r="B2062" i="6"/>
  <c r="D2061" i="6"/>
  <c r="E2061" i="6" s="1"/>
  <c r="B2061" i="6"/>
  <c r="C2061" i="6" s="1"/>
  <c r="D2060" i="6"/>
  <c r="E2060" i="6" s="1"/>
  <c r="B2060" i="6"/>
  <c r="E2059" i="6"/>
  <c r="D2059" i="6"/>
  <c r="B2059" i="6"/>
  <c r="C2059" i="6" s="1"/>
  <c r="D2058" i="6"/>
  <c r="B2058" i="6"/>
  <c r="D2057" i="6"/>
  <c r="B2057" i="6"/>
  <c r="C2057" i="6" s="1"/>
  <c r="D2056" i="6"/>
  <c r="E2056" i="6" s="1"/>
  <c r="B2056" i="6"/>
  <c r="D2055" i="6"/>
  <c r="E2055" i="6" s="1"/>
  <c r="B2055" i="6"/>
  <c r="D2054" i="6"/>
  <c r="E2054" i="6" s="1"/>
  <c r="B2054" i="6"/>
  <c r="C2054" i="6" s="1"/>
  <c r="D2053" i="6"/>
  <c r="E2053" i="6" s="1"/>
  <c r="B2053" i="6"/>
  <c r="C2053" i="6" s="1"/>
  <c r="D2052" i="6"/>
  <c r="E2052" i="6" s="1"/>
  <c r="B2052" i="6"/>
  <c r="D2051" i="6"/>
  <c r="B2051" i="6"/>
  <c r="C2051" i="6" s="1"/>
  <c r="E2050" i="6"/>
  <c r="D2050" i="6"/>
  <c r="E2051" i="6" s="1"/>
  <c r="B2050" i="6"/>
  <c r="C2050" i="6" s="1"/>
  <c r="E2049" i="6"/>
  <c r="D2049" i="6"/>
  <c r="B2049" i="6"/>
  <c r="D2048" i="6"/>
  <c r="E2048" i="6" s="1"/>
  <c r="B2048" i="6"/>
  <c r="C2048" i="6" s="1"/>
  <c r="E2047" i="6"/>
  <c r="D2047" i="6"/>
  <c r="C2047" i="6"/>
  <c r="B2047" i="6"/>
  <c r="D2046" i="6"/>
  <c r="B2046" i="6"/>
  <c r="C2046" i="6" s="1"/>
  <c r="D2045" i="6"/>
  <c r="E2045" i="6" s="1"/>
  <c r="C2045" i="6"/>
  <c r="B2045" i="6"/>
  <c r="D2044" i="6"/>
  <c r="E2044" i="6" s="1"/>
  <c r="B2044" i="6"/>
  <c r="D2043" i="6"/>
  <c r="E2043" i="6" s="1"/>
  <c r="B2043" i="6"/>
  <c r="C2043" i="6" s="1"/>
  <c r="E2042" i="6"/>
  <c r="D2042" i="6"/>
  <c r="B2042" i="6"/>
  <c r="D2041" i="6"/>
  <c r="E2041" i="6" s="1"/>
  <c r="C2041" i="6"/>
  <c r="B2041" i="6"/>
  <c r="D2040" i="6"/>
  <c r="B2040" i="6"/>
  <c r="D2039" i="6"/>
  <c r="E2039" i="6" s="1"/>
  <c r="B2039" i="6"/>
  <c r="C2039" i="6" s="1"/>
  <c r="E2038" i="6"/>
  <c r="D2038" i="6"/>
  <c r="B2038" i="6"/>
  <c r="D2037" i="6"/>
  <c r="E2037" i="6" s="1"/>
  <c r="B2037" i="6"/>
  <c r="D2036" i="6"/>
  <c r="E2036" i="6" s="1"/>
  <c r="B2036" i="6"/>
  <c r="C2036" i="6" s="1"/>
  <c r="E2035" i="6"/>
  <c r="D2035" i="6"/>
  <c r="B2035" i="6"/>
  <c r="C2035" i="6" s="1"/>
  <c r="D2034" i="6"/>
  <c r="B2034" i="6"/>
  <c r="C2034" i="6" s="1"/>
  <c r="D2033" i="6"/>
  <c r="B2033" i="6"/>
  <c r="C2033" i="6" s="1"/>
  <c r="D2032" i="6"/>
  <c r="E2032" i="6" s="1"/>
  <c r="B2032" i="6"/>
  <c r="C2032" i="6" s="1"/>
  <c r="D2031" i="6"/>
  <c r="B2031" i="6"/>
  <c r="D2030" i="6"/>
  <c r="E2030" i="6" s="1"/>
  <c r="B2030" i="6"/>
  <c r="E2029" i="6"/>
  <c r="D2029" i="6"/>
  <c r="C2029" i="6"/>
  <c r="B2029" i="6"/>
  <c r="D2028" i="6"/>
  <c r="B2028" i="6"/>
  <c r="C2028" i="6" s="1"/>
  <c r="D2027" i="6"/>
  <c r="E2027" i="6" s="1"/>
  <c r="C2027" i="6"/>
  <c r="B2027" i="6"/>
  <c r="E2026" i="6"/>
  <c r="D2026" i="6"/>
  <c r="B2026" i="6"/>
  <c r="D2025" i="6"/>
  <c r="B2025" i="6"/>
  <c r="C2025" i="6" s="1"/>
  <c r="D2024" i="6"/>
  <c r="E2024" i="6" s="1"/>
  <c r="B2024" i="6"/>
  <c r="D2023" i="6"/>
  <c r="E2023" i="6" s="1"/>
  <c r="B2023" i="6"/>
  <c r="C2023" i="6" s="1"/>
  <c r="E2022" i="6"/>
  <c r="D2022" i="6"/>
  <c r="B2022" i="6"/>
  <c r="D2021" i="6"/>
  <c r="B2021" i="6"/>
  <c r="C2021" i="6" s="1"/>
  <c r="E2020" i="6"/>
  <c r="D2020" i="6"/>
  <c r="B2020" i="6"/>
  <c r="C2020" i="6" s="1"/>
  <c r="D2019" i="6"/>
  <c r="B2019" i="6"/>
  <c r="D2018" i="6"/>
  <c r="E2019" i="6" s="1"/>
  <c r="B2018" i="6"/>
  <c r="C2018" i="6" s="1"/>
  <c r="E2017" i="6"/>
  <c r="D2017" i="6"/>
  <c r="B2017" i="6"/>
  <c r="D2016" i="6"/>
  <c r="C2016" i="6"/>
  <c r="B2016" i="6"/>
  <c r="D2015" i="6"/>
  <c r="E2015" i="6" s="1"/>
  <c r="B2015" i="6"/>
  <c r="D2014" i="6"/>
  <c r="B2014" i="6"/>
  <c r="E2013" i="6"/>
  <c r="D2013" i="6"/>
  <c r="E2014" i="6" s="1"/>
  <c r="B2013" i="6"/>
  <c r="C2013" i="6" s="1"/>
  <c r="D2012" i="6"/>
  <c r="E2012" i="6" s="1"/>
  <c r="B2012" i="6"/>
  <c r="D2011" i="6"/>
  <c r="E2011" i="6" s="1"/>
  <c r="B2011" i="6"/>
  <c r="C2011" i="6" s="1"/>
  <c r="E2010" i="6"/>
  <c r="D2010" i="6"/>
  <c r="C2010" i="6"/>
  <c r="B2010" i="6"/>
  <c r="D2009" i="6"/>
  <c r="B2009" i="6"/>
  <c r="D2008" i="6"/>
  <c r="E2008" i="6" s="1"/>
  <c r="B2008" i="6"/>
  <c r="C2008" i="6" s="1"/>
  <c r="D2007" i="6"/>
  <c r="E2007" i="6" s="1"/>
  <c r="B2007" i="6"/>
  <c r="C2007" i="6" s="1"/>
  <c r="E2006" i="6"/>
  <c r="D2006" i="6"/>
  <c r="C2006" i="6"/>
  <c r="B2006" i="6"/>
  <c r="D2005" i="6"/>
  <c r="B2005" i="6"/>
  <c r="E2004" i="6"/>
  <c r="D2004" i="6"/>
  <c r="E2005" i="6" s="1"/>
  <c r="C2004" i="6"/>
  <c r="B2004" i="6"/>
  <c r="D2003" i="6"/>
  <c r="B2003" i="6"/>
  <c r="D2002" i="6"/>
  <c r="E2002" i="6" s="1"/>
  <c r="B2002" i="6"/>
  <c r="C2002" i="6" s="1"/>
  <c r="E2001" i="6"/>
  <c r="D2001" i="6"/>
  <c r="B2001" i="6"/>
  <c r="D2000" i="6"/>
  <c r="B2000" i="6"/>
  <c r="C2000" i="6" s="1"/>
  <c r="D1999" i="6"/>
  <c r="E1999" i="6" s="1"/>
  <c r="B1999" i="6"/>
  <c r="D1998" i="6"/>
  <c r="B1998" i="6"/>
  <c r="D1997" i="6"/>
  <c r="B1997" i="6"/>
  <c r="C1997" i="6" s="1"/>
  <c r="D1996" i="6"/>
  <c r="E1996" i="6" s="1"/>
  <c r="B1996" i="6"/>
  <c r="C1996" i="6" s="1"/>
  <c r="E1995" i="6"/>
  <c r="D1995" i="6"/>
  <c r="B1995" i="6"/>
  <c r="C1995" i="6" s="1"/>
  <c r="D1994" i="6"/>
  <c r="C1994" i="6"/>
  <c r="B1994" i="6"/>
  <c r="D1993" i="6"/>
  <c r="B1993" i="6"/>
  <c r="D1992" i="6"/>
  <c r="E1992" i="6" s="1"/>
  <c r="B1992" i="6"/>
  <c r="D1991" i="6"/>
  <c r="E1991" i="6" s="1"/>
  <c r="B1991" i="6"/>
  <c r="C1991" i="6" s="1"/>
  <c r="D1990" i="6"/>
  <c r="E1990" i="6" s="1"/>
  <c r="C1990" i="6"/>
  <c r="B1990" i="6"/>
  <c r="D1989" i="6"/>
  <c r="B1989" i="6"/>
  <c r="E1988" i="6"/>
  <c r="D1988" i="6"/>
  <c r="E1989" i="6" s="1"/>
  <c r="C1988" i="6"/>
  <c r="B1988" i="6"/>
  <c r="D1987" i="6"/>
  <c r="B1987" i="6"/>
  <c r="D1986" i="6"/>
  <c r="E1986" i="6" s="1"/>
  <c r="C1986" i="6"/>
  <c r="B1986" i="6"/>
  <c r="E1985" i="6"/>
  <c r="D1985" i="6"/>
  <c r="B1985" i="6"/>
  <c r="D1984" i="6"/>
  <c r="B1984" i="6"/>
  <c r="C1984" i="6" s="1"/>
  <c r="D1983" i="6"/>
  <c r="E1983" i="6" s="1"/>
  <c r="B1983" i="6"/>
  <c r="E1982" i="6"/>
  <c r="D1982" i="6"/>
  <c r="B1982" i="6"/>
  <c r="D1981" i="6"/>
  <c r="B1981" i="6"/>
  <c r="C1981" i="6" s="1"/>
  <c r="D1980" i="6"/>
  <c r="E1980" i="6" s="1"/>
  <c r="B1980" i="6"/>
  <c r="C1980" i="6" s="1"/>
  <c r="E1979" i="6"/>
  <c r="D1979" i="6"/>
  <c r="B1979" i="6"/>
  <c r="C1979" i="6" s="1"/>
  <c r="D1978" i="6"/>
  <c r="B1978" i="6"/>
  <c r="D1977" i="6"/>
  <c r="B1977" i="6"/>
  <c r="E1976" i="6"/>
  <c r="D1976" i="6"/>
  <c r="B1976" i="6"/>
  <c r="D1975" i="6"/>
  <c r="B1975" i="6"/>
  <c r="C1975" i="6" s="1"/>
  <c r="D1974" i="6"/>
  <c r="E1974" i="6" s="1"/>
  <c r="C1974" i="6"/>
  <c r="B1974" i="6"/>
  <c r="D1973" i="6"/>
  <c r="B1973" i="6"/>
  <c r="D1972" i="6"/>
  <c r="E1973" i="6" s="1"/>
  <c r="B1972" i="6"/>
  <c r="C1972" i="6" s="1"/>
  <c r="D1971" i="6"/>
  <c r="E1971" i="6" s="1"/>
  <c r="B1971" i="6"/>
  <c r="D1970" i="6"/>
  <c r="E1970" i="6" s="1"/>
  <c r="B1970" i="6"/>
  <c r="E1969" i="6"/>
  <c r="D1969" i="6"/>
  <c r="B1969" i="6"/>
  <c r="C1969" i="6" s="1"/>
  <c r="D1968" i="6"/>
  <c r="B1968" i="6"/>
  <c r="C1968" i="6" s="1"/>
  <c r="D1967" i="6"/>
  <c r="E1967" i="6" s="1"/>
  <c r="B1967" i="6"/>
  <c r="E1966" i="6"/>
  <c r="D1966" i="6"/>
  <c r="B1966" i="6"/>
  <c r="C1966" i="6" s="1"/>
  <c r="D1965" i="6"/>
  <c r="B1965" i="6"/>
  <c r="C1965" i="6" s="1"/>
  <c r="D1964" i="6"/>
  <c r="E1964" i="6" s="1"/>
  <c r="B1964" i="6"/>
  <c r="C1964" i="6" s="1"/>
  <c r="E1963" i="6"/>
  <c r="D1963" i="6"/>
  <c r="B1963" i="6"/>
  <c r="C1963" i="6" s="1"/>
  <c r="D1962" i="6"/>
  <c r="B1962" i="6"/>
  <c r="D1961" i="6"/>
  <c r="B1961" i="6"/>
  <c r="E1960" i="6"/>
  <c r="D1960" i="6"/>
  <c r="B1960" i="6"/>
  <c r="D1959" i="6"/>
  <c r="B1959" i="6"/>
  <c r="C1959" i="6" s="1"/>
  <c r="D1958" i="6"/>
  <c r="E1958" i="6" s="1"/>
  <c r="C1958" i="6"/>
  <c r="B1958" i="6"/>
  <c r="D1957" i="6"/>
  <c r="B1957" i="6"/>
  <c r="D1956" i="6"/>
  <c r="B1956" i="6"/>
  <c r="C1956" i="6" s="1"/>
  <c r="D1955" i="6"/>
  <c r="E1955" i="6" s="1"/>
  <c r="B1955" i="6"/>
  <c r="D1954" i="6"/>
  <c r="E1954" i="6" s="1"/>
  <c r="B1954" i="6"/>
  <c r="E1953" i="6"/>
  <c r="D1953" i="6"/>
  <c r="B1953" i="6"/>
  <c r="C1953" i="6" s="1"/>
  <c r="D1952" i="6"/>
  <c r="E1952" i="6" s="1"/>
  <c r="C1952" i="6"/>
  <c r="B1952" i="6"/>
  <c r="D1951" i="6"/>
  <c r="E1951" i="6" s="1"/>
  <c r="B1951" i="6"/>
  <c r="E1950" i="6"/>
  <c r="D1950" i="6"/>
  <c r="B1950" i="6"/>
  <c r="C1950" i="6" s="1"/>
  <c r="D1949" i="6"/>
  <c r="B1949" i="6"/>
  <c r="C1949" i="6" s="1"/>
  <c r="D1948" i="6"/>
  <c r="E1949" i="6" s="1"/>
  <c r="B1948" i="6"/>
  <c r="C1948" i="6" s="1"/>
  <c r="E1947" i="6"/>
  <c r="D1947" i="6"/>
  <c r="B1947" i="6"/>
  <c r="C1947" i="6" s="1"/>
  <c r="D1946" i="6"/>
  <c r="B1946" i="6"/>
  <c r="D1945" i="6"/>
  <c r="B1945" i="6"/>
  <c r="E1944" i="6"/>
  <c r="D1944" i="6"/>
  <c r="B1944" i="6"/>
  <c r="C1944" i="6" s="1"/>
  <c r="D1943" i="6"/>
  <c r="B1943" i="6"/>
  <c r="C1943" i="6" s="1"/>
  <c r="D1942" i="6"/>
  <c r="E1942" i="6" s="1"/>
  <c r="C1942" i="6"/>
  <c r="B1942" i="6"/>
  <c r="E1941" i="6"/>
  <c r="D1941" i="6"/>
  <c r="B1941" i="6"/>
  <c r="D1940" i="6"/>
  <c r="B1940" i="6"/>
  <c r="C1940" i="6" s="1"/>
  <c r="D1939" i="6"/>
  <c r="E1939" i="6" s="1"/>
  <c r="B1939" i="6"/>
  <c r="D1938" i="6"/>
  <c r="E1938" i="6" s="1"/>
  <c r="B1938" i="6"/>
  <c r="E1937" i="6"/>
  <c r="D1937" i="6"/>
  <c r="B1937" i="6"/>
  <c r="C1937" i="6" s="1"/>
  <c r="D1936" i="6"/>
  <c r="E1936" i="6" s="1"/>
  <c r="C1936" i="6"/>
  <c r="B1936" i="6"/>
  <c r="D1935" i="6"/>
  <c r="E1935" i="6" s="1"/>
  <c r="B1935" i="6"/>
  <c r="E1934" i="6"/>
  <c r="D1934" i="6"/>
  <c r="B1934" i="6"/>
  <c r="C1934" i="6" s="1"/>
  <c r="E1933" i="6"/>
  <c r="D1933" i="6"/>
  <c r="B1933" i="6"/>
  <c r="C1933" i="6" s="1"/>
  <c r="D1932" i="6"/>
  <c r="B1932" i="6"/>
  <c r="D1931" i="6"/>
  <c r="E1931" i="6" s="1"/>
  <c r="B1931" i="6"/>
  <c r="C1931" i="6" s="1"/>
  <c r="E1930" i="6"/>
  <c r="D1930" i="6"/>
  <c r="B1930" i="6"/>
  <c r="D1929" i="6"/>
  <c r="B1929" i="6"/>
  <c r="D1928" i="6"/>
  <c r="E1928" i="6" s="1"/>
  <c r="B1928" i="6"/>
  <c r="C1928" i="6" s="1"/>
  <c r="D1927" i="6"/>
  <c r="B1927" i="6"/>
  <c r="C1927" i="6" s="1"/>
  <c r="D1926" i="6"/>
  <c r="E1926" i="6" s="1"/>
  <c r="C1926" i="6"/>
  <c r="B1926" i="6"/>
  <c r="E1925" i="6"/>
  <c r="D1925" i="6"/>
  <c r="B1925" i="6"/>
  <c r="D1924" i="6"/>
  <c r="B1924" i="6"/>
  <c r="C1924" i="6" s="1"/>
  <c r="D1923" i="6"/>
  <c r="E1923" i="6" s="1"/>
  <c r="B1923" i="6"/>
  <c r="D1922" i="6"/>
  <c r="E1922" i="6" s="1"/>
  <c r="B1922" i="6"/>
  <c r="E1921" i="6"/>
  <c r="D1921" i="6"/>
  <c r="B1921" i="6"/>
  <c r="D1920" i="6"/>
  <c r="E1920" i="6" s="1"/>
  <c r="C1920" i="6"/>
  <c r="B1920" i="6"/>
  <c r="E1919" i="6"/>
  <c r="D1919" i="6"/>
  <c r="B1919" i="6"/>
  <c r="D1918" i="6"/>
  <c r="B1918" i="6"/>
  <c r="C1918" i="6" s="1"/>
  <c r="D1917" i="6"/>
  <c r="B1917" i="6"/>
  <c r="C1917" i="6" s="1"/>
  <c r="D1916" i="6"/>
  <c r="B1916" i="6"/>
  <c r="D1915" i="6"/>
  <c r="E1915" i="6" s="1"/>
  <c r="B1915" i="6"/>
  <c r="C1915" i="6" s="1"/>
  <c r="E1914" i="6"/>
  <c r="D1914" i="6"/>
  <c r="B1914" i="6"/>
  <c r="D1913" i="6"/>
  <c r="B1913" i="6"/>
  <c r="C1914" i="6" s="1"/>
  <c r="D1912" i="6"/>
  <c r="E1912" i="6" s="1"/>
  <c r="B1912" i="6"/>
  <c r="C1912" i="6" s="1"/>
  <c r="D1911" i="6"/>
  <c r="E1911" i="6" s="1"/>
  <c r="B1911" i="6"/>
  <c r="C1911" i="6" s="1"/>
  <c r="D1910" i="6"/>
  <c r="E1910" i="6" s="1"/>
  <c r="C1910" i="6"/>
  <c r="B1910" i="6"/>
  <c r="E1909" i="6"/>
  <c r="D1909" i="6"/>
  <c r="B1909" i="6"/>
  <c r="D1908" i="6"/>
  <c r="B1908" i="6"/>
  <c r="C1908" i="6" s="1"/>
  <c r="D1907" i="6"/>
  <c r="B1907" i="6"/>
  <c r="D1906" i="6"/>
  <c r="E1906" i="6" s="1"/>
  <c r="C1906" i="6"/>
  <c r="B1906" i="6"/>
  <c r="E1905" i="6"/>
  <c r="D1905" i="6"/>
  <c r="B1905" i="6"/>
  <c r="D1904" i="6"/>
  <c r="E1904" i="6" s="1"/>
  <c r="C1904" i="6"/>
  <c r="B1904" i="6"/>
  <c r="E1903" i="6"/>
  <c r="D1903" i="6"/>
  <c r="B1903" i="6"/>
  <c r="D1902" i="6"/>
  <c r="B1902" i="6"/>
  <c r="C1902" i="6" s="1"/>
  <c r="E1901" i="6"/>
  <c r="D1901" i="6"/>
  <c r="E1902" i="6" s="1"/>
  <c r="B1901" i="6"/>
  <c r="C1901" i="6" s="1"/>
  <c r="D1900" i="6"/>
  <c r="B1900" i="6"/>
  <c r="D1899" i="6"/>
  <c r="E1899" i="6" s="1"/>
  <c r="B1899" i="6"/>
  <c r="C1899" i="6" s="1"/>
  <c r="E1898" i="6"/>
  <c r="D1898" i="6"/>
  <c r="C1898" i="6"/>
  <c r="B1898" i="6"/>
  <c r="D1897" i="6"/>
  <c r="B1897" i="6"/>
  <c r="D1896" i="6"/>
  <c r="E1896" i="6" s="1"/>
  <c r="B1896" i="6"/>
  <c r="D1895" i="6"/>
  <c r="E1895" i="6" s="1"/>
  <c r="B1895" i="6"/>
  <c r="C1895" i="6" s="1"/>
  <c r="E1894" i="6"/>
  <c r="D1894" i="6"/>
  <c r="C1894" i="6"/>
  <c r="B1894" i="6"/>
  <c r="E1893" i="6"/>
  <c r="D1893" i="6"/>
  <c r="B1893" i="6"/>
  <c r="E1892" i="6"/>
  <c r="D1892" i="6"/>
  <c r="B1892" i="6"/>
  <c r="C1892" i="6" s="1"/>
  <c r="D1891" i="6"/>
  <c r="B1891" i="6"/>
  <c r="D1890" i="6"/>
  <c r="E1890" i="6" s="1"/>
  <c r="B1890" i="6"/>
  <c r="C1890" i="6" s="1"/>
  <c r="E1889" i="6"/>
  <c r="D1889" i="6"/>
  <c r="B1889" i="6"/>
  <c r="D1888" i="6"/>
  <c r="B1888" i="6"/>
  <c r="C1888" i="6" s="1"/>
  <c r="D1887" i="6"/>
  <c r="E1887" i="6" s="1"/>
  <c r="B1887" i="6"/>
  <c r="D1886" i="6"/>
  <c r="B1886" i="6"/>
  <c r="D1885" i="6"/>
  <c r="E1886" i="6" s="1"/>
  <c r="B1885" i="6"/>
  <c r="C1885" i="6" s="1"/>
  <c r="D1884" i="6"/>
  <c r="E1884" i="6" s="1"/>
  <c r="B1884" i="6"/>
  <c r="D1883" i="6"/>
  <c r="E1883" i="6" s="1"/>
  <c r="B1883" i="6"/>
  <c r="C1883" i="6" s="1"/>
  <c r="E1882" i="6"/>
  <c r="D1882" i="6"/>
  <c r="C1882" i="6"/>
  <c r="B1882" i="6"/>
  <c r="D1881" i="6"/>
  <c r="B1881" i="6"/>
  <c r="D1880" i="6"/>
  <c r="E1880" i="6" s="1"/>
  <c r="B1880" i="6"/>
  <c r="C1880" i="6" s="1"/>
  <c r="D1879" i="6"/>
  <c r="E1879" i="6" s="1"/>
  <c r="B1879" i="6"/>
  <c r="C1879" i="6" s="1"/>
  <c r="E1878" i="6"/>
  <c r="D1878" i="6"/>
  <c r="C1878" i="6"/>
  <c r="B1878" i="6"/>
  <c r="D1877" i="6"/>
  <c r="B1877" i="6"/>
  <c r="E1876" i="6"/>
  <c r="D1876" i="6"/>
  <c r="E1877" i="6" s="1"/>
  <c r="C1876" i="6"/>
  <c r="B1876" i="6"/>
  <c r="D1875" i="6"/>
  <c r="B1875" i="6"/>
  <c r="D1874" i="6"/>
  <c r="E1874" i="6" s="1"/>
  <c r="C1874" i="6"/>
  <c r="B1874" i="6"/>
  <c r="E1873" i="6"/>
  <c r="D1873" i="6"/>
  <c r="B1873" i="6"/>
  <c r="D1872" i="6"/>
  <c r="B1872" i="6"/>
  <c r="C1872" i="6" s="1"/>
  <c r="E1871" i="6"/>
  <c r="D1871" i="6"/>
  <c r="B1871" i="6"/>
  <c r="D1870" i="6"/>
  <c r="B1870" i="6"/>
  <c r="D1869" i="6"/>
  <c r="B1869" i="6"/>
  <c r="C1869" i="6" s="1"/>
  <c r="D1868" i="6"/>
  <c r="E1868" i="6" s="1"/>
  <c r="B1868" i="6"/>
  <c r="C1868" i="6" s="1"/>
  <c r="E1867" i="6"/>
  <c r="D1867" i="6"/>
  <c r="B1867" i="6"/>
  <c r="C1867" i="6" s="1"/>
  <c r="D1866" i="6"/>
  <c r="C1866" i="6"/>
  <c r="B1866" i="6"/>
  <c r="D1865" i="6"/>
  <c r="B1865" i="6"/>
  <c r="C1865" i="6" s="1"/>
  <c r="D1864" i="6"/>
  <c r="E1864" i="6" s="1"/>
  <c r="B1864" i="6"/>
  <c r="D1863" i="6"/>
  <c r="B1863" i="6"/>
  <c r="C1863" i="6" s="1"/>
  <c r="D1862" i="6"/>
  <c r="E1862" i="6" s="1"/>
  <c r="C1862" i="6"/>
  <c r="B1862" i="6"/>
  <c r="D1861" i="6"/>
  <c r="B1861" i="6"/>
  <c r="D1860" i="6"/>
  <c r="E1861" i="6" s="1"/>
  <c r="C1860" i="6"/>
  <c r="B1860" i="6"/>
  <c r="D1859" i="6"/>
  <c r="B1859" i="6"/>
  <c r="D1858" i="6"/>
  <c r="E1858" i="6" s="1"/>
  <c r="C1858" i="6"/>
  <c r="B1858" i="6"/>
  <c r="E1857" i="6"/>
  <c r="D1857" i="6"/>
  <c r="B1857" i="6"/>
  <c r="C1857" i="6" s="1"/>
  <c r="D1856" i="6"/>
  <c r="B1856" i="6"/>
  <c r="C1856" i="6" s="1"/>
  <c r="E1855" i="6"/>
  <c r="D1855" i="6"/>
  <c r="B1855" i="6"/>
  <c r="E1854" i="6"/>
  <c r="D1854" i="6"/>
  <c r="B1854" i="6"/>
  <c r="D1853" i="6"/>
  <c r="E1853" i="6" s="1"/>
  <c r="B1853" i="6"/>
  <c r="C1853" i="6" s="1"/>
  <c r="D1852" i="6"/>
  <c r="E1852" i="6" s="1"/>
  <c r="B1852" i="6"/>
  <c r="C1852" i="6" s="1"/>
  <c r="E1851" i="6"/>
  <c r="D1851" i="6"/>
  <c r="B1851" i="6"/>
  <c r="C1851" i="6" s="1"/>
  <c r="D1850" i="6"/>
  <c r="C1850" i="6"/>
  <c r="B1850" i="6"/>
  <c r="D1849" i="6"/>
  <c r="B1849" i="6"/>
  <c r="C1849" i="6" s="1"/>
  <c r="E1848" i="6"/>
  <c r="D1848" i="6"/>
  <c r="B1848" i="6"/>
  <c r="D1847" i="6"/>
  <c r="B1847" i="6"/>
  <c r="C1847" i="6" s="1"/>
  <c r="E1846" i="6"/>
  <c r="D1846" i="6"/>
  <c r="C1846" i="6"/>
  <c r="B1846" i="6"/>
  <c r="D1845" i="6"/>
  <c r="B1845" i="6"/>
  <c r="D1844" i="6"/>
  <c r="E1845" i="6" s="1"/>
  <c r="C1844" i="6"/>
  <c r="B1844" i="6"/>
  <c r="D1843" i="6"/>
  <c r="E1843" i="6" s="1"/>
  <c r="B1843" i="6"/>
  <c r="D1842" i="6"/>
  <c r="E1842" i="6" s="1"/>
  <c r="B1842" i="6"/>
  <c r="E1841" i="6"/>
  <c r="D1841" i="6"/>
  <c r="B1841" i="6"/>
  <c r="C1841" i="6" s="1"/>
  <c r="D1840" i="6"/>
  <c r="B1840" i="6"/>
  <c r="C1840" i="6" s="1"/>
  <c r="D1839" i="6"/>
  <c r="E1839" i="6" s="1"/>
  <c r="B1839" i="6"/>
  <c r="E1838" i="6"/>
  <c r="D1838" i="6"/>
  <c r="B1838" i="6"/>
  <c r="C1838" i="6" s="1"/>
  <c r="D1837" i="6"/>
  <c r="E1837" i="6" s="1"/>
  <c r="B1837" i="6"/>
  <c r="C1837" i="6" s="1"/>
  <c r="D1836" i="6"/>
  <c r="B1836" i="6"/>
  <c r="C1836" i="6" s="1"/>
  <c r="D1835" i="6"/>
  <c r="E1835" i="6" s="1"/>
  <c r="B1835" i="6"/>
  <c r="C1835" i="6" s="1"/>
  <c r="D1834" i="6"/>
  <c r="B1834" i="6"/>
  <c r="D1833" i="6"/>
  <c r="B1833" i="6"/>
  <c r="E1832" i="6"/>
  <c r="D1832" i="6"/>
  <c r="B1832" i="6"/>
  <c r="D1831" i="6"/>
  <c r="B1831" i="6"/>
  <c r="C1831" i="6" s="1"/>
  <c r="E1830" i="6"/>
  <c r="D1830" i="6"/>
  <c r="C1830" i="6"/>
  <c r="B1830" i="6"/>
  <c r="D1829" i="6"/>
  <c r="B1829" i="6"/>
  <c r="D1828" i="6"/>
  <c r="B1828" i="6"/>
  <c r="C1828" i="6" s="1"/>
  <c r="D1827" i="6"/>
  <c r="E1827" i="6" s="1"/>
  <c r="B1827" i="6"/>
  <c r="D1826" i="6"/>
  <c r="E1826" i="6" s="1"/>
  <c r="B1826" i="6"/>
  <c r="E1825" i="6"/>
  <c r="D1825" i="6"/>
  <c r="B1825" i="6"/>
  <c r="C1825" i="6" s="1"/>
  <c r="D1824" i="6"/>
  <c r="E1824" i="6" s="1"/>
  <c r="C1824" i="6"/>
  <c r="B1824" i="6"/>
  <c r="D1823" i="6"/>
  <c r="E1823" i="6" s="1"/>
  <c r="B1823" i="6"/>
  <c r="E1822" i="6"/>
  <c r="D1822" i="6"/>
  <c r="B1822" i="6"/>
  <c r="C1822" i="6" s="1"/>
  <c r="E1821" i="6"/>
  <c r="D1821" i="6"/>
  <c r="B1821" i="6"/>
  <c r="C1821" i="6" s="1"/>
  <c r="D1820" i="6"/>
  <c r="B1820" i="6"/>
  <c r="D1819" i="6"/>
  <c r="E1819" i="6" s="1"/>
  <c r="B1819" i="6"/>
  <c r="C1819" i="6" s="1"/>
  <c r="D1818" i="6"/>
  <c r="B1818" i="6"/>
  <c r="D1817" i="6"/>
  <c r="B1817" i="6"/>
  <c r="D1816" i="6"/>
  <c r="E1816" i="6" s="1"/>
  <c r="B1816" i="6"/>
  <c r="C1816" i="6" s="1"/>
  <c r="D1815" i="6"/>
  <c r="B1815" i="6"/>
  <c r="C1815" i="6" s="1"/>
  <c r="D1814" i="6"/>
  <c r="E1814" i="6" s="1"/>
  <c r="C1814" i="6"/>
  <c r="B1814" i="6"/>
  <c r="E1813" i="6"/>
  <c r="D1813" i="6"/>
  <c r="B1813" i="6"/>
  <c r="D1812" i="6"/>
  <c r="E1812" i="6" s="1"/>
  <c r="B1812" i="6"/>
  <c r="C1812" i="6" s="1"/>
  <c r="D1811" i="6"/>
  <c r="E1811" i="6" s="1"/>
  <c r="B1811" i="6"/>
  <c r="D1810" i="6"/>
  <c r="E1810" i="6" s="1"/>
  <c r="B1810" i="6"/>
  <c r="E1809" i="6"/>
  <c r="D1809" i="6"/>
  <c r="B1809" i="6"/>
  <c r="C1809" i="6" s="1"/>
  <c r="D1808" i="6"/>
  <c r="E1808" i="6" s="1"/>
  <c r="C1808" i="6"/>
  <c r="B1808" i="6"/>
  <c r="D1807" i="6"/>
  <c r="E1807" i="6" s="1"/>
  <c r="B1807" i="6"/>
  <c r="E1806" i="6"/>
  <c r="D1806" i="6"/>
  <c r="B1806" i="6"/>
  <c r="C1806" i="6" s="1"/>
  <c r="E1805" i="6"/>
  <c r="D1805" i="6"/>
  <c r="B1805" i="6"/>
  <c r="C1805" i="6" s="1"/>
  <c r="D1804" i="6"/>
  <c r="B1804" i="6"/>
  <c r="D1803" i="6"/>
  <c r="E1803" i="6" s="1"/>
  <c r="B1803" i="6"/>
  <c r="C1803" i="6" s="1"/>
  <c r="E1802" i="6"/>
  <c r="D1802" i="6"/>
  <c r="B1802" i="6"/>
  <c r="D1801" i="6"/>
  <c r="B1801" i="6"/>
  <c r="D1800" i="6"/>
  <c r="E1800" i="6" s="1"/>
  <c r="B1800" i="6"/>
  <c r="C1800" i="6" s="1"/>
  <c r="D1799" i="6"/>
  <c r="E1799" i="6" s="1"/>
  <c r="B1799" i="6"/>
  <c r="C1799" i="6" s="1"/>
  <c r="D1798" i="6"/>
  <c r="E1798" i="6" s="1"/>
  <c r="C1798" i="6"/>
  <c r="B1798" i="6"/>
  <c r="E1797" i="6"/>
  <c r="D1797" i="6"/>
  <c r="B1797" i="6"/>
  <c r="D1796" i="6"/>
  <c r="E1796" i="6" s="1"/>
  <c r="B1796" i="6"/>
  <c r="C1796" i="6" s="1"/>
  <c r="D1795" i="6"/>
  <c r="B1795" i="6"/>
  <c r="D1794" i="6"/>
  <c r="E1794" i="6" s="1"/>
  <c r="B1794" i="6"/>
  <c r="E1793" i="6"/>
  <c r="D1793" i="6"/>
  <c r="B1793" i="6"/>
  <c r="D1792" i="6"/>
  <c r="E1792" i="6" s="1"/>
  <c r="B1792" i="6"/>
  <c r="C1792" i="6" s="1"/>
  <c r="E1791" i="6"/>
  <c r="D1791" i="6"/>
  <c r="B1791" i="6"/>
  <c r="D1790" i="6"/>
  <c r="B1790" i="6"/>
  <c r="C1790" i="6" s="1"/>
  <c r="E1789" i="6"/>
  <c r="D1789" i="6"/>
  <c r="E1790" i="6" s="1"/>
  <c r="B1789" i="6"/>
  <c r="C1789" i="6" s="1"/>
  <c r="D1788" i="6"/>
  <c r="B1788" i="6"/>
  <c r="D1787" i="6"/>
  <c r="E1787" i="6" s="1"/>
  <c r="B1787" i="6"/>
  <c r="C1787" i="6" s="1"/>
  <c r="E1786" i="6"/>
  <c r="D1786" i="6"/>
  <c r="C1786" i="6"/>
  <c r="B1786" i="6"/>
  <c r="D1785" i="6"/>
  <c r="B1785" i="6"/>
  <c r="E1784" i="6"/>
  <c r="D1784" i="6"/>
  <c r="B1784" i="6"/>
  <c r="C1784" i="6" s="1"/>
  <c r="D1783" i="6"/>
  <c r="E1783" i="6" s="1"/>
  <c r="B1783" i="6"/>
  <c r="C1783" i="6" s="1"/>
  <c r="D1782" i="6"/>
  <c r="E1782" i="6" s="1"/>
  <c r="C1782" i="6"/>
  <c r="B1782" i="6"/>
  <c r="E1781" i="6"/>
  <c r="D1781" i="6"/>
  <c r="B1781" i="6"/>
  <c r="D1780" i="6"/>
  <c r="B1780" i="6"/>
  <c r="C1780" i="6" s="1"/>
  <c r="D1779" i="6"/>
  <c r="B1779" i="6"/>
  <c r="D1778" i="6"/>
  <c r="E1778" i="6" s="1"/>
  <c r="C1778" i="6"/>
  <c r="B1778" i="6"/>
  <c r="E1777" i="6"/>
  <c r="D1777" i="6"/>
  <c r="B1777" i="6"/>
  <c r="D1776" i="6"/>
  <c r="E1776" i="6" s="1"/>
  <c r="B1776" i="6"/>
  <c r="C1776" i="6" s="1"/>
  <c r="E1775" i="6"/>
  <c r="D1775" i="6"/>
  <c r="B1775" i="6"/>
  <c r="D1774" i="6"/>
  <c r="B1774" i="6"/>
  <c r="D1773" i="6"/>
  <c r="E1774" i="6" s="1"/>
  <c r="B1773" i="6"/>
  <c r="C1773" i="6" s="1"/>
  <c r="D1772" i="6"/>
  <c r="E1772" i="6" s="1"/>
  <c r="B1772" i="6"/>
  <c r="D1771" i="6"/>
  <c r="E1771" i="6" s="1"/>
  <c r="B1771" i="6"/>
  <c r="C1771" i="6" s="1"/>
  <c r="E1770" i="6"/>
  <c r="D1770" i="6"/>
  <c r="C1770" i="6"/>
  <c r="B1770" i="6"/>
  <c r="D1769" i="6"/>
  <c r="B1769" i="6"/>
  <c r="D1768" i="6"/>
  <c r="E1768" i="6" s="1"/>
  <c r="B1768" i="6"/>
  <c r="C1768" i="6" s="1"/>
  <c r="D1767" i="6"/>
  <c r="E1767" i="6" s="1"/>
  <c r="B1767" i="6"/>
  <c r="C1767" i="6" s="1"/>
  <c r="E1766" i="6"/>
  <c r="D1766" i="6"/>
  <c r="C1766" i="6"/>
  <c r="B1766" i="6"/>
  <c r="E1765" i="6"/>
  <c r="D1765" i="6"/>
  <c r="B1765" i="6"/>
  <c r="E1764" i="6"/>
  <c r="D1764" i="6"/>
  <c r="B1764" i="6"/>
  <c r="C1764" i="6" s="1"/>
  <c r="D1763" i="6"/>
  <c r="B1763" i="6"/>
  <c r="D1762" i="6"/>
  <c r="E1762" i="6" s="1"/>
  <c r="C1762" i="6"/>
  <c r="B1762" i="6"/>
  <c r="E1761" i="6"/>
  <c r="D1761" i="6"/>
  <c r="B1761" i="6"/>
  <c r="D1760" i="6"/>
  <c r="C1760" i="6"/>
  <c r="B1760" i="6"/>
  <c r="E1759" i="6"/>
  <c r="D1759" i="6"/>
  <c r="B1759" i="6"/>
  <c r="D1758" i="6"/>
  <c r="B1758" i="6"/>
  <c r="D1757" i="6"/>
  <c r="E1758" i="6" s="1"/>
  <c r="B1757" i="6"/>
  <c r="C1757" i="6" s="1"/>
  <c r="D1756" i="6"/>
  <c r="E1756" i="6" s="1"/>
  <c r="B1756" i="6"/>
  <c r="C1756" i="6" s="1"/>
  <c r="D1755" i="6"/>
  <c r="E1755" i="6" s="1"/>
  <c r="B1755" i="6"/>
  <c r="C1755" i="6" s="1"/>
  <c r="E1754" i="6"/>
  <c r="D1754" i="6"/>
  <c r="C1754" i="6"/>
  <c r="B1754" i="6"/>
  <c r="D1753" i="6"/>
  <c r="E1753" i="6" s="1"/>
  <c r="B1753" i="6"/>
  <c r="D1752" i="6"/>
  <c r="E1752" i="6" s="1"/>
  <c r="B1752" i="6"/>
  <c r="D1751" i="6"/>
  <c r="E1751" i="6" s="1"/>
  <c r="B1751" i="6"/>
  <c r="C1751" i="6" s="1"/>
  <c r="E1750" i="6"/>
  <c r="D1750" i="6"/>
  <c r="C1750" i="6"/>
  <c r="B1750" i="6"/>
  <c r="D1749" i="6"/>
  <c r="B1749" i="6"/>
  <c r="D1748" i="6"/>
  <c r="E1749" i="6" s="1"/>
  <c r="C1748" i="6"/>
  <c r="B1748" i="6"/>
  <c r="D1747" i="6"/>
  <c r="B1747" i="6"/>
  <c r="D1746" i="6"/>
  <c r="E1746" i="6" s="1"/>
  <c r="B1746" i="6"/>
  <c r="C1746" i="6" s="1"/>
  <c r="E1745" i="6"/>
  <c r="D1745" i="6"/>
  <c r="B1745" i="6"/>
  <c r="D1744" i="6"/>
  <c r="B1744" i="6"/>
  <c r="C1744" i="6" s="1"/>
  <c r="D1743" i="6"/>
  <c r="E1743" i="6" s="1"/>
  <c r="B1743" i="6"/>
  <c r="D1742" i="6"/>
  <c r="B1742" i="6"/>
  <c r="D1741" i="6"/>
  <c r="B1741" i="6"/>
  <c r="C1741" i="6" s="1"/>
  <c r="D1740" i="6"/>
  <c r="E1740" i="6" s="1"/>
  <c r="B1740" i="6"/>
  <c r="C1740" i="6" s="1"/>
  <c r="E1739" i="6"/>
  <c r="D1739" i="6"/>
  <c r="B1739" i="6"/>
  <c r="C1739" i="6" s="1"/>
  <c r="D1738" i="6"/>
  <c r="C1738" i="6"/>
  <c r="B1738" i="6"/>
  <c r="D1737" i="6"/>
  <c r="B1737" i="6"/>
  <c r="C1737" i="6" s="1"/>
  <c r="D1736" i="6"/>
  <c r="E1736" i="6" s="1"/>
  <c r="B1736" i="6"/>
  <c r="D1735" i="6"/>
  <c r="E1735" i="6" s="1"/>
  <c r="B1735" i="6"/>
  <c r="C1735" i="6" s="1"/>
  <c r="E1734" i="6"/>
  <c r="D1734" i="6"/>
  <c r="C1734" i="6"/>
  <c r="B1734" i="6"/>
  <c r="D1733" i="6"/>
  <c r="B1733" i="6"/>
  <c r="D1732" i="6"/>
  <c r="E1733" i="6" s="1"/>
  <c r="C1732" i="6"/>
  <c r="B1732" i="6"/>
  <c r="D1731" i="6"/>
  <c r="B1731" i="6"/>
  <c r="D1730" i="6"/>
  <c r="E1730" i="6" s="1"/>
  <c r="B1730" i="6"/>
  <c r="C1730" i="6" s="1"/>
  <c r="E1729" i="6"/>
  <c r="D1729" i="6"/>
  <c r="B1729" i="6"/>
  <c r="C1729" i="6" s="1"/>
  <c r="D1728" i="6"/>
  <c r="B1728" i="6"/>
  <c r="C1728" i="6" s="1"/>
  <c r="D1727" i="6"/>
  <c r="E1727" i="6" s="1"/>
  <c r="B1727" i="6"/>
  <c r="E1726" i="6"/>
  <c r="D1726" i="6"/>
  <c r="B1726" i="6"/>
  <c r="D1725" i="6"/>
  <c r="B1725" i="6"/>
  <c r="C1725" i="6" s="1"/>
  <c r="D1724" i="6"/>
  <c r="E1724" i="6" s="1"/>
  <c r="B1724" i="6"/>
  <c r="C1724" i="6" s="1"/>
  <c r="E1723" i="6"/>
  <c r="D1723" i="6"/>
  <c r="B1723" i="6"/>
  <c r="C1723" i="6" s="1"/>
  <c r="D1722" i="6"/>
  <c r="B1722" i="6"/>
  <c r="D1721" i="6"/>
  <c r="B1721" i="6"/>
  <c r="E1720" i="6"/>
  <c r="D1720" i="6"/>
  <c r="B1720" i="6"/>
  <c r="D1719" i="6"/>
  <c r="B1719" i="6"/>
  <c r="C1719" i="6" s="1"/>
  <c r="D1718" i="6"/>
  <c r="E1718" i="6" s="1"/>
  <c r="C1718" i="6"/>
  <c r="B1718" i="6"/>
  <c r="D1717" i="6"/>
  <c r="B1717" i="6"/>
  <c r="E1716" i="6"/>
  <c r="D1716" i="6"/>
  <c r="E1717" i="6" s="1"/>
  <c r="B1716" i="6"/>
  <c r="C1716" i="6" s="1"/>
  <c r="D1715" i="6"/>
  <c r="E1715" i="6" s="1"/>
  <c r="B1715" i="6"/>
  <c r="D1714" i="6"/>
  <c r="E1714" i="6" s="1"/>
  <c r="B1714" i="6"/>
  <c r="C1714" i="6" s="1"/>
  <c r="E1713" i="6"/>
  <c r="D1713" i="6"/>
  <c r="B1713" i="6"/>
  <c r="C1713" i="6" s="1"/>
  <c r="D1712" i="6"/>
  <c r="B1712" i="6"/>
  <c r="C1712" i="6" s="1"/>
  <c r="D1711" i="6"/>
  <c r="E1711" i="6" s="1"/>
  <c r="B1711" i="6"/>
  <c r="E1710" i="6"/>
  <c r="D1710" i="6"/>
  <c r="B1710" i="6"/>
  <c r="C1710" i="6" s="1"/>
  <c r="D1709" i="6"/>
  <c r="B1709" i="6"/>
  <c r="C1709" i="6" s="1"/>
  <c r="D1708" i="6"/>
  <c r="E1708" i="6" s="1"/>
  <c r="B1708" i="6"/>
  <c r="C1708" i="6" s="1"/>
  <c r="D1707" i="6"/>
  <c r="E1707" i="6" s="1"/>
  <c r="B1707" i="6"/>
  <c r="C1707" i="6" s="1"/>
  <c r="D1706" i="6"/>
  <c r="B1706" i="6"/>
  <c r="D1705" i="6"/>
  <c r="B1705" i="6"/>
  <c r="E1704" i="6"/>
  <c r="D1704" i="6"/>
  <c r="B1704" i="6"/>
  <c r="D1703" i="6"/>
  <c r="B1703" i="6"/>
  <c r="C1703" i="6" s="1"/>
  <c r="D1702" i="6"/>
  <c r="E1702" i="6" s="1"/>
  <c r="C1702" i="6"/>
  <c r="B1702" i="6"/>
  <c r="D1701" i="6"/>
  <c r="B1701" i="6"/>
  <c r="D1700" i="6"/>
  <c r="B1700" i="6"/>
  <c r="C1700" i="6" s="1"/>
  <c r="D1699" i="6"/>
  <c r="E1699" i="6" s="1"/>
  <c r="B1699" i="6"/>
  <c r="D1698" i="6"/>
  <c r="E1698" i="6" s="1"/>
  <c r="B1698" i="6"/>
  <c r="C1698" i="6" s="1"/>
  <c r="E1697" i="6"/>
  <c r="D1697" i="6"/>
  <c r="B1697" i="6"/>
  <c r="C1697" i="6" s="1"/>
  <c r="D1696" i="6"/>
  <c r="E1696" i="6" s="1"/>
  <c r="C1696" i="6"/>
  <c r="B1696" i="6"/>
  <c r="D1695" i="6"/>
  <c r="E1695" i="6" s="1"/>
  <c r="B1695" i="6"/>
  <c r="E1694" i="6"/>
  <c r="D1694" i="6"/>
  <c r="B1694" i="6"/>
  <c r="C1694" i="6" s="1"/>
  <c r="E1693" i="6"/>
  <c r="D1693" i="6"/>
  <c r="B1693" i="6"/>
  <c r="C1693" i="6" s="1"/>
  <c r="D1692" i="6"/>
  <c r="B1692" i="6"/>
  <c r="C1692" i="6" s="1"/>
  <c r="E1691" i="6"/>
  <c r="D1691" i="6"/>
  <c r="B1691" i="6"/>
  <c r="C1691" i="6" s="1"/>
  <c r="D1690" i="6"/>
  <c r="B1690" i="6"/>
  <c r="D1689" i="6"/>
  <c r="B1689" i="6"/>
  <c r="E1688" i="6"/>
  <c r="D1688" i="6"/>
  <c r="B1688" i="6"/>
  <c r="C1688" i="6" s="1"/>
  <c r="D1687" i="6"/>
  <c r="B1687" i="6"/>
  <c r="C1687" i="6" s="1"/>
  <c r="D1686" i="6"/>
  <c r="E1686" i="6" s="1"/>
  <c r="C1686" i="6"/>
  <c r="B1686" i="6"/>
  <c r="E1685" i="6"/>
  <c r="D1685" i="6"/>
  <c r="B1685" i="6"/>
  <c r="D1684" i="6"/>
  <c r="B1684" i="6"/>
  <c r="C1684" i="6" s="1"/>
  <c r="D1683" i="6"/>
  <c r="E1683" i="6" s="1"/>
  <c r="B1683" i="6"/>
  <c r="D1682" i="6"/>
  <c r="E1682" i="6" s="1"/>
  <c r="B1682" i="6"/>
  <c r="C1682" i="6" s="1"/>
  <c r="E1681" i="6"/>
  <c r="D1681" i="6"/>
  <c r="B1681" i="6"/>
  <c r="C1681" i="6" s="1"/>
  <c r="D1680" i="6"/>
  <c r="E1680" i="6" s="1"/>
  <c r="C1680" i="6"/>
  <c r="B1680" i="6"/>
  <c r="D1679" i="6"/>
  <c r="E1679" i="6" s="1"/>
  <c r="B1679" i="6"/>
  <c r="E1678" i="6"/>
  <c r="D1678" i="6"/>
  <c r="B1678" i="6"/>
  <c r="C1678" i="6" s="1"/>
  <c r="E1677" i="6"/>
  <c r="D1677" i="6"/>
  <c r="B1677" i="6"/>
  <c r="C1677" i="6" s="1"/>
  <c r="D1676" i="6"/>
  <c r="B1676" i="6"/>
  <c r="E1675" i="6"/>
  <c r="D1675" i="6"/>
  <c r="B1675" i="6"/>
  <c r="C1675" i="6" s="1"/>
  <c r="E1674" i="6"/>
  <c r="D1674" i="6"/>
  <c r="B1674" i="6"/>
  <c r="D1673" i="6"/>
  <c r="B1673" i="6"/>
  <c r="E1672" i="6"/>
  <c r="D1672" i="6"/>
  <c r="B1672" i="6"/>
  <c r="C1672" i="6" s="1"/>
  <c r="D1671" i="6"/>
  <c r="E1671" i="6" s="1"/>
  <c r="B1671" i="6"/>
  <c r="C1671" i="6" s="1"/>
  <c r="D1670" i="6"/>
  <c r="E1670" i="6" s="1"/>
  <c r="C1670" i="6"/>
  <c r="B1670" i="6"/>
  <c r="E1669" i="6"/>
  <c r="D1669" i="6"/>
  <c r="B1669" i="6"/>
  <c r="D1668" i="6"/>
  <c r="B1668" i="6"/>
  <c r="C1668" i="6" s="1"/>
  <c r="D1667" i="6"/>
  <c r="B1667" i="6"/>
  <c r="D1666" i="6"/>
  <c r="E1666" i="6" s="1"/>
  <c r="B1666" i="6"/>
  <c r="E1665" i="6"/>
  <c r="D1665" i="6"/>
  <c r="B1665" i="6"/>
  <c r="D1664" i="6"/>
  <c r="E1664" i="6" s="1"/>
  <c r="C1664" i="6"/>
  <c r="B1664" i="6"/>
  <c r="E1663" i="6"/>
  <c r="D1663" i="6"/>
  <c r="B1663" i="6"/>
  <c r="D1662" i="6"/>
  <c r="B1662" i="6"/>
  <c r="C1662" i="6" s="1"/>
  <c r="D1661" i="6"/>
  <c r="E1662" i="6" s="1"/>
  <c r="B1661" i="6"/>
  <c r="C1661" i="6" s="1"/>
  <c r="D1660" i="6"/>
  <c r="B1660" i="6"/>
  <c r="D1659" i="6"/>
  <c r="E1659" i="6" s="1"/>
  <c r="B1659" i="6"/>
  <c r="C1659" i="6" s="1"/>
  <c r="E1658" i="6"/>
  <c r="D1658" i="6"/>
  <c r="C1658" i="6"/>
  <c r="B1658" i="6"/>
  <c r="D1657" i="6"/>
  <c r="B1657" i="6"/>
  <c r="D1656" i="6"/>
  <c r="E1656" i="6" s="1"/>
  <c r="B1656" i="6"/>
  <c r="C1656" i="6" s="1"/>
  <c r="D1655" i="6"/>
  <c r="E1655" i="6" s="1"/>
  <c r="B1655" i="6"/>
  <c r="C1655" i="6" s="1"/>
  <c r="D1654" i="6"/>
  <c r="E1654" i="6" s="1"/>
  <c r="C1654" i="6"/>
  <c r="B1654" i="6"/>
  <c r="E1653" i="6"/>
  <c r="D1653" i="6"/>
  <c r="B1653" i="6"/>
  <c r="D1652" i="6"/>
  <c r="B1652" i="6"/>
  <c r="C1652" i="6" s="1"/>
  <c r="D1651" i="6"/>
  <c r="B1651" i="6"/>
  <c r="D1650" i="6"/>
  <c r="E1650" i="6" s="1"/>
  <c r="C1650" i="6"/>
  <c r="B1650" i="6"/>
  <c r="E1649" i="6"/>
  <c r="D1649" i="6"/>
  <c r="B1649" i="6"/>
  <c r="D1648" i="6"/>
  <c r="E1648" i="6" s="1"/>
  <c r="C1648" i="6"/>
  <c r="B1648" i="6"/>
  <c r="E1647" i="6"/>
  <c r="D1647" i="6"/>
  <c r="B1647" i="6"/>
  <c r="D1646" i="6"/>
  <c r="B1646" i="6"/>
  <c r="C1646" i="6" s="1"/>
  <c r="E1645" i="6"/>
  <c r="D1645" i="6"/>
  <c r="E1646" i="6" s="1"/>
  <c r="B1645" i="6"/>
  <c r="C1645" i="6" s="1"/>
  <c r="D1644" i="6"/>
  <c r="E1644" i="6" s="1"/>
  <c r="B1644" i="6"/>
  <c r="D1643" i="6"/>
  <c r="E1643" i="6" s="1"/>
  <c r="B1643" i="6"/>
  <c r="C1643" i="6" s="1"/>
  <c r="E1642" i="6"/>
  <c r="D1642" i="6"/>
  <c r="C1642" i="6"/>
  <c r="B1642" i="6"/>
  <c r="D1641" i="6"/>
  <c r="B1641" i="6"/>
  <c r="D1640" i="6"/>
  <c r="E1640" i="6" s="1"/>
  <c r="B1640" i="6"/>
  <c r="D1639" i="6"/>
  <c r="E1639" i="6" s="1"/>
  <c r="B1639" i="6"/>
  <c r="C1639" i="6" s="1"/>
  <c r="E1638" i="6"/>
  <c r="D1638" i="6"/>
  <c r="C1638" i="6"/>
  <c r="B1638" i="6"/>
  <c r="E1637" i="6"/>
  <c r="D1637" i="6"/>
  <c r="B1637" i="6"/>
  <c r="E1636" i="6"/>
  <c r="D1636" i="6"/>
  <c r="B1636" i="6"/>
  <c r="C1636" i="6" s="1"/>
  <c r="D1635" i="6"/>
  <c r="B1635" i="6"/>
  <c r="D1634" i="6"/>
  <c r="E1634" i="6" s="1"/>
  <c r="B1634" i="6"/>
  <c r="C1634" i="6" s="1"/>
  <c r="E1633" i="6"/>
  <c r="D1633" i="6"/>
  <c r="B1633" i="6"/>
  <c r="D1632" i="6"/>
  <c r="B1632" i="6"/>
  <c r="C1632" i="6" s="1"/>
  <c r="D1631" i="6"/>
  <c r="E1631" i="6" s="1"/>
  <c r="B1631" i="6"/>
  <c r="D1630" i="6"/>
  <c r="B1630" i="6"/>
  <c r="D1629" i="6"/>
  <c r="E1630" i="6" s="1"/>
  <c r="B1629" i="6"/>
  <c r="C1629" i="6" s="1"/>
  <c r="D1628" i="6"/>
  <c r="E1628" i="6" s="1"/>
  <c r="B1628" i="6"/>
  <c r="C1628" i="6" s="1"/>
  <c r="D1627" i="6"/>
  <c r="E1627" i="6" s="1"/>
  <c r="B1627" i="6"/>
  <c r="C1627" i="6" s="1"/>
  <c r="E1626" i="6"/>
  <c r="D1626" i="6"/>
  <c r="C1626" i="6"/>
  <c r="B1626" i="6"/>
  <c r="D1625" i="6"/>
  <c r="E1625" i="6" s="1"/>
  <c r="B1625" i="6"/>
  <c r="D1624" i="6"/>
  <c r="E1624" i="6" s="1"/>
  <c r="B1624" i="6"/>
  <c r="C1624" i="6" s="1"/>
  <c r="D1623" i="6"/>
  <c r="E1623" i="6" s="1"/>
  <c r="B1623" i="6"/>
  <c r="C1623" i="6" s="1"/>
  <c r="E1622" i="6"/>
  <c r="D1622" i="6"/>
  <c r="C1622" i="6"/>
  <c r="B1622" i="6"/>
  <c r="D1621" i="6"/>
  <c r="B1621" i="6"/>
  <c r="E1620" i="6"/>
  <c r="D1620" i="6"/>
  <c r="E1621" i="6" s="1"/>
  <c r="C1620" i="6"/>
  <c r="B1620" i="6"/>
  <c r="D1619" i="6"/>
  <c r="B1619" i="6"/>
  <c r="D1618" i="6"/>
  <c r="E1618" i="6" s="1"/>
  <c r="C1618" i="6"/>
  <c r="B1618" i="6"/>
  <c r="E1617" i="6"/>
  <c r="D1617" i="6"/>
  <c r="B1617" i="6"/>
  <c r="D1616" i="6"/>
  <c r="B1616" i="6"/>
  <c r="C1616" i="6" s="1"/>
  <c r="D1615" i="6"/>
  <c r="E1615" i="6" s="1"/>
  <c r="B1615" i="6"/>
  <c r="D1614" i="6"/>
  <c r="B1614" i="6"/>
  <c r="D1613" i="6"/>
  <c r="B1613" i="6"/>
  <c r="C1613" i="6" s="1"/>
  <c r="D1612" i="6"/>
  <c r="E1612" i="6" s="1"/>
  <c r="B1612" i="6"/>
  <c r="C1612" i="6" s="1"/>
  <c r="E1611" i="6"/>
  <c r="D1611" i="6"/>
  <c r="B1611" i="6"/>
  <c r="C1611" i="6" s="1"/>
  <c r="D1610" i="6"/>
  <c r="C1610" i="6"/>
  <c r="B1610" i="6"/>
  <c r="D1609" i="6"/>
  <c r="B1609" i="6"/>
  <c r="C1609" i="6" s="1"/>
  <c r="D1608" i="6"/>
  <c r="E1608" i="6" s="1"/>
  <c r="B1608" i="6"/>
  <c r="D1607" i="6"/>
  <c r="B1607" i="6"/>
  <c r="C1607" i="6" s="1"/>
  <c r="D1606" i="6"/>
  <c r="E1606" i="6" s="1"/>
  <c r="C1606" i="6"/>
  <c r="B1606" i="6"/>
  <c r="D1605" i="6"/>
  <c r="B1605" i="6"/>
  <c r="D1604" i="6"/>
  <c r="E1605" i="6" s="1"/>
  <c r="C1604" i="6"/>
  <c r="B1604" i="6"/>
  <c r="D1603" i="6"/>
  <c r="B1603" i="6"/>
  <c r="D1602" i="6"/>
  <c r="E1602" i="6" s="1"/>
  <c r="C1602" i="6"/>
  <c r="B1602" i="6"/>
  <c r="E1601" i="6"/>
  <c r="D1601" i="6"/>
  <c r="B1601" i="6"/>
  <c r="C1601" i="6" s="1"/>
  <c r="D1600" i="6"/>
  <c r="B1600" i="6"/>
  <c r="C1600" i="6" s="1"/>
  <c r="E1599" i="6"/>
  <c r="D1599" i="6"/>
  <c r="B1599" i="6"/>
  <c r="E1598" i="6"/>
  <c r="D1598" i="6"/>
  <c r="B1598" i="6"/>
  <c r="D1597" i="6"/>
  <c r="E1597" i="6" s="1"/>
  <c r="B1597" i="6"/>
  <c r="C1597" i="6" s="1"/>
  <c r="D1596" i="6"/>
  <c r="E1596" i="6" s="1"/>
  <c r="B1596" i="6"/>
  <c r="C1596" i="6" s="1"/>
  <c r="E1595" i="6"/>
  <c r="D1595" i="6"/>
  <c r="B1595" i="6"/>
  <c r="C1595" i="6" s="1"/>
  <c r="D1594" i="6"/>
  <c r="C1594" i="6"/>
  <c r="B1594" i="6"/>
  <c r="D1593" i="6"/>
  <c r="B1593" i="6"/>
  <c r="C1593" i="6" s="1"/>
  <c r="E1592" i="6"/>
  <c r="D1592" i="6"/>
  <c r="B1592" i="6"/>
  <c r="D1591" i="6"/>
  <c r="B1591" i="6"/>
  <c r="C1591" i="6" s="1"/>
  <c r="D1590" i="6"/>
  <c r="E1590" i="6" s="1"/>
  <c r="C1590" i="6"/>
  <c r="B1590" i="6"/>
  <c r="D1589" i="6"/>
  <c r="B1589" i="6"/>
  <c r="E1588" i="6"/>
  <c r="D1588" i="6"/>
  <c r="E1589" i="6" s="1"/>
  <c r="B1588" i="6"/>
  <c r="C1588" i="6" s="1"/>
  <c r="D1587" i="6"/>
  <c r="E1587" i="6" s="1"/>
  <c r="B1587" i="6"/>
  <c r="D1586" i="6"/>
  <c r="E1586" i="6" s="1"/>
  <c r="B1586" i="6"/>
  <c r="E1585" i="6"/>
  <c r="D1585" i="6"/>
  <c r="B1585" i="6"/>
  <c r="C1585" i="6" s="1"/>
  <c r="D1584" i="6"/>
  <c r="B1584" i="6"/>
  <c r="C1584" i="6" s="1"/>
  <c r="D1583" i="6"/>
  <c r="E1583" i="6" s="1"/>
  <c r="B1583" i="6"/>
  <c r="E1582" i="6"/>
  <c r="D1582" i="6"/>
  <c r="B1582" i="6"/>
  <c r="C1582" i="6" s="1"/>
  <c r="D1581" i="6"/>
  <c r="E1581" i="6" s="1"/>
  <c r="B1581" i="6"/>
  <c r="C1581" i="6" s="1"/>
  <c r="D1580" i="6"/>
  <c r="B1580" i="6"/>
  <c r="C1580" i="6" s="1"/>
  <c r="D1579" i="6"/>
  <c r="E1579" i="6" s="1"/>
  <c r="B1579" i="6"/>
  <c r="C1579" i="6" s="1"/>
  <c r="D1578" i="6"/>
  <c r="B1578" i="6"/>
  <c r="D1577" i="6"/>
  <c r="B1577" i="6"/>
  <c r="E1576" i="6"/>
  <c r="D1576" i="6"/>
  <c r="B1576" i="6"/>
  <c r="D1575" i="6"/>
  <c r="B1575" i="6"/>
  <c r="C1575" i="6" s="1"/>
  <c r="E1574" i="6"/>
  <c r="D1574" i="6"/>
  <c r="C1574" i="6"/>
  <c r="B1574" i="6"/>
  <c r="D1573" i="6"/>
  <c r="B1573" i="6"/>
  <c r="D1572" i="6"/>
  <c r="C1572" i="6"/>
  <c r="B1572" i="6"/>
  <c r="E1571" i="6"/>
  <c r="D1571" i="6"/>
  <c r="B1571" i="6"/>
  <c r="D1570" i="6"/>
  <c r="B1570" i="6"/>
  <c r="D1569" i="6"/>
  <c r="E1569" i="6" s="1"/>
  <c r="B1569" i="6"/>
  <c r="C1569" i="6" s="1"/>
  <c r="D1568" i="6"/>
  <c r="B1568" i="6"/>
  <c r="C1568" i="6" s="1"/>
  <c r="D1567" i="6"/>
  <c r="E1567" i="6" s="1"/>
  <c r="B1567" i="6"/>
  <c r="C1567" i="6" s="1"/>
  <c r="E1566" i="6"/>
  <c r="D1566" i="6"/>
  <c r="B1566" i="6"/>
  <c r="C1566" i="6" s="1"/>
  <c r="D1565" i="6"/>
  <c r="E1565" i="6" s="1"/>
  <c r="B1565" i="6"/>
  <c r="C1565" i="6" s="1"/>
  <c r="E1564" i="6"/>
  <c r="D1564" i="6"/>
  <c r="B1564" i="6"/>
  <c r="C1564" i="6" s="1"/>
  <c r="E1563" i="6"/>
  <c r="D1563" i="6"/>
  <c r="B1563" i="6"/>
  <c r="C1563" i="6" s="1"/>
  <c r="D1562" i="6"/>
  <c r="C1562" i="6"/>
  <c r="B1562" i="6"/>
  <c r="D1561" i="6"/>
  <c r="B1561" i="6"/>
  <c r="C1561" i="6" s="1"/>
  <c r="E1560" i="6"/>
  <c r="D1560" i="6"/>
  <c r="B1560" i="6"/>
  <c r="D1559" i="6"/>
  <c r="E1559" i="6" s="1"/>
  <c r="B1559" i="6"/>
  <c r="E1558" i="6"/>
  <c r="D1558" i="6"/>
  <c r="C1558" i="6"/>
  <c r="B1558" i="6"/>
  <c r="D1557" i="6"/>
  <c r="B1557" i="6"/>
  <c r="E1556" i="6"/>
  <c r="D1556" i="6"/>
  <c r="E1557" i="6" s="1"/>
  <c r="C1556" i="6"/>
  <c r="B1556" i="6"/>
  <c r="D1555" i="6"/>
  <c r="B1555" i="6"/>
  <c r="D1554" i="6"/>
  <c r="E1554" i="6" s="1"/>
  <c r="C1554" i="6"/>
  <c r="B1554" i="6"/>
  <c r="E1553" i="6"/>
  <c r="D1553" i="6"/>
  <c r="B1553" i="6"/>
  <c r="D1552" i="6"/>
  <c r="B1552" i="6"/>
  <c r="D1551" i="6"/>
  <c r="E1551" i="6" s="1"/>
  <c r="B1551" i="6"/>
  <c r="C1551" i="6" s="1"/>
  <c r="D1550" i="6"/>
  <c r="B1550" i="6"/>
  <c r="D1549" i="6"/>
  <c r="B1549" i="6"/>
  <c r="C1549" i="6" s="1"/>
  <c r="D1548" i="6"/>
  <c r="E1548" i="6" s="1"/>
  <c r="B1548" i="6"/>
  <c r="C1548" i="6" s="1"/>
  <c r="D1547" i="6"/>
  <c r="E1547" i="6" s="1"/>
  <c r="B1547" i="6"/>
  <c r="C1547" i="6" s="1"/>
  <c r="E1546" i="6"/>
  <c r="D1546" i="6"/>
  <c r="C1546" i="6"/>
  <c r="B1546" i="6"/>
  <c r="D1545" i="6"/>
  <c r="E1545" i="6" s="1"/>
  <c r="B1545" i="6"/>
  <c r="E1544" i="6"/>
  <c r="D1544" i="6"/>
  <c r="B1544" i="6"/>
  <c r="D1543" i="6"/>
  <c r="E1543" i="6" s="1"/>
  <c r="B1543" i="6"/>
  <c r="C1543" i="6" s="1"/>
  <c r="E1542" i="6"/>
  <c r="D1542" i="6"/>
  <c r="C1542" i="6"/>
  <c r="B1542" i="6"/>
  <c r="E1541" i="6"/>
  <c r="D1541" i="6"/>
  <c r="B1541" i="6"/>
  <c r="D1540" i="6"/>
  <c r="B1540" i="6"/>
  <c r="C1540" i="6" s="1"/>
  <c r="D1539" i="6"/>
  <c r="B1539" i="6"/>
  <c r="D1538" i="6"/>
  <c r="E1538" i="6" s="1"/>
  <c r="C1538" i="6"/>
  <c r="B1538" i="6"/>
  <c r="D1537" i="6"/>
  <c r="E1537" i="6" s="1"/>
  <c r="B1537" i="6"/>
  <c r="D1536" i="6"/>
  <c r="E1536" i="6" s="1"/>
  <c r="C1536" i="6"/>
  <c r="B1536" i="6"/>
  <c r="E1535" i="6"/>
  <c r="D1535" i="6"/>
  <c r="B1535" i="6"/>
  <c r="D1534" i="6"/>
  <c r="B1534" i="6"/>
  <c r="D1533" i="6"/>
  <c r="E1534" i="6" s="1"/>
  <c r="B1533" i="6"/>
  <c r="C1533" i="6" s="1"/>
  <c r="D1532" i="6"/>
  <c r="B1532" i="6"/>
  <c r="D1531" i="6"/>
  <c r="B1531" i="6"/>
  <c r="C1531" i="6" s="1"/>
  <c r="D1530" i="6"/>
  <c r="E1530" i="6" s="1"/>
  <c r="B1530" i="6"/>
  <c r="D1529" i="6"/>
  <c r="B1529" i="6"/>
  <c r="D1528" i="6"/>
  <c r="E1529" i="6" s="1"/>
  <c r="C1528" i="6"/>
  <c r="B1528" i="6"/>
  <c r="D1527" i="6"/>
  <c r="B1527" i="6"/>
  <c r="D1526" i="6"/>
  <c r="E1526" i="6" s="1"/>
  <c r="C1526" i="6"/>
  <c r="B1526" i="6"/>
  <c r="D1525" i="6"/>
  <c r="B1525" i="6"/>
  <c r="D1524" i="6"/>
  <c r="B1524" i="6"/>
  <c r="C1524" i="6" s="1"/>
  <c r="D1523" i="6"/>
  <c r="B1523" i="6"/>
  <c r="D1522" i="6"/>
  <c r="E1522" i="6" s="1"/>
  <c r="C1522" i="6"/>
  <c r="B1522" i="6"/>
  <c r="E1521" i="6"/>
  <c r="D1521" i="6"/>
  <c r="B1521" i="6"/>
  <c r="D1520" i="6"/>
  <c r="E1520" i="6" s="1"/>
  <c r="B1520" i="6"/>
  <c r="C1520" i="6" s="1"/>
  <c r="E1519" i="6"/>
  <c r="D1519" i="6"/>
  <c r="B1519" i="6"/>
  <c r="C1519" i="6" s="1"/>
  <c r="D1518" i="6"/>
  <c r="E1518" i="6" s="1"/>
  <c r="C1518" i="6"/>
  <c r="B1518" i="6"/>
  <c r="D1517" i="6"/>
  <c r="B1517" i="6"/>
  <c r="C1517" i="6" s="1"/>
  <c r="D1516" i="6"/>
  <c r="C1516" i="6"/>
  <c r="B1516" i="6"/>
  <c r="D1515" i="6"/>
  <c r="B1515" i="6"/>
  <c r="D1514" i="6"/>
  <c r="E1514" i="6" s="1"/>
  <c r="C1514" i="6"/>
  <c r="B1514" i="6"/>
  <c r="E1513" i="6"/>
  <c r="D1513" i="6"/>
  <c r="B1513" i="6"/>
  <c r="D1512" i="6"/>
  <c r="E1512" i="6" s="1"/>
  <c r="B1512" i="6"/>
  <c r="C1512" i="6" s="1"/>
  <c r="E1511" i="6"/>
  <c r="D1511" i="6"/>
  <c r="B1511" i="6"/>
  <c r="C1511" i="6" s="1"/>
  <c r="D1510" i="6"/>
  <c r="E1510" i="6" s="1"/>
  <c r="C1510" i="6"/>
  <c r="B1510" i="6"/>
  <c r="D1509" i="6"/>
  <c r="B1509" i="6"/>
  <c r="D1508" i="6"/>
  <c r="B1508" i="6"/>
  <c r="C1508" i="6" s="1"/>
  <c r="D1507" i="6"/>
  <c r="B1507" i="6"/>
  <c r="D1506" i="6"/>
  <c r="E1506" i="6" s="1"/>
  <c r="B1506" i="6"/>
  <c r="C1506" i="6" s="1"/>
  <c r="E1505" i="6"/>
  <c r="D1505" i="6"/>
  <c r="B1505" i="6"/>
  <c r="D1504" i="6"/>
  <c r="E1504" i="6" s="1"/>
  <c r="B1504" i="6"/>
  <c r="C1504" i="6" s="1"/>
  <c r="D1503" i="6"/>
  <c r="B1503" i="6"/>
  <c r="C1503" i="6" s="1"/>
  <c r="D1502" i="6"/>
  <c r="E1502" i="6" s="1"/>
  <c r="C1502" i="6"/>
  <c r="B1502" i="6"/>
  <c r="D1501" i="6"/>
  <c r="B1501" i="6"/>
  <c r="C1501" i="6" s="1"/>
  <c r="D1500" i="6"/>
  <c r="B1500" i="6"/>
  <c r="C1500" i="6" s="1"/>
  <c r="D1499" i="6"/>
  <c r="B1499" i="6"/>
  <c r="D1498" i="6"/>
  <c r="E1498" i="6" s="1"/>
  <c r="C1498" i="6"/>
  <c r="B1498" i="6"/>
  <c r="E1497" i="6"/>
  <c r="D1497" i="6"/>
  <c r="B1497" i="6"/>
  <c r="D1496" i="6"/>
  <c r="E1496" i="6" s="1"/>
  <c r="B1496" i="6"/>
  <c r="C1496" i="6" s="1"/>
  <c r="E1495" i="6"/>
  <c r="D1495" i="6"/>
  <c r="B1495" i="6"/>
  <c r="C1495" i="6" s="1"/>
  <c r="D1494" i="6"/>
  <c r="E1494" i="6" s="1"/>
  <c r="C1494" i="6"/>
  <c r="B1494" i="6"/>
  <c r="D1493" i="6"/>
  <c r="B1493" i="6"/>
  <c r="C1493" i="6" s="1"/>
  <c r="D1492" i="6"/>
  <c r="C1492" i="6"/>
  <c r="B1492" i="6"/>
  <c r="D1491" i="6"/>
  <c r="B1491" i="6"/>
  <c r="D1490" i="6"/>
  <c r="E1490" i="6" s="1"/>
  <c r="C1490" i="6"/>
  <c r="B1490" i="6"/>
  <c r="E1489" i="6"/>
  <c r="D1489" i="6"/>
  <c r="B1489" i="6"/>
  <c r="D1488" i="6"/>
  <c r="E1488" i="6" s="1"/>
  <c r="B1488" i="6"/>
  <c r="C1488" i="6" s="1"/>
  <c r="D1487" i="6"/>
  <c r="B1487" i="6"/>
  <c r="C1487" i="6" s="1"/>
  <c r="D1486" i="6"/>
  <c r="E1486" i="6" s="1"/>
  <c r="C1486" i="6"/>
  <c r="B1486" i="6"/>
  <c r="D1485" i="6"/>
  <c r="B1485" i="6"/>
  <c r="D1484" i="6"/>
  <c r="B1484" i="6"/>
  <c r="C1484" i="6" s="1"/>
  <c r="D1483" i="6"/>
  <c r="B1483" i="6"/>
  <c r="D1482" i="6"/>
  <c r="E1482" i="6" s="1"/>
  <c r="B1482" i="6"/>
  <c r="C1482" i="6" s="1"/>
  <c r="E1481" i="6"/>
  <c r="D1481" i="6"/>
  <c r="B1481" i="6"/>
  <c r="D1480" i="6"/>
  <c r="E1480" i="6" s="1"/>
  <c r="B1480" i="6"/>
  <c r="C1480" i="6" s="1"/>
  <c r="E1479" i="6"/>
  <c r="D1479" i="6"/>
  <c r="B1479" i="6"/>
  <c r="C1479" i="6" s="1"/>
  <c r="D1478" i="6"/>
  <c r="E1478" i="6" s="1"/>
  <c r="C1478" i="6"/>
  <c r="B1478" i="6"/>
  <c r="D1477" i="6"/>
  <c r="B1477" i="6"/>
  <c r="C1477" i="6" s="1"/>
  <c r="D1476" i="6"/>
  <c r="B1476" i="6"/>
  <c r="C1476" i="6" s="1"/>
  <c r="D1475" i="6"/>
  <c r="B1475" i="6"/>
  <c r="D1474" i="6"/>
  <c r="E1474" i="6" s="1"/>
  <c r="C1474" i="6"/>
  <c r="B1474" i="6"/>
  <c r="E1473" i="6"/>
  <c r="D1473" i="6"/>
  <c r="B1473" i="6"/>
  <c r="D1472" i="6"/>
  <c r="E1472" i="6" s="1"/>
  <c r="B1472" i="6"/>
  <c r="C1472" i="6" s="1"/>
  <c r="E1471" i="6"/>
  <c r="D1471" i="6"/>
  <c r="B1471" i="6"/>
  <c r="C1471" i="6" s="1"/>
  <c r="D1470" i="6"/>
  <c r="E1470" i="6" s="1"/>
  <c r="C1470" i="6"/>
  <c r="B1470" i="6"/>
  <c r="D1469" i="6"/>
  <c r="B1469" i="6"/>
  <c r="D1468" i="6"/>
  <c r="B1468" i="6"/>
  <c r="C1468" i="6" s="1"/>
  <c r="D1467" i="6"/>
  <c r="B1467" i="6"/>
  <c r="D1466" i="6"/>
  <c r="E1466" i="6" s="1"/>
  <c r="B1466" i="6"/>
  <c r="C1466" i="6" s="1"/>
  <c r="E1465" i="6"/>
  <c r="D1465" i="6"/>
  <c r="B1465" i="6"/>
  <c r="D1464" i="6"/>
  <c r="E1464" i="6" s="1"/>
  <c r="B1464" i="6"/>
  <c r="C1464" i="6" s="1"/>
  <c r="D1463" i="6"/>
  <c r="B1463" i="6"/>
  <c r="C1463" i="6" s="1"/>
  <c r="D1462" i="6"/>
  <c r="E1462" i="6" s="1"/>
  <c r="B1462" i="6"/>
  <c r="D1461" i="6"/>
  <c r="B1461" i="6"/>
  <c r="D1460" i="6"/>
  <c r="B1460" i="6"/>
  <c r="C1460" i="6" s="1"/>
  <c r="D1459" i="6"/>
  <c r="B1459" i="6"/>
  <c r="D1458" i="6"/>
  <c r="E1458" i="6" s="1"/>
  <c r="C1458" i="6"/>
  <c r="B1458" i="6"/>
  <c r="E1457" i="6"/>
  <c r="D1457" i="6"/>
  <c r="B1457" i="6"/>
  <c r="D1456" i="6"/>
  <c r="E1456" i="6" s="1"/>
  <c r="B1456" i="6"/>
  <c r="C1456" i="6" s="1"/>
  <c r="E1455" i="6"/>
  <c r="D1455" i="6"/>
  <c r="B1455" i="6"/>
  <c r="C1455" i="6" s="1"/>
  <c r="D1454" i="6"/>
  <c r="E1454" i="6" s="1"/>
  <c r="B1454" i="6"/>
  <c r="D1453" i="6"/>
  <c r="B1453" i="6"/>
  <c r="D1452" i="6"/>
  <c r="B1452" i="6"/>
  <c r="C1452" i="6" s="1"/>
  <c r="D1451" i="6"/>
  <c r="B1451" i="6"/>
  <c r="D1450" i="6"/>
  <c r="E1450" i="6" s="1"/>
  <c r="B1450" i="6"/>
  <c r="C1450" i="6" s="1"/>
  <c r="E1449" i="6"/>
  <c r="D1449" i="6"/>
  <c r="B1449" i="6"/>
  <c r="D1448" i="6"/>
  <c r="E1448" i="6" s="1"/>
  <c r="B1448" i="6"/>
  <c r="D1447" i="6"/>
  <c r="B1447" i="6"/>
  <c r="C1447" i="6" s="1"/>
  <c r="D1446" i="6"/>
  <c r="E1446" i="6" s="1"/>
  <c r="B1446" i="6"/>
  <c r="D1445" i="6"/>
  <c r="B1445" i="6"/>
  <c r="D1444" i="6"/>
  <c r="B1444" i="6"/>
  <c r="C1444" i="6" s="1"/>
  <c r="D1443" i="6"/>
  <c r="B1443" i="6"/>
  <c r="D1442" i="6"/>
  <c r="E1442" i="6" s="1"/>
  <c r="C1442" i="6"/>
  <c r="B1442" i="6"/>
  <c r="E1441" i="6"/>
  <c r="D1441" i="6"/>
  <c r="B1441" i="6"/>
  <c r="D1440" i="6"/>
  <c r="E1440" i="6" s="1"/>
  <c r="B1440" i="6"/>
  <c r="C1440" i="6" s="1"/>
  <c r="E1439" i="6"/>
  <c r="D1439" i="6"/>
  <c r="B1439" i="6"/>
  <c r="C1439" i="6" s="1"/>
  <c r="D1438" i="6"/>
  <c r="E1438" i="6" s="1"/>
  <c r="B1438" i="6"/>
  <c r="D1437" i="6"/>
  <c r="B1437" i="6"/>
  <c r="D1436" i="6"/>
  <c r="E1436" i="6" s="1"/>
  <c r="B1436" i="6"/>
  <c r="C1436" i="6" s="1"/>
  <c r="D1435" i="6"/>
  <c r="B1435" i="6"/>
  <c r="D1434" i="6"/>
  <c r="E1435" i="6" s="1"/>
  <c r="B1434" i="6"/>
  <c r="C1434" i="6" s="1"/>
  <c r="E1433" i="6"/>
  <c r="D1433" i="6"/>
  <c r="B1433" i="6"/>
  <c r="D1432" i="6"/>
  <c r="B1432" i="6"/>
  <c r="D1431" i="6"/>
  <c r="E1431" i="6" s="1"/>
  <c r="B1431" i="6"/>
  <c r="C1431" i="6" s="1"/>
  <c r="D1430" i="6"/>
  <c r="E1430" i="6" s="1"/>
  <c r="B1430" i="6"/>
  <c r="D1429" i="6"/>
  <c r="E1429" i="6" s="1"/>
  <c r="B1429" i="6"/>
  <c r="D1428" i="6"/>
  <c r="E1428" i="6" s="1"/>
  <c r="B1428" i="6"/>
  <c r="C1428" i="6" s="1"/>
  <c r="D1427" i="6"/>
  <c r="B1427" i="6"/>
  <c r="D1426" i="6"/>
  <c r="E1427" i="6" s="1"/>
  <c r="C1426" i="6"/>
  <c r="B1426" i="6"/>
  <c r="D1425" i="6"/>
  <c r="E1425" i="6" s="1"/>
  <c r="B1425" i="6"/>
  <c r="D1424" i="6"/>
  <c r="B1424" i="6"/>
  <c r="C1424" i="6" s="1"/>
  <c r="D1423" i="6"/>
  <c r="E1423" i="6" s="1"/>
  <c r="B1423" i="6"/>
  <c r="C1423" i="6" s="1"/>
  <c r="D1422" i="6"/>
  <c r="E1422" i="6" s="1"/>
  <c r="B1422" i="6"/>
  <c r="D1421" i="6"/>
  <c r="B1421" i="6"/>
  <c r="D1420" i="6"/>
  <c r="E1420" i="6" s="1"/>
  <c r="B1420" i="6"/>
  <c r="C1420" i="6" s="1"/>
  <c r="D1419" i="6"/>
  <c r="B1419" i="6"/>
  <c r="D1418" i="6"/>
  <c r="E1419" i="6" s="1"/>
  <c r="B1418" i="6"/>
  <c r="C1418" i="6" s="1"/>
  <c r="E1417" i="6"/>
  <c r="D1417" i="6"/>
  <c r="B1417" i="6"/>
  <c r="D1416" i="6"/>
  <c r="B1416" i="6"/>
  <c r="D1415" i="6"/>
  <c r="E1415" i="6" s="1"/>
  <c r="B1415" i="6"/>
  <c r="C1415" i="6" s="1"/>
  <c r="D1414" i="6"/>
  <c r="E1414" i="6" s="1"/>
  <c r="B1414" i="6"/>
  <c r="D1413" i="6"/>
  <c r="E1413" i="6" s="1"/>
  <c r="B1413" i="6"/>
  <c r="D1412" i="6"/>
  <c r="E1412" i="6" s="1"/>
  <c r="B1412" i="6"/>
  <c r="C1412" i="6" s="1"/>
  <c r="D1411" i="6"/>
  <c r="B1411" i="6"/>
  <c r="D1410" i="6"/>
  <c r="E1411" i="6" s="1"/>
  <c r="C1410" i="6"/>
  <c r="B1410" i="6"/>
  <c r="D1409" i="6"/>
  <c r="E1409" i="6" s="1"/>
  <c r="B1409" i="6"/>
  <c r="D1408" i="6"/>
  <c r="B1408" i="6"/>
  <c r="C1408" i="6" s="1"/>
  <c r="D1407" i="6"/>
  <c r="E1407" i="6" s="1"/>
  <c r="B1407" i="6"/>
  <c r="C1407" i="6" s="1"/>
  <c r="D1406" i="6"/>
  <c r="E1406" i="6" s="1"/>
  <c r="B1406" i="6"/>
  <c r="D1405" i="6"/>
  <c r="B1405" i="6"/>
  <c r="D1404" i="6"/>
  <c r="E1404" i="6" s="1"/>
  <c r="B1404" i="6"/>
  <c r="C1404" i="6" s="1"/>
  <c r="D1403" i="6"/>
  <c r="B1403" i="6"/>
  <c r="D1402" i="6"/>
  <c r="E1403" i="6" s="1"/>
  <c r="B1402" i="6"/>
  <c r="C1402" i="6" s="1"/>
  <c r="E1401" i="6"/>
  <c r="D1401" i="6"/>
  <c r="B1401" i="6"/>
  <c r="D1400" i="6"/>
  <c r="B1400" i="6"/>
  <c r="D1399" i="6"/>
  <c r="E1399" i="6" s="1"/>
  <c r="B1399" i="6"/>
  <c r="C1399" i="6" s="1"/>
  <c r="D1398" i="6"/>
  <c r="E1398" i="6" s="1"/>
  <c r="B1398" i="6"/>
  <c r="D1397" i="6"/>
  <c r="E1397" i="6" s="1"/>
  <c r="B1397" i="6"/>
  <c r="D1396" i="6"/>
  <c r="E1396" i="6" s="1"/>
  <c r="B1396" i="6"/>
  <c r="C1396" i="6" s="1"/>
  <c r="D1395" i="6"/>
  <c r="B1395" i="6"/>
  <c r="D1394" i="6"/>
  <c r="E1395" i="6" s="1"/>
  <c r="C1394" i="6"/>
  <c r="B1394" i="6"/>
  <c r="D1393" i="6"/>
  <c r="E1393" i="6" s="1"/>
  <c r="B1393" i="6"/>
  <c r="D1392" i="6"/>
  <c r="B1392" i="6"/>
  <c r="C1392" i="6" s="1"/>
  <c r="D1391" i="6"/>
  <c r="E1391" i="6" s="1"/>
  <c r="B1391" i="6"/>
  <c r="C1391" i="6" s="1"/>
  <c r="D1390" i="6"/>
  <c r="E1390" i="6" s="1"/>
  <c r="B1390" i="6"/>
  <c r="D1389" i="6"/>
  <c r="B1389" i="6"/>
  <c r="D1388" i="6"/>
  <c r="E1388" i="6" s="1"/>
  <c r="B1388" i="6"/>
  <c r="C1388" i="6" s="1"/>
  <c r="D1387" i="6"/>
  <c r="B1387" i="6"/>
  <c r="D1386" i="6"/>
  <c r="E1387" i="6" s="1"/>
  <c r="B1386" i="6"/>
  <c r="C1386" i="6" s="1"/>
  <c r="E1385" i="6"/>
  <c r="D1385" i="6"/>
  <c r="B1385" i="6"/>
  <c r="D1384" i="6"/>
  <c r="B1384" i="6"/>
  <c r="D1383" i="6"/>
  <c r="E1383" i="6" s="1"/>
  <c r="B1383" i="6"/>
  <c r="C1383" i="6" s="1"/>
  <c r="D1382" i="6"/>
  <c r="E1382" i="6" s="1"/>
  <c r="B1382" i="6"/>
  <c r="D1381" i="6"/>
  <c r="E1381" i="6" s="1"/>
  <c r="B1381" i="6"/>
  <c r="D1380" i="6"/>
  <c r="E1380" i="6" s="1"/>
  <c r="B1380" i="6"/>
  <c r="C1380" i="6" s="1"/>
  <c r="D1379" i="6"/>
  <c r="B1379" i="6"/>
  <c r="D1378" i="6"/>
  <c r="E1379" i="6" s="1"/>
  <c r="C1378" i="6"/>
  <c r="B1378" i="6"/>
  <c r="D1377" i="6"/>
  <c r="E1377" i="6" s="1"/>
  <c r="B1377" i="6"/>
  <c r="D1376" i="6"/>
  <c r="B1376" i="6"/>
  <c r="C1376" i="6" s="1"/>
  <c r="D1375" i="6"/>
  <c r="E1375" i="6" s="1"/>
  <c r="B1375" i="6"/>
  <c r="C1375" i="6" s="1"/>
  <c r="D1374" i="6"/>
  <c r="E1374" i="6" s="1"/>
  <c r="B1374" i="6"/>
  <c r="D1373" i="6"/>
  <c r="B1373" i="6"/>
  <c r="D1372" i="6"/>
  <c r="E1372" i="6" s="1"/>
  <c r="B1372" i="6"/>
  <c r="C1372" i="6" s="1"/>
  <c r="D1371" i="6"/>
  <c r="B1371" i="6"/>
  <c r="D1370" i="6"/>
  <c r="E1371" i="6" s="1"/>
  <c r="B1370" i="6"/>
  <c r="C1370" i="6" s="1"/>
  <c r="E1369" i="6"/>
  <c r="D1369" i="6"/>
  <c r="B1369" i="6"/>
  <c r="D1368" i="6"/>
  <c r="B1368" i="6"/>
  <c r="D1367" i="6"/>
  <c r="E1367" i="6" s="1"/>
  <c r="B1367" i="6"/>
  <c r="C1367" i="6" s="1"/>
  <c r="D1366" i="6"/>
  <c r="E1366" i="6" s="1"/>
  <c r="B1366" i="6"/>
  <c r="D1365" i="6"/>
  <c r="E1365" i="6" s="1"/>
  <c r="B1365" i="6"/>
  <c r="D1364" i="6"/>
  <c r="E1364" i="6" s="1"/>
  <c r="B1364" i="6"/>
  <c r="C1364" i="6" s="1"/>
  <c r="D1363" i="6"/>
  <c r="B1363" i="6"/>
  <c r="D1362" i="6"/>
  <c r="E1363" i="6" s="1"/>
  <c r="C1362" i="6"/>
  <c r="B1362" i="6"/>
  <c r="D1361" i="6"/>
  <c r="E1361" i="6" s="1"/>
  <c r="B1361" i="6"/>
  <c r="D1360" i="6"/>
  <c r="B1360" i="6"/>
  <c r="C1360" i="6" s="1"/>
  <c r="D1359" i="6"/>
  <c r="E1359" i="6" s="1"/>
  <c r="B1359" i="6"/>
  <c r="C1359" i="6" s="1"/>
  <c r="D1358" i="6"/>
  <c r="E1358" i="6" s="1"/>
  <c r="B1358" i="6"/>
  <c r="D1357" i="6"/>
  <c r="B1357" i="6"/>
  <c r="D1356" i="6"/>
  <c r="E1356" i="6" s="1"/>
  <c r="B1356" i="6"/>
  <c r="C1356" i="6" s="1"/>
  <c r="D1355" i="6"/>
  <c r="B1355" i="6"/>
  <c r="D1354" i="6"/>
  <c r="E1355" i="6" s="1"/>
  <c r="B1354" i="6"/>
  <c r="C1354" i="6" s="1"/>
  <c r="E1353" i="6"/>
  <c r="D1353" i="6"/>
  <c r="B1353" i="6"/>
  <c r="D1352" i="6"/>
  <c r="B1352" i="6"/>
  <c r="D1351" i="6"/>
  <c r="E1351" i="6" s="1"/>
  <c r="B1351" i="6"/>
  <c r="C1351" i="6" s="1"/>
  <c r="D1350" i="6"/>
  <c r="E1350" i="6" s="1"/>
  <c r="B1350" i="6"/>
  <c r="D1349" i="6"/>
  <c r="E1349" i="6" s="1"/>
  <c r="B1349" i="6"/>
  <c r="D1348" i="6"/>
  <c r="E1348" i="6" s="1"/>
  <c r="B1348" i="6"/>
  <c r="C1348" i="6" s="1"/>
  <c r="D1347" i="6"/>
  <c r="B1347" i="6"/>
  <c r="D1346" i="6"/>
  <c r="E1347" i="6" s="1"/>
  <c r="C1346" i="6"/>
  <c r="B1346" i="6"/>
  <c r="D1345" i="6"/>
  <c r="E1345" i="6" s="1"/>
  <c r="B1345" i="6"/>
  <c r="D1344" i="6"/>
  <c r="B1344" i="6"/>
  <c r="C1344" i="6" s="1"/>
  <c r="D1343" i="6"/>
  <c r="E1343" i="6" s="1"/>
  <c r="B1343" i="6"/>
  <c r="C1343" i="6" s="1"/>
  <c r="D1342" i="6"/>
  <c r="E1342" i="6" s="1"/>
  <c r="B1342" i="6"/>
  <c r="D1341" i="6"/>
  <c r="B1341" i="6"/>
  <c r="D1340" i="6"/>
  <c r="E1340" i="6" s="1"/>
  <c r="B1340" i="6"/>
  <c r="C1340" i="6" s="1"/>
  <c r="D1339" i="6"/>
  <c r="B1339" i="6"/>
  <c r="D1338" i="6"/>
  <c r="E1339" i="6" s="1"/>
  <c r="B1338" i="6"/>
  <c r="C1338" i="6" s="1"/>
  <c r="E1337" i="6"/>
  <c r="D1337" i="6"/>
  <c r="B1337" i="6"/>
  <c r="D1336" i="6"/>
  <c r="B1336" i="6"/>
  <c r="D1335" i="6"/>
  <c r="E1335" i="6" s="1"/>
  <c r="B1335" i="6"/>
  <c r="C1335" i="6" s="1"/>
  <c r="D1334" i="6"/>
  <c r="E1334" i="6" s="1"/>
  <c r="B1334" i="6"/>
  <c r="D1333" i="6"/>
  <c r="E1333" i="6" s="1"/>
  <c r="B1333" i="6"/>
  <c r="D1332" i="6"/>
  <c r="E1332" i="6" s="1"/>
  <c r="B1332" i="6"/>
  <c r="C1332" i="6" s="1"/>
  <c r="D1331" i="6"/>
  <c r="B1331" i="6"/>
  <c r="D1330" i="6"/>
  <c r="E1331" i="6" s="1"/>
  <c r="C1330" i="6"/>
  <c r="B1330" i="6"/>
  <c r="D1329" i="6"/>
  <c r="E1329" i="6" s="1"/>
  <c r="B1329" i="6"/>
  <c r="D1328" i="6"/>
  <c r="B1328" i="6"/>
  <c r="C1328" i="6" s="1"/>
  <c r="D1327" i="6"/>
  <c r="E1327" i="6" s="1"/>
  <c r="B1327" i="6"/>
  <c r="C1327" i="6" s="1"/>
  <c r="D1326" i="6"/>
  <c r="E1326" i="6" s="1"/>
  <c r="B1326" i="6"/>
  <c r="D1325" i="6"/>
  <c r="B1325" i="6"/>
  <c r="D1324" i="6"/>
  <c r="E1324" i="6" s="1"/>
  <c r="B1324" i="6"/>
  <c r="C1324" i="6" s="1"/>
  <c r="D1323" i="6"/>
  <c r="B1323" i="6"/>
  <c r="D1322" i="6"/>
  <c r="E1323" i="6" s="1"/>
  <c r="B1322" i="6"/>
  <c r="C1322" i="6" s="1"/>
  <c r="E1321" i="6"/>
  <c r="D1321" i="6"/>
  <c r="B1321" i="6"/>
  <c r="D1320" i="6"/>
  <c r="B1320" i="6"/>
  <c r="D1319" i="6"/>
  <c r="E1319" i="6" s="1"/>
  <c r="B1319" i="6"/>
  <c r="C1319" i="6" s="1"/>
  <c r="D1318" i="6"/>
  <c r="E1318" i="6" s="1"/>
  <c r="B1318" i="6"/>
  <c r="D1317" i="6"/>
  <c r="E1317" i="6" s="1"/>
  <c r="B1317" i="6"/>
  <c r="D1316" i="6"/>
  <c r="E1316" i="6" s="1"/>
  <c r="B1316" i="6"/>
  <c r="C1316" i="6" s="1"/>
  <c r="D1315" i="6"/>
  <c r="B1315" i="6"/>
  <c r="D1314" i="6"/>
  <c r="E1315" i="6" s="1"/>
  <c r="C1314" i="6"/>
  <c r="B1314" i="6"/>
  <c r="D1313" i="6"/>
  <c r="E1313" i="6" s="1"/>
  <c r="B1313" i="6"/>
  <c r="D1312" i="6"/>
  <c r="B1312" i="6"/>
  <c r="C1312" i="6" s="1"/>
  <c r="D1311" i="6"/>
  <c r="E1311" i="6" s="1"/>
  <c r="B1311" i="6"/>
  <c r="C1311" i="6" s="1"/>
  <c r="D1310" i="6"/>
  <c r="E1310" i="6" s="1"/>
  <c r="B1310" i="6"/>
  <c r="D1309" i="6"/>
  <c r="B1309" i="6"/>
  <c r="D1308" i="6"/>
  <c r="E1308" i="6" s="1"/>
  <c r="B1308" i="6"/>
  <c r="C1308" i="6" s="1"/>
  <c r="D1307" i="6"/>
  <c r="B1307" i="6"/>
  <c r="D1306" i="6"/>
  <c r="E1307" i="6" s="1"/>
  <c r="B1306" i="6"/>
  <c r="C1306" i="6" s="1"/>
  <c r="E1305" i="6"/>
  <c r="D1305" i="6"/>
  <c r="B1305" i="6"/>
  <c r="D1304" i="6"/>
  <c r="B1304" i="6"/>
  <c r="D1303" i="6"/>
  <c r="E1303" i="6" s="1"/>
  <c r="B1303" i="6"/>
  <c r="C1303" i="6" s="1"/>
  <c r="D1302" i="6"/>
  <c r="E1302" i="6" s="1"/>
  <c r="B1302" i="6"/>
  <c r="D1301" i="6"/>
  <c r="E1301" i="6" s="1"/>
  <c r="B1301" i="6"/>
  <c r="D1300" i="6"/>
  <c r="E1300" i="6" s="1"/>
  <c r="B1300" i="6"/>
  <c r="C1300" i="6" s="1"/>
  <c r="D1299" i="6"/>
  <c r="B1299" i="6"/>
  <c r="D1298" i="6"/>
  <c r="E1299" i="6" s="1"/>
  <c r="C1298" i="6"/>
  <c r="B1298" i="6"/>
  <c r="D1297" i="6"/>
  <c r="E1297" i="6" s="1"/>
  <c r="B1297" i="6"/>
  <c r="D1296" i="6"/>
  <c r="B1296" i="6"/>
  <c r="C1296" i="6" s="1"/>
  <c r="D1295" i="6"/>
  <c r="E1295" i="6" s="1"/>
  <c r="B1295" i="6"/>
  <c r="C1295" i="6" s="1"/>
  <c r="D1294" i="6"/>
  <c r="E1294" i="6" s="1"/>
  <c r="B1294" i="6"/>
  <c r="D1293" i="6"/>
  <c r="B1293" i="6"/>
  <c r="D1292" i="6"/>
  <c r="E1292" i="6" s="1"/>
  <c r="B1292" i="6"/>
  <c r="C1292" i="6" s="1"/>
  <c r="D1291" i="6"/>
  <c r="B1291" i="6"/>
  <c r="D1290" i="6"/>
  <c r="E1291" i="6" s="1"/>
  <c r="B1290" i="6"/>
  <c r="C1290" i="6" s="1"/>
  <c r="E1289" i="6"/>
  <c r="D1289" i="6"/>
  <c r="B1289" i="6"/>
  <c r="D1288" i="6"/>
  <c r="B1288" i="6"/>
  <c r="D1287" i="6"/>
  <c r="E1287" i="6" s="1"/>
  <c r="B1287" i="6"/>
  <c r="C1287" i="6" s="1"/>
  <c r="D1286" i="6"/>
  <c r="E1286" i="6" s="1"/>
  <c r="B1286" i="6"/>
  <c r="D1285" i="6"/>
  <c r="E1285" i="6" s="1"/>
  <c r="B1285" i="6"/>
  <c r="D1284" i="6"/>
  <c r="E1284" i="6" s="1"/>
  <c r="B1284" i="6"/>
  <c r="C1284" i="6" s="1"/>
  <c r="D1283" i="6"/>
  <c r="B1283" i="6"/>
  <c r="D1282" i="6"/>
  <c r="E1283" i="6" s="1"/>
  <c r="C1282" i="6"/>
  <c r="B1282" i="6"/>
  <c r="D1281" i="6"/>
  <c r="E1281" i="6" s="1"/>
  <c r="B1281" i="6"/>
  <c r="D1280" i="6"/>
  <c r="B1280" i="6"/>
  <c r="C1280" i="6" s="1"/>
  <c r="D1279" i="6"/>
  <c r="E1279" i="6" s="1"/>
  <c r="B1279" i="6"/>
  <c r="C1279" i="6" s="1"/>
  <c r="D1278" i="6"/>
  <c r="B1278" i="6"/>
  <c r="D1277" i="6"/>
  <c r="B1277" i="6"/>
  <c r="D1276" i="6"/>
  <c r="E1276" i="6" s="1"/>
  <c r="B1276" i="6"/>
  <c r="C1276" i="6" s="1"/>
  <c r="D1275" i="6"/>
  <c r="B1275" i="6"/>
  <c r="D1274" i="6"/>
  <c r="B1274" i="6"/>
  <c r="C1274" i="6" s="1"/>
  <c r="E1273" i="6"/>
  <c r="D1273" i="6"/>
  <c r="B1273" i="6"/>
  <c r="D1272" i="6"/>
  <c r="B1272" i="6"/>
  <c r="D1271" i="6"/>
  <c r="E1271" i="6" s="1"/>
  <c r="B1271" i="6"/>
  <c r="C1271" i="6" s="1"/>
  <c r="D1270" i="6"/>
  <c r="E1270" i="6" s="1"/>
  <c r="B1270" i="6"/>
  <c r="D1269" i="6"/>
  <c r="E1269" i="6" s="1"/>
  <c r="B1269" i="6"/>
  <c r="D1268" i="6"/>
  <c r="E1268" i="6" s="1"/>
  <c r="B1268" i="6"/>
  <c r="C1268" i="6" s="1"/>
  <c r="D1267" i="6"/>
  <c r="B1267" i="6"/>
  <c r="D1266" i="6"/>
  <c r="C1266" i="6"/>
  <c r="B1266" i="6"/>
  <c r="E1265" i="6"/>
  <c r="D1265" i="6"/>
  <c r="B1265" i="6"/>
  <c r="D1264" i="6"/>
  <c r="B1264" i="6"/>
  <c r="C1264" i="6" s="1"/>
  <c r="D1263" i="6"/>
  <c r="E1263" i="6" s="1"/>
  <c r="B1263" i="6"/>
  <c r="C1263" i="6" s="1"/>
  <c r="D1262" i="6"/>
  <c r="B1262" i="6"/>
  <c r="D1261" i="6"/>
  <c r="B1261" i="6"/>
  <c r="D1260" i="6"/>
  <c r="E1260" i="6" s="1"/>
  <c r="B1260" i="6"/>
  <c r="C1260" i="6" s="1"/>
  <c r="D1259" i="6"/>
  <c r="B1259" i="6"/>
  <c r="D1258" i="6"/>
  <c r="B1258" i="6"/>
  <c r="C1258" i="6" s="1"/>
  <c r="E1257" i="6"/>
  <c r="D1257" i="6"/>
  <c r="B1257" i="6"/>
  <c r="D1256" i="6"/>
  <c r="B1256" i="6"/>
  <c r="D1255" i="6"/>
  <c r="E1255" i="6" s="1"/>
  <c r="B1255" i="6"/>
  <c r="C1255" i="6" s="1"/>
  <c r="D1254" i="6"/>
  <c r="E1254" i="6" s="1"/>
  <c r="B1254" i="6"/>
  <c r="D1253" i="6"/>
  <c r="E1253" i="6" s="1"/>
  <c r="B1253" i="6"/>
  <c r="D1252" i="6"/>
  <c r="E1252" i="6" s="1"/>
  <c r="B1252" i="6"/>
  <c r="C1252" i="6" s="1"/>
  <c r="D1251" i="6"/>
  <c r="B1251" i="6"/>
  <c r="D1250" i="6"/>
  <c r="C1250" i="6"/>
  <c r="B1250" i="6"/>
  <c r="E1249" i="6"/>
  <c r="D1249" i="6"/>
  <c r="B1249" i="6"/>
  <c r="D1248" i="6"/>
  <c r="B1248" i="6"/>
  <c r="C1248" i="6" s="1"/>
  <c r="D1247" i="6"/>
  <c r="E1247" i="6" s="1"/>
  <c r="B1247" i="6"/>
  <c r="C1247" i="6" s="1"/>
  <c r="D1246" i="6"/>
  <c r="B1246" i="6"/>
  <c r="D1245" i="6"/>
  <c r="B1245" i="6"/>
  <c r="D1244" i="6"/>
  <c r="E1244" i="6" s="1"/>
  <c r="B1244" i="6"/>
  <c r="C1244" i="6" s="1"/>
  <c r="D1243" i="6"/>
  <c r="B1243" i="6"/>
  <c r="D1242" i="6"/>
  <c r="B1242" i="6"/>
  <c r="C1242" i="6" s="1"/>
  <c r="E1241" i="6"/>
  <c r="D1241" i="6"/>
  <c r="B1241" i="6"/>
  <c r="D1240" i="6"/>
  <c r="B1240" i="6"/>
  <c r="D1239" i="6"/>
  <c r="E1239" i="6" s="1"/>
  <c r="B1239" i="6"/>
  <c r="C1239" i="6" s="1"/>
  <c r="D1238" i="6"/>
  <c r="E1238" i="6" s="1"/>
  <c r="B1238" i="6"/>
  <c r="D1237" i="6"/>
  <c r="E1237" i="6" s="1"/>
  <c r="B1237" i="6"/>
  <c r="D1236" i="6"/>
  <c r="E1236" i="6" s="1"/>
  <c r="B1236" i="6"/>
  <c r="C1236" i="6" s="1"/>
  <c r="D1235" i="6"/>
  <c r="B1235" i="6"/>
  <c r="D1234" i="6"/>
  <c r="C1234" i="6"/>
  <c r="B1234" i="6"/>
  <c r="E1233" i="6"/>
  <c r="D1233" i="6"/>
  <c r="B1233" i="6"/>
  <c r="D1232" i="6"/>
  <c r="B1232" i="6"/>
  <c r="C1232" i="6" s="1"/>
  <c r="D1231" i="6"/>
  <c r="E1231" i="6" s="1"/>
  <c r="B1231" i="6"/>
  <c r="C1231" i="6" s="1"/>
  <c r="D1230" i="6"/>
  <c r="B1230" i="6"/>
  <c r="D1229" i="6"/>
  <c r="B1229" i="6"/>
  <c r="D1228" i="6"/>
  <c r="E1228" i="6" s="1"/>
  <c r="B1228" i="6"/>
  <c r="C1228" i="6" s="1"/>
  <c r="D1227" i="6"/>
  <c r="B1227" i="6"/>
  <c r="D1226" i="6"/>
  <c r="B1226" i="6"/>
  <c r="C1226" i="6" s="1"/>
  <c r="E1225" i="6"/>
  <c r="D1225" i="6"/>
  <c r="B1225" i="6"/>
  <c r="D1224" i="6"/>
  <c r="B1224" i="6"/>
  <c r="D1223" i="6"/>
  <c r="E1223" i="6" s="1"/>
  <c r="B1223" i="6"/>
  <c r="C1223" i="6" s="1"/>
  <c r="D1222" i="6"/>
  <c r="E1222" i="6" s="1"/>
  <c r="B1222" i="6"/>
  <c r="D1221" i="6"/>
  <c r="E1221" i="6" s="1"/>
  <c r="B1221" i="6"/>
  <c r="D1220" i="6"/>
  <c r="E1220" i="6" s="1"/>
  <c r="B1220" i="6"/>
  <c r="C1220" i="6" s="1"/>
  <c r="D1219" i="6"/>
  <c r="B1219" i="6"/>
  <c r="D1218" i="6"/>
  <c r="C1218" i="6"/>
  <c r="B1218" i="6"/>
  <c r="E1217" i="6"/>
  <c r="D1217" i="6"/>
  <c r="B1217" i="6"/>
  <c r="D1216" i="6"/>
  <c r="B1216" i="6"/>
  <c r="C1216" i="6" s="1"/>
  <c r="D1215" i="6"/>
  <c r="E1215" i="6" s="1"/>
  <c r="B1215" i="6"/>
  <c r="C1215" i="6" s="1"/>
  <c r="D1214" i="6"/>
  <c r="B1214" i="6"/>
  <c r="D1213" i="6"/>
  <c r="B1213" i="6"/>
  <c r="D1212" i="6"/>
  <c r="E1212" i="6" s="1"/>
  <c r="B1212" i="6"/>
  <c r="C1212" i="6" s="1"/>
  <c r="D1211" i="6"/>
  <c r="B1211" i="6"/>
  <c r="D1210" i="6"/>
  <c r="B1210" i="6"/>
  <c r="C1210" i="6" s="1"/>
  <c r="E1209" i="6"/>
  <c r="D1209" i="6"/>
  <c r="B1209" i="6"/>
  <c r="D1208" i="6"/>
  <c r="B1208" i="6"/>
  <c r="D1207" i="6"/>
  <c r="E1207" i="6" s="1"/>
  <c r="B1207" i="6"/>
  <c r="C1207" i="6" s="1"/>
  <c r="D1206" i="6"/>
  <c r="E1206" i="6" s="1"/>
  <c r="B1206" i="6"/>
  <c r="D1205" i="6"/>
  <c r="E1205" i="6" s="1"/>
  <c r="B1205" i="6"/>
  <c r="D1204" i="6"/>
  <c r="E1204" i="6" s="1"/>
  <c r="B1204" i="6"/>
  <c r="C1204" i="6" s="1"/>
  <c r="D1203" i="6"/>
  <c r="B1203" i="6"/>
  <c r="D1202" i="6"/>
  <c r="C1202" i="6"/>
  <c r="B1202" i="6"/>
  <c r="E1201" i="6"/>
  <c r="D1201" i="6"/>
  <c r="B1201" i="6"/>
  <c r="D1200" i="6"/>
  <c r="B1200" i="6"/>
  <c r="C1200" i="6" s="1"/>
  <c r="D1199" i="6"/>
  <c r="E1199" i="6" s="1"/>
  <c r="B1199" i="6"/>
  <c r="C1199" i="6" s="1"/>
  <c r="D1198" i="6"/>
  <c r="B1198" i="6"/>
  <c r="D1197" i="6"/>
  <c r="B1197" i="6"/>
  <c r="D1196" i="6"/>
  <c r="E1196" i="6" s="1"/>
  <c r="B1196" i="6"/>
  <c r="C1196" i="6" s="1"/>
  <c r="D1195" i="6"/>
  <c r="B1195" i="6"/>
  <c r="D1194" i="6"/>
  <c r="B1194" i="6"/>
  <c r="C1194" i="6" s="1"/>
  <c r="E1193" i="6"/>
  <c r="D1193" i="6"/>
  <c r="B1193" i="6"/>
  <c r="D1192" i="6"/>
  <c r="B1192" i="6"/>
  <c r="D1191" i="6"/>
  <c r="E1191" i="6" s="1"/>
  <c r="B1191" i="6"/>
  <c r="C1191" i="6" s="1"/>
  <c r="D1190" i="6"/>
  <c r="E1190" i="6" s="1"/>
  <c r="B1190" i="6"/>
  <c r="D1189" i="6"/>
  <c r="E1189" i="6" s="1"/>
  <c r="B1189" i="6"/>
  <c r="D1188" i="6"/>
  <c r="E1188" i="6" s="1"/>
  <c r="B1188" i="6"/>
  <c r="C1188" i="6" s="1"/>
  <c r="D1187" i="6"/>
  <c r="B1187" i="6"/>
  <c r="D1186" i="6"/>
  <c r="C1186" i="6"/>
  <c r="B1186" i="6"/>
  <c r="E1185" i="6"/>
  <c r="D1185" i="6"/>
  <c r="B1185" i="6"/>
  <c r="D1184" i="6"/>
  <c r="B1184" i="6"/>
  <c r="C1184" i="6" s="1"/>
  <c r="D1183" i="6"/>
  <c r="E1183" i="6" s="1"/>
  <c r="B1183" i="6"/>
  <c r="C1183" i="6" s="1"/>
  <c r="D1182" i="6"/>
  <c r="B1182" i="6"/>
  <c r="D1181" i="6"/>
  <c r="B1181" i="6"/>
  <c r="C1181" i="6" s="1"/>
  <c r="D1180" i="6"/>
  <c r="E1180" i="6" s="1"/>
  <c r="B1180" i="6"/>
  <c r="C1180" i="6" s="1"/>
  <c r="D1179" i="6"/>
  <c r="E1179" i="6" s="1"/>
  <c r="B1179" i="6"/>
  <c r="D1178" i="6"/>
  <c r="B1178" i="6"/>
  <c r="C1178" i="6" s="1"/>
  <c r="E1177" i="6"/>
  <c r="D1177" i="6"/>
  <c r="B1177" i="6"/>
  <c r="D1176" i="6"/>
  <c r="B1176" i="6"/>
  <c r="D1175" i="6"/>
  <c r="E1175" i="6" s="1"/>
  <c r="B1175" i="6"/>
  <c r="C1175" i="6" s="1"/>
  <c r="D1174" i="6"/>
  <c r="E1174" i="6" s="1"/>
  <c r="B1174" i="6"/>
  <c r="C1174" i="6" s="1"/>
  <c r="D1173" i="6"/>
  <c r="E1173" i="6" s="1"/>
  <c r="B1173" i="6"/>
  <c r="C1173" i="6" s="1"/>
  <c r="D1172" i="6"/>
  <c r="E1172" i="6" s="1"/>
  <c r="B1172" i="6"/>
  <c r="C1172" i="6" s="1"/>
  <c r="D1171" i="6"/>
  <c r="E1171" i="6" s="1"/>
  <c r="B1171" i="6"/>
  <c r="D1170" i="6"/>
  <c r="E1170" i="6" s="1"/>
  <c r="C1170" i="6"/>
  <c r="B1170" i="6"/>
  <c r="E1169" i="6"/>
  <c r="D1169" i="6"/>
  <c r="B1169" i="6"/>
  <c r="D1168" i="6"/>
  <c r="B1168" i="6"/>
  <c r="C1168" i="6" s="1"/>
  <c r="D1167" i="6"/>
  <c r="E1167" i="6" s="1"/>
  <c r="B1167" i="6"/>
  <c r="C1167" i="6" s="1"/>
  <c r="D1166" i="6"/>
  <c r="B1166" i="6"/>
  <c r="D1165" i="6"/>
  <c r="B1165" i="6"/>
  <c r="C1165" i="6" s="1"/>
  <c r="D1164" i="6"/>
  <c r="E1164" i="6" s="1"/>
  <c r="B1164" i="6"/>
  <c r="C1164" i="6" s="1"/>
  <c r="D1163" i="6"/>
  <c r="E1163" i="6" s="1"/>
  <c r="B1163" i="6"/>
  <c r="D1162" i="6"/>
  <c r="B1162" i="6"/>
  <c r="C1162" i="6" s="1"/>
  <c r="E1161" i="6"/>
  <c r="D1161" i="6"/>
  <c r="B1161" i="6"/>
  <c r="D1160" i="6"/>
  <c r="B1160" i="6"/>
  <c r="D1159" i="6"/>
  <c r="E1159" i="6" s="1"/>
  <c r="B1159" i="6"/>
  <c r="C1159" i="6" s="1"/>
  <c r="D1158" i="6"/>
  <c r="E1158" i="6" s="1"/>
  <c r="B1158" i="6"/>
  <c r="C1158" i="6" s="1"/>
  <c r="D1157" i="6"/>
  <c r="E1157" i="6" s="1"/>
  <c r="B1157" i="6"/>
  <c r="C1157" i="6" s="1"/>
  <c r="D1156" i="6"/>
  <c r="E1156" i="6" s="1"/>
  <c r="B1156" i="6"/>
  <c r="C1156" i="6" s="1"/>
  <c r="D1155" i="6"/>
  <c r="E1155" i="6" s="1"/>
  <c r="B1155" i="6"/>
  <c r="D1154" i="6"/>
  <c r="E1154" i="6" s="1"/>
  <c r="C1154" i="6"/>
  <c r="B1154" i="6"/>
  <c r="E1153" i="6"/>
  <c r="D1153" i="6"/>
  <c r="B1153" i="6"/>
  <c r="D1152" i="6"/>
  <c r="B1152" i="6"/>
  <c r="C1152" i="6" s="1"/>
  <c r="D1151" i="6"/>
  <c r="E1151" i="6" s="1"/>
  <c r="B1151" i="6"/>
  <c r="C1151" i="6" s="1"/>
  <c r="D1150" i="6"/>
  <c r="B1150" i="6"/>
  <c r="D1149" i="6"/>
  <c r="B1149" i="6"/>
  <c r="C1149" i="6" s="1"/>
  <c r="D1148" i="6"/>
  <c r="E1148" i="6" s="1"/>
  <c r="B1148" i="6"/>
  <c r="C1148" i="6" s="1"/>
  <c r="D1147" i="6"/>
  <c r="E1147" i="6" s="1"/>
  <c r="B1147" i="6"/>
  <c r="D1146" i="6"/>
  <c r="B1146" i="6"/>
  <c r="C1146" i="6" s="1"/>
  <c r="E1145" i="6"/>
  <c r="D1145" i="6"/>
  <c r="B1145" i="6"/>
  <c r="D1144" i="6"/>
  <c r="B1144" i="6"/>
  <c r="D1143" i="6"/>
  <c r="E1143" i="6" s="1"/>
  <c r="B1143" i="6"/>
  <c r="C1143" i="6" s="1"/>
  <c r="D1142" i="6"/>
  <c r="E1142" i="6" s="1"/>
  <c r="B1142" i="6"/>
  <c r="C1142" i="6" s="1"/>
  <c r="D1141" i="6"/>
  <c r="E1141" i="6" s="1"/>
  <c r="B1141" i="6"/>
  <c r="C1141" i="6" s="1"/>
  <c r="D1140" i="6"/>
  <c r="E1140" i="6" s="1"/>
  <c r="B1140" i="6"/>
  <c r="C1140" i="6" s="1"/>
  <c r="D1139" i="6"/>
  <c r="E1139" i="6" s="1"/>
  <c r="B1139" i="6"/>
  <c r="D1138" i="6"/>
  <c r="E1138" i="6" s="1"/>
  <c r="C1138" i="6"/>
  <c r="B1138" i="6"/>
  <c r="E1137" i="6"/>
  <c r="D1137" i="6"/>
  <c r="B1137" i="6"/>
  <c r="D1136" i="6"/>
  <c r="B1136" i="6"/>
  <c r="C1136" i="6" s="1"/>
  <c r="D1135" i="6"/>
  <c r="E1135" i="6" s="1"/>
  <c r="B1135" i="6"/>
  <c r="C1135" i="6" s="1"/>
  <c r="D1134" i="6"/>
  <c r="B1134" i="6"/>
  <c r="D1133" i="6"/>
  <c r="B1133" i="6"/>
  <c r="C1133" i="6" s="1"/>
  <c r="D1132" i="6"/>
  <c r="E1132" i="6" s="1"/>
  <c r="B1132" i="6"/>
  <c r="C1132" i="6" s="1"/>
  <c r="D1131" i="6"/>
  <c r="E1131" i="6" s="1"/>
  <c r="B1131" i="6"/>
  <c r="D1130" i="6"/>
  <c r="B1130" i="6"/>
  <c r="C1130" i="6" s="1"/>
  <c r="E1129" i="6"/>
  <c r="D1129" i="6"/>
  <c r="B1129" i="6"/>
  <c r="D1128" i="6"/>
  <c r="E1128" i="6" s="1"/>
  <c r="B1128" i="6"/>
  <c r="D1127" i="6"/>
  <c r="E1127" i="6" s="1"/>
  <c r="B1127" i="6"/>
  <c r="C1127" i="6" s="1"/>
  <c r="D1126" i="6"/>
  <c r="E1126" i="6" s="1"/>
  <c r="B1126" i="6"/>
  <c r="C1126" i="6" s="1"/>
  <c r="D1125" i="6"/>
  <c r="E1125" i="6" s="1"/>
  <c r="B1125" i="6"/>
  <c r="C1125" i="6" s="1"/>
  <c r="D1124" i="6"/>
  <c r="B1124" i="6"/>
  <c r="C1124" i="6" s="1"/>
  <c r="D1123" i="6"/>
  <c r="E1123" i="6" s="1"/>
  <c r="B1123" i="6"/>
  <c r="D1122" i="6"/>
  <c r="E1122" i="6" s="1"/>
  <c r="C1122" i="6"/>
  <c r="B1122" i="6"/>
  <c r="D1121" i="6"/>
  <c r="B1121" i="6"/>
  <c r="D1120" i="6"/>
  <c r="E1120" i="6" s="1"/>
  <c r="B1120" i="6"/>
  <c r="C1120" i="6" s="1"/>
  <c r="D1119" i="6"/>
  <c r="E1119" i="6" s="1"/>
  <c r="B1119" i="6"/>
  <c r="C1119" i="6" s="1"/>
  <c r="D1118" i="6"/>
  <c r="B1118" i="6"/>
  <c r="D1117" i="6"/>
  <c r="B1117" i="6"/>
  <c r="C1117" i="6" s="1"/>
  <c r="D1116" i="6"/>
  <c r="E1116" i="6" s="1"/>
  <c r="B1116" i="6"/>
  <c r="C1116" i="6" s="1"/>
  <c r="D1115" i="6"/>
  <c r="E1115" i="6" s="1"/>
  <c r="B1115" i="6"/>
  <c r="D1114" i="6"/>
  <c r="B1114" i="6"/>
  <c r="C1114" i="6" s="1"/>
  <c r="E1113" i="6"/>
  <c r="D1113" i="6"/>
  <c r="B1113" i="6"/>
  <c r="D1112" i="6"/>
  <c r="E1112" i="6" s="1"/>
  <c r="B1112" i="6"/>
  <c r="D1111" i="6"/>
  <c r="E1111" i="6" s="1"/>
  <c r="B1111" i="6"/>
  <c r="C1111" i="6" s="1"/>
  <c r="D1110" i="6"/>
  <c r="E1110" i="6" s="1"/>
  <c r="B1110" i="6"/>
  <c r="C1110" i="6" s="1"/>
  <c r="D1109" i="6"/>
  <c r="E1109" i="6" s="1"/>
  <c r="B1109" i="6"/>
  <c r="C1109" i="6" s="1"/>
  <c r="D1108" i="6"/>
  <c r="B1108" i="6"/>
  <c r="C1108" i="6" s="1"/>
  <c r="D1107" i="6"/>
  <c r="E1107" i="6" s="1"/>
  <c r="B1107" i="6"/>
  <c r="D1106" i="6"/>
  <c r="E1106" i="6" s="1"/>
  <c r="C1106" i="6"/>
  <c r="B1106" i="6"/>
  <c r="D1105" i="6"/>
  <c r="B1105" i="6"/>
  <c r="D1104" i="6"/>
  <c r="E1104" i="6" s="1"/>
  <c r="B1104" i="6"/>
  <c r="C1104" i="6" s="1"/>
  <c r="D1103" i="6"/>
  <c r="E1103" i="6" s="1"/>
  <c r="B1103" i="6"/>
  <c r="C1103" i="6" s="1"/>
  <c r="D1102" i="6"/>
  <c r="B1102" i="6"/>
  <c r="D1101" i="6"/>
  <c r="B1101" i="6"/>
  <c r="C1101" i="6" s="1"/>
  <c r="D1100" i="6"/>
  <c r="E1100" i="6" s="1"/>
  <c r="B1100" i="6"/>
  <c r="C1100" i="6" s="1"/>
  <c r="D1099" i="6"/>
  <c r="E1099" i="6" s="1"/>
  <c r="B1099" i="6"/>
  <c r="D1098" i="6"/>
  <c r="B1098" i="6"/>
  <c r="C1098" i="6" s="1"/>
  <c r="E1097" i="6"/>
  <c r="D1097" i="6"/>
  <c r="B1097" i="6"/>
  <c r="D1096" i="6"/>
  <c r="E1096" i="6" s="1"/>
  <c r="B1096" i="6"/>
  <c r="D1095" i="6"/>
  <c r="E1095" i="6" s="1"/>
  <c r="B1095" i="6"/>
  <c r="C1095" i="6" s="1"/>
  <c r="D1094" i="6"/>
  <c r="E1094" i="6" s="1"/>
  <c r="B1094" i="6"/>
  <c r="C1094" i="6" s="1"/>
  <c r="D1093" i="6"/>
  <c r="E1093" i="6" s="1"/>
  <c r="B1093" i="6"/>
  <c r="C1093" i="6" s="1"/>
  <c r="D1092" i="6"/>
  <c r="B1092" i="6"/>
  <c r="C1092" i="6" s="1"/>
  <c r="D1091" i="6"/>
  <c r="E1091" i="6" s="1"/>
  <c r="B1091" i="6"/>
  <c r="D1090" i="6"/>
  <c r="E1090" i="6" s="1"/>
  <c r="C1090" i="6"/>
  <c r="B1090" i="6"/>
  <c r="D1089" i="6"/>
  <c r="B1089" i="6"/>
  <c r="D1088" i="6"/>
  <c r="E1088" i="6" s="1"/>
  <c r="B1088" i="6"/>
  <c r="C1088" i="6" s="1"/>
  <c r="D1087" i="6"/>
  <c r="E1087" i="6" s="1"/>
  <c r="B1087" i="6"/>
  <c r="C1087" i="6" s="1"/>
  <c r="D1086" i="6"/>
  <c r="B1086" i="6"/>
  <c r="D1085" i="6"/>
  <c r="B1085" i="6"/>
  <c r="C1085" i="6" s="1"/>
  <c r="D1084" i="6"/>
  <c r="E1084" i="6" s="1"/>
  <c r="B1084" i="6"/>
  <c r="C1084" i="6" s="1"/>
  <c r="D1083" i="6"/>
  <c r="E1083" i="6" s="1"/>
  <c r="B1083" i="6"/>
  <c r="D1082" i="6"/>
  <c r="B1082" i="6"/>
  <c r="C1082" i="6" s="1"/>
  <c r="E1081" i="6"/>
  <c r="D1081" i="6"/>
  <c r="B1081" i="6"/>
  <c r="D1080" i="6"/>
  <c r="E1080" i="6" s="1"/>
  <c r="B1080" i="6"/>
  <c r="D1079" i="6"/>
  <c r="E1079" i="6" s="1"/>
  <c r="B1079" i="6"/>
  <c r="C1079" i="6" s="1"/>
  <c r="D1078" i="6"/>
  <c r="E1078" i="6" s="1"/>
  <c r="B1078" i="6"/>
  <c r="C1078" i="6" s="1"/>
  <c r="D1077" i="6"/>
  <c r="E1077" i="6" s="1"/>
  <c r="B1077" i="6"/>
  <c r="D1076" i="6"/>
  <c r="B1076" i="6"/>
  <c r="C1076" i="6" s="1"/>
  <c r="E1075" i="6"/>
  <c r="D1075" i="6"/>
  <c r="B1075" i="6"/>
  <c r="D1074" i="6"/>
  <c r="B1074" i="6"/>
  <c r="D1073" i="6"/>
  <c r="E1073" i="6" s="1"/>
  <c r="B1073" i="6"/>
  <c r="C1073" i="6" s="1"/>
  <c r="D1072" i="6"/>
  <c r="E1072" i="6" s="1"/>
  <c r="B1072" i="6"/>
  <c r="C1072" i="6" s="1"/>
  <c r="E1071" i="6"/>
  <c r="D1071" i="6"/>
  <c r="B1071" i="6"/>
  <c r="D1070" i="6"/>
  <c r="C1070" i="6"/>
  <c r="B1070" i="6"/>
  <c r="D1069" i="6"/>
  <c r="E1069" i="6" s="1"/>
  <c r="B1069" i="6"/>
  <c r="C1069" i="6" s="1"/>
  <c r="E1068" i="6"/>
  <c r="D1068" i="6"/>
  <c r="B1068" i="6"/>
  <c r="C1068" i="6" s="1"/>
  <c r="E1067" i="6"/>
  <c r="D1067" i="6"/>
  <c r="B1067" i="6"/>
  <c r="C1067" i="6" s="1"/>
  <c r="D1066" i="6"/>
  <c r="C1066" i="6"/>
  <c r="B1066" i="6"/>
  <c r="D1065" i="6"/>
  <c r="E1065" i="6" s="1"/>
  <c r="B1065" i="6"/>
  <c r="D1064" i="6"/>
  <c r="E1064" i="6" s="1"/>
  <c r="B1064" i="6"/>
  <c r="D1063" i="6"/>
  <c r="E1063" i="6" s="1"/>
  <c r="B1063" i="6"/>
  <c r="C1063" i="6" s="1"/>
  <c r="D1062" i="6"/>
  <c r="E1062" i="6" s="1"/>
  <c r="B1062" i="6"/>
  <c r="C1062" i="6" s="1"/>
  <c r="E1061" i="6"/>
  <c r="D1061" i="6"/>
  <c r="B1061" i="6"/>
  <c r="D1060" i="6"/>
  <c r="C1060" i="6"/>
  <c r="B1060" i="6"/>
  <c r="E1059" i="6"/>
  <c r="D1059" i="6"/>
  <c r="E1060" i="6" s="1"/>
  <c r="B1059" i="6"/>
  <c r="D1058" i="6"/>
  <c r="E1058" i="6" s="1"/>
  <c r="B1058" i="6"/>
  <c r="C1058" i="6" s="1"/>
  <c r="E1057" i="6"/>
  <c r="D1057" i="6"/>
  <c r="B1057" i="6"/>
  <c r="C1057" i="6" s="1"/>
  <c r="D1056" i="6"/>
  <c r="B1056" i="6"/>
  <c r="E1055" i="6"/>
  <c r="D1055" i="6"/>
  <c r="E1056" i="6" s="1"/>
  <c r="B1055" i="6"/>
  <c r="C1055" i="6" s="1"/>
  <c r="E1054" i="6"/>
  <c r="D1054" i="6"/>
  <c r="B1054" i="6"/>
  <c r="D1053" i="6"/>
  <c r="B1053" i="6"/>
  <c r="C1053" i="6" s="1"/>
  <c r="E1052" i="6"/>
  <c r="D1052" i="6"/>
  <c r="C1052" i="6"/>
  <c r="B1052" i="6"/>
  <c r="D1051" i="6"/>
  <c r="B1051" i="6"/>
  <c r="E1050" i="6"/>
  <c r="D1050" i="6"/>
  <c r="E1051" i="6" s="1"/>
  <c r="B1050" i="6"/>
  <c r="C1050" i="6" s="1"/>
  <c r="D1049" i="6"/>
  <c r="B1049" i="6"/>
  <c r="D1048" i="6"/>
  <c r="E1048" i="6" s="1"/>
  <c r="C1048" i="6"/>
  <c r="B1048" i="6"/>
  <c r="E1047" i="6"/>
  <c r="D1047" i="6"/>
  <c r="B1047" i="6"/>
  <c r="D1046" i="6"/>
  <c r="B1046" i="6"/>
  <c r="C1046" i="6" s="1"/>
  <c r="E1045" i="6"/>
  <c r="D1045" i="6"/>
  <c r="B1045" i="6"/>
  <c r="C1045" i="6" s="1"/>
  <c r="D1044" i="6"/>
  <c r="B1044" i="6"/>
  <c r="C1044" i="6" s="1"/>
  <c r="E1043" i="6"/>
  <c r="D1043" i="6"/>
  <c r="E1044" i="6" s="1"/>
  <c r="B1043" i="6"/>
  <c r="C1043" i="6" s="1"/>
  <c r="E1042" i="6"/>
  <c r="D1042" i="6"/>
  <c r="B1042" i="6"/>
  <c r="D1041" i="6"/>
  <c r="E1041" i="6" s="1"/>
  <c r="B1041" i="6"/>
  <c r="C1041" i="6" s="1"/>
  <c r="E1040" i="6"/>
  <c r="D1040" i="6"/>
  <c r="C1040" i="6"/>
  <c r="B1040" i="6"/>
  <c r="D1039" i="6"/>
  <c r="B1039" i="6"/>
  <c r="E1038" i="6"/>
  <c r="D1038" i="6"/>
  <c r="E1039" i="6" s="1"/>
  <c r="C1038" i="6"/>
  <c r="B1038" i="6"/>
  <c r="D1037" i="6"/>
  <c r="E1037" i="6" s="1"/>
  <c r="B1037" i="6"/>
  <c r="D1036" i="6"/>
  <c r="E1036" i="6" s="1"/>
  <c r="C1036" i="6"/>
  <c r="B1036" i="6"/>
  <c r="E1035" i="6"/>
  <c r="D1035" i="6"/>
  <c r="B1035" i="6"/>
  <c r="D1034" i="6"/>
  <c r="B1034" i="6"/>
  <c r="C1034" i="6" s="1"/>
  <c r="E1033" i="6"/>
  <c r="D1033" i="6"/>
  <c r="E1034" i="6" s="1"/>
  <c r="B1033" i="6"/>
  <c r="D1032" i="6"/>
  <c r="B1032" i="6"/>
  <c r="C1032" i="6" s="1"/>
  <c r="E1031" i="6"/>
  <c r="D1031" i="6"/>
  <c r="E1032" i="6" s="1"/>
  <c r="B1031" i="6"/>
  <c r="C1031" i="6" s="1"/>
  <c r="D1030" i="6"/>
  <c r="B1030" i="6"/>
  <c r="D1029" i="6"/>
  <c r="E1029" i="6" s="1"/>
  <c r="B1029" i="6"/>
  <c r="C1029" i="6" s="1"/>
  <c r="E1028" i="6"/>
  <c r="D1028" i="6"/>
  <c r="B1028" i="6"/>
  <c r="D1027" i="6"/>
  <c r="E1027" i="6" s="1"/>
  <c r="B1027" i="6"/>
  <c r="C1027" i="6" s="1"/>
  <c r="E1026" i="6"/>
  <c r="D1026" i="6"/>
  <c r="C1026" i="6"/>
  <c r="B1026" i="6"/>
  <c r="D1025" i="6"/>
  <c r="B1025" i="6"/>
  <c r="E1024" i="6"/>
  <c r="D1024" i="6"/>
  <c r="E1025" i="6" s="1"/>
  <c r="C1024" i="6"/>
  <c r="B1024" i="6"/>
  <c r="D1023" i="6"/>
  <c r="B1023" i="6"/>
  <c r="D1022" i="6"/>
  <c r="E1022" i="6" s="1"/>
  <c r="C1022" i="6"/>
  <c r="B1022" i="6"/>
  <c r="E1021" i="6"/>
  <c r="D1021" i="6"/>
  <c r="B1021" i="6"/>
  <c r="D1020" i="6"/>
  <c r="E1020" i="6" s="1"/>
  <c r="C1020" i="6"/>
  <c r="B1020" i="6"/>
  <c r="E1019" i="6"/>
  <c r="D1019" i="6"/>
  <c r="B1019" i="6"/>
  <c r="D1018" i="6"/>
  <c r="B1018" i="6"/>
  <c r="C1018" i="6" s="1"/>
  <c r="E1017" i="6"/>
  <c r="D1017" i="6"/>
  <c r="E1018" i="6" s="1"/>
  <c r="B1017" i="6"/>
  <c r="C1017" i="6" s="1"/>
  <c r="D1016" i="6"/>
  <c r="B1016" i="6"/>
  <c r="C1016" i="6" s="1"/>
  <c r="E1015" i="6"/>
  <c r="D1015" i="6"/>
  <c r="E1016" i="6" s="1"/>
  <c r="B1015" i="6"/>
  <c r="C1015" i="6" s="1"/>
  <c r="D1014" i="6"/>
  <c r="B1014" i="6"/>
  <c r="D1013" i="6"/>
  <c r="E1013" i="6" s="1"/>
  <c r="B1013" i="6"/>
  <c r="C1013" i="6" s="1"/>
  <c r="E1012" i="6"/>
  <c r="D1012" i="6"/>
  <c r="B1012" i="6"/>
  <c r="D1011" i="6"/>
  <c r="E1011" i="6" s="1"/>
  <c r="B1011" i="6"/>
  <c r="C1011" i="6" s="1"/>
  <c r="E1010" i="6"/>
  <c r="D1010" i="6"/>
  <c r="C1010" i="6"/>
  <c r="B1010" i="6"/>
  <c r="D1009" i="6"/>
  <c r="B1009" i="6"/>
  <c r="E1008" i="6"/>
  <c r="D1008" i="6"/>
  <c r="E1009" i="6" s="1"/>
  <c r="C1008" i="6"/>
  <c r="B1008" i="6"/>
  <c r="D1007" i="6"/>
  <c r="B1007" i="6"/>
  <c r="D1006" i="6"/>
  <c r="E1006" i="6" s="1"/>
  <c r="C1006" i="6"/>
  <c r="B1006" i="6"/>
  <c r="E1005" i="6"/>
  <c r="D1005" i="6"/>
  <c r="B1005" i="6"/>
  <c r="D1004" i="6"/>
  <c r="E1004" i="6" s="1"/>
  <c r="C1004" i="6"/>
  <c r="B1004" i="6"/>
  <c r="E1003" i="6"/>
  <c r="D1003" i="6"/>
  <c r="B1003" i="6"/>
  <c r="D1002" i="6"/>
  <c r="B1002" i="6"/>
  <c r="C1002" i="6" s="1"/>
  <c r="E1001" i="6"/>
  <c r="D1001" i="6"/>
  <c r="E1002" i="6" s="1"/>
  <c r="B1001" i="6"/>
  <c r="C1001" i="6" s="1"/>
  <c r="D1000" i="6"/>
  <c r="B1000" i="6"/>
  <c r="C1000" i="6" s="1"/>
  <c r="E999" i="6"/>
  <c r="D999" i="6"/>
  <c r="E1000" i="6" s="1"/>
  <c r="B999" i="6"/>
  <c r="C999" i="6" s="1"/>
  <c r="D998" i="6"/>
  <c r="B998" i="6"/>
  <c r="D997" i="6"/>
  <c r="E997" i="6" s="1"/>
  <c r="B997" i="6"/>
  <c r="C997" i="6" s="1"/>
  <c r="E996" i="6"/>
  <c r="D996" i="6"/>
  <c r="B996" i="6"/>
  <c r="D995" i="6"/>
  <c r="E995" i="6" s="1"/>
  <c r="B995" i="6"/>
  <c r="C995" i="6" s="1"/>
  <c r="E994" i="6"/>
  <c r="D994" i="6"/>
  <c r="C994" i="6"/>
  <c r="B994" i="6"/>
  <c r="D993" i="6"/>
  <c r="B993" i="6"/>
  <c r="E992" i="6"/>
  <c r="D992" i="6"/>
  <c r="E993" i="6" s="1"/>
  <c r="C992" i="6"/>
  <c r="B992" i="6"/>
  <c r="D991" i="6"/>
  <c r="B991" i="6"/>
  <c r="D990" i="6"/>
  <c r="E990" i="6" s="1"/>
  <c r="C990" i="6"/>
  <c r="B990" i="6"/>
  <c r="E989" i="6"/>
  <c r="D989" i="6"/>
  <c r="B989" i="6"/>
  <c r="D988" i="6"/>
  <c r="E988" i="6" s="1"/>
  <c r="C988" i="6"/>
  <c r="B988" i="6"/>
  <c r="E987" i="6"/>
  <c r="D987" i="6"/>
  <c r="B987" i="6"/>
  <c r="D986" i="6"/>
  <c r="B986" i="6"/>
  <c r="C986" i="6" s="1"/>
  <c r="E985" i="6"/>
  <c r="D985" i="6"/>
  <c r="E986" i="6" s="1"/>
  <c r="B985" i="6"/>
  <c r="C985" i="6" s="1"/>
  <c r="D984" i="6"/>
  <c r="B984" i="6"/>
  <c r="C984" i="6" s="1"/>
  <c r="E983" i="6"/>
  <c r="D983" i="6"/>
  <c r="E984" i="6" s="1"/>
  <c r="B983" i="6"/>
  <c r="C983" i="6" s="1"/>
  <c r="D982" i="6"/>
  <c r="B982" i="6"/>
  <c r="D981" i="6"/>
  <c r="E981" i="6" s="1"/>
  <c r="B981" i="6"/>
  <c r="C981" i="6" s="1"/>
  <c r="E980" i="6"/>
  <c r="D980" i="6"/>
  <c r="B980" i="6"/>
  <c r="D979" i="6"/>
  <c r="E979" i="6" s="1"/>
  <c r="B979" i="6"/>
  <c r="C979" i="6" s="1"/>
  <c r="E978" i="6"/>
  <c r="D978" i="6"/>
  <c r="C978" i="6"/>
  <c r="B978" i="6"/>
  <c r="D977" i="6"/>
  <c r="B977" i="6"/>
  <c r="E976" i="6"/>
  <c r="D976" i="6"/>
  <c r="E977" i="6" s="1"/>
  <c r="B976" i="6"/>
  <c r="C976" i="6" s="1"/>
  <c r="D975" i="6"/>
  <c r="B975" i="6"/>
  <c r="D974" i="6"/>
  <c r="E974" i="6" s="1"/>
  <c r="C974" i="6"/>
  <c r="B974" i="6"/>
  <c r="E973" i="6"/>
  <c r="D973" i="6"/>
  <c r="B973" i="6"/>
  <c r="D972" i="6"/>
  <c r="E972" i="6" s="1"/>
  <c r="C972" i="6"/>
  <c r="B972" i="6"/>
  <c r="D971" i="6"/>
  <c r="E971" i="6" s="1"/>
  <c r="B971" i="6"/>
  <c r="D970" i="6"/>
  <c r="B970" i="6"/>
  <c r="C970" i="6" s="1"/>
  <c r="E969" i="6"/>
  <c r="D969" i="6"/>
  <c r="E970" i="6" s="1"/>
  <c r="B969" i="6"/>
  <c r="C969" i="6" s="1"/>
  <c r="D968" i="6"/>
  <c r="B968" i="6"/>
  <c r="C968" i="6" s="1"/>
  <c r="E967" i="6"/>
  <c r="D967" i="6"/>
  <c r="E968" i="6" s="1"/>
  <c r="B967" i="6"/>
  <c r="C967" i="6" s="1"/>
  <c r="D966" i="6"/>
  <c r="B966" i="6"/>
  <c r="D965" i="6"/>
  <c r="E965" i="6" s="1"/>
  <c r="B965" i="6"/>
  <c r="C965" i="6" s="1"/>
  <c r="D964" i="6"/>
  <c r="E964" i="6" s="1"/>
  <c r="B964" i="6"/>
  <c r="D963" i="6"/>
  <c r="E963" i="6" s="1"/>
  <c r="B963" i="6"/>
  <c r="C963" i="6" s="1"/>
  <c r="E962" i="6"/>
  <c r="D962" i="6"/>
  <c r="C962" i="6"/>
  <c r="B962" i="6"/>
  <c r="D961" i="6"/>
  <c r="B961" i="6"/>
  <c r="E960" i="6"/>
  <c r="D960" i="6"/>
  <c r="E961" i="6" s="1"/>
  <c r="B960" i="6"/>
  <c r="C960" i="6" s="1"/>
  <c r="D959" i="6"/>
  <c r="B959" i="6"/>
  <c r="D958" i="6"/>
  <c r="E958" i="6" s="1"/>
  <c r="C958" i="6"/>
  <c r="B958" i="6"/>
  <c r="E957" i="6"/>
  <c r="D957" i="6"/>
  <c r="B957" i="6"/>
  <c r="D956" i="6"/>
  <c r="E956" i="6" s="1"/>
  <c r="C956" i="6"/>
  <c r="B956" i="6"/>
  <c r="D955" i="6"/>
  <c r="E955" i="6" s="1"/>
  <c r="B955" i="6"/>
  <c r="D954" i="6"/>
  <c r="B954" i="6"/>
  <c r="C954" i="6" s="1"/>
  <c r="E953" i="6"/>
  <c r="D953" i="6"/>
  <c r="E954" i="6" s="1"/>
  <c r="B953" i="6"/>
  <c r="C953" i="6" s="1"/>
  <c r="D952" i="6"/>
  <c r="B952" i="6"/>
  <c r="C952" i="6" s="1"/>
  <c r="E951" i="6"/>
  <c r="D951" i="6"/>
  <c r="E952" i="6" s="1"/>
  <c r="B951" i="6"/>
  <c r="C951" i="6" s="1"/>
  <c r="D950" i="6"/>
  <c r="B950" i="6"/>
  <c r="D949" i="6"/>
  <c r="E949" i="6" s="1"/>
  <c r="B949" i="6"/>
  <c r="C949" i="6" s="1"/>
  <c r="D948" i="6"/>
  <c r="E948" i="6" s="1"/>
  <c r="B948" i="6"/>
  <c r="D947" i="6"/>
  <c r="E947" i="6" s="1"/>
  <c r="B947" i="6"/>
  <c r="C947" i="6" s="1"/>
  <c r="E946" i="6"/>
  <c r="D946" i="6"/>
  <c r="C946" i="6"/>
  <c r="B946" i="6"/>
  <c r="D945" i="6"/>
  <c r="B945" i="6"/>
  <c r="E944" i="6"/>
  <c r="D944" i="6"/>
  <c r="E945" i="6" s="1"/>
  <c r="B944" i="6"/>
  <c r="C944" i="6" s="1"/>
  <c r="D943" i="6"/>
  <c r="B943" i="6"/>
  <c r="D942" i="6"/>
  <c r="E942" i="6" s="1"/>
  <c r="C942" i="6"/>
  <c r="B942" i="6"/>
  <c r="E941" i="6"/>
  <c r="D941" i="6"/>
  <c r="B941" i="6"/>
  <c r="D940" i="6"/>
  <c r="E940" i="6" s="1"/>
  <c r="C940" i="6"/>
  <c r="B940" i="6"/>
  <c r="D939" i="6"/>
  <c r="E939" i="6" s="1"/>
  <c r="B939" i="6"/>
  <c r="D938" i="6"/>
  <c r="B938" i="6"/>
  <c r="C938" i="6" s="1"/>
  <c r="E937" i="6"/>
  <c r="D937" i="6"/>
  <c r="E938" i="6" s="1"/>
  <c r="B937" i="6"/>
  <c r="C937" i="6" s="1"/>
  <c r="D936" i="6"/>
  <c r="B936" i="6"/>
  <c r="C936" i="6" s="1"/>
  <c r="E935" i="6"/>
  <c r="D935" i="6"/>
  <c r="E936" i="6" s="1"/>
  <c r="B935" i="6"/>
  <c r="C935" i="6" s="1"/>
  <c r="D934" i="6"/>
  <c r="B934" i="6"/>
  <c r="D933" i="6"/>
  <c r="B933" i="6"/>
  <c r="C933" i="6" s="1"/>
  <c r="D932" i="6"/>
  <c r="E932" i="6" s="1"/>
  <c r="B932" i="6"/>
  <c r="D931" i="6"/>
  <c r="E931" i="6" s="1"/>
  <c r="B931" i="6"/>
  <c r="E930" i="6"/>
  <c r="D930" i="6"/>
  <c r="C930" i="6"/>
  <c r="B930" i="6"/>
  <c r="D929" i="6"/>
  <c r="B929" i="6"/>
  <c r="E928" i="6"/>
  <c r="D928" i="6"/>
  <c r="E929" i="6" s="1"/>
  <c r="B928" i="6"/>
  <c r="C928" i="6" s="1"/>
  <c r="D927" i="6"/>
  <c r="B927" i="6"/>
  <c r="D926" i="6"/>
  <c r="C926" i="6"/>
  <c r="B926" i="6"/>
  <c r="E925" i="6"/>
  <c r="D925" i="6"/>
  <c r="B925" i="6"/>
  <c r="D924" i="6"/>
  <c r="E924" i="6" s="1"/>
  <c r="C924" i="6"/>
  <c r="B924" i="6"/>
  <c r="D923" i="6"/>
  <c r="E923" i="6" s="1"/>
  <c r="B923" i="6"/>
  <c r="D922" i="6"/>
  <c r="B922" i="6"/>
  <c r="C922" i="6" s="1"/>
  <c r="E921" i="6"/>
  <c r="D921" i="6"/>
  <c r="E922" i="6" s="1"/>
  <c r="B921" i="6"/>
  <c r="C921" i="6" s="1"/>
  <c r="D920" i="6"/>
  <c r="B920" i="6"/>
  <c r="C920" i="6" s="1"/>
  <c r="E919" i="6"/>
  <c r="D919" i="6"/>
  <c r="E920" i="6" s="1"/>
  <c r="B919" i="6"/>
  <c r="C919" i="6" s="1"/>
  <c r="D918" i="6"/>
  <c r="B918" i="6"/>
  <c r="D917" i="6"/>
  <c r="B917" i="6"/>
  <c r="C917" i="6" s="1"/>
  <c r="D916" i="6"/>
  <c r="E916" i="6" s="1"/>
  <c r="B916" i="6"/>
  <c r="D915" i="6"/>
  <c r="E915" i="6" s="1"/>
  <c r="B915" i="6"/>
  <c r="E914" i="6"/>
  <c r="D914" i="6"/>
  <c r="C914" i="6"/>
  <c r="B914" i="6"/>
  <c r="D913" i="6"/>
  <c r="B913" i="6"/>
  <c r="E912" i="6"/>
  <c r="D912" i="6"/>
  <c r="E913" i="6" s="1"/>
  <c r="B912" i="6"/>
  <c r="C912" i="6" s="1"/>
  <c r="D911" i="6"/>
  <c r="B911" i="6"/>
  <c r="D910" i="6"/>
  <c r="C910" i="6"/>
  <c r="B910" i="6"/>
  <c r="E909" i="6"/>
  <c r="D909" i="6"/>
  <c r="B909" i="6"/>
  <c r="D908" i="6"/>
  <c r="E908" i="6" s="1"/>
  <c r="C908" i="6"/>
  <c r="B908" i="6"/>
  <c r="D907" i="6"/>
  <c r="E907" i="6" s="1"/>
  <c r="B907" i="6"/>
  <c r="D906" i="6"/>
  <c r="B906" i="6"/>
  <c r="C906" i="6" s="1"/>
  <c r="E905" i="6"/>
  <c r="D905" i="6"/>
  <c r="E906" i="6" s="1"/>
  <c r="B905" i="6"/>
  <c r="C905" i="6" s="1"/>
  <c r="D904" i="6"/>
  <c r="B904" i="6"/>
  <c r="C904" i="6" s="1"/>
  <c r="E903" i="6"/>
  <c r="D903" i="6"/>
  <c r="E904" i="6" s="1"/>
  <c r="B903" i="6"/>
  <c r="C903" i="6" s="1"/>
  <c r="D902" i="6"/>
  <c r="B902" i="6"/>
  <c r="D901" i="6"/>
  <c r="B901" i="6"/>
  <c r="C901" i="6" s="1"/>
  <c r="D900" i="6"/>
  <c r="E900" i="6" s="1"/>
  <c r="B900" i="6"/>
  <c r="D899" i="6"/>
  <c r="E899" i="6" s="1"/>
  <c r="B899" i="6"/>
  <c r="E898" i="6"/>
  <c r="D898" i="6"/>
  <c r="C898" i="6"/>
  <c r="B898" i="6"/>
  <c r="D897" i="6"/>
  <c r="B897" i="6"/>
  <c r="E896" i="6"/>
  <c r="D896" i="6"/>
  <c r="E897" i="6" s="1"/>
  <c r="B896" i="6"/>
  <c r="C896" i="6" s="1"/>
  <c r="D895" i="6"/>
  <c r="B895" i="6"/>
  <c r="D894" i="6"/>
  <c r="C894" i="6"/>
  <c r="B894" i="6"/>
  <c r="E893" i="6"/>
  <c r="D893" i="6"/>
  <c r="B893" i="6"/>
  <c r="D892" i="6"/>
  <c r="E892" i="6" s="1"/>
  <c r="B892" i="6"/>
  <c r="C892" i="6" s="1"/>
  <c r="D891" i="6"/>
  <c r="E891" i="6" s="1"/>
  <c r="B891" i="6"/>
  <c r="D890" i="6"/>
  <c r="B890" i="6"/>
  <c r="C890" i="6" s="1"/>
  <c r="E889" i="6"/>
  <c r="D889" i="6"/>
  <c r="E890" i="6" s="1"/>
  <c r="B889" i="6"/>
  <c r="C889" i="6" s="1"/>
  <c r="D888" i="6"/>
  <c r="B888" i="6"/>
  <c r="C888" i="6" s="1"/>
  <c r="E887" i="6"/>
  <c r="D887" i="6"/>
  <c r="E888" i="6" s="1"/>
  <c r="B887" i="6"/>
  <c r="C887" i="6" s="1"/>
  <c r="D886" i="6"/>
  <c r="B886" i="6"/>
  <c r="D885" i="6"/>
  <c r="B885" i="6"/>
  <c r="D884" i="6"/>
  <c r="E884" i="6" s="1"/>
  <c r="B884" i="6"/>
  <c r="D883" i="6"/>
  <c r="E883" i="6" s="1"/>
  <c r="B883" i="6"/>
  <c r="E882" i="6"/>
  <c r="D882" i="6"/>
  <c r="C882" i="6"/>
  <c r="B882" i="6"/>
  <c r="D881" i="6"/>
  <c r="B881" i="6"/>
  <c r="D880" i="6"/>
  <c r="E881" i="6" s="1"/>
  <c r="B880" i="6"/>
  <c r="C880" i="6" s="1"/>
  <c r="D879" i="6"/>
  <c r="B879" i="6"/>
  <c r="D878" i="6"/>
  <c r="C878" i="6"/>
  <c r="B878" i="6"/>
  <c r="E877" i="6"/>
  <c r="D877" i="6"/>
  <c r="B877" i="6"/>
  <c r="D876" i="6"/>
  <c r="E876" i="6" s="1"/>
  <c r="B876" i="6"/>
  <c r="C876" i="6" s="1"/>
  <c r="D875" i="6"/>
  <c r="E875" i="6" s="1"/>
  <c r="B875" i="6"/>
  <c r="D874" i="6"/>
  <c r="B874" i="6"/>
  <c r="C874" i="6" s="1"/>
  <c r="E873" i="6"/>
  <c r="D873" i="6"/>
  <c r="E874" i="6" s="1"/>
  <c r="B873" i="6"/>
  <c r="C873" i="6" s="1"/>
  <c r="D872" i="6"/>
  <c r="B872" i="6"/>
  <c r="C872" i="6" s="1"/>
  <c r="E871" i="6"/>
  <c r="D871" i="6"/>
  <c r="E872" i="6" s="1"/>
  <c r="B871" i="6"/>
  <c r="C871" i="6" s="1"/>
  <c r="D870" i="6"/>
  <c r="B870" i="6"/>
  <c r="D869" i="6"/>
  <c r="B869" i="6"/>
  <c r="D868" i="6"/>
  <c r="E868" i="6" s="1"/>
  <c r="B868" i="6"/>
  <c r="D867" i="6"/>
  <c r="E867" i="6" s="1"/>
  <c r="B867" i="6"/>
  <c r="E866" i="6"/>
  <c r="D866" i="6"/>
  <c r="C866" i="6"/>
  <c r="B866" i="6"/>
  <c r="D865" i="6"/>
  <c r="B865" i="6"/>
  <c r="D864" i="6"/>
  <c r="E865" i="6" s="1"/>
  <c r="B864" i="6"/>
  <c r="C864" i="6" s="1"/>
  <c r="D863" i="6"/>
  <c r="B863" i="6"/>
  <c r="D862" i="6"/>
  <c r="C862" i="6"/>
  <c r="B862" i="6"/>
  <c r="E861" i="6"/>
  <c r="D861" i="6"/>
  <c r="B861" i="6"/>
  <c r="D860" i="6"/>
  <c r="E860" i="6" s="1"/>
  <c r="B860" i="6"/>
  <c r="C860" i="6" s="1"/>
  <c r="D859" i="6"/>
  <c r="E859" i="6" s="1"/>
  <c r="B859" i="6"/>
  <c r="D858" i="6"/>
  <c r="B858" i="6"/>
  <c r="C858" i="6" s="1"/>
  <c r="E857" i="6"/>
  <c r="D857" i="6"/>
  <c r="E858" i="6" s="1"/>
  <c r="B857" i="6"/>
  <c r="C857" i="6" s="1"/>
  <c r="D856" i="6"/>
  <c r="B856" i="6"/>
  <c r="C856" i="6" s="1"/>
  <c r="E855" i="6"/>
  <c r="D855" i="6"/>
  <c r="E856" i="6" s="1"/>
  <c r="B855" i="6"/>
  <c r="C855" i="6" s="1"/>
  <c r="D854" i="6"/>
  <c r="B854" i="6"/>
  <c r="D853" i="6"/>
  <c r="B853" i="6"/>
  <c r="D852" i="6"/>
  <c r="E852" i="6" s="1"/>
  <c r="B852" i="6"/>
  <c r="D851" i="6"/>
  <c r="E851" i="6" s="1"/>
  <c r="B851" i="6"/>
  <c r="E850" i="6"/>
  <c r="D850" i="6"/>
  <c r="C850" i="6"/>
  <c r="B850" i="6"/>
  <c r="D849" i="6"/>
  <c r="B849" i="6"/>
  <c r="D848" i="6"/>
  <c r="E849" i="6" s="1"/>
  <c r="B848" i="6"/>
  <c r="C848" i="6" s="1"/>
  <c r="D847" i="6"/>
  <c r="B847" i="6"/>
  <c r="D846" i="6"/>
  <c r="C846" i="6"/>
  <c r="B846" i="6"/>
  <c r="E845" i="6"/>
  <c r="D845" i="6"/>
  <c r="B845" i="6"/>
  <c r="D844" i="6"/>
  <c r="E844" i="6" s="1"/>
  <c r="B844" i="6"/>
  <c r="C844" i="6" s="1"/>
  <c r="D843" i="6"/>
  <c r="E843" i="6" s="1"/>
  <c r="B843" i="6"/>
  <c r="D842" i="6"/>
  <c r="B842" i="6"/>
  <c r="C842" i="6" s="1"/>
  <c r="E841" i="6"/>
  <c r="D841" i="6"/>
  <c r="E842" i="6" s="1"/>
  <c r="B841" i="6"/>
  <c r="C841" i="6" s="1"/>
  <c r="D840" i="6"/>
  <c r="B840" i="6"/>
  <c r="C840" i="6" s="1"/>
  <c r="E839" i="6"/>
  <c r="D839" i="6"/>
  <c r="E840" i="6" s="1"/>
  <c r="B839" i="6"/>
  <c r="C839" i="6" s="1"/>
  <c r="D838" i="6"/>
  <c r="B838" i="6"/>
  <c r="D837" i="6"/>
  <c r="B837" i="6"/>
  <c r="D836" i="6"/>
  <c r="E836" i="6" s="1"/>
  <c r="B836" i="6"/>
  <c r="D835" i="6"/>
  <c r="B835" i="6"/>
  <c r="D834" i="6"/>
  <c r="E834" i="6" s="1"/>
  <c r="C834" i="6"/>
  <c r="B834" i="6"/>
  <c r="D833" i="6"/>
  <c r="B833" i="6"/>
  <c r="D832" i="6"/>
  <c r="E833" i="6" s="1"/>
  <c r="B832" i="6"/>
  <c r="C832" i="6" s="1"/>
  <c r="D831" i="6"/>
  <c r="B831" i="6"/>
  <c r="D830" i="6"/>
  <c r="C830" i="6"/>
  <c r="B830" i="6"/>
  <c r="E829" i="6"/>
  <c r="D829" i="6"/>
  <c r="B829" i="6"/>
  <c r="D828" i="6"/>
  <c r="E828" i="6" s="1"/>
  <c r="C828" i="6"/>
  <c r="B828" i="6"/>
  <c r="E827" i="6"/>
  <c r="D827" i="6"/>
  <c r="B827" i="6"/>
  <c r="D826" i="6"/>
  <c r="B826" i="6"/>
  <c r="D825" i="6"/>
  <c r="E826" i="6" s="1"/>
  <c r="B825" i="6"/>
  <c r="C825" i="6" s="1"/>
  <c r="D824" i="6"/>
  <c r="B824" i="6"/>
  <c r="D823" i="6"/>
  <c r="E824" i="6" s="1"/>
  <c r="B823" i="6"/>
  <c r="C823" i="6" s="1"/>
  <c r="E822" i="6"/>
  <c r="D822" i="6"/>
  <c r="B822" i="6"/>
  <c r="D821" i="6"/>
  <c r="B821" i="6"/>
  <c r="D820" i="6"/>
  <c r="E820" i="6" s="1"/>
  <c r="B820" i="6"/>
  <c r="D819" i="6"/>
  <c r="E819" i="6" s="1"/>
  <c r="B819" i="6"/>
  <c r="E818" i="6"/>
  <c r="D818" i="6"/>
  <c r="C818" i="6"/>
  <c r="B818" i="6"/>
  <c r="D817" i="6"/>
  <c r="B817" i="6"/>
  <c r="D816" i="6"/>
  <c r="E817" i="6" s="1"/>
  <c r="C816" i="6"/>
  <c r="B816" i="6"/>
  <c r="D815" i="6"/>
  <c r="B815" i="6"/>
  <c r="D814" i="6"/>
  <c r="C814" i="6"/>
  <c r="B814" i="6"/>
  <c r="E813" i="6"/>
  <c r="D813" i="6"/>
  <c r="B813" i="6"/>
  <c r="D812" i="6"/>
  <c r="B812" i="6"/>
  <c r="C812" i="6" s="1"/>
  <c r="D811" i="6"/>
  <c r="E811" i="6" s="1"/>
  <c r="B811" i="6"/>
  <c r="D810" i="6"/>
  <c r="B810" i="6"/>
  <c r="D809" i="6"/>
  <c r="E810" i="6" s="1"/>
  <c r="B809" i="6"/>
  <c r="C809" i="6" s="1"/>
  <c r="D808" i="6"/>
  <c r="B808" i="6"/>
  <c r="C808" i="6" s="1"/>
  <c r="E807" i="6"/>
  <c r="D807" i="6"/>
  <c r="E808" i="6" s="1"/>
  <c r="B807" i="6"/>
  <c r="C807" i="6" s="1"/>
  <c r="D806" i="6"/>
  <c r="B806" i="6"/>
  <c r="D805" i="6"/>
  <c r="B805" i="6"/>
  <c r="E804" i="6"/>
  <c r="D804" i="6"/>
  <c r="B804" i="6"/>
  <c r="D803" i="6"/>
  <c r="B803" i="6"/>
  <c r="D802" i="6"/>
  <c r="E802" i="6" s="1"/>
  <c r="C802" i="6"/>
  <c r="B802" i="6"/>
  <c r="D801" i="6"/>
  <c r="B801" i="6"/>
  <c r="D800" i="6"/>
  <c r="E801" i="6" s="1"/>
  <c r="B800" i="6"/>
  <c r="C800" i="6" s="1"/>
  <c r="D799" i="6"/>
  <c r="B799" i="6"/>
  <c r="D798" i="6"/>
  <c r="C798" i="6"/>
  <c r="B798" i="6"/>
  <c r="E797" i="6"/>
  <c r="D797" i="6"/>
  <c r="B797" i="6"/>
  <c r="D796" i="6"/>
  <c r="E796" i="6" s="1"/>
  <c r="C796" i="6"/>
  <c r="B796" i="6"/>
  <c r="E795" i="6"/>
  <c r="D795" i="6"/>
  <c r="B795" i="6"/>
  <c r="D794" i="6"/>
  <c r="B794" i="6"/>
  <c r="D793" i="6"/>
  <c r="E794" i="6" s="1"/>
  <c r="B793" i="6"/>
  <c r="C793" i="6" s="1"/>
  <c r="D792" i="6"/>
  <c r="B792" i="6"/>
  <c r="D791" i="6"/>
  <c r="E792" i="6" s="1"/>
  <c r="B791" i="6"/>
  <c r="C791" i="6" s="1"/>
  <c r="E790" i="6"/>
  <c r="D790" i="6"/>
  <c r="B790" i="6"/>
  <c r="D789" i="6"/>
  <c r="B789" i="6"/>
  <c r="D788" i="6"/>
  <c r="E788" i="6" s="1"/>
  <c r="B788" i="6"/>
  <c r="D787" i="6"/>
  <c r="E787" i="6" s="1"/>
  <c r="B787" i="6"/>
  <c r="E786" i="6"/>
  <c r="D786" i="6"/>
  <c r="C786" i="6"/>
  <c r="B786" i="6"/>
  <c r="D785" i="6"/>
  <c r="B785" i="6"/>
  <c r="D784" i="6"/>
  <c r="E785" i="6" s="1"/>
  <c r="C784" i="6"/>
  <c r="B784" i="6"/>
  <c r="D783" i="6"/>
  <c r="B783" i="6"/>
  <c r="D782" i="6"/>
  <c r="C782" i="6"/>
  <c r="B782" i="6"/>
  <c r="E781" i="6"/>
  <c r="D781" i="6"/>
  <c r="B781" i="6"/>
  <c r="D780" i="6"/>
  <c r="B780" i="6"/>
  <c r="C780" i="6" s="1"/>
  <c r="D779" i="6"/>
  <c r="E779" i="6" s="1"/>
  <c r="B779" i="6"/>
  <c r="D778" i="6"/>
  <c r="B778" i="6"/>
  <c r="D777" i="6"/>
  <c r="E778" i="6" s="1"/>
  <c r="B777" i="6"/>
  <c r="C777" i="6" s="1"/>
  <c r="D776" i="6"/>
  <c r="B776" i="6"/>
  <c r="C776" i="6" s="1"/>
  <c r="E775" i="6"/>
  <c r="D775" i="6"/>
  <c r="E776" i="6" s="1"/>
  <c r="B775" i="6"/>
  <c r="C775" i="6" s="1"/>
  <c r="D774" i="6"/>
  <c r="B774" i="6"/>
  <c r="D773" i="6"/>
  <c r="B773" i="6"/>
  <c r="E772" i="6"/>
  <c r="D772" i="6"/>
  <c r="B772" i="6"/>
  <c r="D771" i="6"/>
  <c r="B771" i="6"/>
  <c r="D770" i="6"/>
  <c r="E770" i="6" s="1"/>
  <c r="C770" i="6"/>
  <c r="B770" i="6"/>
  <c r="D769" i="6"/>
  <c r="B769" i="6"/>
  <c r="D768" i="6"/>
  <c r="E769" i="6" s="1"/>
  <c r="B768" i="6"/>
  <c r="C768" i="6" s="1"/>
  <c r="D767" i="6"/>
  <c r="B767" i="6"/>
  <c r="D766" i="6"/>
  <c r="C766" i="6"/>
  <c r="B766" i="6"/>
  <c r="E765" i="6"/>
  <c r="D765" i="6"/>
  <c r="B765" i="6"/>
  <c r="D764" i="6"/>
  <c r="E764" i="6" s="1"/>
  <c r="C764" i="6"/>
  <c r="B764" i="6"/>
  <c r="E763" i="6"/>
  <c r="D763" i="6"/>
  <c r="B763" i="6"/>
  <c r="D762" i="6"/>
  <c r="B762" i="6"/>
  <c r="D761" i="6"/>
  <c r="E762" i="6" s="1"/>
  <c r="B761" i="6"/>
  <c r="C761" i="6" s="1"/>
  <c r="D760" i="6"/>
  <c r="B760" i="6"/>
  <c r="D759" i="6"/>
  <c r="E760" i="6" s="1"/>
  <c r="B759" i="6"/>
  <c r="C759" i="6" s="1"/>
  <c r="E758" i="6"/>
  <c r="D758" i="6"/>
  <c r="B758" i="6"/>
  <c r="D757" i="6"/>
  <c r="B757" i="6"/>
  <c r="D756" i="6"/>
  <c r="E756" i="6" s="1"/>
  <c r="B756" i="6"/>
  <c r="D755" i="6"/>
  <c r="E755" i="6" s="1"/>
  <c r="B755" i="6"/>
  <c r="E754" i="6"/>
  <c r="D754" i="6"/>
  <c r="C754" i="6"/>
  <c r="B754" i="6"/>
  <c r="D753" i="6"/>
  <c r="B753" i="6"/>
  <c r="D752" i="6"/>
  <c r="E753" i="6" s="1"/>
  <c r="C752" i="6"/>
  <c r="B752" i="6"/>
  <c r="D751" i="6"/>
  <c r="B751" i="6"/>
  <c r="D750" i="6"/>
  <c r="C750" i="6"/>
  <c r="B750" i="6"/>
  <c r="E749" i="6"/>
  <c r="D749" i="6"/>
  <c r="B749" i="6"/>
  <c r="D748" i="6"/>
  <c r="B748" i="6"/>
  <c r="C748" i="6" s="1"/>
  <c r="E747" i="6"/>
  <c r="D747" i="6"/>
  <c r="B747" i="6"/>
  <c r="D746" i="6"/>
  <c r="B746" i="6"/>
  <c r="D745" i="6"/>
  <c r="E746" i="6" s="1"/>
  <c r="B745" i="6"/>
  <c r="C745" i="6" s="1"/>
  <c r="D744" i="6"/>
  <c r="B744" i="6"/>
  <c r="C744" i="6" s="1"/>
  <c r="E743" i="6"/>
  <c r="D743" i="6"/>
  <c r="E744" i="6" s="1"/>
  <c r="B743" i="6"/>
  <c r="C743" i="6" s="1"/>
  <c r="D742" i="6"/>
  <c r="B742" i="6"/>
  <c r="D741" i="6"/>
  <c r="B741" i="6"/>
  <c r="E740" i="6"/>
  <c r="D740" i="6"/>
  <c r="B740" i="6"/>
  <c r="D739" i="6"/>
  <c r="B739" i="6"/>
  <c r="D738" i="6"/>
  <c r="E738" i="6" s="1"/>
  <c r="C738" i="6"/>
  <c r="B738" i="6"/>
  <c r="D737" i="6"/>
  <c r="B737" i="6"/>
  <c r="D736" i="6"/>
  <c r="E737" i="6" s="1"/>
  <c r="B736" i="6"/>
  <c r="C736" i="6" s="1"/>
  <c r="D735" i="6"/>
  <c r="B735" i="6"/>
  <c r="D734" i="6"/>
  <c r="C734" i="6"/>
  <c r="B734" i="6"/>
  <c r="E733" i="6"/>
  <c r="D733" i="6"/>
  <c r="B733" i="6"/>
  <c r="D732" i="6"/>
  <c r="E732" i="6" s="1"/>
  <c r="B732" i="6"/>
  <c r="C732" i="6" s="1"/>
  <c r="E731" i="6"/>
  <c r="D731" i="6"/>
  <c r="B731" i="6"/>
  <c r="D730" i="6"/>
  <c r="B730" i="6"/>
  <c r="D729" i="6"/>
  <c r="E730" i="6" s="1"/>
  <c r="B729" i="6"/>
  <c r="C729" i="6" s="1"/>
  <c r="D728" i="6"/>
  <c r="B728" i="6"/>
  <c r="D727" i="6"/>
  <c r="E728" i="6" s="1"/>
  <c r="B727" i="6"/>
  <c r="C727" i="6" s="1"/>
  <c r="E726" i="6"/>
  <c r="D726" i="6"/>
  <c r="B726" i="6"/>
  <c r="D725" i="6"/>
  <c r="B725" i="6"/>
  <c r="D724" i="6"/>
  <c r="E724" i="6" s="1"/>
  <c r="B724" i="6"/>
  <c r="D723" i="6"/>
  <c r="E723" i="6" s="1"/>
  <c r="B723" i="6"/>
  <c r="E722" i="6"/>
  <c r="D722" i="6"/>
  <c r="C722" i="6"/>
  <c r="B722" i="6"/>
  <c r="D721" i="6"/>
  <c r="B721" i="6"/>
  <c r="D720" i="6"/>
  <c r="E721" i="6" s="1"/>
  <c r="C720" i="6"/>
  <c r="B720" i="6"/>
  <c r="D719" i="6"/>
  <c r="B719" i="6"/>
  <c r="D718" i="6"/>
  <c r="C718" i="6"/>
  <c r="B718" i="6"/>
  <c r="E717" i="6"/>
  <c r="D717" i="6"/>
  <c r="B717" i="6"/>
  <c r="D716" i="6"/>
  <c r="B716" i="6"/>
  <c r="C716" i="6" s="1"/>
  <c r="E715" i="6"/>
  <c r="D715" i="6"/>
  <c r="B715" i="6"/>
  <c r="D714" i="6"/>
  <c r="B714" i="6"/>
  <c r="C714" i="6" s="1"/>
  <c r="D713" i="6"/>
  <c r="E714" i="6" s="1"/>
  <c r="B713" i="6"/>
  <c r="C713" i="6" s="1"/>
  <c r="D712" i="6"/>
  <c r="B712" i="6"/>
  <c r="C712" i="6" s="1"/>
  <c r="D711" i="6"/>
  <c r="E712" i="6" s="1"/>
  <c r="B711" i="6"/>
  <c r="C711" i="6" s="1"/>
  <c r="D710" i="6"/>
  <c r="B710" i="6"/>
  <c r="D709" i="6"/>
  <c r="B709" i="6"/>
  <c r="D708" i="6"/>
  <c r="E708" i="6" s="1"/>
  <c r="B708" i="6"/>
  <c r="D707" i="6"/>
  <c r="B707" i="6"/>
  <c r="D706" i="6"/>
  <c r="E706" i="6" s="1"/>
  <c r="C706" i="6"/>
  <c r="B706" i="6"/>
  <c r="D705" i="6"/>
  <c r="B705" i="6"/>
  <c r="D704" i="6"/>
  <c r="E705" i="6" s="1"/>
  <c r="B704" i="6"/>
  <c r="C704" i="6" s="1"/>
  <c r="D703" i="6"/>
  <c r="B703" i="6"/>
  <c r="D702" i="6"/>
  <c r="C702" i="6"/>
  <c r="B702" i="6"/>
  <c r="E701" i="6"/>
  <c r="D701" i="6"/>
  <c r="B701" i="6"/>
  <c r="D700" i="6"/>
  <c r="E700" i="6" s="1"/>
  <c r="B700" i="6"/>
  <c r="C700" i="6" s="1"/>
  <c r="E699" i="6"/>
  <c r="D699" i="6"/>
  <c r="B699" i="6"/>
  <c r="D698" i="6"/>
  <c r="B698" i="6"/>
  <c r="D697" i="6"/>
  <c r="E698" i="6" s="1"/>
  <c r="B697" i="6"/>
  <c r="C697" i="6" s="1"/>
  <c r="D696" i="6"/>
  <c r="B696" i="6"/>
  <c r="D695" i="6"/>
  <c r="E696" i="6" s="1"/>
  <c r="B695" i="6"/>
  <c r="C695" i="6" s="1"/>
  <c r="E694" i="6"/>
  <c r="D694" i="6"/>
  <c r="B694" i="6"/>
  <c r="D693" i="6"/>
  <c r="E693" i="6" s="1"/>
  <c r="B693" i="6"/>
  <c r="C694" i="6" s="1"/>
  <c r="D692" i="6"/>
  <c r="B692" i="6"/>
  <c r="D691" i="6"/>
  <c r="E691" i="6" s="1"/>
  <c r="C691" i="6"/>
  <c r="B691" i="6"/>
  <c r="C692" i="6" s="1"/>
  <c r="D690" i="6"/>
  <c r="B690" i="6"/>
  <c r="D689" i="6"/>
  <c r="E689" i="6" s="1"/>
  <c r="B689" i="6"/>
  <c r="C690" i="6" s="1"/>
  <c r="E688" i="6"/>
  <c r="D688" i="6"/>
  <c r="B688" i="6"/>
  <c r="D687" i="6"/>
  <c r="E687" i="6" s="1"/>
  <c r="B687" i="6"/>
  <c r="C688" i="6" s="1"/>
  <c r="E686" i="6"/>
  <c r="D686" i="6"/>
  <c r="B686" i="6"/>
  <c r="D685" i="6"/>
  <c r="E685" i="6" s="1"/>
  <c r="B685" i="6"/>
  <c r="C686" i="6" s="1"/>
  <c r="D684" i="6"/>
  <c r="B684" i="6"/>
  <c r="D683" i="6"/>
  <c r="E683" i="6" s="1"/>
  <c r="C683" i="6"/>
  <c r="B683" i="6"/>
  <c r="C684" i="6" s="1"/>
  <c r="D682" i="6"/>
  <c r="B682" i="6"/>
  <c r="D681" i="6"/>
  <c r="E681" i="6" s="1"/>
  <c r="B681" i="6"/>
  <c r="C682" i="6" s="1"/>
  <c r="E680" i="6"/>
  <c r="D680" i="6"/>
  <c r="B680" i="6"/>
  <c r="D679" i="6"/>
  <c r="E679" i="6" s="1"/>
  <c r="B679" i="6"/>
  <c r="C680" i="6" s="1"/>
  <c r="E678" i="6"/>
  <c r="D678" i="6"/>
  <c r="B678" i="6"/>
  <c r="D677" i="6"/>
  <c r="E677" i="6" s="1"/>
  <c r="B677" i="6"/>
  <c r="C678" i="6" s="1"/>
  <c r="D676" i="6"/>
  <c r="B676" i="6"/>
  <c r="D675" i="6"/>
  <c r="E675" i="6" s="1"/>
  <c r="C675" i="6"/>
  <c r="B675" i="6"/>
  <c r="C676" i="6" s="1"/>
  <c r="D674" i="6"/>
  <c r="B674" i="6"/>
  <c r="D673" i="6"/>
  <c r="E673" i="6" s="1"/>
  <c r="B673" i="6"/>
  <c r="C674" i="6" s="1"/>
  <c r="E672" i="6"/>
  <c r="D672" i="6"/>
  <c r="B672" i="6"/>
  <c r="D671" i="6"/>
  <c r="E671" i="6" s="1"/>
  <c r="B671" i="6"/>
  <c r="C672" i="6" s="1"/>
  <c r="E670" i="6"/>
  <c r="D670" i="6"/>
  <c r="B670" i="6"/>
  <c r="D669" i="6"/>
  <c r="E669" i="6" s="1"/>
  <c r="B669" i="6"/>
  <c r="C670" i="6" s="1"/>
  <c r="D668" i="6"/>
  <c r="B668" i="6"/>
  <c r="D667" i="6"/>
  <c r="E667" i="6" s="1"/>
  <c r="C667" i="6"/>
  <c r="B667" i="6"/>
  <c r="C668" i="6" s="1"/>
  <c r="D666" i="6"/>
  <c r="B666" i="6"/>
  <c r="D665" i="6"/>
  <c r="E665" i="6" s="1"/>
  <c r="B665" i="6"/>
  <c r="C666" i="6" s="1"/>
  <c r="E664" i="6"/>
  <c r="D664" i="6"/>
  <c r="B664" i="6"/>
  <c r="D663" i="6"/>
  <c r="E663" i="6" s="1"/>
  <c r="B663" i="6"/>
  <c r="C664" i="6" s="1"/>
  <c r="E662" i="6"/>
  <c r="D662" i="6"/>
  <c r="B662" i="6"/>
  <c r="D661" i="6"/>
  <c r="E661" i="6" s="1"/>
  <c r="B661" i="6"/>
  <c r="C662" i="6" s="1"/>
  <c r="D660" i="6"/>
  <c r="B660" i="6"/>
  <c r="D659" i="6"/>
  <c r="E659" i="6" s="1"/>
  <c r="C659" i="6"/>
  <c r="B659" i="6"/>
  <c r="C660" i="6" s="1"/>
  <c r="D658" i="6"/>
  <c r="B658" i="6"/>
  <c r="D657" i="6"/>
  <c r="E657" i="6" s="1"/>
  <c r="B657" i="6"/>
  <c r="C658" i="6" s="1"/>
  <c r="E656" i="6"/>
  <c r="D656" i="6"/>
  <c r="B656" i="6"/>
  <c r="D655" i="6"/>
  <c r="E655" i="6" s="1"/>
  <c r="B655" i="6"/>
  <c r="C656" i="6" s="1"/>
  <c r="E654" i="6"/>
  <c r="D654" i="6"/>
  <c r="B654" i="6"/>
  <c r="D653" i="6"/>
  <c r="E653" i="6" s="1"/>
  <c r="B653" i="6"/>
  <c r="C654" i="6" s="1"/>
  <c r="D652" i="6"/>
  <c r="B652" i="6"/>
  <c r="D651" i="6"/>
  <c r="E651" i="6" s="1"/>
  <c r="C651" i="6"/>
  <c r="B651" i="6"/>
  <c r="C652" i="6" s="1"/>
  <c r="D650" i="6"/>
  <c r="B650" i="6"/>
  <c r="D649" i="6"/>
  <c r="E649" i="6" s="1"/>
  <c r="B649" i="6"/>
  <c r="C650" i="6" s="1"/>
  <c r="E648" i="6"/>
  <c r="D648" i="6"/>
  <c r="B648" i="6"/>
  <c r="D647" i="6"/>
  <c r="E647" i="6" s="1"/>
  <c r="B647" i="6"/>
  <c r="C648" i="6" s="1"/>
  <c r="E646" i="6"/>
  <c r="D646" i="6"/>
  <c r="B646" i="6"/>
  <c r="D645" i="6"/>
  <c r="E645" i="6" s="1"/>
  <c r="B645" i="6"/>
  <c r="C646" i="6" s="1"/>
  <c r="D644" i="6"/>
  <c r="B644" i="6"/>
  <c r="D643" i="6"/>
  <c r="E643" i="6" s="1"/>
  <c r="C643" i="6"/>
  <c r="B643" i="6"/>
  <c r="C644" i="6" s="1"/>
  <c r="D642" i="6"/>
  <c r="B642" i="6"/>
  <c r="D641" i="6"/>
  <c r="E641" i="6" s="1"/>
  <c r="B641" i="6"/>
  <c r="C642" i="6" s="1"/>
  <c r="E640" i="6"/>
  <c r="D640" i="6"/>
  <c r="B640" i="6"/>
  <c r="D639" i="6"/>
  <c r="E639" i="6" s="1"/>
  <c r="B639" i="6"/>
  <c r="C640" i="6" s="1"/>
  <c r="E638" i="6"/>
  <c r="D638" i="6"/>
  <c r="B638" i="6"/>
  <c r="D637" i="6"/>
  <c r="E637" i="6" s="1"/>
  <c r="B637" i="6"/>
  <c r="C638" i="6" s="1"/>
  <c r="D636" i="6"/>
  <c r="B636" i="6"/>
  <c r="D635" i="6"/>
  <c r="E635" i="6" s="1"/>
  <c r="C635" i="6"/>
  <c r="B635" i="6"/>
  <c r="C636" i="6" s="1"/>
  <c r="D634" i="6"/>
  <c r="B634" i="6"/>
  <c r="D633" i="6"/>
  <c r="E633" i="6" s="1"/>
  <c r="B633" i="6"/>
  <c r="C634" i="6" s="1"/>
  <c r="E632" i="6"/>
  <c r="D632" i="6"/>
  <c r="B632" i="6"/>
  <c r="D631" i="6"/>
  <c r="E631" i="6" s="1"/>
  <c r="B631" i="6"/>
  <c r="C632" i="6" s="1"/>
  <c r="E630" i="6"/>
  <c r="D630" i="6"/>
  <c r="B630" i="6"/>
  <c r="D629" i="6"/>
  <c r="E629" i="6" s="1"/>
  <c r="B629" i="6"/>
  <c r="C630" i="6" s="1"/>
  <c r="D628" i="6"/>
  <c r="B628" i="6"/>
  <c r="D627" i="6"/>
  <c r="E627" i="6" s="1"/>
  <c r="C627" i="6"/>
  <c r="B627" i="6"/>
  <c r="C628" i="6" s="1"/>
  <c r="D626" i="6"/>
  <c r="B626" i="6"/>
  <c r="D625" i="6"/>
  <c r="E625" i="6" s="1"/>
  <c r="B625" i="6"/>
  <c r="C625" i="6" s="1"/>
  <c r="E624" i="6"/>
  <c r="D624" i="6"/>
  <c r="B624" i="6"/>
  <c r="D623" i="6"/>
  <c r="E623" i="6" s="1"/>
  <c r="B623" i="6"/>
  <c r="C623" i="6" s="1"/>
  <c r="E622" i="6"/>
  <c r="D622" i="6"/>
  <c r="B622" i="6"/>
  <c r="C622" i="6" s="1"/>
  <c r="D621" i="6"/>
  <c r="E621" i="6" s="1"/>
  <c r="B621" i="6"/>
  <c r="C621" i="6" s="1"/>
  <c r="D620" i="6"/>
  <c r="B620" i="6"/>
  <c r="C620" i="6" s="1"/>
  <c r="D619" i="6"/>
  <c r="E619" i="6" s="1"/>
  <c r="C619" i="6"/>
  <c r="B619" i="6"/>
  <c r="D618" i="6"/>
  <c r="B618" i="6"/>
  <c r="D617" i="6"/>
  <c r="E617" i="6" s="1"/>
  <c r="B617" i="6"/>
  <c r="C617" i="6" s="1"/>
  <c r="E616" i="6"/>
  <c r="D616" i="6"/>
  <c r="B616" i="6"/>
  <c r="D615" i="6"/>
  <c r="E615" i="6" s="1"/>
  <c r="B615" i="6"/>
  <c r="C615" i="6" s="1"/>
  <c r="E614" i="6"/>
  <c r="D614" i="6"/>
  <c r="B614" i="6"/>
  <c r="C614" i="6" s="1"/>
  <c r="D613" i="6"/>
  <c r="E613" i="6" s="1"/>
  <c r="B613" i="6"/>
  <c r="C613" i="6" s="1"/>
  <c r="D612" i="6"/>
  <c r="B612" i="6"/>
  <c r="C612" i="6" s="1"/>
  <c r="D611" i="6"/>
  <c r="E611" i="6" s="1"/>
  <c r="C611" i="6"/>
  <c r="B611" i="6"/>
  <c r="D610" i="6"/>
  <c r="B610" i="6"/>
  <c r="D609" i="6"/>
  <c r="E609" i="6" s="1"/>
  <c r="B609" i="6"/>
  <c r="C609" i="6" s="1"/>
  <c r="E608" i="6"/>
  <c r="D608" i="6"/>
  <c r="B608" i="6"/>
  <c r="D607" i="6"/>
  <c r="E607" i="6" s="1"/>
  <c r="B607" i="6"/>
  <c r="C607" i="6" s="1"/>
  <c r="E606" i="6"/>
  <c r="D606" i="6"/>
  <c r="B606" i="6"/>
  <c r="C606" i="6" s="1"/>
  <c r="D605" i="6"/>
  <c r="E605" i="6" s="1"/>
  <c r="B605" i="6"/>
  <c r="C605" i="6" s="1"/>
  <c r="D604" i="6"/>
  <c r="B604" i="6"/>
  <c r="C604" i="6" s="1"/>
  <c r="D603" i="6"/>
  <c r="E603" i="6" s="1"/>
  <c r="C603" i="6"/>
  <c r="B603" i="6"/>
  <c r="D602" i="6"/>
  <c r="B602" i="6"/>
  <c r="D601" i="6"/>
  <c r="E601" i="6" s="1"/>
  <c r="B601" i="6"/>
  <c r="C601" i="6" s="1"/>
  <c r="E600" i="6"/>
  <c r="D600" i="6"/>
  <c r="B600" i="6"/>
  <c r="D599" i="6"/>
  <c r="E599" i="6" s="1"/>
  <c r="B599" i="6"/>
  <c r="C599" i="6" s="1"/>
  <c r="E598" i="6"/>
  <c r="D598" i="6"/>
  <c r="B598" i="6"/>
  <c r="C598" i="6" s="1"/>
  <c r="D597" i="6"/>
  <c r="E597" i="6" s="1"/>
  <c r="B597" i="6"/>
  <c r="C597" i="6" s="1"/>
  <c r="D596" i="6"/>
  <c r="B596" i="6"/>
  <c r="C596" i="6" s="1"/>
  <c r="D595" i="6"/>
  <c r="E595" i="6" s="1"/>
  <c r="C595" i="6"/>
  <c r="B595" i="6"/>
  <c r="D594" i="6"/>
  <c r="B594" i="6"/>
  <c r="D593" i="6"/>
  <c r="E593" i="6" s="1"/>
  <c r="B593" i="6"/>
  <c r="C593" i="6" s="1"/>
  <c r="E592" i="6"/>
  <c r="D592" i="6"/>
  <c r="B592" i="6"/>
  <c r="D591" i="6"/>
  <c r="E591" i="6" s="1"/>
  <c r="B591" i="6"/>
  <c r="C591" i="6" s="1"/>
  <c r="E590" i="6"/>
  <c r="D590" i="6"/>
  <c r="B590" i="6"/>
  <c r="C590" i="6" s="1"/>
  <c r="D589" i="6"/>
  <c r="E589" i="6" s="1"/>
  <c r="B589" i="6"/>
  <c r="C589" i="6" s="1"/>
  <c r="D588" i="6"/>
  <c r="B588" i="6"/>
  <c r="C588" i="6" s="1"/>
  <c r="D587" i="6"/>
  <c r="E587" i="6" s="1"/>
  <c r="C587" i="6"/>
  <c r="B587" i="6"/>
  <c r="D586" i="6"/>
  <c r="B586" i="6"/>
  <c r="D585" i="6"/>
  <c r="E585" i="6" s="1"/>
  <c r="B585" i="6"/>
  <c r="C585" i="6" s="1"/>
  <c r="E584" i="6"/>
  <c r="D584" i="6"/>
  <c r="B584" i="6"/>
  <c r="D583" i="6"/>
  <c r="E583" i="6" s="1"/>
  <c r="B583" i="6"/>
  <c r="C583" i="6" s="1"/>
  <c r="E582" i="6"/>
  <c r="D582" i="6"/>
  <c r="B582" i="6"/>
  <c r="C582" i="6" s="1"/>
  <c r="D581" i="6"/>
  <c r="E581" i="6" s="1"/>
  <c r="B581" i="6"/>
  <c r="C581" i="6" s="1"/>
  <c r="D580" i="6"/>
  <c r="B580" i="6"/>
  <c r="C580" i="6" s="1"/>
  <c r="D579" i="6"/>
  <c r="E579" i="6" s="1"/>
  <c r="C579" i="6"/>
  <c r="B579" i="6"/>
  <c r="D578" i="6"/>
  <c r="B578" i="6"/>
  <c r="D577" i="6"/>
  <c r="E577" i="6" s="1"/>
  <c r="B577" i="6"/>
  <c r="C577" i="6" s="1"/>
  <c r="E576" i="6"/>
  <c r="D576" i="6"/>
  <c r="B576" i="6"/>
  <c r="D575" i="6"/>
  <c r="E575" i="6" s="1"/>
  <c r="B575" i="6"/>
  <c r="C575" i="6" s="1"/>
  <c r="E574" i="6"/>
  <c r="D574" i="6"/>
  <c r="B574" i="6"/>
  <c r="C574" i="6" s="1"/>
  <c r="D573" i="6"/>
  <c r="E573" i="6" s="1"/>
  <c r="B573" i="6"/>
  <c r="C573" i="6" s="1"/>
  <c r="D572" i="6"/>
  <c r="B572" i="6"/>
  <c r="C572" i="6" s="1"/>
  <c r="D571" i="6"/>
  <c r="E571" i="6" s="1"/>
  <c r="C571" i="6"/>
  <c r="B571" i="6"/>
  <c r="D570" i="6"/>
  <c r="B570" i="6"/>
  <c r="D569" i="6"/>
  <c r="E569" i="6" s="1"/>
  <c r="B569" i="6"/>
  <c r="C569" i="6" s="1"/>
  <c r="E568" i="6"/>
  <c r="D568" i="6"/>
  <c r="B568" i="6"/>
  <c r="D567" i="6"/>
  <c r="E567" i="6" s="1"/>
  <c r="B567" i="6"/>
  <c r="C567" i="6" s="1"/>
  <c r="E566" i="6"/>
  <c r="D566" i="6"/>
  <c r="B566" i="6"/>
  <c r="C566" i="6" s="1"/>
  <c r="D565" i="6"/>
  <c r="E565" i="6" s="1"/>
  <c r="B565" i="6"/>
  <c r="C565" i="6" s="1"/>
  <c r="D564" i="6"/>
  <c r="B564" i="6"/>
  <c r="C564" i="6" s="1"/>
  <c r="D563" i="6"/>
  <c r="E563" i="6" s="1"/>
  <c r="C563" i="6"/>
  <c r="B563" i="6"/>
  <c r="D562" i="6"/>
  <c r="B562" i="6"/>
  <c r="D561" i="6"/>
  <c r="E561" i="6" s="1"/>
  <c r="B561" i="6"/>
  <c r="C561" i="6" s="1"/>
  <c r="E560" i="6"/>
  <c r="D560" i="6"/>
  <c r="B560" i="6"/>
  <c r="D559" i="6"/>
  <c r="E559" i="6" s="1"/>
  <c r="B559" i="6"/>
  <c r="C559" i="6" s="1"/>
  <c r="E558" i="6"/>
  <c r="D558" i="6"/>
  <c r="B558" i="6"/>
  <c r="C558" i="6" s="1"/>
  <c r="D557" i="6"/>
  <c r="E557" i="6" s="1"/>
  <c r="B557" i="6"/>
  <c r="C557" i="6" s="1"/>
  <c r="D556" i="6"/>
  <c r="B556" i="6"/>
  <c r="C556" i="6" s="1"/>
  <c r="D555" i="6"/>
  <c r="E555" i="6" s="1"/>
  <c r="C555" i="6"/>
  <c r="B555" i="6"/>
  <c r="D554" i="6"/>
  <c r="B554" i="6"/>
  <c r="D553" i="6"/>
  <c r="E553" i="6" s="1"/>
  <c r="B553" i="6"/>
  <c r="C553" i="6" s="1"/>
  <c r="E552" i="6"/>
  <c r="D552" i="6"/>
  <c r="B552" i="6"/>
  <c r="D551" i="6"/>
  <c r="E551" i="6" s="1"/>
  <c r="B551" i="6"/>
  <c r="C551" i="6" s="1"/>
  <c r="E550" i="6"/>
  <c r="D550" i="6"/>
  <c r="B550" i="6"/>
  <c r="C550" i="6" s="1"/>
  <c r="D549" i="6"/>
  <c r="E549" i="6" s="1"/>
  <c r="B549" i="6"/>
  <c r="C549" i="6" s="1"/>
  <c r="D548" i="6"/>
  <c r="B548" i="6"/>
  <c r="C548" i="6" s="1"/>
  <c r="D547" i="6"/>
  <c r="E547" i="6" s="1"/>
  <c r="C547" i="6"/>
  <c r="B547" i="6"/>
  <c r="D546" i="6"/>
  <c r="B546" i="6"/>
  <c r="D545" i="6"/>
  <c r="E545" i="6" s="1"/>
  <c r="B545" i="6"/>
  <c r="C545" i="6" s="1"/>
  <c r="E544" i="6"/>
  <c r="D544" i="6"/>
  <c r="B544" i="6"/>
  <c r="D543" i="6"/>
  <c r="E543" i="6" s="1"/>
  <c r="B543" i="6"/>
  <c r="C543" i="6" s="1"/>
  <c r="E542" i="6"/>
  <c r="D542" i="6"/>
  <c r="B542" i="6"/>
  <c r="C542" i="6" s="1"/>
  <c r="D541" i="6"/>
  <c r="E541" i="6" s="1"/>
  <c r="B541" i="6"/>
  <c r="C541" i="6" s="1"/>
  <c r="D540" i="6"/>
  <c r="B540" i="6"/>
  <c r="C540" i="6" s="1"/>
  <c r="D539" i="6"/>
  <c r="E539" i="6" s="1"/>
  <c r="C539" i="6"/>
  <c r="B539" i="6"/>
  <c r="D538" i="6"/>
  <c r="B538" i="6"/>
  <c r="D537" i="6"/>
  <c r="E537" i="6" s="1"/>
  <c r="B537" i="6"/>
  <c r="C537" i="6" s="1"/>
  <c r="E536" i="6"/>
  <c r="D536" i="6"/>
  <c r="B536" i="6"/>
  <c r="D535" i="6"/>
  <c r="E535" i="6" s="1"/>
  <c r="B535" i="6"/>
  <c r="C535" i="6" s="1"/>
  <c r="E534" i="6"/>
  <c r="D534" i="6"/>
  <c r="B534" i="6"/>
  <c r="C534" i="6" s="1"/>
  <c r="D533" i="6"/>
  <c r="E533" i="6" s="1"/>
  <c r="B533" i="6"/>
  <c r="C533" i="6" s="1"/>
  <c r="D532" i="6"/>
  <c r="B532" i="6"/>
  <c r="C532" i="6" s="1"/>
  <c r="D531" i="6"/>
  <c r="E531" i="6" s="1"/>
  <c r="C531" i="6"/>
  <c r="B531" i="6"/>
  <c r="D530" i="6"/>
  <c r="B530" i="6"/>
  <c r="D529" i="6"/>
  <c r="E529" i="6" s="1"/>
  <c r="B529" i="6"/>
  <c r="C529" i="6" s="1"/>
  <c r="E528" i="6"/>
  <c r="D528" i="6"/>
  <c r="B528" i="6"/>
  <c r="D527" i="6"/>
  <c r="E527" i="6" s="1"/>
  <c r="B527" i="6"/>
  <c r="C527" i="6" s="1"/>
  <c r="E526" i="6"/>
  <c r="D526" i="6"/>
  <c r="B526" i="6"/>
  <c r="C526" i="6" s="1"/>
  <c r="D525" i="6"/>
  <c r="E525" i="6" s="1"/>
  <c r="B525" i="6"/>
  <c r="C525" i="6" s="1"/>
  <c r="D524" i="6"/>
  <c r="B524" i="6"/>
  <c r="C524" i="6" s="1"/>
  <c r="D523" i="6"/>
  <c r="E523" i="6" s="1"/>
  <c r="C523" i="6"/>
  <c r="B523" i="6"/>
  <c r="D522" i="6"/>
  <c r="B522" i="6"/>
  <c r="D521" i="6"/>
  <c r="E521" i="6" s="1"/>
  <c r="B521" i="6"/>
  <c r="C521" i="6" s="1"/>
  <c r="E520" i="6"/>
  <c r="D520" i="6"/>
  <c r="B520" i="6"/>
  <c r="D519" i="6"/>
  <c r="E519" i="6" s="1"/>
  <c r="B519" i="6"/>
  <c r="C519" i="6" s="1"/>
  <c r="E518" i="6"/>
  <c r="D518" i="6"/>
  <c r="B518" i="6"/>
  <c r="C518" i="6" s="1"/>
  <c r="D517" i="6"/>
  <c r="E517" i="6" s="1"/>
  <c r="B517" i="6"/>
  <c r="C517" i="6" s="1"/>
  <c r="D516" i="6"/>
  <c r="B516" i="6"/>
  <c r="C516" i="6" s="1"/>
  <c r="D515" i="6"/>
  <c r="E515" i="6" s="1"/>
  <c r="C515" i="6"/>
  <c r="B515" i="6"/>
  <c r="D514" i="6"/>
  <c r="B514" i="6"/>
  <c r="D513" i="6"/>
  <c r="E513" i="6" s="1"/>
  <c r="B513" i="6"/>
  <c r="C513" i="6" s="1"/>
  <c r="E512" i="6"/>
  <c r="D512" i="6"/>
  <c r="B512" i="6"/>
  <c r="D511" i="6"/>
  <c r="E511" i="6" s="1"/>
  <c r="B511" i="6"/>
  <c r="C511" i="6" s="1"/>
  <c r="E510" i="6"/>
  <c r="D510" i="6"/>
  <c r="B510" i="6"/>
  <c r="C510" i="6" s="1"/>
  <c r="D509" i="6"/>
  <c r="E509" i="6" s="1"/>
  <c r="B509" i="6"/>
  <c r="C509" i="6" s="1"/>
  <c r="D508" i="6"/>
  <c r="B508" i="6"/>
  <c r="C508" i="6" s="1"/>
  <c r="D507" i="6"/>
  <c r="E507" i="6" s="1"/>
  <c r="C507" i="6"/>
  <c r="B507" i="6"/>
  <c r="D506" i="6"/>
  <c r="B506" i="6"/>
  <c r="D505" i="6"/>
  <c r="E505" i="6" s="1"/>
  <c r="B505" i="6"/>
  <c r="C505" i="6" s="1"/>
  <c r="E504" i="6"/>
  <c r="D504" i="6"/>
  <c r="B504" i="6"/>
  <c r="D503" i="6"/>
  <c r="E503" i="6" s="1"/>
  <c r="B503" i="6"/>
  <c r="C503" i="6" s="1"/>
  <c r="E502" i="6"/>
  <c r="D502" i="6"/>
  <c r="B502" i="6"/>
  <c r="C502" i="6" s="1"/>
  <c r="D501" i="6"/>
  <c r="E501" i="6" s="1"/>
  <c r="B501" i="6"/>
  <c r="C501" i="6" s="1"/>
  <c r="D500" i="6"/>
  <c r="B500" i="6"/>
  <c r="C500" i="6" s="1"/>
  <c r="D499" i="6"/>
  <c r="E499" i="6" s="1"/>
  <c r="C499" i="6"/>
  <c r="B499" i="6"/>
  <c r="D498" i="6"/>
  <c r="B498" i="6"/>
  <c r="D497" i="6"/>
  <c r="E497" i="6" s="1"/>
  <c r="B497" i="6"/>
  <c r="C497" i="6" s="1"/>
  <c r="E496" i="6"/>
  <c r="D496" i="6"/>
  <c r="B496" i="6"/>
  <c r="D495" i="6"/>
  <c r="E495" i="6" s="1"/>
  <c r="B495" i="6"/>
  <c r="C495" i="6" s="1"/>
  <c r="E494" i="6"/>
  <c r="D494" i="6"/>
  <c r="B494" i="6"/>
  <c r="C494" i="6" s="1"/>
  <c r="D493" i="6"/>
  <c r="E493" i="6" s="1"/>
  <c r="B493" i="6"/>
  <c r="C493" i="6" s="1"/>
  <c r="D492" i="6"/>
  <c r="B492" i="6"/>
  <c r="C492" i="6" s="1"/>
  <c r="D491" i="6"/>
  <c r="E491" i="6" s="1"/>
  <c r="C491" i="6"/>
  <c r="B491" i="6"/>
  <c r="D490" i="6"/>
  <c r="B490" i="6"/>
  <c r="D489" i="6"/>
  <c r="E489" i="6" s="1"/>
  <c r="B489" i="6"/>
  <c r="C489" i="6" s="1"/>
  <c r="E488" i="6"/>
  <c r="D488" i="6"/>
  <c r="B488" i="6"/>
  <c r="D487" i="6"/>
  <c r="E487" i="6" s="1"/>
  <c r="B487" i="6"/>
  <c r="C487" i="6" s="1"/>
  <c r="E486" i="6"/>
  <c r="D486" i="6"/>
  <c r="B486" i="6"/>
  <c r="C486" i="6" s="1"/>
  <c r="D485" i="6"/>
  <c r="E485" i="6" s="1"/>
  <c r="B485" i="6"/>
  <c r="C485" i="6" s="1"/>
  <c r="D484" i="6"/>
  <c r="B484" i="6"/>
  <c r="C484" i="6" s="1"/>
  <c r="D483" i="6"/>
  <c r="E483" i="6" s="1"/>
  <c r="C483" i="6"/>
  <c r="B483" i="6"/>
  <c r="D482" i="6"/>
  <c r="B482" i="6"/>
  <c r="D481" i="6"/>
  <c r="E481" i="6" s="1"/>
  <c r="B481" i="6"/>
  <c r="C481" i="6" s="1"/>
  <c r="E480" i="6"/>
  <c r="D480" i="6"/>
  <c r="B480" i="6"/>
  <c r="D479" i="6"/>
  <c r="E479" i="6" s="1"/>
  <c r="B479" i="6"/>
  <c r="C479" i="6" s="1"/>
  <c r="E478" i="6"/>
  <c r="D478" i="6"/>
  <c r="B478" i="6"/>
  <c r="C478" i="6" s="1"/>
  <c r="D477" i="6"/>
  <c r="E477" i="6" s="1"/>
  <c r="B477" i="6"/>
  <c r="C477" i="6" s="1"/>
  <c r="D476" i="6"/>
  <c r="B476" i="6"/>
  <c r="C476" i="6" s="1"/>
  <c r="D475" i="6"/>
  <c r="E475" i="6" s="1"/>
  <c r="C475" i="6"/>
  <c r="B475" i="6"/>
  <c r="D474" i="6"/>
  <c r="B474" i="6"/>
  <c r="D473" i="6"/>
  <c r="B473" i="6"/>
  <c r="C473" i="6" s="1"/>
  <c r="E472" i="6"/>
  <c r="D472" i="6"/>
  <c r="B472" i="6"/>
  <c r="D471" i="6"/>
  <c r="E471" i="6" s="1"/>
  <c r="B471" i="6"/>
  <c r="C471" i="6" s="1"/>
  <c r="E470" i="6"/>
  <c r="D470" i="6"/>
  <c r="B470" i="6"/>
  <c r="C470" i="6" s="1"/>
  <c r="D469" i="6"/>
  <c r="E469" i="6" s="1"/>
  <c r="B469" i="6"/>
  <c r="C469" i="6" s="1"/>
  <c r="D468" i="6"/>
  <c r="B468" i="6"/>
  <c r="C468" i="6" s="1"/>
  <c r="D467" i="6"/>
  <c r="E467" i="6" s="1"/>
  <c r="C467" i="6"/>
  <c r="B467" i="6"/>
  <c r="D466" i="6"/>
  <c r="B466" i="6"/>
  <c r="D465" i="6"/>
  <c r="B465" i="6"/>
  <c r="C465" i="6" s="1"/>
  <c r="E464" i="6"/>
  <c r="D464" i="6"/>
  <c r="B464" i="6"/>
  <c r="D463" i="6"/>
  <c r="E463" i="6" s="1"/>
  <c r="B463" i="6"/>
  <c r="C463" i="6" s="1"/>
  <c r="E462" i="6"/>
  <c r="D462" i="6"/>
  <c r="B462" i="6"/>
  <c r="C462" i="6" s="1"/>
  <c r="D461" i="6"/>
  <c r="E461" i="6" s="1"/>
  <c r="B461" i="6"/>
  <c r="C461" i="6" s="1"/>
  <c r="D460" i="6"/>
  <c r="B460" i="6"/>
  <c r="C460" i="6" s="1"/>
  <c r="D459" i="6"/>
  <c r="E459" i="6" s="1"/>
  <c r="C459" i="6"/>
  <c r="B459" i="6"/>
  <c r="D458" i="6"/>
  <c r="B458" i="6"/>
  <c r="D457" i="6"/>
  <c r="B457" i="6"/>
  <c r="C457" i="6" s="1"/>
  <c r="E456" i="6"/>
  <c r="D456" i="6"/>
  <c r="B456" i="6"/>
  <c r="D455" i="6"/>
  <c r="E455" i="6" s="1"/>
  <c r="B455" i="6"/>
  <c r="C455" i="6" s="1"/>
  <c r="E454" i="6"/>
  <c r="D454" i="6"/>
  <c r="B454" i="6"/>
  <c r="C454" i="6" s="1"/>
  <c r="D453" i="6"/>
  <c r="E453" i="6" s="1"/>
  <c r="B453" i="6"/>
  <c r="C453" i="6" s="1"/>
  <c r="D452" i="6"/>
  <c r="B452" i="6"/>
  <c r="C452" i="6" s="1"/>
  <c r="D451" i="6"/>
  <c r="C451" i="6"/>
  <c r="B451" i="6"/>
  <c r="D450" i="6"/>
  <c r="B450" i="6"/>
  <c r="D449" i="6"/>
  <c r="B449" i="6"/>
  <c r="C449" i="6" s="1"/>
  <c r="E448" i="6"/>
  <c r="D448" i="6"/>
  <c r="B448" i="6"/>
  <c r="D447" i="6"/>
  <c r="E447" i="6" s="1"/>
  <c r="B447" i="6"/>
  <c r="C447" i="6" s="1"/>
  <c r="E446" i="6"/>
  <c r="D446" i="6"/>
  <c r="B446" i="6"/>
  <c r="C446" i="6" s="1"/>
  <c r="D445" i="6"/>
  <c r="E445" i="6" s="1"/>
  <c r="B445" i="6"/>
  <c r="C445" i="6" s="1"/>
  <c r="D444" i="6"/>
  <c r="B444" i="6"/>
  <c r="C444" i="6" s="1"/>
  <c r="D443" i="6"/>
  <c r="C443" i="6"/>
  <c r="B443" i="6"/>
  <c r="D442" i="6"/>
  <c r="B442" i="6"/>
  <c r="D441" i="6"/>
  <c r="B441" i="6"/>
  <c r="C441" i="6" s="1"/>
  <c r="E440" i="6"/>
  <c r="D440" i="6"/>
  <c r="B440" i="6"/>
  <c r="D439" i="6"/>
  <c r="E439" i="6" s="1"/>
  <c r="B439" i="6"/>
  <c r="C439" i="6" s="1"/>
  <c r="E438" i="6"/>
  <c r="D438" i="6"/>
  <c r="B438" i="6"/>
  <c r="C438" i="6" s="1"/>
  <c r="D437" i="6"/>
  <c r="E437" i="6" s="1"/>
  <c r="B437" i="6"/>
  <c r="C437" i="6" s="1"/>
  <c r="D436" i="6"/>
  <c r="B436" i="6"/>
  <c r="C436" i="6" s="1"/>
  <c r="D435" i="6"/>
  <c r="C435" i="6"/>
  <c r="B435" i="6"/>
  <c r="D434" i="6"/>
  <c r="B434" i="6"/>
  <c r="D433" i="6"/>
  <c r="B433" i="6"/>
  <c r="C433" i="6" s="1"/>
  <c r="E432" i="6"/>
  <c r="D432" i="6"/>
  <c r="B432" i="6"/>
  <c r="D431" i="6"/>
  <c r="E431" i="6" s="1"/>
  <c r="B431" i="6"/>
  <c r="C431" i="6" s="1"/>
  <c r="E430" i="6"/>
  <c r="D430" i="6"/>
  <c r="B430" i="6"/>
  <c r="C430" i="6" s="1"/>
  <c r="D429" i="6"/>
  <c r="E429" i="6" s="1"/>
  <c r="B429" i="6"/>
  <c r="C429" i="6" s="1"/>
  <c r="D428" i="6"/>
  <c r="B428" i="6"/>
  <c r="C428" i="6" s="1"/>
  <c r="D427" i="6"/>
  <c r="C427" i="6"/>
  <c r="B427" i="6"/>
  <c r="D426" i="6"/>
  <c r="B426" i="6"/>
  <c r="D425" i="6"/>
  <c r="B425" i="6"/>
  <c r="C425" i="6" s="1"/>
  <c r="E424" i="6"/>
  <c r="D424" i="6"/>
  <c r="B424" i="6"/>
  <c r="D423" i="6"/>
  <c r="E423" i="6" s="1"/>
  <c r="B423" i="6"/>
  <c r="C423" i="6" s="1"/>
  <c r="E422" i="6"/>
  <c r="D422" i="6"/>
  <c r="B422" i="6"/>
  <c r="C422" i="6" s="1"/>
  <c r="D421" i="6"/>
  <c r="E421" i="6" s="1"/>
  <c r="B421" i="6"/>
  <c r="C421" i="6" s="1"/>
  <c r="D420" i="6"/>
  <c r="B420" i="6"/>
  <c r="C420" i="6" s="1"/>
  <c r="D419" i="6"/>
  <c r="C419" i="6"/>
  <c r="B419" i="6"/>
  <c r="D418" i="6"/>
  <c r="B418" i="6"/>
  <c r="D417" i="6"/>
  <c r="B417" i="6"/>
  <c r="C417" i="6" s="1"/>
  <c r="E416" i="6"/>
  <c r="D416" i="6"/>
  <c r="B416" i="6"/>
  <c r="D415" i="6"/>
  <c r="E415" i="6" s="1"/>
  <c r="B415" i="6"/>
  <c r="C415" i="6" s="1"/>
  <c r="E414" i="6"/>
  <c r="D414" i="6"/>
  <c r="B414" i="6"/>
  <c r="C414" i="6" s="1"/>
  <c r="D413" i="6"/>
  <c r="E413" i="6" s="1"/>
  <c r="B413" i="6"/>
  <c r="C413" i="6" s="1"/>
  <c r="D412" i="6"/>
  <c r="B412" i="6"/>
  <c r="C412" i="6" s="1"/>
  <c r="D411" i="6"/>
  <c r="C411" i="6"/>
  <c r="B411" i="6"/>
  <c r="D410" i="6"/>
  <c r="B410" i="6"/>
  <c r="D409" i="6"/>
  <c r="B409" i="6"/>
  <c r="C409" i="6" s="1"/>
  <c r="E408" i="6"/>
  <c r="D408" i="6"/>
  <c r="B408" i="6"/>
  <c r="D407" i="6"/>
  <c r="E407" i="6" s="1"/>
  <c r="B407" i="6"/>
  <c r="C407" i="6" s="1"/>
  <c r="E406" i="6"/>
  <c r="D406" i="6"/>
  <c r="B406" i="6"/>
  <c r="C406" i="6" s="1"/>
  <c r="D405" i="6"/>
  <c r="E405" i="6" s="1"/>
  <c r="B405" i="6"/>
  <c r="C405" i="6" s="1"/>
  <c r="D404" i="6"/>
  <c r="B404" i="6"/>
  <c r="C404" i="6" s="1"/>
  <c r="D403" i="6"/>
  <c r="C403" i="6"/>
  <c r="B403" i="6"/>
  <c r="D402" i="6"/>
  <c r="B402" i="6"/>
  <c r="D401" i="6"/>
  <c r="B401" i="6"/>
  <c r="C401" i="6" s="1"/>
  <c r="E400" i="6"/>
  <c r="D400" i="6"/>
  <c r="B400" i="6"/>
  <c r="D399" i="6"/>
  <c r="E399" i="6" s="1"/>
  <c r="B399" i="6"/>
  <c r="C399" i="6" s="1"/>
  <c r="E398" i="6"/>
  <c r="D398" i="6"/>
  <c r="B398" i="6"/>
  <c r="C398" i="6" s="1"/>
  <c r="D397" i="6"/>
  <c r="E397" i="6" s="1"/>
  <c r="B397" i="6"/>
  <c r="C397" i="6" s="1"/>
  <c r="D396" i="6"/>
  <c r="B396" i="6"/>
  <c r="C396" i="6" s="1"/>
  <c r="D395" i="6"/>
  <c r="C395" i="6"/>
  <c r="B395" i="6"/>
  <c r="D394" i="6"/>
  <c r="B394" i="6"/>
  <c r="D393" i="6"/>
  <c r="B393" i="6"/>
  <c r="C393" i="6" s="1"/>
  <c r="E392" i="6"/>
  <c r="D392" i="6"/>
  <c r="B392" i="6"/>
  <c r="D391" i="6"/>
  <c r="E391" i="6" s="1"/>
  <c r="B391" i="6"/>
  <c r="C391" i="6" s="1"/>
  <c r="E390" i="6"/>
  <c r="D390" i="6"/>
  <c r="B390" i="6"/>
  <c r="C390" i="6" s="1"/>
  <c r="D389" i="6"/>
  <c r="E389" i="6" s="1"/>
  <c r="B389" i="6"/>
  <c r="C389" i="6" s="1"/>
  <c r="D388" i="6"/>
  <c r="B388" i="6"/>
  <c r="C388" i="6" s="1"/>
  <c r="D387" i="6"/>
  <c r="C387" i="6"/>
  <c r="B387" i="6"/>
  <c r="D386" i="6"/>
  <c r="B386" i="6"/>
  <c r="D385" i="6"/>
  <c r="B385" i="6"/>
  <c r="C385" i="6" s="1"/>
  <c r="E384" i="6"/>
  <c r="D384" i="6"/>
  <c r="B384" i="6"/>
  <c r="D383" i="6"/>
  <c r="E383" i="6" s="1"/>
  <c r="B383" i="6"/>
  <c r="C383" i="6" s="1"/>
  <c r="E382" i="6"/>
  <c r="D382" i="6"/>
  <c r="B382" i="6"/>
  <c r="C382" i="6" s="1"/>
  <c r="D381" i="6"/>
  <c r="E381" i="6" s="1"/>
  <c r="B381" i="6"/>
  <c r="C381" i="6" s="1"/>
  <c r="D380" i="6"/>
  <c r="B380" i="6"/>
  <c r="C380" i="6" s="1"/>
  <c r="D379" i="6"/>
  <c r="C379" i="6"/>
  <c r="B379" i="6"/>
  <c r="D378" i="6"/>
  <c r="B378" i="6"/>
  <c r="D377" i="6"/>
  <c r="B377" i="6"/>
  <c r="C377" i="6" s="1"/>
  <c r="E376" i="6"/>
  <c r="D376" i="6"/>
  <c r="B376" i="6"/>
  <c r="D375" i="6"/>
  <c r="E375" i="6" s="1"/>
  <c r="B375" i="6"/>
  <c r="C375" i="6" s="1"/>
  <c r="E374" i="6"/>
  <c r="D374" i="6"/>
  <c r="B374" i="6"/>
  <c r="C374" i="6" s="1"/>
  <c r="D373" i="6"/>
  <c r="E373" i="6" s="1"/>
  <c r="B373" i="6"/>
  <c r="C373" i="6" s="1"/>
  <c r="D372" i="6"/>
  <c r="B372" i="6"/>
  <c r="C372" i="6" s="1"/>
  <c r="D371" i="6"/>
  <c r="C371" i="6"/>
  <c r="B371" i="6"/>
  <c r="D370" i="6"/>
  <c r="B370" i="6"/>
  <c r="D369" i="6"/>
  <c r="B369" i="6"/>
  <c r="C369" i="6" s="1"/>
  <c r="E368" i="6"/>
  <c r="D368" i="6"/>
  <c r="B368" i="6"/>
  <c r="D367" i="6"/>
  <c r="E367" i="6" s="1"/>
  <c r="B367" i="6"/>
  <c r="C367" i="6" s="1"/>
  <c r="E366" i="6"/>
  <c r="D366" i="6"/>
  <c r="B366" i="6"/>
  <c r="C366" i="6" s="1"/>
  <c r="D365" i="6"/>
  <c r="E365" i="6" s="1"/>
  <c r="B365" i="6"/>
  <c r="C365" i="6" s="1"/>
  <c r="D364" i="6"/>
  <c r="B364" i="6"/>
  <c r="C364" i="6" s="1"/>
  <c r="D363" i="6"/>
  <c r="C363" i="6"/>
  <c r="B363" i="6"/>
  <c r="D362" i="6"/>
  <c r="B362" i="6"/>
  <c r="D361" i="6"/>
  <c r="B361" i="6"/>
  <c r="C361" i="6" s="1"/>
  <c r="E360" i="6"/>
  <c r="D360" i="6"/>
  <c r="B360" i="6"/>
  <c r="D359" i="6"/>
  <c r="E359" i="6" s="1"/>
  <c r="B359" i="6"/>
  <c r="C359" i="6" s="1"/>
  <c r="E358" i="6"/>
  <c r="D358" i="6"/>
  <c r="B358" i="6"/>
  <c r="C358" i="6" s="1"/>
  <c r="D357" i="6"/>
  <c r="E357" i="6" s="1"/>
  <c r="B357" i="6"/>
  <c r="C357" i="6" s="1"/>
  <c r="D356" i="6"/>
  <c r="B356" i="6"/>
  <c r="C356" i="6" s="1"/>
  <c r="D355" i="6"/>
  <c r="C355" i="6"/>
  <c r="B355" i="6"/>
  <c r="D354" i="6"/>
  <c r="B354" i="6"/>
  <c r="D353" i="6"/>
  <c r="B353" i="6"/>
  <c r="C353" i="6" s="1"/>
  <c r="E352" i="6"/>
  <c r="D352" i="6"/>
  <c r="B352" i="6"/>
  <c r="D351" i="6"/>
  <c r="E351" i="6" s="1"/>
  <c r="B351" i="6"/>
  <c r="C351" i="6" s="1"/>
  <c r="E350" i="6"/>
  <c r="D350" i="6"/>
  <c r="B350" i="6"/>
  <c r="C350" i="6" s="1"/>
  <c r="D349" i="6"/>
  <c r="E349" i="6" s="1"/>
  <c r="B349" i="6"/>
  <c r="C349" i="6" s="1"/>
  <c r="D348" i="6"/>
  <c r="B348" i="6"/>
  <c r="C348" i="6" s="1"/>
  <c r="D347" i="6"/>
  <c r="C347" i="6"/>
  <c r="B347" i="6"/>
  <c r="D346" i="6"/>
  <c r="B346" i="6"/>
  <c r="D345" i="6"/>
  <c r="B345" i="6"/>
  <c r="C345" i="6" s="1"/>
  <c r="E344" i="6"/>
  <c r="D344" i="6"/>
  <c r="B344" i="6"/>
  <c r="D343" i="6"/>
  <c r="E343" i="6" s="1"/>
  <c r="B343" i="6"/>
  <c r="C343" i="6" s="1"/>
  <c r="E342" i="6"/>
  <c r="D342" i="6"/>
  <c r="B342" i="6"/>
  <c r="C342" i="6" s="1"/>
  <c r="D341" i="6"/>
  <c r="E341" i="6" s="1"/>
  <c r="B341" i="6"/>
  <c r="C341" i="6" s="1"/>
  <c r="D340" i="6"/>
  <c r="B340" i="6"/>
  <c r="C340" i="6" s="1"/>
  <c r="D339" i="6"/>
  <c r="C339" i="6"/>
  <c r="B339" i="6"/>
  <c r="D338" i="6"/>
  <c r="B338" i="6"/>
  <c r="D337" i="6"/>
  <c r="B337" i="6"/>
  <c r="C337" i="6" s="1"/>
  <c r="E336" i="6"/>
  <c r="D336" i="6"/>
  <c r="B336" i="6"/>
  <c r="D335" i="6"/>
  <c r="E335" i="6" s="1"/>
  <c r="B335" i="6"/>
  <c r="C335" i="6" s="1"/>
  <c r="E334" i="6"/>
  <c r="D334" i="6"/>
  <c r="B334" i="6"/>
  <c r="C334" i="6" s="1"/>
  <c r="D333" i="6"/>
  <c r="E333" i="6" s="1"/>
  <c r="B333" i="6"/>
  <c r="C333" i="6" s="1"/>
  <c r="D332" i="6"/>
  <c r="B332" i="6"/>
  <c r="C332" i="6" s="1"/>
  <c r="D331" i="6"/>
  <c r="C331" i="6"/>
  <c r="B331" i="6"/>
  <c r="D330" i="6"/>
  <c r="B330" i="6"/>
  <c r="D329" i="6"/>
  <c r="B329" i="6"/>
  <c r="C329" i="6" s="1"/>
  <c r="E328" i="6"/>
  <c r="D328" i="6"/>
  <c r="B328" i="6"/>
  <c r="D327" i="6"/>
  <c r="E327" i="6" s="1"/>
  <c r="B327" i="6"/>
  <c r="C327" i="6" s="1"/>
  <c r="E326" i="6"/>
  <c r="D326" i="6"/>
  <c r="B326" i="6"/>
  <c r="C326" i="6" s="1"/>
  <c r="D325" i="6"/>
  <c r="E325" i="6" s="1"/>
  <c r="B325" i="6"/>
  <c r="C325" i="6" s="1"/>
  <c r="D324" i="6"/>
  <c r="B324" i="6"/>
  <c r="C324" i="6" s="1"/>
  <c r="D323" i="6"/>
  <c r="C323" i="6"/>
  <c r="B323" i="6"/>
  <c r="D322" i="6"/>
  <c r="B322" i="6"/>
  <c r="D321" i="6"/>
  <c r="B321" i="6"/>
  <c r="C321" i="6" s="1"/>
  <c r="E320" i="6"/>
  <c r="D320" i="6"/>
  <c r="B320" i="6"/>
  <c r="D319" i="6"/>
  <c r="E319" i="6" s="1"/>
  <c r="B319" i="6"/>
  <c r="C319" i="6" s="1"/>
  <c r="E318" i="6"/>
  <c r="D318" i="6"/>
  <c r="B318" i="6"/>
  <c r="C318" i="6" s="1"/>
  <c r="D317" i="6"/>
  <c r="E317" i="6" s="1"/>
  <c r="B317" i="6"/>
  <c r="C317" i="6" s="1"/>
  <c r="D316" i="6"/>
  <c r="B316" i="6"/>
  <c r="C316" i="6" s="1"/>
  <c r="D315" i="6"/>
  <c r="C315" i="6"/>
  <c r="B315" i="6"/>
  <c r="D314" i="6"/>
  <c r="B314" i="6"/>
  <c r="D313" i="6"/>
  <c r="B313" i="6"/>
  <c r="C313" i="6" s="1"/>
  <c r="E312" i="6"/>
  <c r="D312" i="6"/>
  <c r="B312" i="6"/>
  <c r="D311" i="6"/>
  <c r="E311" i="6" s="1"/>
  <c r="B311" i="6"/>
  <c r="C311" i="6" s="1"/>
  <c r="E310" i="6"/>
  <c r="D310" i="6"/>
  <c r="B310" i="6"/>
  <c r="C310" i="6" s="1"/>
  <c r="D309" i="6"/>
  <c r="E309" i="6" s="1"/>
  <c r="B309" i="6"/>
  <c r="C309" i="6" s="1"/>
  <c r="D308" i="6"/>
  <c r="B308" i="6"/>
  <c r="C308" i="6" s="1"/>
  <c r="D307" i="6"/>
  <c r="C307" i="6"/>
  <c r="B307" i="6"/>
  <c r="D306" i="6"/>
  <c r="B306" i="6"/>
  <c r="D305" i="6"/>
  <c r="B305" i="6"/>
  <c r="C305" i="6" s="1"/>
  <c r="E304" i="6"/>
  <c r="D304" i="6"/>
  <c r="B304" i="6"/>
  <c r="D303" i="6"/>
  <c r="E303" i="6" s="1"/>
  <c r="B303" i="6"/>
  <c r="C303" i="6" s="1"/>
  <c r="E302" i="6"/>
  <c r="D302" i="6"/>
  <c r="B302" i="6"/>
  <c r="C302" i="6" s="1"/>
  <c r="D301" i="6"/>
  <c r="E301" i="6" s="1"/>
  <c r="B301" i="6"/>
  <c r="C301" i="6" s="1"/>
  <c r="D300" i="6"/>
  <c r="B300" i="6"/>
  <c r="C300" i="6" s="1"/>
  <c r="D299" i="6"/>
  <c r="C299" i="6"/>
  <c r="B299" i="6"/>
  <c r="D298" i="6"/>
  <c r="B298" i="6"/>
  <c r="D297" i="6"/>
  <c r="B297" i="6"/>
  <c r="C297" i="6" s="1"/>
  <c r="E296" i="6"/>
  <c r="D296" i="6"/>
  <c r="B296" i="6"/>
  <c r="D295" i="6"/>
  <c r="E295" i="6" s="1"/>
  <c r="B295" i="6"/>
  <c r="C295" i="6" s="1"/>
  <c r="E294" i="6"/>
  <c r="D294" i="6"/>
  <c r="B294" i="6"/>
  <c r="C294" i="6" s="1"/>
  <c r="D293" i="6"/>
  <c r="E293" i="6" s="1"/>
  <c r="B293" i="6"/>
  <c r="C293" i="6" s="1"/>
  <c r="D292" i="6"/>
  <c r="B292" i="6"/>
  <c r="C292" i="6" s="1"/>
  <c r="D291" i="6"/>
  <c r="C291" i="6"/>
  <c r="B291" i="6"/>
  <c r="D290" i="6"/>
  <c r="B290" i="6"/>
  <c r="D289" i="6"/>
  <c r="B289" i="6"/>
  <c r="C289" i="6" s="1"/>
  <c r="E288" i="6"/>
  <c r="D288" i="6"/>
  <c r="B288" i="6"/>
  <c r="D287" i="6"/>
  <c r="E287" i="6" s="1"/>
  <c r="B287" i="6"/>
  <c r="C287" i="6" s="1"/>
  <c r="E286" i="6"/>
  <c r="D286" i="6"/>
  <c r="B286" i="6"/>
  <c r="C286" i="6" s="1"/>
  <c r="D285" i="6"/>
  <c r="E285" i="6" s="1"/>
  <c r="B285" i="6"/>
  <c r="C285" i="6" s="1"/>
  <c r="D284" i="6"/>
  <c r="B284" i="6"/>
  <c r="C284" i="6" s="1"/>
  <c r="D283" i="6"/>
  <c r="C283" i="6"/>
  <c r="B283" i="6"/>
  <c r="D282" i="6"/>
  <c r="B282" i="6"/>
  <c r="D281" i="6"/>
  <c r="B281" i="6"/>
  <c r="C281" i="6" s="1"/>
  <c r="E280" i="6"/>
  <c r="D280" i="6"/>
  <c r="B280" i="6"/>
  <c r="D279" i="6"/>
  <c r="E279" i="6" s="1"/>
  <c r="B279" i="6"/>
  <c r="C279" i="6" s="1"/>
  <c r="E278" i="6"/>
  <c r="D278" i="6"/>
  <c r="B278" i="6"/>
  <c r="C278" i="6" s="1"/>
  <c r="D277" i="6"/>
  <c r="E277" i="6" s="1"/>
  <c r="B277" i="6"/>
  <c r="C277" i="6" s="1"/>
  <c r="D276" i="6"/>
  <c r="B276" i="6"/>
  <c r="C276" i="6" s="1"/>
  <c r="D275" i="6"/>
  <c r="C275" i="6"/>
  <c r="B275" i="6"/>
  <c r="D274" i="6"/>
  <c r="B274" i="6"/>
  <c r="D273" i="6"/>
  <c r="B273" i="6"/>
  <c r="C273" i="6" s="1"/>
  <c r="E272" i="6"/>
  <c r="D272" i="6"/>
  <c r="B272" i="6"/>
  <c r="D271" i="6"/>
  <c r="E271" i="6" s="1"/>
  <c r="B271" i="6"/>
  <c r="C271" i="6" s="1"/>
  <c r="E270" i="6"/>
  <c r="D270" i="6"/>
  <c r="B270" i="6"/>
  <c r="C270" i="6" s="1"/>
  <c r="D269" i="6"/>
  <c r="E269" i="6" s="1"/>
  <c r="B269" i="6"/>
  <c r="C269" i="6" s="1"/>
  <c r="D268" i="6"/>
  <c r="B268" i="6"/>
  <c r="C268" i="6" s="1"/>
  <c r="D267" i="6"/>
  <c r="C267" i="6"/>
  <c r="B267" i="6"/>
  <c r="D266" i="6"/>
  <c r="B266" i="6"/>
  <c r="D265" i="6"/>
  <c r="B265" i="6"/>
  <c r="C265" i="6" s="1"/>
  <c r="E264" i="6"/>
  <c r="D264" i="6"/>
  <c r="B264" i="6"/>
  <c r="D263" i="6"/>
  <c r="E263" i="6" s="1"/>
  <c r="B263" i="6"/>
  <c r="C263" i="6" s="1"/>
  <c r="E262" i="6"/>
  <c r="D262" i="6"/>
  <c r="B262" i="6"/>
  <c r="C262" i="6" s="1"/>
  <c r="D261" i="6"/>
  <c r="E261" i="6" s="1"/>
  <c r="B261" i="6"/>
  <c r="C261" i="6" s="1"/>
  <c r="D260" i="6"/>
  <c r="B260" i="6"/>
  <c r="C260" i="6" s="1"/>
  <c r="D259" i="6"/>
  <c r="C259" i="6"/>
  <c r="B259" i="6"/>
  <c r="D258" i="6"/>
  <c r="B258" i="6"/>
  <c r="D257" i="6"/>
  <c r="B257" i="6"/>
  <c r="C257" i="6" s="1"/>
  <c r="E256" i="6"/>
  <c r="D256" i="6"/>
  <c r="B256" i="6"/>
  <c r="D255" i="6"/>
  <c r="E255" i="6" s="1"/>
  <c r="B255" i="6"/>
  <c r="C255" i="6" s="1"/>
  <c r="E254" i="6"/>
  <c r="D254" i="6"/>
  <c r="B254" i="6"/>
  <c r="C254" i="6" s="1"/>
  <c r="D253" i="6"/>
  <c r="E253" i="6" s="1"/>
  <c r="B253" i="6"/>
  <c r="C253" i="6" s="1"/>
  <c r="D252" i="6"/>
  <c r="B252" i="6"/>
  <c r="C252" i="6" s="1"/>
  <c r="D251" i="6"/>
  <c r="C251" i="6"/>
  <c r="B251" i="6"/>
  <c r="D250" i="6"/>
  <c r="B250" i="6"/>
  <c r="D249" i="6"/>
  <c r="B249" i="6"/>
  <c r="C249" i="6" s="1"/>
  <c r="E248" i="6"/>
  <c r="D248" i="6"/>
  <c r="B248" i="6"/>
  <c r="D247" i="6"/>
  <c r="E247" i="6" s="1"/>
  <c r="B247" i="6"/>
  <c r="C247" i="6" s="1"/>
  <c r="E246" i="6"/>
  <c r="D246" i="6"/>
  <c r="B246" i="6"/>
  <c r="C246" i="6" s="1"/>
  <c r="D245" i="6"/>
  <c r="E245" i="6" s="1"/>
  <c r="B245" i="6"/>
  <c r="C245" i="6" s="1"/>
  <c r="D244" i="6"/>
  <c r="B244" i="6"/>
  <c r="C244" i="6" s="1"/>
  <c r="D243" i="6"/>
  <c r="C243" i="6"/>
  <c r="B243" i="6"/>
  <c r="D242" i="6"/>
  <c r="B242" i="6"/>
  <c r="D241" i="6"/>
  <c r="B241" i="6"/>
  <c r="C241" i="6" s="1"/>
  <c r="E240" i="6"/>
  <c r="D240" i="6"/>
  <c r="B240" i="6"/>
  <c r="D239" i="6"/>
  <c r="E239" i="6" s="1"/>
  <c r="B239" i="6"/>
  <c r="C239" i="6" s="1"/>
  <c r="E238" i="6"/>
  <c r="D238" i="6"/>
  <c r="B238" i="6"/>
  <c r="C238" i="6" s="1"/>
  <c r="D237" i="6"/>
  <c r="E237" i="6" s="1"/>
  <c r="B237" i="6"/>
  <c r="C237" i="6" s="1"/>
  <c r="D236" i="6"/>
  <c r="B236" i="6"/>
  <c r="C236" i="6" s="1"/>
  <c r="D235" i="6"/>
  <c r="C235" i="6"/>
  <c r="B235" i="6"/>
  <c r="D234" i="6"/>
  <c r="B234" i="6"/>
  <c r="D233" i="6"/>
  <c r="B233" i="6"/>
  <c r="C233" i="6" s="1"/>
  <c r="E232" i="6"/>
  <c r="D232" i="6"/>
  <c r="B232" i="6"/>
  <c r="D231" i="6"/>
  <c r="E231" i="6" s="1"/>
  <c r="B231" i="6"/>
  <c r="C231" i="6" s="1"/>
  <c r="E230" i="6"/>
  <c r="D230" i="6"/>
  <c r="B230" i="6"/>
  <c r="C230" i="6" s="1"/>
  <c r="D229" i="6"/>
  <c r="E229" i="6" s="1"/>
  <c r="B229" i="6"/>
  <c r="C229" i="6" s="1"/>
  <c r="D228" i="6"/>
  <c r="B228" i="6"/>
  <c r="C228" i="6" s="1"/>
  <c r="D227" i="6"/>
  <c r="C227" i="6"/>
  <c r="B227" i="6"/>
  <c r="D226" i="6"/>
  <c r="B226" i="6"/>
  <c r="D225" i="6"/>
  <c r="B225" i="6"/>
  <c r="C225" i="6" s="1"/>
  <c r="E224" i="6"/>
  <c r="D224" i="6"/>
  <c r="B224" i="6"/>
  <c r="D223" i="6"/>
  <c r="E223" i="6" s="1"/>
  <c r="B223" i="6"/>
  <c r="C223" i="6" s="1"/>
  <c r="E222" i="6"/>
  <c r="D222" i="6"/>
  <c r="B222" i="6"/>
  <c r="C222" i="6" s="1"/>
  <c r="D221" i="6"/>
  <c r="E221" i="6" s="1"/>
  <c r="B221" i="6"/>
  <c r="C221" i="6" s="1"/>
  <c r="D220" i="6"/>
  <c r="B220" i="6"/>
  <c r="C220" i="6" s="1"/>
  <c r="D219" i="6"/>
  <c r="C219" i="6"/>
  <c r="B219" i="6"/>
  <c r="D218" i="6"/>
  <c r="B218" i="6"/>
  <c r="D217" i="6"/>
  <c r="B217" i="6"/>
  <c r="C217" i="6" s="1"/>
  <c r="E216" i="6"/>
  <c r="D216" i="6"/>
  <c r="B216" i="6"/>
  <c r="D215" i="6"/>
  <c r="E215" i="6" s="1"/>
  <c r="B215" i="6"/>
  <c r="C215" i="6" s="1"/>
  <c r="E214" i="6"/>
  <c r="D214" i="6"/>
  <c r="B214" i="6"/>
  <c r="C214" i="6" s="1"/>
  <c r="D213" i="6"/>
  <c r="E213" i="6" s="1"/>
  <c r="B213" i="6"/>
  <c r="C213" i="6" s="1"/>
  <c r="D212" i="6"/>
  <c r="B212" i="6"/>
  <c r="C212" i="6" s="1"/>
  <c r="D211" i="6"/>
  <c r="C211" i="6"/>
  <c r="B211" i="6"/>
  <c r="D210" i="6"/>
  <c r="B210" i="6"/>
  <c r="D209" i="6"/>
  <c r="B209" i="6"/>
  <c r="C209" i="6" s="1"/>
  <c r="E208" i="6"/>
  <c r="D208" i="6"/>
  <c r="B208" i="6"/>
  <c r="D207" i="6"/>
  <c r="E207" i="6" s="1"/>
  <c r="B207" i="6"/>
  <c r="C207" i="6" s="1"/>
  <c r="E206" i="6"/>
  <c r="D206" i="6"/>
  <c r="B206" i="6"/>
  <c r="C206" i="6" s="1"/>
  <c r="D205" i="6"/>
  <c r="E205" i="6" s="1"/>
  <c r="B205" i="6"/>
  <c r="C205" i="6" s="1"/>
  <c r="D204" i="6"/>
  <c r="B204" i="6"/>
  <c r="C204" i="6" s="1"/>
  <c r="D203" i="6"/>
  <c r="C203" i="6"/>
  <c r="B203" i="6"/>
  <c r="D202" i="6"/>
  <c r="B202" i="6"/>
  <c r="D201" i="6"/>
  <c r="B201" i="6"/>
  <c r="C201" i="6" s="1"/>
  <c r="E200" i="6"/>
  <c r="D200" i="6"/>
  <c r="B200" i="6"/>
  <c r="D199" i="6"/>
  <c r="E199" i="6" s="1"/>
  <c r="B199" i="6"/>
  <c r="C199" i="6" s="1"/>
  <c r="E198" i="6"/>
  <c r="D198" i="6"/>
  <c r="B198" i="6"/>
  <c r="C198" i="6" s="1"/>
  <c r="D197" i="6"/>
  <c r="E197" i="6" s="1"/>
  <c r="B197" i="6"/>
  <c r="C197" i="6" s="1"/>
  <c r="D196" i="6"/>
  <c r="B196" i="6"/>
  <c r="C196" i="6" s="1"/>
  <c r="D195" i="6"/>
  <c r="C195" i="6"/>
  <c r="B195" i="6"/>
  <c r="D194" i="6"/>
  <c r="B194" i="6"/>
  <c r="D193" i="6"/>
  <c r="B193" i="6"/>
  <c r="C193" i="6" s="1"/>
  <c r="E192" i="6"/>
  <c r="D192" i="6"/>
  <c r="B192" i="6"/>
  <c r="D191" i="6"/>
  <c r="E191" i="6" s="1"/>
  <c r="B191" i="6"/>
  <c r="C191" i="6" s="1"/>
  <c r="E190" i="6"/>
  <c r="D190" i="6"/>
  <c r="B190" i="6"/>
  <c r="C190" i="6" s="1"/>
  <c r="D189" i="6"/>
  <c r="E189" i="6" s="1"/>
  <c r="B189" i="6"/>
  <c r="C189" i="6" s="1"/>
  <c r="D188" i="6"/>
  <c r="B188" i="6"/>
  <c r="C188" i="6" s="1"/>
  <c r="D187" i="6"/>
  <c r="C187" i="6"/>
  <c r="B187" i="6"/>
  <c r="D186" i="6"/>
  <c r="B186" i="6"/>
  <c r="D185" i="6"/>
  <c r="B185" i="6"/>
  <c r="C185" i="6" s="1"/>
  <c r="E184" i="6"/>
  <c r="D184" i="6"/>
  <c r="B184" i="6"/>
  <c r="D183" i="6"/>
  <c r="E183" i="6" s="1"/>
  <c r="B183" i="6"/>
  <c r="C183" i="6" s="1"/>
  <c r="E182" i="6"/>
  <c r="D182" i="6"/>
  <c r="B182" i="6"/>
  <c r="C182" i="6" s="1"/>
  <c r="D181" i="6"/>
  <c r="E181" i="6" s="1"/>
  <c r="B181" i="6"/>
  <c r="C181" i="6" s="1"/>
  <c r="D180" i="6"/>
  <c r="B180" i="6"/>
  <c r="C180" i="6" s="1"/>
  <c r="D179" i="6"/>
  <c r="C179" i="6"/>
  <c r="B179" i="6"/>
  <c r="D178" i="6"/>
  <c r="B178" i="6"/>
  <c r="D177" i="6"/>
  <c r="B177" i="6"/>
  <c r="C177" i="6" s="1"/>
  <c r="E176" i="6"/>
  <c r="D176" i="6"/>
  <c r="B176" i="6"/>
  <c r="D175" i="6"/>
  <c r="E175" i="6" s="1"/>
  <c r="B175" i="6"/>
  <c r="C175" i="6" s="1"/>
  <c r="E174" i="6"/>
  <c r="D174" i="6"/>
  <c r="B174" i="6"/>
  <c r="C174" i="6" s="1"/>
  <c r="D173" i="6"/>
  <c r="E173" i="6" s="1"/>
  <c r="B173" i="6"/>
  <c r="C173" i="6" s="1"/>
  <c r="D172" i="6"/>
  <c r="B172" i="6"/>
  <c r="C172" i="6" s="1"/>
  <c r="D171" i="6"/>
  <c r="C171" i="6"/>
  <c r="B171" i="6"/>
  <c r="D170" i="6"/>
  <c r="B170" i="6"/>
  <c r="D169" i="6"/>
  <c r="B169" i="6"/>
  <c r="C169" i="6" s="1"/>
  <c r="E168" i="6"/>
  <c r="D168" i="6"/>
  <c r="B168" i="6"/>
  <c r="D167" i="6"/>
  <c r="E167" i="6" s="1"/>
  <c r="B167" i="6"/>
  <c r="C167" i="6" s="1"/>
  <c r="E166" i="6"/>
  <c r="D166" i="6"/>
  <c r="B166" i="6"/>
  <c r="C166" i="6" s="1"/>
  <c r="D165" i="6"/>
  <c r="E165" i="6" s="1"/>
  <c r="B165" i="6"/>
  <c r="C165" i="6" s="1"/>
  <c r="D164" i="6"/>
  <c r="B164" i="6"/>
  <c r="C164" i="6" s="1"/>
  <c r="D163" i="6"/>
  <c r="C163" i="6"/>
  <c r="B163" i="6"/>
  <c r="D162" i="6"/>
  <c r="B162" i="6"/>
  <c r="D161" i="6"/>
  <c r="B161" i="6"/>
  <c r="C161" i="6" s="1"/>
  <c r="E160" i="6"/>
  <c r="D160" i="6"/>
  <c r="B160" i="6"/>
  <c r="D159" i="6"/>
  <c r="E159" i="6" s="1"/>
  <c r="B159" i="6"/>
  <c r="C159" i="6" s="1"/>
  <c r="E158" i="6"/>
  <c r="D158" i="6"/>
  <c r="B158" i="6"/>
  <c r="C158" i="6" s="1"/>
  <c r="D157" i="6"/>
  <c r="E157" i="6" s="1"/>
  <c r="B157" i="6"/>
  <c r="C157" i="6" s="1"/>
  <c r="D156" i="6"/>
  <c r="B156" i="6"/>
  <c r="C156" i="6" s="1"/>
  <c r="D155" i="6"/>
  <c r="C155" i="6"/>
  <c r="B155" i="6"/>
  <c r="D154" i="6"/>
  <c r="B154" i="6"/>
  <c r="D153" i="6"/>
  <c r="B153" i="6"/>
  <c r="C153" i="6" s="1"/>
  <c r="E152" i="6"/>
  <c r="D152" i="6"/>
  <c r="B152" i="6"/>
  <c r="D151" i="6"/>
  <c r="E151" i="6" s="1"/>
  <c r="B151" i="6"/>
  <c r="C151" i="6" s="1"/>
  <c r="E150" i="6"/>
  <c r="D150" i="6"/>
  <c r="B150" i="6"/>
  <c r="C150" i="6" s="1"/>
  <c r="D149" i="6"/>
  <c r="E149" i="6" s="1"/>
  <c r="B149" i="6"/>
  <c r="C149" i="6" s="1"/>
  <c r="D148" i="6"/>
  <c r="B148" i="6"/>
  <c r="C148" i="6" s="1"/>
  <c r="D147" i="6"/>
  <c r="C147" i="6"/>
  <c r="B147" i="6"/>
  <c r="D146" i="6"/>
  <c r="B146" i="6"/>
  <c r="D145" i="6"/>
  <c r="B145" i="6"/>
  <c r="C145" i="6" s="1"/>
  <c r="E144" i="6"/>
  <c r="D144" i="6"/>
  <c r="B144" i="6"/>
  <c r="D143" i="6"/>
  <c r="E143" i="6" s="1"/>
  <c r="B143" i="6"/>
  <c r="C143" i="6" s="1"/>
  <c r="E142" i="6"/>
  <c r="D142" i="6"/>
  <c r="B142" i="6"/>
  <c r="C142" i="6" s="1"/>
  <c r="D141" i="6"/>
  <c r="E141" i="6" s="1"/>
  <c r="B141" i="6"/>
  <c r="C141" i="6" s="1"/>
  <c r="D140" i="6"/>
  <c r="B140" i="6"/>
  <c r="C140" i="6" s="1"/>
  <c r="D139" i="6"/>
  <c r="C139" i="6"/>
  <c r="B139" i="6"/>
  <c r="D138" i="6"/>
  <c r="B138" i="6"/>
  <c r="D137" i="6"/>
  <c r="C137" i="6"/>
  <c r="B137" i="6"/>
  <c r="E136" i="6"/>
  <c r="D136" i="6"/>
  <c r="B136" i="6"/>
  <c r="D135" i="6"/>
  <c r="E135" i="6" s="1"/>
  <c r="B135" i="6"/>
  <c r="C135" i="6" s="1"/>
  <c r="E134" i="6"/>
  <c r="D134" i="6"/>
  <c r="B134" i="6"/>
  <c r="C134" i="6" s="1"/>
  <c r="D133" i="6"/>
  <c r="E133" i="6" s="1"/>
  <c r="B133" i="6"/>
  <c r="C133" i="6" s="1"/>
  <c r="D132" i="6"/>
  <c r="B132" i="6"/>
  <c r="C132" i="6" s="1"/>
  <c r="D131" i="6"/>
  <c r="C131" i="6"/>
  <c r="B131" i="6"/>
  <c r="D130" i="6"/>
  <c r="B130" i="6"/>
  <c r="D129" i="6"/>
  <c r="B129" i="6"/>
  <c r="C129" i="6" s="1"/>
  <c r="E128" i="6"/>
  <c r="D128" i="6"/>
  <c r="B128" i="6"/>
  <c r="D127" i="6"/>
  <c r="E127" i="6" s="1"/>
  <c r="B127" i="6"/>
  <c r="C127" i="6" s="1"/>
  <c r="E126" i="6"/>
  <c r="D126" i="6"/>
  <c r="B126" i="6"/>
  <c r="C126" i="6" s="1"/>
  <c r="D125" i="6"/>
  <c r="E125" i="6" s="1"/>
  <c r="B125" i="6"/>
  <c r="C125" i="6" s="1"/>
  <c r="D124" i="6"/>
  <c r="B124" i="6"/>
  <c r="C124" i="6" s="1"/>
  <c r="D123" i="6"/>
  <c r="C123" i="6"/>
  <c r="B123" i="6"/>
  <c r="D122" i="6"/>
  <c r="B122" i="6"/>
  <c r="D121" i="6"/>
  <c r="C121" i="6"/>
  <c r="B121" i="6"/>
  <c r="E120" i="6"/>
  <c r="D120" i="6"/>
  <c r="B120" i="6"/>
  <c r="D119" i="6"/>
  <c r="E119" i="6" s="1"/>
  <c r="B119" i="6"/>
  <c r="C119" i="6" s="1"/>
  <c r="E118" i="6"/>
  <c r="D118" i="6"/>
  <c r="B118" i="6"/>
  <c r="C118" i="6" s="1"/>
  <c r="D117" i="6"/>
  <c r="E117" i="6" s="1"/>
  <c r="B117" i="6"/>
  <c r="C117" i="6" s="1"/>
  <c r="D116" i="6"/>
  <c r="B116" i="6"/>
  <c r="C116" i="6" s="1"/>
  <c r="D115" i="6"/>
  <c r="C115" i="6"/>
  <c r="B115" i="6"/>
  <c r="D114" i="6"/>
  <c r="B114" i="6"/>
  <c r="D113" i="6"/>
  <c r="B113" i="6"/>
  <c r="C113" i="6" s="1"/>
  <c r="E112" i="6"/>
  <c r="D112" i="6"/>
  <c r="B112" i="6"/>
  <c r="D111" i="6"/>
  <c r="E111" i="6" s="1"/>
  <c r="B111" i="6"/>
  <c r="C111" i="6" s="1"/>
  <c r="E110" i="6"/>
  <c r="D110" i="6"/>
  <c r="B110" i="6"/>
  <c r="C110" i="6" s="1"/>
  <c r="D109" i="6"/>
  <c r="E109" i="6" s="1"/>
  <c r="B109" i="6"/>
  <c r="C109" i="6" s="1"/>
  <c r="D108" i="6"/>
  <c r="B108" i="6"/>
  <c r="C108" i="6" s="1"/>
  <c r="D107" i="6"/>
  <c r="C107" i="6"/>
  <c r="B107" i="6"/>
  <c r="D106" i="6"/>
  <c r="B106" i="6"/>
  <c r="D105" i="6"/>
  <c r="C105" i="6"/>
  <c r="B105" i="6"/>
  <c r="E104" i="6"/>
  <c r="D104" i="6"/>
  <c r="B104" i="6"/>
  <c r="D103" i="6"/>
  <c r="E103" i="6" s="1"/>
  <c r="B103" i="6"/>
  <c r="C103" i="6" s="1"/>
  <c r="E102" i="6"/>
  <c r="D102" i="6"/>
  <c r="B102" i="6"/>
  <c r="C102" i="6" s="1"/>
  <c r="D101" i="6"/>
  <c r="E101" i="6" s="1"/>
  <c r="B101" i="6"/>
  <c r="C101" i="6" s="1"/>
  <c r="D100" i="6"/>
  <c r="B100" i="6"/>
  <c r="C100" i="6" s="1"/>
  <c r="D99" i="6"/>
  <c r="C99" i="6"/>
  <c r="B99" i="6"/>
  <c r="D98" i="6"/>
  <c r="B98" i="6"/>
  <c r="D97" i="6"/>
  <c r="B97" i="6"/>
  <c r="C97" i="6" s="1"/>
  <c r="E96" i="6"/>
  <c r="D96" i="6"/>
  <c r="B96" i="6"/>
  <c r="D95" i="6"/>
  <c r="E95" i="6" s="1"/>
  <c r="B95" i="6"/>
  <c r="C95" i="6" s="1"/>
  <c r="E94" i="6"/>
  <c r="D94" i="6"/>
  <c r="B94" i="6"/>
  <c r="C94" i="6" s="1"/>
  <c r="D93" i="6"/>
  <c r="E93" i="6" s="1"/>
  <c r="B93" i="6"/>
  <c r="C93" i="6" s="1"/>
  <c r="D92" i="6"/>
  <c r="B92" i="6"/>
  <c r="C92" i="6" s="1"/>
  <c r="D91" i="6"/>
  <c r="C91" i="6"/>
  <c r="B91" i="6"/>
  <c r="D90" i="6"/>
  <c r="B90" i="6"/>
  <c r="D89" i="6"/>
  <c r="C89" i="6"/>
  <c r="B89" i="6"/>
  <c r="E88" i="6"/>
  <c r="D88" i="6"/>
  <c r="B88" i="6"/>
  <c r="D87" i="6"/>
  <c r="E87" i="6" s="1"/>
  <c r="B87" i="6"/>
  <c r="C87" i="6" s="1"/>
  <c r="E86" i="6"/>
  <c r="D86" i="6"/>
  <c r="B86" i="6"/>
  <c r="C86" i="6" s="1"/>
  <c r="D85" i="6"/>
  <c r="E85" i="6" s="1"/>
  <c r="B85" i="6"/>
  <c r="C85" i="6" s="1"/>
  <c r="D84" i="6"/>
  <c r="B84" i="6"/>
  <c r="C84" i="6" s="1"/>
  <c r="D83" i="6"/>
  <c r="C83" i="6"/>
  <c r="B83" i="6"/>
  <c r="D82" i="6"/>
  <c r="B82" i="6"/>
  <c r="D81" i="6"/>
  <c r="B81" i="6"/>
  <c r="C81" i="6" s="1"/>
  <c r="E80" i="6"/>
  <c r="D80" i="6"/>
  <c r="B80" i="6"/>
  <c r="D79" i="6"/>
  <c r="E79" i="6" s="1"/>
  <c r="B79" i="6"/>
  <c r="C79" i="6" s="1"/>
  <c r="E78" i="6"/>
  <c r="D78" i="6"/>
  <c r="B78" i="6"/>
  <c r="C78" i="6" s="1"/>
  <c r="D77" i="6"/>
  <c r="E77" i="6" s="1"/>
  <c r="B77" i="6"/>
  <c r="C77" i="6" s="1"/>
  <c r="D76" i="6"/>
  <c r="B76" i="6"/>
  <c r="C76" i="6" s="1"/>
  <c r="D75" i="6"/>
  <c r="C75" i="6"/>
  <c r="B75" i="6"/>
  <c r="D74" i="6"/>
  <c r="B74" i="6"/>
  <c r="D73" i="6"/>
  <c r="C73" i="6"/>
  <c r="B73" i="6"/>
  <c r="E72" i="6"/>
  <c r="D72" i="6"/>
  <c r="B72" i="6"/>
  <c r="D71" i="6"/>
  <c r="E71" i="6" s="1"/>
  <c r="B71" i="6"/>
  <c r="C71" i="6" s="1"/>
  <c r="E70" i="6"/>
  <c r="D70" i="6"/>
  <c r="B70" i="6"/>
  <c r="C70" i="6" s="1"/>
  <c r="D69" i="6"/>
  <c r="E69" i="6" s="1"/>
  <c r="B69" i="6"/>
  <c r="C69" i="6" s="1"/>
  <c r="D68" i="6"/>
  <c r="B68" i="6"/>
  <c r="C68" i="6" s="1"/>
  <c r="D67" i="6"/>
  <c r="C67" i="6"/>
  <c r="B67" i="6"/>
  <c r="D66" i="6"/>
  <c r="B66" i="6"/>
  <c r="D65" i="6"/>
  <c r="B65" i="6"/>
  <c r="C65" i="6" s="1"/>
  <c r="E64" i="6"/>
  <c r="D64" i="6"/>
  <c r="B64" i="6"/>
  <c r="D63" i="6"/>
  <c r="E63" i="6" s="1"/>
  <c r="B63" i="6"/>
  <c r="C63" i="6" s="1"/>
  <c r="E62" i="6"/>
  <c r="D62" i="6"/>
  <c r="B62" i="6"/>
  <c r="C62" i="6" s="1"/>
  <c r="D61" i="6"/>
  <c r="E61" i="6" s="1"/>
  <c r="B61" i="6"/>
  <c r="C61" i="6" s="1"/>
  <c r="D60" i="6"/>
  <c r="B60" i="6"/>
  <c r="C60" i="6" s="1"/>
  <c r="D59" i="6"/>
  <c r="C59" i="6"/>
  <c r="B59" i="6"/>
  <c r="D58" i="6"/>
  <c r="B58" i="6"/>
  <c r="D57" i="6"/>
  <c r="C57" i="6"/>
  <c r="B57" i="6"/>
  <c r="E56" i="6"/>
  <c r="D56" i="6"/>
  <c r="B56" i="6"/>
  <c r="D55" i="6"/>
  <c r="E55" i="6" s="1"/>
  <c r="B55" i="6"/>
  <c r="C55" i="6" s="1"/>
  <c r="E54" i="6"/>
  <c r="D54" i="6"/>
  <c r="B54" i="6"/>
  <c r="C54" i="6" s="1"/>
  <c r="D53" i="6"/>
  <c r="E53" i="6" s="1"/>
  <c r="B53" i="6"/>
  <c r="C53" i="6" s="1"/>
  <c r="D52" i="6"/>
  <c r="B52" i="6"/>
  <c r="C52" i="6" s="1"/>
  <c r="D51" i="6"/>
  <c r="C51" i="6"/>
  <c r="B51" i="6"/>
  <c r="D50" i="6"/>
  <c r="B50" i="6"/>
  <c r="D49" i="6"/>
  <c r="B49" i="6"/>
  <c r="C49" i="6" s="1"/>
  <c r="E48" i="6"/>
  <c r="D48" i="6"/>
  <c r="B48" i="6"/>
  <c r="D47" i="6"/>
  <c r="E47" i="6" s="1"/>
  <c r="B47" i="6"/>
  <c r="C47" i="6" s="1"/>
  <c r="E46" i="6"/>
  <c r="D46" i="6"/>
  <c r="B46" i="6"/>
  <c r="C46" i="6" s="1"/>
  <c r="D45" i="6"/>
  <c r="E45" i="6" s="1"/>
  <c r="B45" i="6"/>
  <c r="C45" i="6" s="1"/>
  <c r="D44" i="6"/>
  <c r="B44" i="6"/>
  <c r="C44" i="6" s="1"/>
  <c r="D43" i="6"/>
  <c r="C43" i="6"/>
  <c r="B43" i="6"/>
  <c r="D42" i="6"/>
  <c r="B42" i="6"/>
  <c r="D41" i="6"/>
  <c r="C41" i="6"/>
  <c r="B41" i="6"/>
  <c r="E40" i="6"/>
  <c r="D40" i="6"/>
  <c r="B40" i="6"/>
  <c r="D39" i="6"/>
  <c r="E39" i="6" s="1"/>
  <c r="B39" i="6"/>
  <c r="C39" i="6" s="1"/>
  <c r="E38" i="6"/>
  <c r="D38" i="6"/>
  <c r="B38" i="6"/>
  <c r="C38" i="6" s="1"/>
  <c r="D37" i="6"/>
  <c r="E37" i="6" s="1"/>
  <c r="B37" i="6"/>
  <c r="C37" i="6" s="1"/>
  <c r="D36" i="6"/>
  <c r="B36" i="6"/>
  <c r="C36" i="6" s="1"/>
  <c r="D35" i="6"/>
  <c r="C35" i="6"/>
  <c r="B35" i="6"/>
  <c r="D34" i="6"/>
  <c r="B34" i="6"/>
  <c r="D33" i="6"/>
  <c r="B33" i="6"/>
  <c r="C33" i="6" s="1"/>
  <c r="E32" i="6"/>
  <c r="D32" i="6"/>
  <c r="B32" i="6"/>
  <c r="D31" i="6"/>
  <c r="E31" i="6" s="1"/>
  <c r="B31" i="6"/>
  <c r="C31" i="6" s="1"/>
  <c r="E30" i="6"/>
  <c r="D30" i="6"/>
  <c r="B30" i="6"/>
  <c r="C30" i="6" s="1"/>
  <c r="D29" i="6"/>
  <c r="E29" i="6" s="1"/>
  <c r="B29" i="6"/>
  <c r="C29" i="6" s="1"/>
  <c r="D28" i="6"/>
  <c r="B28" i="6"/>
  <c r="C28" i="6" s="1"/>
  <c r="D27" i="6"/>
  <c r="C27" i="6"/>
  <c r="B27" i="6"/>
  <c r="D26" i="6"/>
  <c r="B26" i="6"/>
  <c r="D25" i="6"/>
  <c r="C25" i="6"/>
  <c r="B25" i="6"/>
  <c r="E24" i="6"/>
  <c r="D24" i="6"/>
  <c r="B24" i="6"/>
  <c r="D23" i="6"/>
  <c r="E23" i="6" s="1"/>
  <c r="B23" i="6"/>
  <c r="C23" i="6" s="1"/>
  <c r="E22" i="6"/>
  <c r="D22" i="6"/>
  <c r="B22" i="6"/>
  <c r="C22" i="6" s="1"/>
  <c r="D21" i="6"/>
  <c r="B21" i="6"/>
  <c r="C21" i="6" s="1"/>
  <c r="D20" i="6"/>
  <c r="B20" i="6"/>
  <c r="C20" i="6" s="1"/>
  <c r="D19" i="6"/>
  <c r="E19" i="6" s="1"/>
  <c r="C19" i="6"/>
  <c r="B19" i="6"/>
  <c r="D18" i="6"/>
  <c r="B18" i="6"/>
  <c r="D17" i="6"/>
  <c r="E17" i="6" s="1"/>
  <c r="B17" i="6"/>
  <c r="C17" i="6" s="1"/>
  <c r="E16" i="6"/>
  <c r="D16" i="6"/>
  <c r="B16" i="6"/>
  <c r="D15" i="6"/>
  <c r="B15" i="6"/>
  <c r="C15" i="6" s="1"/>
  <c r="D14" i="6"/>
  <c r="E14" i="6" s="1"/>
  <c r="B14" i="6"/>
  <c r="C14" i="6" s="1"/>
  <c r="D13" i="6"/>
  <c r="B13" i="6"/>
  <c r="C13" i="6" s="1"/>
  <c r="D12" i="6"/>
  <c r="B12" i="6"/>
  <c r="C12" i="6" s="1"/>
  <c r="D11" i="6"/>
  <c r="E11" i="6" s="1"/>
  <c r="C11" i="6"/>
  <c r="B11" i="6"/>
  <c r="D10" i="6"/>
  <c r="B10" i="6"/>
  <c r="D9" i="6"/>
  <c r="E9" i="6" s="1"/>
  <c r="C9" i="6"/>
  <c r="B9" i="6"/>
  <c r="E8" i="6"/>
  <c r="D8" i="6"/>
  <c r="B8" i="6"/>
  <c r="D7" i="6"/>
  <c r="B7" i="6"/>
  <c r="C7" i="6" s="1"/>
  <c r="E6" i="6"/>
  <c r="D6" i="6"/>
  <c r="B6" i="6"/>
  <c r="C6" i="6" s="1"/>
  <c r="D5" i="6"/>
  <c r="B5" i="6"/>
  <c r="F1003" i="5"/>
  <c r="E1003" i="5"/>
  <c r="B1003" i="5"/>
  <c r="C1003" i="5" s="1"/>
  <c r="C249" i="8" s="1"/>
  <c r="F1002" i="5"/>
  <c r="E1002" i="5"/>
  <c r="B1002" i="5"/>
  <c r="F1001" i="5"/>
  <c r="E1001" i="5"/>
  <c r="B1001" i="5"/>
  <c r="F1000" i="5"/>
  <c r="E1000" i="5"/>
  <c r="B1000" i="5"/>
  <c r="F999" i="5"/>
  <c r="E999" i="5"/>
  <c r="C999" i="5"/>
  <c r="B999" i="5"/>
  <c r="C1000" i="5" s="1"/>
  <c r="F998" i="5"/>
  <c r="E998" i="5"/>
  <c r="B998" i="5"/>
  <c r="F997" i="5"/>
  <c r="E997" i="5"/>
  <c r="C997" i="5"/>
  <c r="C243" i="8" s="1"/>
  <c r="B997" i="5"/>
  <c r="C998" i="5" s="1"/>
  <c r="C244" i="8" s="1"/>
  <c r="F996" i="5"/>
  <c r="E996" i="5"/>
  <c r="B996" i="5"/>
  <c r="C996" i="5" s="1"/>
  <c r="F995" i="5"/>
  <c r="E995" i="5"/>
  <c r="B995" i="5"/>
  <c r="F994" i="5"/>
  <c r="E994" i="5"/>
  <c r="C994" i="5"/>
  <c r="B994" i="5"/>
  <c r="F993" i="5"/>
  <c r="E993" i="5"/>
  <c r="B993" i="5"/>
  <c r="C993" i="5" s="1"/>
  <c r="C239" i="8" s="1"/>
  <c r="F992" i="5"/>
  <c r="E992" i="5"/>
  <c r="D992" i="5"/>
  <c r="C992" i="5"/>
  <c r="B992" i="5"/>
  <c r="F991" i="5"/>
  <c r="E991" i="5"/>
  <c r="C991" i="5"/>
  <c r="C237" i="8" s="1"/>
  <c r="B991" i="5"/>
  <c r="F990" i="5"/>
  <c r="E990" i="5"/>
  <c r="C990" i="5"/>
  <c r="C236" i="8" s="1"/>
  <c r="B990" i="5"/>
  <c r="F989" i="5"/>
  <c r="E989" i="5"/>
  <c r="B989" i="5"/>
  <c r="C989" i="5" s="1"/>
  <c r="F988" i="5"/>
  <c r="E988" i="5"/>
  <c r="C988" i="5"/>
  <c r="B988" i="5"/>
  <c r="F987" i="5"/>
  <c r="E987" i="5"/>
  <c r="B987" i="5"/>
  <c r="C987" i="5" s="1"/>
  <c r="F986" i="5"/>
  <c r="E986" i="5"/>
  <c r="B986" i="5"/>
  <c r="F985" i="5"/>
  <c r="E985" i="5"/>
  <c r="B985" i="5"/>
  <c r="F984" i="5"/>
  <c r="E984" i="5"/>
  <c r="B984" i="5"/>
  <c r="F983" i="5"/>
  <c r="E983" i="5"/>
  <c r="B983" i="5"/>
  <c r="C984" i="5" s="1"/>
  <c r="C230" i="8" s="1"/>
  <c r="F982" i="5"/>
  <c r="E982" i="5"/>
  <c r="B982" i="5"/>
  <c r="F981" i="5"/>
  <c r="E981" i="5"/>
  <c r="B981" i="5"/>
  <c r="C982" i="5" s="1"/>
  <c r="F980" i="5"/>
  <c r="E980" i="5"/>
  <c r="B980" i="5"/>
  <c r="C980" i="5" s="1"/>
  <c r="F979" i="5"/>
  <c r="E979" i="5"/>
  <c r="B979" i="5"/>
  <c r="F978" i="5"/>
  <c r="E978" i="5"/>
  <c r="B978" i="5"/>
  <c r="C978" i="5" s="1"/>
  <c r="F977" i="5"/>
  <c r="E977" i="5"/>
  <c r="B977" i="5"/>
  <c r="C977" i="5" s="1"/>
  <c r="C223" i="8" s="1"/>
  <c r="F976" i="5"/>
  <c r="E976" i="5"/>
  <c r="C976" i="5"/>
  <c r="D977" i="5" s="1"/>
  <c r="B976" i="5"/>
  <c r="F975" i="5"/>
  <c r="E975" i="5"/>
  <c r="C975" i="5"/>
  <c r="C221" i="8" s="1"/>
  <c r="B975" i="5"/>
  <c r="F974" i="5"/>
  <c r="E974" i="5"/>
  <c r="C974" i="5"/>
  <c r="C220" i="8" s="1"/>
  <c r="B974" i="5"/>
  <c r="F973" i="5"/>
  <c r="E973" i="5"/>
  <c r="B973" i="5"/>
  <c r="F972" i="5"/>
  <c r="E972" i="5"/>
  <c r="B972" i="5"/>
  <c r="C972" i="5" s="1"/>
  <c r="F971" i="5"/>
  <c r="E971" i="5"/>
  <c r="B971" i="5"/>
  <c r="C971" i="5" s="1"/>
  <c r="F970" i="5"/>
  <c r="E970" i="5"/>
  <c r="C970" i="5"/>
  <c r="B970" i="5"/>
  <c r="F969" i="5"/>
  <c r="E969" i="5"/>
  <c r="B969" i="5"/>
  <c r="C969" i="5" s="1"/>
  <c r="F968" i="5"/>
  <c r="E968" i="5"/>
  <c r="B968" i="5"/>
  <c r="F967" i="5"/>
  <c r="E967" i="5"/>
  <c r="B967" i="5"/>
  <c r="C968" i="5" s="1"/>
  <c r="C214" i="8" s="1"/>
  <c r="F966" i="5"/>
  <c r="E966" i="5"/>
  <c r="B966" i="5"/>
  <c r="F965" i="5"/>
  <c r="E965" i="5"/>
  <c r="B965" i="5"/>
  <c r="C966" i="5" s="1"/>
  <c r="C212" i="8" s="1"/>
  <c r="F964" i="5"/>
  <c r="E964" i="5"/>
  <c r="B964" i="5"/>
  <c r="C964" i="5" s="1"/>
  <c r="F963" i="5"/>
  <c r="E963" i="5"/>
  <c r="B963" i="5"/>
  <c r="F962" i="5"/>
  <c r="E962" i="5"/>
  <c r="B962" i="5"/>
  <c r="C962" i="5" s="1"/>
  <c r="F961" i="5"/>
  <c r="E961" i="5"/>
  <c r="B961" i="5"/>
  <c r="F960" i="5"/>
  <c r="E960" i="5"/>
  <c r="B960" i="5"/>
  <c r="C960" i="5" s="1"/>
  <c r="F959" i="5"/>
  <c r="E959" i="5"/>
  <c r="B959" i="5"/>
  <c r="C959" i="5" s="1"/>
  <c r="C205" i="8" s="1"/>
  <c r="F958" i="5"/>
  <c r="E958" i="5"/>
  <c r="C958" i="5"/>
  <c r="C204" i="8" s="1"/>
  <c r="B958" i="5"/>
  <c r="F957" i="5"/>
  <c r="E957" i="5"/>
  <c r="B957" i="5"/>
  <c r="C957" i="5" s="1"/>
  <c r="F956" i="5"/>
  <c r="E956" i="5"/>
  <c r="B956" i="5"/>
  <c r="F955" i="5"/>
  <c r="E955" i="5"/>
  <c r="B955" i="5"/>
  <c r="C955" i="5" s="1"/>
  <c r="F954" i="5"/>
  <c r="E954" i="5"/>
  <c r="B954" i="5"/>
  <c r="F953" i="5"/>
  <c r="E953" i="5"/>
  <c r="B953" i="5"/>
  <c r="C953" i="5" s="1"/>
  <c r="C199" i="8" s="1"/>
  <c r="F952" i="5"/>
  <c r="E952" i="5"/>
  <c r="B952" i="5"/>
  <c r="C952" i="5" s="1"/>
  <c r="F951" i="5"/>
  <c r="E951" i="5"/>
  <c r="B951" i="5"/>
  <c r="C951" i="5" s="1"/>
  <c r="C197" i="8" s="1"/>
  <c r="F950" i="5"/>
  <c r="E950" i="5"/>
  <c r="B950" i="5"/>
  <c r="F949" i="5"/>
  <c r="E949" i="5"/>
  <c r="C949" i="5"/>
  <c r="C195" i="8" s="1"/>
  <c r="B949" i="5"/>
  <c r="C950" i="5" s="1"/>
  <c r="F948" i="5"/>
  <c r="E948" i="5"/>
  <c r="C948" i="5"/>
  <c r="C194" i="8" s="1"/>
  <c r="B948" i="5"/>
  <c r="F947" i="5"/>
  <c r="E947" i="5"/>
  <c r="B947" i="5"/>
  <c r="F946" i="5"/>
  <c r="E946" i="5"/>
  <c r="B946" i="5"/>
  <c r="C946" i="5" s="1"/>
  <c r="F945" i="5"/>
  <c r="E945" i="5"/>
  <c r="B945" i="5"/>
  <c r="F944" i="5"/>
  <c r="E944" i="5"/>
  <c r="B944" i="5"/>
  <c r="C944" i="5" s="1"/>
  <c r="F943" i="5"/>
  <c r="E943" i="5"/>
  <c r="B943" i="5"/>
  <c r="C943" i="5" s="1"/>
  <c r="C189" i="8" s="1"/>
  <c r="F942" i="5"/>
  <c r="E942" i="5"/>
  <c r="C942" i="5"/>
  <c r="C188" i="8" s="1"/>
  <c r="B942" i="5"/>
  <c r="F941" i="5"/>
  <c r="E941" i="5"/>
  <c r="B941" i="5"/>
  <c r="C941" i="5" s="1"/>
  <c r="F940" i="5"/>
  <c r="E940" i="5"/>
  <c r="B940" i="5"/>
  <c r="F939" i="5"/>
  <c r="E939" i="5"/>
  <c r="B939" i="5"/>
  <c r="C939" i="5" s="1"/>
  <c r="F938" i="5"/>
  <c r="E938" i="5"/>
  <c r="B938" i="5"/>
  <c r="F937" i="5"/>
  <c r="E937" i="5"/>
  <c r="B937" i="5"/>
  <c r="C937" i="5" s="1"/>
  <c r="C183" i="8" s="1"/>
  <c r="F936" i="5"/>
  <c r="E936" i="5"/>
  <c r="B936" i="5"/>
  <c r="C936" i="5" s="1"/>
  <c r="F935" i="5"/>
  <c r="E935" i="5"/>
  <c r="B935" i="5"/>
  <c r="C935" i="5" s="1"/>
  <c r="C181" i="8" s="1"/>
  <c r="F934" i="5"/>
  <c r="E934" i="5"/>
  <c r="B934" i="5"/>
  <c r="F933" i="5"/>
  <c r="E933" i="5"/>
  <c r="C933" i="5"/>
  <c r="C179" i="8" s="1"/>
  <c r="B933" i="5"/>
  <c r="C934" i="5" s="1"/>
  <c r="F932" i="5"/>
  <c r="E932" i="5"/>
  <c r="C932" i="5"/>
  <c r="C178" i="8" s="1"/>
  <c r="B932" i="5"/>
  <c r="F931" i="5"/>
  <c r="E931" i="5"/>
  <c r="B931" i="5"/>
  <c r="F930" i="5"/>
  <c r="E930" i="5"/>
  <c r="B930" i="5"/>
  <c r="C930" i="5" s="1"/>
  <c r="F929" i="5"/>
  <c r="E929" i="5"/>
  <c r="B929" i="5"/>
  <c r="F928" i="5"/>
  <c r="E928" i="5"/>
  <c r="B928" i="5"/>
  <c r="C928" i="5" s="1"/>
  <c r="F927" i="5"/>
  <c r="E927" i="5"/>
  <c r="B927" i="5"/>
  <c r="C927" i="5" s="1"/>
  <c r="C173" i="8" s="1"/>
  <c r="F926" i="5"/>
  <c r="E926" i="5"/>
  <c r="C926" i="5"/>
  <c r="C172" i="8" s="1"/>
  <c r="B926" i="5"/>
  <c r="F925" i="5"/>
  <c r="E925" i="5"/>
  <c r="B925" i="5"/>
  <c r="C925" i="5" s="1"/>
  <c r="F924" i="5"/>
  <c r="E924" i="5"/>
  <c r="C924" i="5"/>
  <c r="C170" i="8" s="1"/>
  <c r="B924" i="5"/>
  <c r="F923" i="5"/>
  <c r="E923" i="5"/>
  <c r="B923" i="5"/>
  <c r="C923" i="5" s="1"/>
  <c r="F922" i="5"/>
  <c r="E922" i="5"/>
  <c r="B922" i="5"/>
  <c r="F921" i="5"/>
  <c r="E921" i="5"/>
  <c r="B921" i="5"/>
  <c r="C921" i="5" s="1"/>
  <c r="C167" i="8" s="1"/>
  <c r="F920" i="5"/>
  <c r="E920" i="5"/>
  <c r="B920" i="5"/>
  <c r="C920" i="5" s="1"/>
  <c r="F919" i="5"/>
  <c r="E919" i="5"/>
  <c r="B919" i="5"/>
  <c r="C919" i="5" s="1"/>
  <c r="C165" i="8" s="1"/>
  <c r="F918" i="5"/>
  <c r="E918" i="5"/>
  <c r="B918" i="5"/>
  <c r="F917" i="5"/>
  <c r="E917" i="5"/>
  <c r="C917" i="5"/>
  <c r="C163" i="8" s="1"/>
  <c r="B917" i="5"/>
  <c r="C918" i="5" s="1"/>
  <c r="F916" i="5"/>
  <c r="E916" i="5"/>
  <c r="C916" i="5"/>
  <c r="C162" i="8" s="1"/>
  <c r="B916" i="5"/>
  <c r="F915" i="5"/>
  <c r="E915" i="5"/>
  <c r="B915" i="5"/>
  <c r="F914" i="5"/>
  <c r="E914" i="5"/>
  <c r="B914" i="5"/>
  <c r="C914" i="5" s="1"/>
  <c r="F913" i="5"/>
  <c r="E913" i="5"/>
  <c r="B913" i="5"/>
  <c r="F912" i="5"/>
  <c r="E912" i="5"/>
  <c r="B912" i="5"/>
  <c r="C912" i="5" s="1"/>
  <c r="F911" i="5"/>
  <c r="E911" i="5"/>
  <c r="B911" i="5"/>
  <c r="C911" i="5" s="1"/>
  <c r="C157" i="8" s="1"/>
  <c r="F910" i="5"/>
  <c r="E910" i="5"/>
  <c r="C910" i="5"/>
  <c r="C156" i="8" s="1"/>
  <c r="B910" i="5"/>
  <c r="F909" i="5"/>
  <c r="E909" i="5"/>
  <c r="B909" i="5"/>
  <c r="C909" i="5" s="1"/>
  <c r="F908" i="5"/>
  <c r="E908" i="5"/>
  <c r="C908" i="5"/>
  <c r="C154" i="8" s="1"/>
  <c r="B908" i="5"/>
  <c r="F907" i="5"/>
  <c r="E907" i="5"/>
  <c r="B907" i="5"/>
  <c r="C907" i="5" s="1"/>
  <c r="F906" i="5"/>
  <c r="E906" i="5"/>
  <c r="B906" i="5"/>
  <c r="F905" i="5"/>
  <c r="E905" i="5"/>
  <c r="B905" i="5"/>
  <c r="C905" i="5" s="1"/>
  <c r="C151" i="8" s="1"/>
  <c r="F904" i="5"/>
  <c r="E904" i="5"/>
  <c r="B904" i="5"/>
  <c r="C904" i="5" s="1"/>
  <c r="F903" i="5"/>
  <c r="E903" i="5"/>
  <c r="B903" i="5"/>
  <c r="C903" i="5" s="1"/>
  <c r="C149" i="8" s="1"/>
  <c r="F902" i="5"/>
  <c r="E902" i="5"/>
  <c r="B902" i="5"/>
  <c r="F901" i="5"/>
  <c r="E901" i="5"/>
  <c r="C901" i="5"/>
  <c r="C147" i="8" s="1"/>
  <c r="B901" i="5"/>
  <c r="C902" i="5" s="1"/>
  <c r="F900" i="5"/>
  <c r="E900" i="5"/>
  <c r="C900" i="5"/>
  <c r="C146" i="8" s="1"/>
  <c r="B900" i="5"/>
  <c r="F899" i="5"/>
  <c r="E899" i="5"/>
  <c r="B899" i="5"/>
  <c r="F898" i="5"/>
  <c r="E898" i="5"/>
  <c r="B898" i="5"/>
  <c r="C898" i="5" s="1"/>
  <c r="F897" i="5"/>
  <c r="E897" i="5"/>
  <c r="B897" i="5"/>
  <c r="F896" i="5"/>
  <c r="E896" i="5"/>
  <c r="B896" i="5"/>
  <c r="C896" i="5" s="1"/>
  <c r="F895" i="5"/>
  <c r="E895" i="5"/>
  <c r="B895" i="5"/>
  <c r="C895" i="5" s="1"/>
  <c r="C141" i="8" s="1"/>
  <c r="F894" i="5"/>
  <c r="E894" i="5"/>
  <c r="C894" i="5"/>
  <c r="C140" i="8" s="1"/>
  <c r="B894" i="5"/>
  <c r="F893" i="5"/>
  <c r="E893" i="5"/>
  <c r="B893" i="5"/>
  <c r="C893" i="5" s="1"/>
  <c r="F892" i="5"/>
  <c r="E892" i="5"/>
  <c r="C892" i="5"/>
  <c r="C138" i="8" s="1"/>
  <c r="B892" i="5"/>
  <c r="F891" i="5"/>
  <c r="E891" i="5"/>
  <c r="B891" i="5"/>
  <c r="C891" i="5" s="1"/>
  <c r="F890" i="5"/>
  <c r="E890" i="5"/>
  <c r="B890" i="5"/>
  <c r="F889" i="5"/>
  <c r="E889" i="5"/>
  <c r="B889" i="5"/>
  <c r="C889" i="5" s="1"/>
  <c r="C135" i="8" s="1"/>
  <c r="F888" i="5"/>
  <c r="E888" i="5"/>
  <c r="B888" i="5"/>
  <c r="C888" i="5" s="1"/>
  <c r="F887" i="5"/>
  <c r="E887" i="5"/>
  <c r="B887" i="5"/>
  <c r="C887" i="5" s="1"/>
  <c r="C133" i="8" s="1"/>
  <c r="F886" i="5"/>
  <c r="E886" i="5"/>
  <c r="B886" i="5"/>
  <c r="F885" i="5"/>
  <c r="E885" i="5"/>
  <c r="C885" i="5"/>
  <c r="C131" i="8" s="1"/>
  <c r="B885" i="5"/>
  <c r="C886" i="5" s="1"/>
  <c r="F884" i="5"/>
  <c r="E884" i="5"/>
  <c r="C884" i="5"/>
  <c r="C130" i="8" s="1"/>
  <c r="B884" i="5"/>
  <c r="F883" i="5"/>
  <c r="E883" i="5"/>
  <c r="B883" i="5"/>
  <c r="F882" i="5"/>
  <c r="E882" i="5"/>
  <c r="B882" i="5"/>
  <c r="C882" i="5" s="1"/>
  <c r="F881" i="5"/>
  <c r="E881" i="5"/>
  <c r="B881" i="5"/>
  <c r="F880" i="5"/>
  <c r="E880" i="5"/>
  <c r="B880" i="5"/>
  <c r="C880" i="5" s="1"/>
  <c r="F879" i="5"/>
  <c r="E879" i="5"/>
  <c r="B879" i="5"/>
  <c r="C879" i="5" s="1"/>
  <c r="C125" i="8" s="1"/>
  <c r="F878" i="5"/>
  <c r="E878" i="5"/>
  <c r="C878" i="5"/>
  <c r="C124" i="8" s="1"/>
  <c r="B878" i="5"/>
  <c r="F877" i="5"/>
  <c r="E877" i="5"/>
  <c r="B877" i="5"/>
  <c r="C877" i="5" s="1"/>
  <c r="F876" i="5"/>
  <c r="E876" i="5"/>
  <c r="C876" i="5"/>
  <c r="C122" i="8" s="1"/>
  <c r="B876" i="5"/>
  <c r="F875" i="5"/>
  <c r="E875" i="5"/>
  <c r="B875" i="5"/>
  <c r="C875" i="5" s="1"/>
  <c r="F874" i="5"/>
  <c r="E874" i="5"/>
  <c r="B874" i="5"/>
  <c r="F873" i="5"/>
  <c r="E873" i="5"/>
  <c r="B873" i="5"/>
  <c r="C873" i="5" s="1"/>
  <c r="C119" i="8" s="1"/>
  <c r="F872" i="5"/>
  <c r="E872" i="5"/>
  <c r="B872" i="5"/>
  <c r="C872" i="5" s="1"/>
  <c r="F871" i="5"/>
  <c r="E871" i="5"/>
  <c r="B871" i="5"/>
  <c r="C871" i="5" s="1"/>
  <c r="C117" i="8" s="1"/>
  <c r="F870" i="5"/>
  <c r="E870" i="5"/>
  <c r="B870" i="5"/>
  <c r="F869" i="5"/>
  <c r="E869" i="5"/>
  <c r="C869" i="5"/>
  <c r="C115" i="8" s="1"/>
  <c r="B869" i="5"/>
  <c r="C870" i="5" s="1"/>
  <c r="F868" i="5"/>
  <c r="E868" i="5"/>
  <c r="C868" i="5"/>
  <c r="C114" i="8" s="1"/>
  <c r="B868" i="5"/>
  <c r="F867" i="5"/>
  <c r="E867" i="5"/>
  <c r="B867" i="5"/>
  <c r="F866" i="5"/>
  <c r="E866" i="5"/>
  <c r="B866" i="5"/>
  <c r="C866" i="5" s="1"/>
  <c r="F865" i="5"/>
  <c r="E865" i="5"/>
  <c r="B865" i="5"/>
  <c r="F864" i="5"/>
  <c r="E864" i="5"/>
  <c r="B864" i="5"/>
  <c r="C864" i="5" s="1"/>
  <c r="F863" i="5"/>
  <c r="E863" i="5"/>
  <c r="B863" i="5"/>
  <c r="C863" i="5" s="1"/>
  <c r="C109" i="8" s="1"/>
  <c r="F862" i="5"/>
  <c r="E862" i="5"/>
  <c r="C862" i="5"/>
  <c r="C108" i="8" s="1"/>
  <c r="B862" i="5"/>
  <c r="F861" i="5"/>
  <c r="E861" i="5"/>
  <c r="B861" i="5"/>
  <c r="C861" i="5" s="1"/>
  <c r="F860" i="5"/>
  <c r="E860" i="5"/>
  <c r="C860" i="5"/>
  <c r="C106" i="8" s="1"/>
  <c r="B860" i="5"/>
  <c r="F859" i="5"/>
  <c r="E859" i="5"/>
  <c r="B859" i="5"/>
  <c r="C859" i="5" s="1"/>
  <c r="F858" i="5"/>
  <c r="E858" i="5"/>
  <c r="B858" i="5"/>
  <c r="F857" i="5"/>
  <c r="E857" i="5"/>
  <c r="B857" i="5"/>
  <c r="C857" i="5" s="1"/>
  <c r="C103" i="8" s="1"/>
  <c r="F856" i="5"/>
  <c r="E856" i="5"/>
  <c r="B856" i="5"/>
  <c r="C856" i="5" s="1"/>
  <c r="F855" i="5"/>
  <c r="E855" i="5"/>
  <c r="B855" i="5"/>
  <c r="C855" i="5" s="1"/>
  <c r="C101" i="8" s="1"/>
  <c r="F854" i="5"/>
  <c r="E854" i="5"/>
  <c r="B854" i="5"/>
  <c r="F853" i="5"/>
  <c r="E853" i="5"/>
  <c r="C853" i="5"/>
  <c r="C99" i="8" s="1"/>
  <c r="B853" i="5"/>
  <c r="C854" i="5" s="1"/>
  <c r="F852" i="5"/>
  <c r="E852" i="5"/>
  <c r="C852" i="5"/>
  <c r="C98" i="8" s="1"/>
  <c r="B852" i="5"/>
  <c r="F851" i="5"/>
  <c r="E851" i="5"/>
  <c r="B851" i="5"/>
  <c r="F850" i="5"/>
  <c r="E850" i="5"/>
  <c r="B850" i="5"/>
  <c r="C850" i="5" s="1"/>
  <c r="F849" i="5"/>
  <c r="E849" i="5"/>
  <c r="B849" i="5"/>
  <c r="F848" i="5"/>
  <c r="E848" i="5"/>
  <c r="B848" i="5"/>
  <c r="C848" i="5" s="1"/>
  <c r="F847" i="5"/>
  <c r="E847" i="5"/>
  <c r="B847" i="5"/>
  <c r="C847" i="5" s="1"/>
  <c r="C93" i="8" s="1"/>
  <c r="F846" i="5"/>
  <c r="E846" i="5"/>
  <c r="C846" i="5"/>
  <c r="C92" i="8" s="1"/>
  <c r="B846" i="5"/>
  <c r="F845" i="5"/>
  <c r="E845" i="5"/>
  <c r="B845" i="5"/>
  <c r="C845" i="5" s="1"/>
  <c r="F844" i="5"/>
  <c r="E844" i="5"/>
  <c r="C844" i="5"/>
  <c r="C90" i="8" s="1"/>
  <c r="B844" i="5"/>
  <c r="F843" i="5"/>
  <c r="E843" i="5"/>
  <c r="B843" i="5"/>
  <c r="C843" i="5" s="1"/>
  <c r="F842" i="5"/>
  <c r="E842" i="5"/>
  <c r="B842" i="5"/>
  <c r="F841" i="5"/>
  <c r="E841" i="5"/>
  <c r="B841" i="5"/>
  <c r="C841" i="5" s="1"/>
  <c r="C87" i="8" s="1"/>
  <c r="F840" i="5"/>
  <c r="E840" i="5"/>
  <c r="B840" i="5"/>
  <c r="C840" i="5" s="1"/>
  <c r="F839" i="5"/>
  <c r="E839" i="5"/>
  <c r="B839" i="5"/>
  <c r="C839" i="5" s="1"/>
  <c r="C85" i="8" s="1"/>
  <c r="F838" i="5"/>
  <c r="E838" i="5"/>
  <c r="B838" i="5"/>
  <c r="F837" i="5"/>
  <c r="E837" i="5"/>
  <c r="C837" i="5"/>
  <c r="C83" i="8" s="1"/>
  <c r="B837" i="5"/>
  <c r="C838" i="5" s="1"/>
  <c r="F836" i="5"/>
  <c r="E836" i="5"/>
  <c r="C836" i="5"/>
  <c r="C82" i="8" s="1"/>
  <c r="B836" i="5"/>
  <c r="F835" i="5"/>
  <c r="E835" i="5"/>
  <c r="B835" i="5"/>
  <c r="F834" i="5"/>
  <c r="E834" i="5"/>
  <c r="B834" i="5"/>
  <c r="C834" i="5" s="1"/>
  <c r="F833" i="5"/>
  <c r="E833" i="5"/>
  <c r="B833" i="5"/>
  <c r="F832" i="5"/>
  <c r="E832" i="5"/>
  <c r="B832" i="5"/>
  <c r="C832" i="5" s="1"/>
  <c r="F831" i="5"/>
  <c r="E831" i="5"/>
  <c r="B831" i="5"/>
  <c r="C831" i="5" s="1"/>
  <c r="C77" i="8" s="1"/>
  <c r="F830" i="5"/>
  <c r="E830" i="5"/>
  <c r="C830" i="5"/>
  <c r="C76" i="8" s="1"/>
  <c r="B830" i="5"/>
  <c r="F829" i="5"/>
  <c r="E829" i="5"/>
  <c r="B829" i="5"/>
  <c r="C829" i="5" s="1"/>
  <c r="F828" i="5"/>
  <c r="E828" i="5"/>
  <c r="C828" i="5"/>
  <c r="C74" i="8" s="1"/>
  <c r="B828" i="5"/>
  <c r="F827" i="5"/>
  <c r="E827" i="5"/>
  <c r="B827" i="5"/>
  <c r="C827" i="5" s="1"/>
  <c r="F826" i="5"/>
  <c r="E826" i="5"/>
  <c r="B826" i="5"/>
  <c r="F825" i="5"/>
  <c r="E825" i="5"/>
  <c r="B825" i="5"/>
  <c r="C825" i="5" s="1"/>
  <c r="C71" i="8" s="1"/>
  <c r="F824" i="5"/>
  <c r="E824" i="5"/>
  <c r="B824" i="5"/>
  <c r="C824" i="5" s="1"/>
  <c r="F823" i="5"/>
  <c r="E823" i="5"/>
  <c r="B823" i="5"/>
  <c r="C823" i="5" s="1"/>
  <c r="C69" i="8" s="1"/>
  <c r="F822" i="5"/>
  <c r="E822" i="5"/>
  <c r="B822" i="5"/>
  <c r="F821" i="5"/>
  <c r="E821" i="5"/>
  <c r="C821" i="5"/>
  <c r="C67" i="8" s="1"/>
  <c r="B821" i="5"/>
  <c r="C822" i="5" s="1"/>
  <c r="F820" i="5"/>
  <c r="E820" i="5"/>
  <c r="C820" i="5"/>
  <c r="C66" i="8" s="1"/>
  <c r="B820" i="5"/>
  <c r="F819" i="5"/>
  <c r="E819" i="5"/>
  <c r="B819" i="5"/>
  <c r="F818" i="5"/>
  <c r="E818" i="5"/>
  <c r="B818" i="5"/>
  <c r="C818" i="5" s="1"/>
  <c r="F817" i="5"/>
  <c r="E817" i="5"/>
  <c r="B817" i="5"/>
  <c r="F816" i="5"/>
  <c r="E816" i="5"/>
  <c r="B816" i="5"/>
  <c r="C816" i="5" s="1"/>
  <c r="F815" i="5"/>
  <c r="E815" i="5"/>
  <c r="B815" i="5"/>
  <c r="C815" i="5" s="1"/>
  <c r="C61" i="8" s="1"/>
  <c r="F814" i="5"/>
  <c r="E814" i="5"/>
  <c r="C814" i="5"/>
  <c r="C60" i="8" s="1"/>
  <c r="B814" i="5"/>
  <c r="F813" i="5"/>
  <c r="E813" i="5"/>
  <c r="B813" i="5"/>
  <c r="C813" i="5" s="1"/>
  <c r="F812" i="5"/>
  <c r="E812" i="5"/>
  <c r="C812" i="5"/>
  <c r="C58" i="8" s="1"/>
  <c r="B812" i="5"/>
  <c r="F811" i="5"/>
  <c r="E811" i="5"/>
  <c r="B811" i="5"/>
  <c r="C811" i="5" s="1"/>
  <c r="F810" i="5"/>
  <c r="E810" i="5"/>
  <c r="B810" i="5"/>
  <c r="F809" i="5"/>
  <c r="E809" i="5"/>
  <c r="B809" i="5"/>
  <c r="C809" i="5" s="1"/>
  <c r="C55" i="8" s="1"/>
  <c r="F808" i="5"/>
  <c r="E808" i="5"/>
  <c r="B808" i="5"/>
  <c r="C808" i="5" s="1"/>
  <c r="F807" i="5"/>
  <c r="E807" i="5"/>
  <c r="B807" i="5"/>
  <c r="C807" i="5" s="1"/>
  <c r="C53" i="8" s="1"/>
  <c r="F806" i="5"/>
  <c r="E806" i="5"/>
  <c r="B806" i="5"/>
  <c r="F805" i="5"/>
  <c r="E805" i="5"/>
  <c r="C805" i="5"/>
  <c r="C51" i="8" s="1"/>
  <c r="B805" i="5"/>
  <c r="C806" i="5" s="1"/>
  <c r="F804" i="5"/>
  <c r="E804" i="5"/>
  <c r="C804" i="5"/>
  <c r="C50" i="8" s="1"/>
  <c r="B804" i="5"/>
  <c r="F803" i="5"/>
  <c r="E803" i="5"/>
  <c r="B803" i="5"/>
  <c r="F802" i="5"/>
  <c r="E802" i="5"/>
  <c r="B802" i="5"/>
  <c r="C802" i="5" s="1"/>
  <c r="F801" i="5"/>
  <c r="E801" i="5"/>
  <c r="B801" i="5"/>
  <c r="F800" i="5"/>
  <c r="E800" i="5"/>
  <c r="B800" i="5"/>
  <c r="C800" i="5" s="1"/>
  <c r="F799" i="5"/>
  <c r="E799" i="5"/>
  <c r="B799" i="5"/>
  <c r="C799" i="5" s="1"/>
  <c r="C45" i="8" s="1"/>
  <c r="F798" i="5"/>
  <c r="E798" i="5"/>
  <c r="C798" i="5"/>
  <c r="C44" i="8" s="1"/>
  <c r="B798" i="5"/>
  <c r="F797" i="5"/>
  <c r="E797" i="5"/>
  <c r="B797" i="5"/>
  <c r="C797" i="5" s="1"/>
  <c r="F796" i="5"/>
  <c r="E796" i="5"/>
  <c r="C796" i="5"/>
  <c r="C42" i="8" s="1"/>
  <c r="B796" i="5"/>
  <c r="F795" i="5"/>
  <c r="E795" i="5"/>
  <c r="B795" i="5"/>
  <c r="C795" i="5" s="1"/>
  <c r="F794" i="5"/>
  <c r="E794" i="5"/>
  <c r="B794" i="5"/>
  <c r="F793" i="5"/>
  <c r="E793" i="5"/>
  <c r="B793" i="5"/>
  <c r="C793" i="5" s="1"/>
  <c r="C39" i="8" s="1"/>
  <c r="F792" i="5"/>
  <c r="E792" i="5"/>
  <c r="B792" i="5"/>
  <c r="C792" i="5" s="1"/>
  <c r="F791" i="5"/>
  <c r="E791" i="5"/>
  <c r="B791" i="5"/>
  <c r="C791" i="5" s="1"/>
  <c r="C37" i="8" s="1"/>
  <c r="F790" i="5"/>
  <c r="E790" i="5"/>
  <c r="B790" i="5"/>
  <c r="F789" i="5"/>
  <c r="E789" i="5"/>
  <c r="C789" i="5"/>
  <c r="C35" i="8" s="1"/>
  <c r="B789" i="5"/>
  <c r="C790" i="5" s="1"/>
  <c r="F788" i="5"/>
  <c r="E788" i="5"/>
  <c r="C788" i="5"/>
  <c r="C34" i="8" s="1"/>
  <c r="B788" i="5"/>
  <c r="F787" i="5"/>
  <c r="E787" i="5"/>
  <c r="B787" i="5"/>
  <c r="F786" i="5"/>
  <c r="E786" i="5"/>
  <c r="B786" i="5"/>
  <c r="C786" i="5" s="1"/>
  <c r="F785" i="5"/>
  <c r="E785" i="5"/>
  <c r="B785" i="5"/>
  <c r="F784" i="5"/>
  <c r="E784" i="5"/>
  <c r="B784" i="5"/>
  <c r="C784" i="5" s="1"/>
  <c r="F783" i="5"/>
  <c r="E783" i="5"/>
  <c r="B783" i="5"/>
  <c r="C783" i="5" s="1"/>
  <c r="C29" i="8" s="1"/>
  <c r="F782" i="5"/>
  <c r="E782" i="5"/>
  <c r="C782" i="5"/>
  <c r="C28" i="8" s="1"/>
  <c r="B782" i="5"/>
  <c r="F781" i="5"/>
  <c r="E781" i="5"/>
  <c r="B781" i="5"/>
  <c r="C781" i="5" s="1"/>
  <c r="F780" i="5"/>
  <c r="E780" i="5"/>
  <c r="C780" i="5"/>
  <c r="C26" i="8" s="1"/>
  <c r="B780" i="5"/>
  <c r="F779" i="5"/>
  <c r="E779" i="5"/>
  <c r="B779" i="5"/>
  <c r="C779" i="5" s="1"/>
  <c r="F778" i="5"/>
  <c r="E778" i="5"/>
  <c r="B778" i="5"/>
  <c r="F777" i="5"/>
  <c r="E777" i="5"/>
  <c r="B777" i="5"/>
  <c r="C777" i="5" s="1"/>
  <c r="C23" i="8" s="1"/>
  <c r="F776" i="5"/>
  <c r="E776" i="5"/>
  <c r="B776" i="5"/>
  <c r="C776" i="5" s="1"/>
  <c r="F775" i="5"/>
  <c r="E775" i="5"/>
  <c r="B775" i="5"/>
  <c r="C775" i="5" s="1"/>
  <c r="C21" i="8" s="1"/>
  <c r="F774" i="5"/>
  <c r="E774" i="5"/>
  <c r="B774" i="5"/>
  <c r="F773" i="5"/>
  <c r="E773" i="5"/>
  <c r="C773" i="5"/>
  <c r="C19" i="8" s="1"/>
  <c r="B773" i="5"/>
  <c r="C774" i="5" s="1"/>
  <c r="F772" i="5"/>
  <c r="E772" i="5"/>
  <c r="C772" i="5"/>
  <c r="C18" i="8" s="1"/>
  <c r="B772" i="5"/>
  <c r="F771" i="5"/>
  <c r="E771" i="5"/>
  <c r="B771" i="5"/>
  <c r="F770" i="5"/>
  <c r="E770" i="5"/>
  <c r="B770" i="5"/>
  <c r="C770" i="5" s="1"/>
  <c r="F769" i="5"/>
  <c r="E769" i="5"/>
  <c r="B769" i="5"/>
  <c r="F768" i="5"/>
  <c r="E768" i="5"/>
  <c r="B768" i="5"/>
  <c r="C768" i="5" s="1"/>
  <c r="F767" i="5"/>
  <c r="E767" i="5"/>
  <c r="B767" i="5"/>
  <c r="C767" i="5" s="1"/>
  <c r="C13" i="8" s="1"/>
  <c r="F766" i="5"/>
  <c r="E766" i="5"/>
  <c r="C766" i="5"/>
  <c r="C12" i="8" s="1"/>
  <c r="B766" i="5"/>
  <c r="F765" i="5"/>
  <c r="E765" i="5"/>
  <c r="B765" i="5"/>
  <c r="C765" i="5" s="1"/>
  <c r="F764" i="5"/>
  <c r="E764" i="5"/>
  <c r="C764" i="5"/>
  <c r="C10" i="8" s="1"/>
  <c r="B764" i="5"/>
  <c r="F763" i="5"/>
  <c r="E763" i="5"/>
  <c r="B763" i="5"/>
  <c r="C763" i="5" s="1"/>
  <c r="F762" i="5"/>
  <c r="E762" i="5"/>
  <c r="B762" i="5"/>
  <c r="F761" i="5"/>
  <c r="E761" i="5"/>
  <c r="B761" i="5"/>
  <c r="C761" i="5" s="1"/>
  <c r="C7" i="8" s="1"/>
  <c r="F760" i="5"/>
  <c r="E760" i="5"/>
  <c r="B760" i="5"/>
  <c r="C760" i="5" s="1"/>
  <c r="F759" i="5"/>
  <c r="E759" i="5"/>
  <c r="B759" i="5"/>
  <c r="C759" i="5" s="1"/>
  <c r="D761" i="5" s="1"/>
  <c r="F758" i="5"/>
  <c r="E758" i="5"/>
  <c r="B758" i="5"/>
  <c r="F757" i="5"/>
  <c r="E757" i="5"/>
  <c r="C757" i="5"/>
  <c r="B757" i="5"/>
  <c r="C758" i="5" s="1"/>
  <c r="D760" i="5" s="1"/>
  <c r="F756" i="5"/>
  <c r="E756" i="5"/>
  <c r="C756" i="5"/>
  <c r="D758" i="5" s="1"/>
  <c r="B756" i="5"/>
  <c r="F755" i="5"/>
  <c r="E755" i="5"/>
  <c r="B755" i="5"/>
  <c r="F754" i="5"/>
  <c r="E754" i="5"/>
  <c r="B754" i="5"/>
  <c r="C754" i="5" s="1"/>
  <c r="F753" i="5"/>
  <c r="E753" i="5"/>
  <c r="B753" i="5"/>
  <c r="F752" i="5"/>
  <c r="E752" i="5"/>
  <c r="B752" i="5"/>
  <c r="C752" i="5" s="1"/>
  <c r="F751" i="5"/>
  <c r="E751" i="5"/>
  <c r="B751" i="5"/>
  <c r="C751" i="5" s="1"/>
  <c r="F750" i="5"/>
  <c r="E750" i="5"/>
  <c r="C750" i="5"/>
  <c r="B750" i="5"/>
  <c r="F749" i="5"/>
  <c r="E749" i="5"/>
  <c r="B749" i="5"/>
  <c r="C749" i="5" s="1"/>
  <c r="D751" i="5" s="1"/>
  <c r="F748" i="5"/>
  <c r="E748" i="5"/>
  <c r="C748" i="5"/>
  <c r="B748" i="5"/>
  <c r="F747" i="5"/>
  <c r="E747" i="5"/>
  <c r="B747" i="5"/>
  <c r="C747" i="5" s="1"/>
  <c r="F746" i="5"/>
  <c r="E746" i="5"/>
  <c r="B746" i="5"/>
  <c r="F745" i="5"/>
  <c r="E745" i="5"/>
  <c r="B745" i="5"/>
  <c r="C745" i="5" s="1"/>
  <c r="F744" i="5"/>
  <c r="E744" i="5"/>
  <c r="B744" i="5"/>
  <c r="C744" i="5" s="1"/>
  <c r="F743" i="5"/>
  <c r="E743" i="5"/>
  <c r="B743" i="5"/>
  <c r="C743" i="5" s="1"/>
  <c r="F742" i="5"/>
  <c r="E742" i="5"/>
  <c r="B742" i="5"/>
  <c r="F741" i="5"/>
  <c r="E741" i="5"/>
  <c r="C741" i="5"/>
  <c r="B741" i="5"/>
  <c r="C742" i="5" s="1"/>
  <c r="F740" i="5"/>
  <c r="E740" i="5"/>
  <c r="C740" i="5"/>
  <c r="B740" i="5"/>
  <c r="F739" i="5"/>
  <c r="E739" i="5"/>
  <c r="B739" i="5"/>
  <c r="F738" i="5"/>
  <c r="E738" i="5"/>
  <c r="B738" i="5"/>
  <c r="C738" i="5" s="1"/>
  <c r="F737" i="5"/>
  <c r="E737" i="5"/>
  <c r="B737" i="5"/>
  <c r="F736" i="5"/>
  <c r="E736" i="5"/>
  <c r="B736" i="5"/>
  <c r="C736" i="5" s="1"/>
  <c r="F735" i="5"/>
  <c r="E735" i="5"/>
  <c r="B735" i="5"/>
  <c r="C735" i="5" s="1"/>
  <c r="F734" i="5"/>
  <c r="E734" i="5"/>
  <c r="C734" i="5"/>
  <c r="B734" i="5"/>
  <c r="F733" i="5"/>
  <c r="E733" i="5"/>
  <c r="B733" i="5"/>
  <c r="C733" i="5" s="1"/>
  <c r="D735" i="5" s="1"/>
  <c r="F732" i="5"/>
  <c r="E732" i="5"/>
  <c r="C732" i="5"/>
  <c r="D734" i="5" s="1"/>
  <c r="B732" i="5"/>
  <c r="F731" i="5"/>
  <c r="E731" i="5"/>
  <c r="B731" i="5"/>
  <c r="C731" i="5" s="1"/>
  <c r="D733" i="5" s="1"/>
  <c r="F730" i="5"/>
  <c r="E730" i="5"/>
  <c r="B730" i="5"/>
  <c r="F729" i="5"/>
  <c r="E729" i="5"/>
  <c r="B729" i="5"/>
  <c r="C729" i="5" s="1"/>
  <c r="F728" i="5"/>
  <c r="E728" i="5"/>
  <c r="B728" i="5"/>
  <c r="C728" i="5" s="1"/>
  <c r="F727" i="5"/>
  <c r="E727" i="5"/>
  <c r="B727" i="5"/>
  <c r="C727" i="5" s="1"/>
  <c r="D729" i="5" s="1"/>
  <c r="F726" i="5"/>
  <c r="E726" i="5"/>
  <c r="B726" i="5"/>
  <c r="F725" i="5"/>
  <c r="E725" i="5"/>
  <c r="C725" i="5"/>
  <c r="B725" i="5"/>
  <c r="C726" i="5" s="1"/>
  <c r="D728" i="5" s="1"/>
  <c r="F724" i="5"/>
  <c r="E724" i="5"/>
  <c r="C724" i="5"/>
  <c r="D726" i="5" s="1"/>
  <c r="B724" i="5"/>
  <c r="F723" i="5"/>
  <c r="E723" i="5"/>
  <c r="B723" i="5"/>
  <c r="F722" i="5"/>
  <c r="E722" i="5"/>
  <c r="B722" i="5"/>
  <c r="C722" i="5" s="1"/>
  <c r="F721" i="5"/>
  <c r="E721" i="5"/>
  <c r="B721" i="5"/>
  <c r="F720" i="5"/>
  <c r="E720" i="5"/>
  <c r="B720" i="5"/>
  <c r="C720" i="5" s="1"/>
  <c r="F719" i="5"/>
  <c r="E719" i="5"/>
  <c r="B719" i="5"/>
  <c r="C719" i="5" s="1"/>
  <c r="F718" i="5"/>
  <c r="E718" i="5"/>
  <c r="C718" i="5"/>
  <c r="B718" i="5"/>
  <c r="F717" i="5"/>
  <c r="E717" i="5"/>
  <c r="B717" i="5"/>
  <c r="C717" i="5" s="1"/>
  <c r="D719" i="5" s="1"/>
  <c r="F716" i="5"/>
  <c r="E716" i="5"/>
  <c r="C716" i="5"/>
  <c r="B716" i="5"/>
  <c r="F715" i="5"/>
  <c r="E715" i="5"/>
  <c r="B715" i="5"/>
  <c r="C715" i="5" s="1"/>
  <c r="F714" i="5"/>
  <c r="E714" i="5"/>
  <c r="B714" i="5"/>
  <c r="F713" i="5"/>
  <c r="E713" i="5"/>
  <c r="B713" i="5"/>
  <c r="C713" i="5" s="1"/>
  <c r="F712" i="5"/>
  <c r="E712" i="5"/>
  <c r="B712" i="5"/>
  <c r="C712" i="5" s="1"/>
  <c r="F711" i="5"/>
  <c r="E711" i="5"/>
  <c r="B711" i="5"/>
  <c r="C711" i="5" s="1"/>
  <c r="F710" i="5"/>
  <c r="E710" i="5"/>
  <c r="B710" i="5"/>
  <c r="F709" i="5"/>
  <c r="E709" i="5"/>
  <c r="C709" i="5"/>
  <c r="B709" i="5"/>
  <c r="C710" i="5" s="1"/>
  <c r="F708" i="5"/>
  <c r="E708" i="5"/>
  <c r="C708" i="5"/>
  <c r="B708" i="5"/>
  <c r="F707" i="5"/>
  <c r="E707" i="5"/>
  <c r="B707" i="5"/>
  <c r="F706" i="5"/>
  <c r="E706" i="5"/>
  <c r="B706" i="5"/>
  <c r="C706" i="5" s="1"/>
  <c r="F705" i="5"/>
  <c r="E705" i="5"/>
  <c r="B705" i="5"/>
  <c r="F704" i="5"/>
  <c r="E704" i="5"/>
  <c r="B704" i="5"/>
  <c r="C704" i="5" s="1"/>
  <c r="F703" i="5"/>
  <c r="E703" i="5"/>
  <c r="B703" i="5"/>
  <c r="C703" i="5" s="1"/>
  <c r="F702" i="5"/>
  <c r="E702" i="5"/>
  <c r="C702" i="5"/>
  <c r="D704" i="5" s="1"/>
  <c r="B702" i="5"/>
  <c r="F701" i="5"/>
  <c r="E701" i="5"/>
  <c r="B701" i="5"/>
  <c r="C701" i="5" s="1"/>
  <c r="D703" i="5" s="1"/>
  <c r="F700" i="5"/>
  <c r="E700" i="5"/>
  <c r="C700" i="5"/>
  <c r="D702" i="5" s="1"/>
  <c r="B700" i="5"/>
  <c r="F699" i="5"/>
  <c r="E699" i="5"/>
  <c r="B699" i="5"/>
  <c r="C699" i="5" s="1"/>
  <c r="D701" i="5" s="1"/>
  <c r="F698" i="5"/>
  <c r="E698" i="5"/>
  <c r="B698" i="5"/>
  <c r="F697" i="5"/>
  <c r="E697" i="5"/>
  <c r="B697" i="5"/>
  <c r="C697" i="5" s="1"/>
  <c r="F696" i="5"/>
  <c r="E696" i="5"/>
  <c r="B696" i="5"/>
  <c r="C696" i="5" s="1"/>
  <c r="F695" i="5"/>
  <c r="E695" i="5"/>
  <c r="B695" i="5"/>
  <c r="C695" i="5" s="1"/>
  <c r="D697" i="5" s="1"/>
  <c r="F694" i="5"/>
  <c r="E694" i="5"/>
  <c r="B694" i="5"/>
  <c r="F693" i="5"/>
  <c r="E693" i="5"/>
  <c r="C693" i="5"/>
  <c r="B693" i="5"/>
  <c r="C694" i="5" s="1"/>
  <c r="D696" i="5" s="1"/>
  <c r="F692" i="5"/>
  <c r="E692" i="5"/>
  <c r="C692" i="5"/>
  <c r="D694" i="5" s="1"/>
  <c r="B692" i="5"/>
  <c r="F691" i="5"/>
  <c r="E691" i="5"/>
  <c r="B691" i="5"/>
  <c r="F690" i="5"/>
  <c r="E690" i="5"/>
  <c r="B690" i="5"/>
  <c r="C690" i="5" s="1"/>
  <c r="F689" i="5"/>
  <c r="E689" i="5"/>
  <c r="B689" i="5"/>
  <c r="F688" i="5"/>
  <c r="E688" i="5"/>
  <c r="B688" i="5"/>
  <c r="C688" i="5" s="1"/>
  <c r="F687" i="5"/>
  <c r="E687" i="5"/>
  <c r="B687" i="5"/>
  <c r="C687" i="5" s="1"/>
  <c r="F686" i="5"/>
  <c r="E686" i="5"/>
  <c r="C686" i="5"/>
  <c r="B686" i="5"/>
  <c r="F685" i="5"/>
  <c r="E685" i="5"/>
  <c r="B685" i="5"/>
  <c r="C685" i="5" s="1"/>
  <c r="D687" i="5" s="1"/>
  <c r="F684" i="5"/>
  <c r="E684" i="5"/>
  <c r="C684" i="5"/>
  <c r="B684" i="5"/>
  <c r="F683" i="5"/>
  <c r="E683" i="5"/>
  <c r="B683" i="5"/>
  <c r="C683" i="5" s="1"/>
  <c r="F682" i="5"/>
  <c r="E682" i="5"/>
  <c r="B682" i="5"/>
  <c r="F681" i="5"/>
  <c r="E681" i="5"/>
  <c r="B681" i="5"/>
  <c r="C681" i="5" s="1"/>
  <c r="F680" i="5"/>
  <c r="E680" i="5"/>
  <c r="B680" i="5"/>
  <c r="C680" i="5" s="1"/>
  <c r="F679" i="5"/>
  <c r="E679" i="5"/>
  <c r="B679" i="5"/>
  <c r="C679" i="5" s="1"/>
  <c r="F678" i="5"/>
  <c r="E678" i="5"/>
  <c r="B678" i="5"/>
  <c r="F677" i="5"/>
  <c r="E677" i="5"/>
  <c r="C677" i="5"/>
  <c r="B677" i="5"/>
  <c r="C678" i="5" s="1"/>
  <c r="F676" i="5"/>
  <c r="E676" i="5"/>
  <c r="C676" i="5"/>
  <c r="B676" i="5"/>
  <c r="F675" i="5"/>
  <c r="E675" i="5"/>
  <c r="B675" i="5"/>
  <c r="F674" i="5"/>
  <c r="E674" i="5"/>
  <c r="B674" i="5"/>
  <c r="C674" i="5" s="1"/>
  <c r="F673" i="5"/>
  <c r="E673" i="5"/>
  <c r="B673" i="5"/>
  <c r="F672" i="5"/>
  <c r="E672" i="5"/>
  <c r="B672" i="5"/>
  <c r="C672" i="5" s="1"/>
  <c r="F671" i="5"/>
  <c r="E671" i="5"/>
  <c r="B671" i="5"/>
  <c r="C671" i="5" s="1"/>
  <c r="F670" i="5"/>
  <c r="E670" i="5"/>
  <c r="C670" i="5"/>
  <c r="D672" i="5" s="1"/>
  <c r="B670" i="5"/>
  <c r="F669" i="5"/>
  <c r="E669" i="5"/>
  <c r="B669" i="5"/>
  <c r="C669" i="5" s="1"/>
  <c r="D671" i="5" s="1"/>
  <c r="F668" i="5"/>
  <c r="E668" i="5"/>
  <c r="C668" i="5"/>
  <c r="D670" i="5" s="1"/>
  <c r="B668" i="5"/>
  <c r="F667" i="5"/>
  <c r="E667" i="5"/>
  <c r="B667" i="5"/>
  <c r="C667" i="5" s="1"/>
  <c r="D669" i="5" s="1"/>
  <c r="F666" i="5"/>
  <c r="E666" i="5"/>
  <c r="B666" i="5"/>
  <c r="F665" i="5"/>
  <c r="E665" i="5"/>
  <c r="B665" i="5"/>
  <c r="C665" i="5" s="1"/>
  <c r="F664" i="5"/>
  <c r="E664" i="5"/>
  <c r="B664" i="5"/>
  <c r="C664" i="5" s="1"/>
  <c r="F663" i="5"/>
  <c r="E663" i="5"/>
  <c r="B663" i="5"/>
  <c r="C663" i="5" s="1"/>
  <c r="D665" i="5" s="1"/>
  <c r="F662" i="5"/>
  <c r="E662" i="5"/>
  <c r="B662" i="5"/>
  <c r="F661" i="5"/>
  <c r="E661" i="5"/>
  <c r="C661" i="5"/>
  <c r="B661" i="5"/>
  <c r="C662" i="5" s="1"/>
  <c r="D664" i="5" s="1"/>
  <c r="F660" i="5"/>
  <c r="E660" i="5"/>
  <c r="C660" i="5"/>
  <c r="D662" i="5" s="1"/>
  <c r="B660" i="5"/>
  <c r="F659" i="5"/>
  <c r="E659" i="5"/>
  <c r="B659" i="5"/>
  <c r="F658" i="5"/>
  <c r="E658" i="5"/>
  <c r="B658" i="5"/>
  <c r="C658" i="5" s="1"/>
  <c r="F657" i="5"/>
  <c r="E657" i="5"/>
  <c r="B657" i="5"/>
  <c r="F656" i="5"/>
  <c r="E656" i="5"/>
  <c r="B656" i="5"/>
  <c r="C656" i="5" s="1"/>
  <c r="F655" i="5"/>
  <c r="E655" i="5"/>
  <c r="B655" i="5"/>
  <c r="C655" i="5" s="1"/>
  <c r="F654" i="5"/>
  <c r="E654" i="5"/>
  <c r="C654" i="5"/>
  <c r="B654" i="5"/>
  <c r="F653" i="5"/>
  <c r="E653" i="5"/>
  <c r="B653" i="5"/>
  <c r="C653" i="5" s="1"/>
  <c r="D655" i="5" s="1"/>
  <c r="F652" i="5"/>
  <c r="E652" i="5"/>
  <c r="C652" i="5"/>
  <c r="B652" i="5"/>
  <c r="F651" i="5"/>
  <c r="E651" i="5"/>
  <c r="B651" i="5"/>
  <c r="C651" i="5" s="1"/>
  <c r="F650" i="5"/>
  <c r="E650" i="5"/>
  <c r="B650" i="5"/>
  <c r="F649" i="5"/>
  <c r="E649" i="5"/>
  <c r="B649" i="5"/>
  <c r="C649" i="5" s="1"/>
  <c r="F648" i="5"/>
  <c r="E648" i="5"/>
  <c r="B648" i="5"/>
  <c r="C648" i="5" s="1"/>
  <c r="F647" i="5"/>
  <c r="E647" i="5"/>
  <c r="B647" i="5"/>
  <c r="C647" i="5" s="1"/>
  <c r="F646" i="5"/>
  <c r="E646" i="5"/>
  <c r="B646" i="5"/>
  <c r="F645" i="5"/>
  <c r="E645" i="5"/>
  <c r="C645" i="5"/>
  <c r="B645" i="5"/>
  <c r="C646" i="5" s="1"/>
  <c r="F644" i="5"/>
  <c r="E644" i="5"/>
  <c r="C644" i="5"/>
  <c r="B644" i="5"/>
  <c r="F643" i="5"/>
  <c r="E643" i="5"/>
  <c r="B643" i="5"/>
  <c r="F642" i="5"/>
  <c r="E642" i="5"/>
  <c r="B642" i="5"/>
  <c r="C642" i="5" s="1"/>
  <c r="F641" i="5"/>
  <c r="E641" i="5"/>
  <c r="B641" i="5"/>
  <c r="F640" i="5"/>
  <c r="E640" i="5"/>
  <c r="B640" i="5"/>
  <c r="C640" i="5" s="1"/>
  <c r="F639" i="5"/>
  <c r="E639" i="5"/>
  <c r="B639" i="5"/>
  <c r="C639" i="5" s="1"/>
  <c r="F638" i="5"/>
  <c r="E638" i="5"/>
  <c r="C638" i="5"/>
  <c r="D640" i="5" s="1"/>
  <c r="B638" i="5"/>
  <c r="F637" i="5"/>
  <c r="E637" i="5"/>
  <c r="B637" i="5"/>
  <c r="C637" i="5" s="1"/>
  <c r="D639" i="5" s="1"/>
  <c r="F636" i="5"/>
  <c r="E636" i="5"/>
  <c r="C636" i="5"/>
  <c r="D638" i="5" s="1"/>
  <c r="B636" i="5"/>
  <c r="F635" i="5"/>
  <c r="E635" i="5"/>
  <c r="B635" i="5"/>
  <c r="C635" i="5" s="1"/>
  <c r="D637" i="5" s="1"/>
  <c r="F634" i="5"/>
  <c r="E634" i="5"/>
  <c r="B634" i="5"/>
  <c r="F633" i="5"/>
  <c r="E633" i="5"/>
  <c r="B633" i="5"/>
  <c r="C633" i="5" s="1"/>
  <c r="F632" i="5"/>
  <c r="E632" i="5"/>
  <c r="B632" i="5"/>
  <c r="C632" i="5" s="1"/>
  <c r="F631" i="5"/>
  <c r="E631" i="5"/>
  <c r="B631" i="5"/>
  <c r="C631" i="5" s="1"/>
  <c r="D633" i="5" s="1"/>
  <c r="F630" i="5"/>
  <c r="E630" i="5"/>
  <c r="B630" i="5"/>
  <c r="F629" i="5"/>
  <c r="E629" i="5"/>
  <c r="C629" i="5"/>
  <c r="B629" i="5"/>
  <c r="C630" i="5" s="1"/>
  <c r="D632" i="5" s="1"/>
  <c r="F628" i="5"/>
  <c r="E628" i="5"/>
  <c r="C628" i="5"/>
  <c r="D630" i="5" s="1"/>
  <c r="B628" i="5"/>
  <c r="F627" i="5"/>
  <c r="E627" i="5"/>
  <c r="B627" i="5"/>
  <c r="F626" i="5"/>
  <c r="E626" i="5"/>
  <c r="B626" i="5"/>
  <c r="C626" i="5" s="1"/>
  <c r="F625" i="5"/>
  <c r="E625" i="5"/>
  <c r="B625" i="5"/>
  <c r="F624" i="5"/>
  <c r="E624" i="5"/>
  <c r="B624" i="5"/>
  <c r="C624" i="5" s="1"/>
  <c r="F623" i="5"/>
  <c r="E623" i="5"/>
  <c r="B623" i="5"/>
  <c r="C623" i="5" s="1"/>
  <c r="F622" i="5"/>
  <c r="E622" i="5"/>
  <c r="C622" i="5"/>
  <c r="B622" i="5"/>
  <c r="F621" i="5"/>
  <c r="E621" i="5"/>
  <c r="B621" i="5"/>
  <c r="C621" i="5" s="1"/>
  <c r="D623" i="5" s="1"/>
  <c r="F620" i="5"/>
  <c r="E620" i="5"/>
  <c r="C620" i="5"/>
  <c r="B620" i="5"/>
  <c r="F619" i="5"/>
  <c r="E619" i="5"/>
  <c r="B619" i="5"/>
  <c r="C619" i="5" s="1"/>
  <c r="F618" i="5"/>
  <c r="E618" i="5"/>
  <c r="B618" i="5"/>
  <c r="F617" i="5"/>
  <c r="E617" i="5"/>
  <c r="B617" i="5"/>
  <c r="C617" i="5" s="1"/>
  <c r="F616" i="5"/>
  <c r="E616" i="5"/>
  <c r="B616" i="5"/>
  <c r="C616" i="5" s="1"/>
  <c r="F615" i="5"/>
  <c r="E615" i="5"/>
  <c r="B615" i="5"/>
  <c r="C615" i="5" s="1"/>
  <c r="F614" i="5"/>
  <c r="E614" i="5"/>
  <c r="B614" i="5"/>
  <c r="F613" i="5"/>
  <c r="E613" i="5"/>
  <c r="C613" i="5"/>
  <c r="B613" i="5"/>
  <c r="C614" i="5" s="1"/>
  <c r="F612" i="5"/>
  <c r="E612" i="5"/>
  <c r="C612" i="5"/>
  <c r="B612" i="5"/>
  <c r="F611" i="5"/>
  <c r="E611" i="5"/>
  <c r="B611" i="5"/>
  <c r="F610" i="5"/>
  <c r="E610" i="5"/>
  <c r="B610" i="5"/>
  <c r="C610" i="5" s="1"/>
  <c r="F609" i="5"/>
  <c r="E609" i="5"/>
  <c r="B609" i="5"/>
  <c r="F608" i="5"/>
  <c r="E608" i="5"/>
  <c r="B608" i="5"/>
  <c r="C608" i="5" s="1"/>
  <c r="F607" i="5"/>
  <c r="E607" i="5"/>
  <c r="B607" i="5"/>
  <c r="C607" i="5" s="1"/>
  <c r="F606" i="5"/>
  <c r="E606" i="5"/>
  <c r="C606" i="5"/>
  <c r="D608" i="5" s="1"/>
  <c r="B606" i="5"/>
  <c r="F605" i="5"/>
  <c r="E605" i="5"/>
  <c r="B605" i="5"/>
  <c r="C605" i="5" s="1"/>
  <c r="D607" i="5" s="1"/>
  <c r="F604" i="5"/>
  <c r="E604" i="5"/>
  <c r="C604" i="5"/>
  <c r="D606" i="5" s="1"/>
  <c r="B604" i="5"/>
  <c r="F603" i="5"/>
  <c r="E603" i="5"/>
  <c r="B603" i="5"/>
  <c r="C603" i="5" s="1"/>
  <c r="D605" i="5" s="1"/>
  <c r="F602" i="5"/>
  <c r="E602" i="5"/>
  <c r="B602" i="5"/>
  <c r="F601" i="5"/>
  <c r="E601" i="5"/>
  <c r="B601" i="5"/>
  <c r="C601" i="5" s="1"/>
  <c r="F600" i="5"/>
  <c r="E600" i="5"/>
  <c r="B600" i="5"/>
  <c r="C600" i="5" s="1"/>
  <c r="F599" i="5"/>
  <c r="E599" i="5"/>
  <c r="B599" i="5"/>
  <c r="C599" i="5" s="1"/>
  <c r="D601" i="5" s="1"/>
  <c r="F598" i="5"/>
  <c r="E598" i="5"/>
  <c r="B598" i="5"/>
  <c r="F597" i="5"/>
  <c r="E597" i="5"/>
  <c r="C597" i="5"/>
  <c r="B597" i="5"/>
  <c r="C598" i="5" s="1"/>
  <c r="D600" i="5" s="1"/>
  <c r="F596" i="5"/>
  <c r="E596" i="5"/>
  <c r="C596" i="5"/>
  <c r="D598" i="5" s="1"/>
  <c r="B596" i="5"/>
  <c r="F595" i="5"/>
  <c r="E595" i="5"/>
  <c r="B595" i="5"/>
  <c r="F594" i="5"/>
  <c r="E594" i="5"/>
  <c r="B594" i="5"/>
  <c r="C594" i="5" s="1"/>
  <c r="F593" i="5"/>
  <c r="E593" i="5"/>
  <c r="B593" i="5"/>
  <c r="F592" i="5"/>
  <c r="E592" i="5"/>
  <c r="B592" i="5"/>
  <c r="C592" i="5" s="1"/>
  <c r="F591" i="5"/>
  <c r="E591" i="5"/>
  <c r="B591" i="5"/>
  <c r="C591" i="5" s="1"/>
  <c r="F590" i="5"/>
  <c r="E590" i="5"/>
  <c r="C590" i="5"/>
  <c r="B590" i="5"/>
  <c r="F589" i="5"/>
  <c r="E589" i="5"/>
  <c r="B589" i="5"/>
  <c r="C589" i="5" s="1"/>
  <c r="D591" i="5" s="1"/>
  <c r="F588" i="5"/>
  <c r="E588" i="5"/>
  <c r="C588" i="5"/>
  <c r="B588" i="5"/>
  <c r="F587" i="5"/>
  <c r="E587" i="5"/>
  <c r="B587" i="5"/>
  <c r="C587" i="5" s="1"/>
  <c r="F586" i="5"/>
  <c r="E586" i="5"/>
  <c r="B586" i="5"/>
  <c r="F585" i="5"/>
  <c r="E585" i="5"/>
  <c r="B585" i="5"/>
  <c r="C585" i="5" s="1"/>
  <c r="F584" i="5"/>
  <c r="E584" i="5"/>
  <c r="B584" i="5"/>
  <c r="C584" i="5" s="1"/>
  <c r="F583" i="5"/>
  <c r="E583" i="5"/>
  <c r="B583" i="5"/>
  <c r="C583" i="5" s="1"/>
  <c r="F582" i="5"/>
  <c r="E582" i="5"/>
  <c r="B582" i="5"/>
  <c r="F581" i="5"/>
  <c r="E581" i="5"/>
  <c r="C581" i="5"/>
  <c r="B581" i="5"/>
  <c r="C582" i="5" s="1"/>
  <c r="F580" i="5"/>
  <c r="E580" i="5"/>
  <c r="C580" i="5"/>
  <c r="B580" i="5"/>
  <c r="F579" i="5"/>
  <c r="E579" i="5"/>
  <c r="B579" i="5"/>
  <c r="F578" i="5"/>
  <c r="E578" i="5"/>
  <c r="B578" i="5"/>
  <c r="C578" i="5" s="1"/>
  <c r="F577" i="5"/>
  <c r="E577" i="5"/>
  <c r="B577" i="5"/>
  <c r="F576" i="5"/>
  <c r="E576" i="5"/>
  <c r="B576" i="5"/>
  <c r="C576" i="5" s="1"/>
  <c r="F575" i="5"/>
  <c r="E575" i="5"/>
  <c r="B575" i="5"/>
  <c r="C575" i="5" s="1"/>
  <c r="F574" i="5"/>
  <c r="E574" i="5"/>
  <c r="C574" i="5"/>
  <c r="D576" i="5" s="1"/>
  <c r="B574" i="5"/>
  <c r="F573" i="5"/>
  <c r="E573" i="5"/>
  <c r="B573" i="5"/>
  <c r="C573" i="5" s="1"/>
  <c r="D575" i="5" s="1"/>
  <c r="F572" i="5"/>
  <c r="E572" i="5"/>
  <c r="C572" i="5"/>
  <c r="D574" i="5" s="1"/>
  <c r="B572" i="5"/>
  <c r="F571" i="5"/>
  <c r="E571" i="5"/>
  <c r="B571" i="5"/>
  <c r="C571" i="5" s="1"/>
  <c r="D573" i="5" s="1"/>
  <c r="F570" i="5"/>
  <c r="E570" i="5"/>
  <c r="B570" i="5"/>
  <c r="F569" i="5"/>
  <c r="E569" i="5"/>
  <c r="B569" i="5"/>
  <c r="C569" i="5" s="1"/>
  <c r="F568" i="5"/>
  <c r="E568" i="5"/>
  <c r="B568" i="5"/>
  <c r="C568" i="5" s="1"/>
  <c r="F567" i="5"/>
  <c r="E567" i="5"/>
  <c r="B567" i="5"/>
  <c r="C567" i="5" s="1"/>
  <c r="D569" i="5" s="1"/>
  <c r="F566" i="5"/>
  <c r="E566" i="5"/>
  <c r="B566" i="5"/>
  <c r="F565" i="5"/>
  <c r="E565" i="5"/>
  <c r="C565" i="5"/>
  <c r="B565" i="5"/>
  <c r="C566" i="5" s="1"/>
  <c r="D568" i="5" s="1"/>
  <c r="F564" i="5"/>
  <c r="E564" i="5"/>
  <c r="C564" i="5"/>
  <c r="D566" i="5" s="1"/>
  <c r="B564" i="5"/>
  <c r="F563" i="5"/>
  <c r="E563" i="5"/>
  <c r="B563" i="5"/>
  <c r="F562" i="5"/>
  <c r="E562" i="5"/>
  <c r="B562" i="5"/>
  <c r="C562" i="5" s="1"/>
  <c r="F561" i="5"/>
  <c r="E561" i="5"/>
  <c r="B561" i="5"/>
  <c r="F560" i="5"/>
  <c r="E560" i="5"/>
  <c r="B560" i="5"/>
  <c r="C560" i="5" s="1"/>
  <c r="F559" i="5"/>
  <c r="E559" i="5"/>
  <c r="B559" i="5"/>
  <c r="C559" i="5" s="1"/>
  <c r="F558" i="5"/>
  <c r="E558" i="5"/>
  <c r="C558" i="5"/>
  <c r="B558" i="5"/>
  <c r="F557" i="5"/>
  <c r="E557" i="5"/>
  <c r="B557" i="5"/>
  <c r="C557" i="5" s="1"/>
  <c r="D559" i="5" s="1"/>
  <c r="F556" i="5"/>
  <c r="E556" i="5"/>
  <c r="C556" i="5"/>
  <c r="B556" i="5"/>
  <c r="F555" i="5"/>
  <c r="E555" i="5"/>
  <c r="B555" i="5"/>
  <c r="C555" i="5" s="1"/>
  <c r="F554" i="5"/>
  <c r="E554" i="5"/>
  <c r="B554" i="5"/>
  <c r="F553" i="5"/>
  <c r="E553" i="5"/>
  <c r="B553" i="5"/>
  <c r="C553" i="5" s="1"/>
  <c r="F552" i="5"/>
  <c r="E552" i="5"/>
  <c r="B552" i="5"/>
  <c r="C552" i="5" s="1"/>
  <c r="F551" i="5"/>
  <c r="E551" i="5"/>
  <c r="B551" i="5"/>
  <c r="C551" i="5" s="1"/>
  <c r="F550" i="5"/>
  <c r="E550" i="5"/>
  <c r="B550" i="5"/>
  <c r="F549" i="5"/>
  <c r="E549" i="5"/>
  <c r="C549" i="5"/>
  <c r="B549" i="5"/>
  <c r="C550" i="5" s="1"/>
  <c r="F548" i="5"/>
  <c r="E548" i="5"/>
  <c r="C548" i="5"/>
  <c r="B548" i="5"/>
  <c r="F547" i="5"/>
  <c r="E547" i="5"/>
  <c r="B547" i="5"/>
  <c r="F546" i="5"/>
  <c r="E546" i="5"/>
  <c r="B546" i="5"/>
  <c r="C546" i="5" s="1"/>
  <c r="F545" i="5"/>
  <c r="E545" i="5"/>
  <c r="B545" i="5"/>
  <c r="F544" i="5"/>
  <c r="E544" i="5"/>
  <c r="B544" i="5"/>
  <c r="C544" i="5" s="1"/>
  <c r="F543" i="5"/>
  <c r="E543" i="5"/>
  <c r="B543" i="5"/>
  <c r="C543" i="5" s="1"/>
  <c r="F542" i="5"/>
  <c r="E542" i="5"/>
  <c r="C542" i="5"/>
  <c r="D544" i="5" s="1"/>
  <c r="B542" i="5"/>
  <c r="F541" i="5"/>
  <c r="E541" i="5"/>
  <c r="B541" i="5"/>
  <c r="C541" i="5" s="1"/>
  <c r="D543" i="5" s="1"/>
  <c r="F540" i="5"/>
  <c r="E540" i="5"/>
  <c r="C540" i="5"/>
  <c r="D542" i="5" s="1"/>
  <c r="B540" i="5"/>
  <c r="F539" i="5"/>
  <c r="E539" i="5"/>
  <c r="B539" i="5"/>
  <c r="C539" i="5" s="1"/>
  <c r="D541" i="5" s="1"/>
  <c r="F538" i="5"/>
  <c r="E538" i="5"/>
  <c r="B538" i="5"/>
  <c r="F537" i="5"/>
  <c r="E537" i="5"/>
  <c r="B537" i="5"/>
  <c r="C537" i="5" s="1"/>
  <c r="F536" i="5"/>
  <c r="E536" i="5"/>
  <c r="B536" i="5"/>
  <c r="C536" i="5" s="1"/>
  <c r="F535" i="5"/>
  <c r="E535" i="5"/>
  <c r="B535" i="5"/>
  <c r="C535" i="5" s="1"/>
  <c r="D537" i="5" s="1"/>
  <c r="F534" i="5"/>
  <c r="E534" i="5"/>
  <c r="B534" i="5"/>
  <c r="F533" i="5"/>
  <c r="E533" i="5"/>
  <c r="C533" i="5"/>
  <c r="B533" i="5"/>
  <c r="C534" i="5" s="1"/>
  <c r="D536" i="5" s="1"/>
  <c r="F532" i="5"/>
  <c r="E532" i="5"/>
  <c r="C532" i="5"/>
  <c r="D534" i="5" s="1"/>
  <c r="B532" i="5"/>
  <c r="F531" i="5"/>
  <c r="E531" i="5"/>
  <c r="B531" i="5"/>
  <c r="F530" i="5"/>
  <c r="E530" i="5"/>
  <c r="B530" i="5"/>
  <c r="C530" i="5" s="1"/>
  <c r="F529" i="5"/>
  <c r="E529" i="5"/>
  <c r="B529" i="5"/>
  <c r="F528" i="5"/>
  <c r="E528" i="5"/>
  <c r="B528" i="5"/>
  <c r="C528" i="5" s="1"/>
  <c r="F527" i="5"/>
  <c r="E527" i="5"/>
  <c r="B527" i="5"/>
  <c r="C527" i="5" s="1"/>
  <c r="F526" i="5"/>
  <c r="E526" i="5"/>
  <c r="C526" i="5"/>
  <c r="B526" i="5"/>
  <c r="F525" i="5"/>
  <c r="E525" i="5"/>
  <c r="B525" i="5"/>
  <c r="C525" i="5" s="1"/>
  <c r="D527" i="5" s="1"/>
  <c r="F524" i="5"/>
  <c r="E524" i="5"/>
  <c r="C524" i="5"/>
  <c r="B524" i="5"/>
  <c r="F523" i="5"/>
  <c r="E523" i="5"/>
  <c r="B523" i="5"/>
  <c r="C523" i="5" s="1"/>
  <c r="F522" i="5"/>
  <c r="E522" i="5"/>
  <c r="B522" i="5"/>
  <c r="F521" i="5"/>
  <c r="E521" i="5"/>
  <c r="B521" i="5"/>
  <c r="C521" i="5" s="1"/>
  <c r="F520" i="5"/>
  <c r="E520" i="5"/>
  <c r="B520" i="5"/>
  <c r="C520" i="5" s="1"/>
  <c r="F519" i="5"/>
  <c r="E519" i="5"/>
  <c r="B519" i="5"/>
  <c r="C519" i="5" s="1"/>
  <c r="F518" i="5"/>
  <c r="E518" i="5"/>
  <c r="B518" i="5"/>
  <c r="F517" i="5"/>
  <c r="E517" i="5"/>
  <c r="C517" i="5"/>
  <c r="B517" i="5"/>
  <c r="C518" i="5" s="1"/>
  <c r="F516" i="5"/>
  <c r="E516" i="5"/>
  <c r="C516" i="5"/>
  <c r="B516" i="5"/>
  <c r="F515" i="5"/>
  <c r="E515" i="5"/>
  <c r="B515" i="5"/>
  <c r="F514" i="5"/>
  <c r="E514" i="5"/>
  <c r="B514" i="5"/>
  <c r="C514" i="5" s="1"/>
  <c r="F513" i="5"/>
  <c r="E513" i="5"/>
  <c r="B513" i="5"/>
  <c r="F512" i="5"/>
  <c r="E512" i="5"/>
  <c r="B512" i="5"/>
  <c r="C512" i="5" s="1"/>
  <c r="F511" i="5"/>
  <c r="E511" i="5"/>
  <c r="B511" i="5"/>
  <c r="C511" i="5" s="1"/>
  <c r="F510" i="5"/>
  <c r="E510" i="5"/>
  <c r="C510" i="5"/>
  <c r="D512" i="5" s="1"/>
  <c r="B510" i="5"/>
  <c r="F509" i="5"/>
  <c r="E509" i="5"/>
  <c r="B509" i="5"/>
  <c r="C509" i="5" s="1"/>
  <c r="D511" i="5" s="1"/>
  <c r="F508" i="5"/>
  <c r="E508" i="5"/>
  <c r="C508" i="5"/>
  <c r="D510" i="5" s="1"/>
  <c r="B508" i="5"/>
  <c r="F507" i="5"/>
  <c r="E507" i="5"/>
  <c r="B507" i="5"/>
  <c r="C507" i="5" s="1"/>
  <c r="D509" i="5" s="1"/>
  <c r="F506" i="5"/>
  <c r="E506" i="5"/>
  <c r="B506" i="5"/>
  <c r="F505" i="5"/>
  <c r="E505" i="5"/>
  <c r="B505" i="5"/>
  <c r="C505" i="5" s="1"/>
  <c r="F504" i="5"/>
  <c r="E504" i="5"/>
  <c r="B504" i="5"/>
  <c r="C504" i="5" s="1"/>
  <c r="F503" i="5"/>
  <c r="E503" i="5"/>
  <c r="B503" i="5"/>
  <c r="C503" i="5" s="1"/>
  <c r="D505" i="5" s="1"/>
  <c r="F502" i="5"/>
  <c r="E502" i="5"/>
  <c r="B502" i="5"/>
  <c r="F501" i="5"/>
  <c r="E501" i="5"/>
  <c r="C501" i="5"/>
  <c r="B501" i="5"/>
  <c r="C502" i="5" s="1"/>
  <c r="D504" i="5" s="1"/>
  <c r="F500" i="5"/>
  <c r="E500" i="5"/>
  <c r="C500" i="5"/>
  <c r="D502" i="5" s="1"/>
  <c r="B500" i="5"/>
  <c r="F499" i="5"/>
  <c r="E499" i="5"/>
  <c r="B499" i="5"/>
  <c r="F498" i="5"/>
  <c r="E498" i="5"/>
  <c r="B498" i="5"/>
  <c r="C498" i="5" s="1"/>
  <c r="F497" i="5"/>
  <c r="E497" i="5"/>
  <c r="B497" i="5"/>
  <c r="F496" i="5"/>
  <c r="E496" i="5"/>
  <c r="B496" i="5"/>
  <c r="C496" i="5" s="1"/>
  <c r="F495" i="5"/>
  <c r="E495" i="5"/>
  <c r="B495" i="5"/>
  <c r="C495" i="5" s="1"/>
  <c r="F494" i="5"/>
  <c r="E494" i="5"/>
  <c r="C494" i="5"/>
  <c r="B494" i="5"/>
  <c r="F493" i="5"/>
  <c r="E493" i="5"/>
  <c r="B493" i="5"/>
  <c r="C493" i="5" s="1"/>
  <c r="D495" i="5" s="1"/>
  <c r="F492" i="5"/>
  <c r="E492" i="5"/>
  <c r="C492" i="5"/>
  <c r="B492" i="5"/>
  <c r="F491" i="5"/>
  <c r="E491" i="5"/>
  <c r="B491" i="5"/>
  <c r="C491" i="5" s="1"/>
  <c r="F490" i="5"/>
  <c r="E490" i="5"/>
  <c r="B490" i="5"/>
  <c r="F489" i="5"/>
  <c r="E489" i="5"/>
  <c r="B489" i="5"/>
  <c r="C489" i="5" s="1"/>
  <c r="F488" i="5"/>
  <c r="E488" i="5"/>
  <c r="B488" i="5"/>
  <c r="C488" i="5" s="1"/>
  <c r="F487" i="5"/>
  <c r="E487" i="5"/>
  <c r="B487" i="5"/>
  <c r="C487" i="5" s="1"/>
  <c r="F486" i="5"/>
  <c r="E486" i="5"/>
  <c r="B486" i="5"/>
  <c r="F485" i="5"/>
  <c r="E485" i="5"/>
  <c r="C485" i="5"/>
  <c r="B485" i="5"/>
  <c r="C486" i="5" s="1"/>
  <c r="F484" i="5"/>
  <c r="E484" i="5"/>
  <c r="C484" i="5"/>
  <c r="B484" i="5"/>
  <c r="F483" i="5"/>
  <c r="E483" i="5"/>
  <c r="B483" i="5"/>
  <c r="F482" i="5"/>
  <c r="E482" i="5"/>
  <c r="B482" i="5"/>
  <c r="C482" i="5" s="1"/>
  <c r="F481" i="5"/>
  <c r="E481" i="5"/>
  <c r="B481" i="5"/>
  <c r="F480" i="5"/>
  <c r="E480" i="5"/>
  <c r="B480" i="5"/>
  <c r="C480" i="5" s="1"/>
  <c r="F479" i="5"/>
  <c r="E479" i="5"/>
  <c r="B479" i="5"/>
  <c r="C479" i="5" s="1"/>
  <c r="F478" i="5"/>
  <c r="E478" i="5"/>
  <c r="C478" i="5"/>
  <c r="B478" i="5"/>
  <c r="F477" i="5"/>
  <c r="E477" i="5"/>
  <c r="B477" i="5"/>
  <c r="C477" i="5" s="1"/>
  <c r="D479" i="5" s="1"/>
  <c r="F476" i="5"/>
  <c r="E476" i="5"/>
  <c r="C476" i="5"/>
  <c r="D478" i="5" s="1"/>
  <c r="B476" i="5"/>
  <c r="F475" i="5"/>
  <c r="E475" i="5"/>
  <c r="B475" i="5"/>
  <c r="C475" i="5" s="1"/>
  <c r="D477" i="5" s="1"/>
  <c r="F474" i="5"/>
  <c r="E474" i="5"/>
  <c r="B474" i="5"/>
  <c r="F473" i="5"/>
  <c r="E473" i="5"/>
  <c r="B473" i="5"/>
  <c r="C473" i="5" s="1"/>
  <c r="F472" i="5"/>
  <c r="E472" i="5"/>
  <c r="B472" i="5"/>
  <c r="C472" i="5" s="1"/>
  <c r="F471" i="5"/>
  <c r="E471" i="5"/>
  <c r="B471" i="5"/>
  <c r="C471" i="5" s="1"/>
  <c r="D473" i="5" s="1"/>
  <c r="F470" i="5"/>
  <c r="E470" i="5"/>
  <c r="B470" i="5"/>
  <c r="F469" i="5"/>
  <c r="E469" i="5"/>
  <c r="C469" i="5"/>
  <c r="B469" i="5"/>
  <c r="C470" i="5" s="1"/>
  <c r="D472" i="5" s="1"/>
  <c r="F468" i="5"/>
  <c r="E468" i="5"/>
  <c r="C468" i="5"/>
  <c r="D470" i="5" s="1"/>
  <c r="B468" i="5"/>
  <c r="F467" i="5"/>
  <c r="E467" i="5"/>
  <c r="B467" i="5"/>
  <c r="F466" i="5"/>
  <c r="E466" i="5"/>
  <c r="B466" i="5"/>
  <c r="C466" i="5" s="1"/>
  <c r="F465" i="5"/>
  <c r="E465" i="5"/>
  <c r="B465" i="5"/>
  <c r="F464" i="5"/>
  <c r="E464" i="5"/>
  <c r="B464" i="5"/>
  <c r="C464" i="5" s="1"/>
  <c r="F463" i="5"/>
  <c r="E463" i="5"/>
  <c r="B463" i="5"/>
  <c r="C463" i="5" s="1"/>
  <c r="F462" i="5"/>
  <c r="E462" i="5"/>
  <c r="C462" i="5"/>
  <c r="B462" i="5"/>
  <c r="F461" i="5"/>
  <c r="E461" i="5"/>
  <c r="B461" i="5"/>
  <c r="C461" i="5" s="1"/>
  <c r="D463" i="5" s="1"/>
  <c r="F460" i="5"/>
  <c r="E460" i="5"/>
  <c r="C460" i="5"/>
  <c r="B460" i="5"/>
  <c r="F459" i="5"/>
  <c r="E459" i="5"/>
  <c r="B459" i="5"/>
  <c r="C459" i="5" s="1"/>
  <c r="F458" i="5"/>
  <c r="E458" i="5"/>
  <c r="B458" i="5"/>
  <c r="F457" i="5"/>
  <c r="E457" i="5"/>
  <c r="B457" i="5"/>
  <c r="C457" i="5" s="1"/>
  <c r="F456" i="5"/>
  <c r="E456" i="5"/>
  <c r="B456" i="5"/>
  <c r="C456" i="5" s="1"/>
  <c r="F455" i="5"/>
  <c r="E455" i="5"/>
  <c r="B455" i="5"/>
  <c r="C455" i="5" s="1"/>
  <c r="F454" i="5"/>
  <c r="E454" i="5"/>
  <c r="B454" i="5"/>
  <c r="F453" i="5"/>
  <c r="E453" i="5"/>
  <c r="C453" i="5"/>
  <c r="B453" i="5"/>
  <c r="C454" i="5" s="1"/>
  <c r="D456" i="5" s="1"/>
  <c r="F452" i="5"/>
  <c r="E452" i="5"/>
  <c r="C452" i="5"/>
  <c r="B452" i="5"/>
  <c r="F451" i="5"/>
  <c r="E451" i="5"/>
  <c r="B451" i="5"/>
  <c r="F450" i="5"/>
  <c r="E450" i="5"/>
  <c r="B450" i="5"/>
  <c r="C450" i="5" s="1"/>
  <c r="F449" i="5"/>
  <c r="E449" i="5"/>
  <c r="B449" i="5"/>
  <c r="F448" i="5"/>
  <c r="E448" i="5"/>
  <c r="B448" i="5"/>
  <c r="C448" i="5" s="1"/>
  <c r="F447" i="5"/>
  <c r="E447" i="5"/>
  <c r="B447" i="5"/>
  <c r="C447" i="5" s="1"/>
  <c r="F446" i="5"/>
  <c r="E446" i="5"/>
  <c r="C446" i="5"/>
  <c r="B446" i="5"/>
  <c r="F445" i="5"/>
  <c r="E445" i="5"/>
  <c r="B445" i="5"/>
  <c r="C445" i="5" s="1"/>
  <c r="D447" i="5" s="1"/>
  <c r="F444" i="5"/>
  <c r="E444" i="5"/>
  <c r="C444" i="5"/>
  <c r="D446" i="5" s="1"/>
  <c r="B444" i="5"/>
  <c r="F443" i="5"/>
  <c r="E443" i="5"/>
  <c r="B443" i="5"/>
  <c r="C443" i="5" s="1"/>
  <c r="D445" i="5" s="1"/>
  <c r="F442" i="5"/>
  <c r="E442" i="5"/>
  <c r="B442" i="5"/>
  <c r="F441" i="5"/>
  <c r="E441" i="5"/>
  <c r="B441" i="5"/>
  <c r="C441" i="5" s="1"/>
  <c r="F440" i="5"/>
  <c r="E440" i="5"/>
  <c r="B440" i="5"/>
  <c r="C440" i="5" s="1"/>
  <c r="F439" i="5"/>
  <c r="E439" i="5"/>
  <c r="B439" i="5"/>
  <c r="C439" i="5" s="1"/>
  <c r="D441" i="5" s="1"/>
  <c r="F438" i="5"/>
  <c r="E438" i="5"/>
  <c r="B438" i="5"/>
  <c r="F437" i="5"/>
  <c r="E437" i="5"/>
  <c r="C437" i="5"/>
  <c r="B437" i="5"/>
  <c r="C438" i="5" s="1"/>
  <c r="D440" i="5" s="1"/>
  <c r="F436" i="5"/>
  <c r="E436" i="5"/>
  <c r="C436" i="5"/>
  <c r="D438" i="5" s="1"/>
  <c r="B436" i="5"/>
  <c r="F435" i="5"/>
  <c r="E435" i="5"/>
  <c r="B435" i="5"/>
  <c r="F434" i="5"/>
  <c r="E434" i="5"/>
  <c r="B434" i="5"/>
  <c r="C434" i="5" s="1"/>
  <c r="F433" i="5"/>
  <c r="E433" i="5"/>
  <c r="B433" i="5"/>
  <c r="F432" i="5"/>
  <c r="E432" i="5"/>
  <c r="B432" i="5"/>
  <c r="C432" i="5" s="1"/>
  <c r="F431" i="5"/>
  <c r="E431" i="5"/>
  <c r="B431" i="5"/>
  <c r="C431" i="5" s="1"/>
  <c r="F430" i="5"/>
  <c r="E430" i="5"/>
  <c r="C430" i="5"/>
  <c r="B430" i="5"/>
  <c r="F429" i="5"/>
  <c r="E429" i="5"/>
  <c r="B429" i="5"/>
  <c r="C429" i="5" s="1"/>
  <c r="D431" i="5" s="1"/>
  <c r="F428" i="5"/>
  <c r="E428" i="5"/>
  <c r="C428" i="5"/>
  <c r="B428" i="5"/>
  <c r="F427" i="5"/>
  <c r="E427" i="5"/>
  <c r="B427" i="5"/>
  <c r="C427" i="5" s="1"/>
  <c r="F426" i="5"/>
  <c r="E426" i="5"/>
  <c r="B426" i="5"/>
  <c r="F425" i="5"/>
  <c r="E425" i="5"/>
  <c r="B425" i="5"/>
  <c r="C425" i="5" s="1"/>
  <c r="F424" i="5"/>
  <c r="E424" i="5"/>
  <c r="B424" i="5"/>
  <c r="C424" i="5" s="1"/>
  <c r="F423" i="5"/>
  <c r="E423" i="5"/>
  <c r="B423" i="5"/>
  <c r="C423" i="5" s="1"/>
  <c r="F422" i="5"/>
  <c r="E422" i="5"/>
  <c r="B422" i="5"/>
  <c r="F421" i="5"/>
  <c r="E421" i="5"/>
  <c r="C421" i="5"/>
  <c r="B421" i="5"/>
  <c r="C422" i="5" s="1"/>
  <c r="D424" i="5" s="1"/>
  <c r="F420" i="5"/>
  <c r="E420" i="5"/>
  <c r="C420" i="5"/>
  <c r="B420" i="5"/>
  <c r="F419" i="5"/>
  <c r="E419" i="5"/>
  <c r="B419" i="5"/>
  <c r="F418" i="5"/>
  <c r="E418" i="5"/>
  <c r="B418" i="5"/>
  <c r="C418" i="5" s="1"/>
  <c r="F417" i="5"/>
  <c r="E417" i="5"/>
  <c r="B417" i="5"/>
  <c r="F416" i="5"/>
  <c r="E416" i="5"/>
  <c r="B416" i="5"/>
  <c r="C416" i="5" s="1"/>
  <c r="F415" i="5"/>
  <c r="E415" i="5"/>
  <c r="B415" i="5"/>
  <c r="C415" i="5" s="1"/>
  <c r="F414" i="5"/>
  <c r="E414" i="5"/>
  <c r="C414" i="5"/>
  <c r="B414" i="5"/>
  <c r="F413" i="5"/>
  <c r="E413" i="5"/>
  <c r="B413" i="5"/>
  <c r="C413" i="5" s="1"/>
  <c r="D415" i="5" s="1"/>
  <c r="F412" i="5"/>
  <c r="E412" i="5"/>
  <c r="C412" i="5"/>
  <c r="D414" i="5" s="1"/>
  <c r="B412" i="5"/>
  <c r="F411" i="5"/>
  <c r="E411" i="5"/>
  <c r="B411" i="5"/>
  <c r="C411" i="5" s="1"/>
  <c r="D413" i="5" s="1"/>
  <c r="F410" i="5"/>
  <c r="E410" i="5"/>
  <c r="B410" i="5"/>
  <c r="F409" i="5"/>
  <c r="E409" i="5"/>
  <c r="B409" i="5"/>
  <c r="C409" i="5" s="1"/>
  <c r="F408" i="5"/>
  <c r="E408" i="5"/>
  <c r="B408" i="5"/>
  <c r="C408" i="5" s="1"/>
  <c r="F407" i="5"/>
  <c r="E407" i="5"/>
  <c r="B407" i="5"/>
  <c r="C407" i="5" s="1"/>
  <c r="D409" i="5" s="1"/>
  <c r="F406" i="5"/>
  <c r="E406" i="5"/>
  <c r="B406" i="5"/>
  <c r="F405" i="5"/>
  <c r="E405" i="5"/>
  <c r="C405" i="5"/>
  <c r="B405" i="5"/>
  <c r="C406" i="5" s="1"/>
  <c r="D408" i="5" s="1"/>
  <c r="F404" i="5"/>
  <c r="E404" i="5"/>
  <c r="C404" i="5"/>
  <c r="D406" i="5" s="1"/>
  <c r="B404" i="5"/>
  <c r="F403" i="5"/>
  <c r="E403" i="5"/>
  <c r="B403" i="5"/>
  <c r="F402" i="5"/>
  <c r="E402" i="5"/>
  <c r="B402" i="5"/>
  <c r="C402" i="5" s="1"/>
  <c r="F401" i="5"/>
  <c r="E401" i="5"/>
  <c r="B401" i="5"/>
  <c r="F400" i="5"/>
  <c r="E400" i="5"/>
  <c r="B400" i="5"/>
  <c r="C400" i="5" s="1"/>
  <c r="F399" i="5"/>
  <c r="E399" i="5"/>
  <c r="B399" i="5"/>
  <c r="C399" i="5" s="1"/>
  <c r="F398" i="5"/>
  <c r="E398" i="5"/>
  <c r="C398" i="5"/>
  <c r="B398" i="5"/>
  <c r="F397" i="5"/>
  <c r="E397" i="5"/>
  <c r="B397" i="5"/>
  <c r="C397" i="5" s="1"/>
  <c r="D399" i="5" s="1"/>
  <c r="F396" i="5"/>
  <c r="E396" i="5"/>
  <c r="C396" i="5"/>
  <c r="B396" i="5"/>
  <c r="F395" i="5"/>
  <c r="E395" i="5"/>
  <c r="B395" i="5"/>
  <c r="C395" i="5" s="1"/>
  <c r="F394" i="5"/>
  <c r="E394" i="5"/>
  <c r="B394" i="5"/>
  <c r="C394" i="5" s="1"/>
  <c r="D396" i="5" s="1"/>
  <c r="F393" i="5"/>
  <c r="E393" i="5"/>
  <c r="B393" i="5"/>
  <c r="C393" i="5" s="1"/>
  <c r="F392" i="5"/>
  <c r="E392" i="5"/>
  <c r="B392" i="5"/>
  <c r="F391" i="5"/>
  <c r="E391" i="5"/>
  <c r="C391" i="5"/>
  <c r="D393" i="5" s="1"/>
  <c r="B391" i="5"/>
  <c r="C392" i="5" s="1"/>
  <c r="F390" i="5"/>
  <c r="E390" i="5"/>
  <c r="C390" i="5"/>
  <c r="D392" i="5" s="1"/>
  <c r="B390" i="5"/>
  <c r="F389" i="5"/>
  <c r="E389" i="5"/>
  <c r="B389" i="5"/>
  <c r="C389" i="5" s="1"/>
  <c r="D391" i="5" s="1"/>
  <c r="F388" i="5"/>
  <c r="E388" i="5"/>
  <c r="B388" i="5"/>
  <c r="C388" i="5" s="1"/>
  <c r="F387" i="5"/>
  <c r="E387" i="5"/>
  <c r="B387" i="5"/>
  <c r="F386" i="5"/>
  <c r="E386" i="5"/>
  <c r="C386" i="5"/>
  <c r="B386" i="5"/>
  <c r="C387" i="5" s="1"/>
  <c r="F385" i="5"/>
  <c r="E385" i="5"/>
  <c r="B385" i="5"/>
  <c r="C385" i="5" s="1"/>
  <c r="D387" i="5" s="1"/>
  <c r="F384" i="5"/>
  <c r="E384" i="5"/>
  <c r="B384" i="5"/>
  <c r="F383" i="5"/>
  <c r="E383" i="5"/>
  <c r="B383" i="5"/>
  <c r="C384" i="5" s="1"/>
  <c r="D386" i="5" s="1"/>
  <c r="F382" i="5"/>
  <c r="E382" i="5"/>
  <c r="B382" i="5"/>
  <c r="F381" i="5"/>
  <c r="E381" i="5"/>
  <c r="C381" i="5"/>
  <c r="B381" i="5"/>
  <c r="C382" i="5" s="1"/>
  <c r="F380" i="5"/>
  <c r="E380" i="5"/>
  <c r="B380" i="5"/>
  <c r="C380" i="5" s="1"/>
  <c r="D382" i="5" s="1"/>
  <c r="F379" i="5"/>
  <c r="E379" i="5"/>
  <c r="B379" i="5"/>
  <c r="F378" i="5"/>
  <c r="E378" i="5"/>
  <c r="B378" i="5"/>
  <c r="C378" i="5" s="1"/>
  <c r="F377" i="5"/>
  <c r="E377" i="5"/>
  <c r="B377" i="5"/>
  <c r="F376" i="5"/>
  <c r="E376" i="5"/>
  <c r="B376" i="5"/>
  <c r="C376" i="5" s="1"/>
  <c r="F375" i="5"/>
  <c r="E375" i="5"/>
  <c r="B375" i="5"/>
  <c r="C375" i="5" s="1"/>
  <c r="F374" i="5"/>
  <c r="E374" i="5"/>
  <c r="B374" i="5"/>
  <c r="F373" i="5"/>
  <c r="E373" i="5"/>
  <c r="B373" i="5"/>
  <c r="C373" i="5" s="1"/>
  <c r="F372" i="5"/>
  <c r="E372" i="5"/>
  <c r="B372" i="5"/>
  <c r="C372" i="5" s="1"/>
  <c r="F371" i="5"/>
  <c r="E371" i="5"/>
  <c r="B371" i="5"/>
  <c r="C371" i="5" s="1"/>
  <c r="F370" i="5"/>
  <c r="E370" i="5"/>
  <c r="B370" i="5"/>
  <c r="C370" i="5" s="1"/>
  <c r="F369" i="5"/>
  <c r="E369" i="5"/>
  <c r="B369" i="5"/>
  <c r="F368" i="5"/>
  <c r="E368" i="5"/>
  <c r="B368" i="5"/>
  <c r="C368" i="5" s="1"/>
  <c r="F367" i="5"/>
  <c r="E367" i="5"/>
  <c r="B367" i="5"/>
  <c r="C367" i="5" s="1"/>
  <c r="F366" i="5"/>
  <c r="E366" i="5"/>
  <c r="C366" i="5"/>
  <c r="D368" i="5" s="1"/>
  <c r="B366" i="5"/>
  <c r="F365" i="5"/>
  <c r="E365" i="5"/>
  <c r="B365" i="5"/>
  <c r="C365" i="5" s="1"/>
  <c r="F364" i="5"/>
  <c r="E364" i="5"/>
  <c r="C364" i="5"/>
  <c r="D366" i="5" s="1"/>
  <c r="B364" i="5"/>
  <c r="F363" i="5"/>
  <c r="E363" i="5"/>
  <c r="B363" i="5"/>
  <c r="C363" i="5" s="1"/>
  <c r="F362" i="5"/>
  <c r="E362" i="5"/>
  <c r="B362" i="5"/>
  <c r="C362" i="5" s="1"/>
  <c r="D364" i="5" s="1"/>
  <c r="F361" i="5"/>
  <c r="E361" i="5"/>
  <c r="B361" i="5"/>
  <c r="C361" i="5" s="1"/>
  <c r="F360" i="5"/>
  <c r="E360" i="5"/>
  <c r="B360" i="5"/>
  <c r="F359" i="5"/>
  <c r="E359" i="5"/>
  <c r="C359" i="5"/>
  <c r="B359" i="5"/>
  <c r="C360" i="5" s="1"/>
  <c r="D362" i="5" s="1"/>
  <c r="F358" i="5"/>
  <c r="E358" i="5"/>
  <c r="C358" i="5"/>
  <c r="B358" i="5"/>
  <c r="F357" i="5"/>
  <c r="E357" i="5"/>
  <c r="B357" i="5"/>
  <c r="C357" i="5" s="1"/>
  <c r="D359" i="5" s="1"/>
  <c r="F356" i="5"/>
  <c r="E356" i="5"/>
  <c r="B356" i="5"/>
  <c r="C356" i="5" s="1"/>
  <c r="F355" i="5"/>
  <c r="E355" i="5"/>
  <c r="B355" i="5"/>
  <c r="F354" i="5"/>
  <c r="E354" i="5"/>
  <c r="C354" i="5"/>
  <c r="B354" i="5"/>
  <c r="C355" i="5" s="1"/>
  <c r="F353" i="5"/>
  <c r="E353" i="5"/>
  <c r="B353" i="5"/>
  <c r="C353" i="5" s="1"/>
  <c r="F352" i="5"/>
  <c r="E352" i="5"/>
  <c r="B352" i="5"/>
  <c r="F351" i="5"/>
  <c r="E351" i="5"/>
  <c r="B351" i="5"/>
  <c r="C351" i="5" s="1"/>
  <c r="F350" i="5"/>
  <c r="E350" i="5"/>
  <c r="B350" i="5"/>
  <c r="F349" i="5"/>
  <c r="E349" i="5"/>
  <c r="C349" i="5"/>
  <c r="D351" i="5" s="1"/>
  <c r="B349" i="5"/>
  <c r="C350" i="5" s="1"/>
  <c r="F348" i="5"/>
  <c r="E348" i="5"/>
  <c r="B348" i="5"/>
  <c r="C348" i="5" s="1"/>
  <c r="F347" i="5"/>
  <c r="E347" i="5"/>
  <c r="B347" i="5"/>
  <c r="F346" i="5"/>
  <c r="E346" i="5"/>
  <c r="B346" i="5"/>
  <c r="C346" i="5" s="1"/>
  <c r="F345" i="5"/>
  <c r="E345" i="5"/>
  <c r="B345" i="5"/>
  <c r="F344" i="5"/>
  <c r="E344" i="5"/>
  <c r="B344" i="5"/>
  <c r="C344" i="5" s="1"/>
  <c r="F343" i="5"/>
  <c r="E343" i="5"/>
  <c r="B343" i="5"/>
  <c r="C343" i="5" s="1"/>
  <c r="F342" i="5"/>
  <c r="E342" i="5"/>
  <c r="B342" i="5"/>
  <c r="F341" i="5"/>
  <c r="E341" i="5"/>
  <c r="B341" i="5"/>
  <c r="C342" i="5" s="1"/>
  <c r="F340" i="5"/>
  <c r="E340" i="5"/>
  <c r="B340" i="5"/>
  <c r="C340" i="5" s="1"/>
  <c r="F339" i="5"/>
  <c r="E339" i="5"/>
  <c r="B339" i="5"/>
  <c r="C339" i="5" s="1"/>
  <c r="F338" i="5"/>
  <c r="E338" i="5"/>
  <c r="B338" i="5"/>
  <c r="C338" i="5" s="1"/>
  <c r="F337" i="5"/>
  <c r="E337" i="5"/>
  <c r="B337" i="5"/>
  <c r="F336" i="5"/>
  <c r="E336" i="5"/>
  <c r="B336" i="5"/>
  <c r="C336" i="5" s="1"/>
  <c r="F335" i="5"/>
  <c r="E335" i="5"/>
  <c r="B335" i="5"/>
  <c r="C335" i="5" s="1"/>
  <c r="F334" i="5"/>
  <c r="E334" i="5"/>
  <c r="C334" i="5"/>
  <c r="B334" i="5"/>
  <c r="F333" i="5"/>
  <c r="E333" i="5"/>
  <c r="B333" i="5"/>
  <c r="C333" i="5" s="1"/>
  <c r="F332" i="5"/>
  <c r="E332" i="5"/>
  <c r="C332" i="5"/>
  <c r="D334" i="5" s="1"/>
  <c r="B332" i="5"/>
  <c r="F331" i="5"/>
  <c r="E331" i="5"/>
  <c r="B331" i="5"/>
  <c r="C331" i="5" s="1"/>
  <c r="D333" i="5" s="1"/>
  <c r="F330" i="5"/>
  <c r="E330" i="5"/>
  <c r="B330" i="5"/>
  <c r="C330" i="5" s="1"/>
  <c r="F329" i="5"/>
  <c r="E329" i="5"/>
  <c r="B329" i="5"/>
  <c r="C329" i="5" s="1"/>
  <c r="D331" i="5" s="1"/>
  <c r="F328" i="5"/>
  <c r="E328" i="5"/>
  <c r="B328" i="5"/>
  <c r="F327" i="5"/>
  <c r="E327" i="5"/>
  <c r="C327" i="5"/>
  <c r="B327" i="5"/>
  <c r="C328" i="5" s="1"/>
  <c r="D330" i="5" s="1"/>
  <c r="F326" i="5"/>
  <c r="E326" i="5"/>
  <c r="C326" i="5"/>
  <c r="B326" i="5"/>
  <c r="F325" i="5"/>
  <c r="E325" i="5"/>
  <c r="B325" i="5"/>
  <c r="C325" i="5" s="1"/>
  <c r="D327" i="5" s="1"/>
  <c r="F324" i="5"/>
  <c r="E324" i="5"/>
  <c r="B324" i="5"/>
  <c r="C324" i="5" s="1"/>
  <c r="D326" i="5" s="1"/>
  <c r="F323" i="5"/>
  <c r="E323" i="5"/>
  <c r="B323" i="5"/>
  <c r="F322" i="5"/>
  <c r="E322" i="5"/>
  <c r="C322" i="5"/>
  <c r="B322" i="5"/>
  <c r="C323" i="5" s="1"/>
  <c r="F321" i="5"/>
  <c r="E321" i="5"/>
  <c r="B321" i="5"/>
  <c r="C321" i="5" s="1"/>
  <c r="F320" i="5"/>
  <c r="E320" i="5"/>
  <c r="B320" i="5"/>
  <c r="F319" i="5"/>
  <c r="E319" i="5"/>
  <c r="B319" i="5"/>
  <c r="C319" i="5" s="1"/>
  <c r="F318" i="5"/>
  <c r="E318" i="5"/>
  <c r="B318" i="5"/>
  <c r="F317" i="5"/>
  <c r="E317" i="5"/>
  <c r="C317" i="5"/>
  <c r="B317" i="5"/>
  <c r="C318" i="5" s="1"/>
  <c r="F316" i="5"/>
  <c r="E316" i="5"/>
  <c r="B316" i="5"/>
  <c r="C316" i="5" s="1"/>
  <c r="F315" i="5"/>
  <c r="E315" i="5"/>
  <c r="B315" i="5"/>
  <c r="F314" i="5"/>
  <c r="E314" i="5"/>
  <c r="B314" i="5"/>
  <c r="C314" i="5" s="1"/>
  <c r="F313" i="5"/>
  <c r="E313" i="5"/>
  <c r="B313" i="5"/>
  <c r="F312" i="5"/>
  <c r="E312" i="5"/>
  <c r="B312" i="5"/>
  <c r="C312" i="5" s="1"/>
  <c r="F311" i="5"/>
  <c r="E311" i="5"/>
  <c r="B311" i="5"/>
  <c r="C311" i="5" s="1"/>
  <c r="F310" i="5"/>
  <c r="E310" i="5"/>
  <c r="B310" i="5"/>
  <c r="F309" i="5"/>
  <c r="E309" i="5"/>
  <c r="B309" i="5"/>
  <c r="C309" i="5" s="1"/>
  <c r="F308" i="5"/>
  <c r="E308" i="5"/>
  <c r="B308" i="5"/>
  <c r="C308" i="5" s="1"/>
  <c r="F307" i="5"/>
  <c r="E307" i="5"/>
  <c r="B307" i="5"/>
  <c r="C307" i="5" s="1"/>
  <c r="F306" i="5"/>
  <c r="E306" i="5"/>
  <c r="B306" i="5"/>
  <c r="C306" i="5" s="1"/>
  <c r="D308" i="5" s="1"/>
  <c r="F305" i="5"/>
  <c r="E305" i="5"/>
  <c r="B305" i="5"/>
  <c r="F304" i="5"/>
  <c r="E304" i="5"/>
  <c r="B304" i="5"/>
  <c r="C304" i="5" s="1"/>
  <c r="F303" i="5"/>
  <c r="E303" i="5"/>
  <c r="B303" i="5"/>
  <c r="C303" i="5" s="1"/>
  <c r="F302" i="5"/>
  <c r="E302" i="5"/>
  <c r="C302" i="5"/>
  <c r="B302" i="5"/>
  <c r="F301" i="5"/>
  <c r="E301" i="5"/>
  <c r="B301" i="5"/>
  <c r="C301" i="5" s="1"/>
  <c r="D303" i="5" s="1"/>
  <c r="F300" i="5"/>
  <c r="E300" i="5"/>
  <c r="C300" i="5"/>
  <c r="B300" i="5"/>
  <c r="F299" i="5"/>
  <c r="E299" i="5"/>
  <c r="B299" i="5"/>
  <c r="C299" i="5" s="1"/>
  <c r="F298" i="5"/>
  <c r="E298" i="5"/>
  <c r="B298" i="5"/>
  <c r="C298" i="5" s="1"/>
  <c r="F297" i="5"/>
  <c r="E297" i="5"/>
  <c r="B297" i="5"/>
  <c r="C297" i="5" s="1"/>
  <c r="F296" i="5"/>
  <c r="E296" i="5"/>
  <c r="B296" i="5"/>
  <c r="F295" i="5"/>
  <c r="E295" i="5"/>
  <c r="C295" i="5"/>
  <c r="B295" i="5"/>
  <c r="C296" i="5" s="1"/>
  <c r="D298" i="5" s="1"/>
  <c r="F294" i="5"/>
  <c r="E294" i="5"/>
  <c r="C294" i="5"/>
  <c r="D296" i="5" s="1"/>
  <c r="B294" i="5"/>
  <c r="F293" i="5"/>
  <c r="E293" i="5"/>
  <c r="B293" i="5"/>
  <c r="C293" i="5" s="1"/>
  <c r="D295" i="5" s="1"/>
  <c r="F292" i="5"/>
  <c r="E292" i="5"/>
  <c r="B292" i="5"/>
  <c r="C292" i="5" s="1"/>
  <c r="D294" i="5" s="1"/>
  <c r="F291" i="5"/>
  <c r="E291" i="5"/>
  <c r="B291" i="5"/>
  <c r="F290" i="5"/>
  <c r="E290" i="5"/>
  <c r="C290" i="5"/>
  <c r="B290" i="5"/>
  <c r="C291" i="5" s="1"/>
  <c r="F289" i="5"/>
  <c r="E289" i="5"/>
  <c r="B289" i="5"/>
  <c r="C289" i="5" s="1"/>
  <c r="D291" i="5" s="1"/>
  <c r="F288" i="5"/>
  <c r="E288" i="5"/>
  <c r="B288" i="5"/>
  <c r="F287" i="5"/>
  <c r="E287" i="5"/>
  <c r="B287" i="5"/>
  <c r="C288" i="5" s="1"/>
  <c r="D290" i="5" s="1"/>
  <c r="F286" i="5"/>
  <c r="E286" i="5"/>
  <c r="B286" i="5"/>
  <c r="F285" i="5"/>
  <c r="E285" i="5"/>
  <c r="C285" i="5"/>
  <c r="B285" i="5"/>
  <c r="C286" i="5" s="1"/>
  <c r="F284" i="5"/>
  <c r="E284" i="5"/>
  <c r="B284" i="5"/>
  <c r="C284" i="5" s="1"/>
  <c r="D286" i="5" s="1"/>
  <c r="F283" i="5"/>
  <c r="E283" i="5"/>
  <c r="B283" i="5"/>
  <c r="F282" i="5"/>
  <c r="E282" i="5"/>
  <c r="B282" i="5"/>
  <c r="C282" i="5" s="1"/>
  <c r="F281" i="5"/>
  <c r="E281" i="5"/>
  <c r="B281" i="5"/>
  <c r="F280" i="5"/>
  <c r="E280" i="5"/>
  <c r="B280" i="5"/>
  <c r="C280" i="5" s="1"/>
  <c r="F279" i="5"/>
  <c r="E279" i="5"/>
  <c r="B279" i="5"/>
  <c r="C279" i="5" s="1"/>
  <c r="F278" i="5"/>
  <c r="E278" i="5"/>
  <c r="B278" i="5"/>
  <c r="F277" i="5"/>
  <c r="E277" i="5"/>
  <c r="B277" i="5"/>
  <c r="C277" i="5" s="1"/>
  <c r="F276" i="5"/>
  <c r="E276" i="5"/>
  <c r="B276" i="5"/>
  <c r="C276" i="5" s="1"/>
  <c r="F275" i="5"/>
  <c r="E275" i="5"/>
  <c r="B275" i="5"/>
  <c r="C275" i="5" s="1"/>
  <c r="F274" i="5"/>
  <c r="E274" i="5"/>
  <c r="B274" i="5"/>
  <c r="C274" i="5" s="1"/>
  <c r="F273" i="5"/>
  <c r="E273" i="5"/>
  <c r="B273" i="5"/>
  <c r="F272" i="5"/>
  <c r="E272" i="5"/>
  <c r="B272" i="5"/>
  <c r="C272" i="5" s="1"/>
  <c r="F271" i="5"/>
  <c r="E271" i="5"/>
  <c r="B271" i="5"/>
  <c r="C271" i="5" s="1"/>
  <c r="F270" i="5"/>
  <c r="E270" i="5"/>
  <c r="C270" i="5"/>
  <c r="B270" i="5"/>
  <c r="F269" i="5"/>
  <c r="E269" i="5"/>
  <c r="B269" i="5"/>
  <c r="C269" i="5" s="1"/>
  <c r="F268" i="5"/>
  <c r="E268" i="5"/>
  <c r="C268" i="5"/>
  <c r="B268" i="5"/>
  <c r="F267" i="5"/>
  <c r="E267" i="5"/>
  <c r="B267" i="5"/>
  <c r="C267" i="5" s="1"/>
  <c r="F266" i="5"/>
  <c r="E266" i="5"/>
  <c r="B266" i="5"/>
  <c r="C266" i="5" s="1"/>
  <c r="D268" i="5" s="1"/>
  <c r="F265" i="5"/>
  <c r="E265" i="5"/>
  <c r="B265" i="5"/>
  <c r="C265" i="5" s="1"/>
  <c r="F264" i="5"/>
  <c r="E264" i="5"/>
  <c r="B264" i="5"/>
  <c r="F263" i="5"/>
  <c r="E263" i="5"/>
  <c r="C263" i="5"/>
  <c r="D265" i="5" s="1"/>
  <c r="B263" i="5"/>
  <c r="C264" i="5" s="1"/>
  <c r="F262" i="5"/>
  <c r="E262" i="5"/>
  <c r="C262" i="5"/>
  <c r="D264" i="5" s="1"/>
  <c r="B262" i="5"/>
  <c r="F261" i="5"/>
  <c r="E261" i="5"/>
  <c r="B261" i="5"/>
  <c r="C261" i="5" s="1"/>
  <c r="D263" i="5" s="1"/>
  <c r="F260" i="5"/>
  <c r="E260" i="5"/>
  <c r="B260" i="5"/>
  <c r="C260" i="5" s="1"/>
  <c r="F259" i="5"/>
  <c r="E259" i="5"/>
  <c r="B259" i="5"/>
  <c r="F258" i="5"/>
  <c r="E258" i="5"/>
  <c r="C258" i="5"/>
  <c r="B258" i="5"/>
  <c r="C259" i="5" s="1"/>
  <c r="F257" i="5"/>
  <c r="E257" i="5"/>
  <c r="B257" i="5"/>
  <c r="C257" i="5" s="1"/>
  <c r="D259" i="5" s="1"/>
  <c r="F256" i="5"/>
  <c r="E256" i="5"/>
  <c r="B256" i="5"/>
  <c r="F255" i="5"/>
  <c r="E255" i="5"/>
  <c r="B255" i="5"/>
  <c r="C256" i="5" s="1"/>
  <c r="D258" i="5" s="1"/>
  <c r="F254" i="5"/>
  <c r="E254" i="5"/>
  <c r="B254" i="5"/>
  <c r="F253" i="5"/>
  <c r="E253" i="5"/>
  <c r="C253" i="5"/>
  <c r="B253" i="5"/>
  <c r="C254" i="5" s="1"/>
  <c r="F252" i="5"/>
  <c r="E252" i="5"/>
  <c r="B252" i="5"/>
  <c r="C252" i="5" s="1"/>
  <c r="D254" i="5" s="1"/>
  <c r="F251" i="5"/>
  <c r="E251" i="5"/>
  <c r="B251" i="5"/>
  <c r="F250" i="5"/>
  <c r="E250" i="5"/>
  <c r="B250" i="5"/>
  <c r="C250" i="5" s="1"/>
  <c r="F249" i="5"/>
  <c r="E249" i="5"/>
  <c r="B249" i="5"/>
  <c r="F248" i="5"/>
  <c r="E248" i="5"/>
  <c r="B248" i="5"/>
  <c r="C248" i="5" s="1"/>
  <c r="F247" i="5"/>
  <c r="E247" i="5"/>
  <c r="B247" i="5"/>
  <c r="C247" i="5" s="1"/>
  <c r="F246" i="5"/>
  <c r="E246" i="5"/>
  <c r="B246" i="5"/>
  <c r="F245" i="5"/>
  <c r="E245" i="5"/>
  <c r="B245" i="5"/>
  <c r="C245" i="5" s="1"/>
  <c r="F244" i="5"/>
  <c r="E244" i="5"/>
  <c r="B244" i="5"/>
  <c r="C244" i="5" s="1"/>
  <c r="F243" i="5"/>
  <c r="E243" i="5"/>
  <c r="B243" i="5"/>
  <c r="C243" i="5" s="1"/>
  <c r="F242" i="5"/>
  <c r="E242" i="5"/>
  <c r="B242" i="5"/>
  <c r="C242" i="5" s="1"/>
  <c r="F241" i="5"/>
  <c r="E241" i="5"/>
  <c r="B241" i="5"/>
  <c r="F240" i="5"/>
  <c r="E240" i="5"/>
  <c r="B240" i="5"/>
  <c r="C240" i="5" s="1"/>
  <c r="F239" i="5"/>
  <c r="E239" i="5"/>
  <c r="B239" i="5"/>
  <c r="C239" i="5" s="1"/>
  <c r="F238" i="5"/>
  <c r="E238" i="5"/>
  <c r="C238" i="5"/>
  <c r="D240" i="5" s="1"/>
  <c r="B238" i="5"/>
  <c r="F237" i="5"/>
  <c r="E237" i="5"/>
  <c r="B237" i="5"/>
  <c r="C237" i="5" s="1"/>
  <c r="F236" i="5"/>
  <c r="E236" i="5"/>
  <c r="C236" i="5"/>
  <c r="D238" i="5" s="1"/>
  <c r="B236" i="5"/>
  <c r="F235" i="5"/>
  <c r="E235" i="5"/>
  <c r="B235" i="5"/>
  <c r="C235" i="5" s="1"/>
  <c r="F234" i="5"/>
  <c r="E234" i="5"/>
  <c r="B234" i="5"/>
  <c r="C234" i="5" s="1"/>
  <c r="D236" i="5" s="1"/>
  <c r="F233" i="5"/>
  <c r="E233" i="5"/>
  <c r="B233" i="5"/>
  <c r="C233" i="5" s="1"/>
  <c r="F232" i="5"/>
  <c r="E232" i="5"/>
  <c r="B232" i="5"/>
  <c r="F231" i="5"/>
  <c r="E231" i="5"/>
  <c r="C231" i="5"/>
  <c r="B231" i="5"/>
  <c r="C232" i="5" s="1"/>
  <c r="D234" i="5" s="1"/>
  <c r="F230" i="5"/>
  <c r="E230" i="5"/>
  <c r="C230" i="5"/>
  <c r="B230" i="5"/>
  <c r="F229" i="5"/>
  <c r="E229" i="5"/>
  <c r="B229" i="5"/>
  <c r="C229" i="5" s="1"/>
  <c r="D231" i="5" s="1"/>
  <c r="F228" i="5"/>
  <c r="E228" i="5"/>
  <c r="B228" i="5"/>
  <c r="C228" i="5" s="1"/>
  <c r="F227" i="5"/>
  <c r="E227" i="5"/>
  <c r="B227" i="5"/>
  <c r="F226" i="5"/>
  <c r="E226" i="5"/>
  <c r="C226" i="5"/>
  <c r="B226" i="5"/>
  <c r="C227" i="5" s="1"/>
  <c r="F225" i="5"/>
  <c r="E225" i="5"/>
  <c r="B225" i="5"/>
  <c r="C225" i="5" s="1"/>
  <c r="F224" i="5"/>
  <c r="E224" i="5"/>
  <c r="B224" i="5"/>
  <c r="F223" i="5"/>
  <c r="E223" i="5"/>
  <c r="B223" i="5"/>
  <c r="C224" i="5" s="1"/>
  <c r="D226" i="5" s="1"/>
  <c r="F222" i="5"/>
  <c r="E222" i="5"/>
  <c r="B222" i="5"/>
  <c r="F221" i="5"/>
  <c r="E221" i="5"/>
  <c r="C221" i="5"/>
  <c r="B221" i="5"/>
  <c r="C222" i="5" s="1"/>
  <c r="F220" i="5"/>
  <c r="E220" i="5"/>
  <c r="B220" i="5"/>
  <c r="C220" i="5" s="1"/>
  <c r="F219" i="5"/>
  <c r="E219" i="5"/>
  <c r="B219" i="5"/>
  <c r="F218" i="5"/>
  <c r="E218" i="5"/>
  <c r="B218" i="5"/>
  <c r="C218" i="5" s="1"/>
  <c r="F217" i="5"/>
  <c r="E217" i="5"/>
  <c r="B217" i="5"/>
  <c r="F216" i="5"/>
  <c r="E216" i="5"/>
  <c r="C216" i="5"/>
  <c r="D218" i="5" s="1"/>
  <c r="B216" i="5"/>
  <c r="C217" i="5" s="1"/>
  <c r="F215" i="5"/>
  <c r="E215" i="5"/>
  <c r="B215" i="5"/>
  <c r="C215" i="5" s="1"/>
  <c r="F214" i="5"/>
  <c r="E214" i="5"/>
  <c r="B214" i="5"/>
  <c r="C214" i="5" s="1"/>
  <c r="D216" i="5" s="1"/>
  <c r="F213" i="5"/>
  <c r="E213" i="5"/>
  <c r="B213" i="5"/>
  <c r="C213" i="5" s="1"/>
  <c r="F212" i="5"/>
  <c r="E212" i="5"/>
  <c r="B212" i="5"/>
  <c r="C212" i="5" s="1"/>
  <c r="F211" i="5"/>
  <c r="E211" i="5"/>
  <c r="B211" i="5"/>
  <c r="F210" i="5"/>
  <c r="E210" i="5"/>
  <c r="B210" i="5"/>
  <c r="C210" i="5" s="1"/>
  <c r="F209" i="5"/>
  <c r="E209" i="5"/>
  <c r="B209" i="5"/>
  <c r="F208" i="5"/>
  <c r="E208" i="5"/>
  <c r="C208" i="5"/>
  <c r="D210" i="5" s="1"/>
  <c r="B208" i="5"/>
  <c r="C209" i="5" s="1"/>
  <c r="F207" i="5"/>
  <c r="E207" i="5"/>
  <c r="B207" i="5"/>
  <c r="C207" i="5" s="1"/>
  <c r="D209" i="5" s="1"/>
  <c r="F206" i="5"/>
  <c r="E206" i="5"/>
  <c r="B206" i="5"/>
  <c r="C206" i="5" s="1"/>
  <c r="D208" i="5" s="1"/>
  <c r="F205" i="5"/>
  <c r="E205" i="5"/>
  <c r="B205" i="5"/>
  <c r="C205" i="5" s="1"/>
  <c r="F204" i="5"/>
  <c r="E204" i="5"/>
  <c r="B204" i="5"/>
  <c r="C204" i="5" s="1"/>
  <c r="F203" i="5"/>
  <c r="E203" i="5"/>
  <c r="B203" i="5"/>
  <c r="F202" i="5"/>
  <c r="E202" i="5"/>
  <c r="B202" i="5"/>
  <c r="C203" i="5" s="1"/>
  <c r="F201" i="5"/>
  <c r="E201" i="5"/>
  <c r="B201" i="5"/>
  <c r="F200" i="5"/>
  <c r="E200" i="5"/>
  <c r="C200" i="5"/>
  <c r="B200" i="5"/>
  <c r="C201" i="5" s="1"/>
  <c r="F199" i="5"/>
  <c r="E199" i="5"/>
  <c r="B199" i="5"/>
  <c r="C199" i="5" s="1"/>
  <c r="D201" i="5" s="1"/>
  <c r="F198" i="5"/>
  <c r="E198" i="5"/>
  <c r="B198" i="5"/>
  <c r="C198" i="5" s="1"/>
  <c r="F197" i="5"/>
  <c r="E197" i="5"/>
  <c r="B197" i="5"/>
  <c r="C197" i="5" s="1"/>
  <c r="F196" i="5"/>
  <c r="E196" i="5"/>
  <c r="B196" i="5"/>
  <c r="C196" i="5" s="1"/>
  <c r="D198" i="5" s="1"/>
  <c r="F195" i="5"/>
  <c r="E195" i="5"/>
  <c r="B195" i="5"/>
  <c r="F194" i="5"/>
  <c r="E194" i="5"/>
  <c r="B194" i="5"/>
  <c r="C194" i="5" s="1"/>
  <c r="F193" i="5"/>
  <c r="E193" i="5"/>
  <c r="B193" i="5"/>
  <c r="F192" i="5"/>
  <c r="E192" i="5"/>
  <c r="C192" i="5"/>
  <c r="B192" i="5"/>
  <c r="C193" i="5" s="1"/>
  <c r="F191" i="5"/>
  <c r="E191" i="5"/>
  <c r="B191" i="5"/>
  <c r="C191" i="5" s="1"/>
  <c r="D193" i="5" s="1"/>
  <c r="F190" i="5"/>
  <c r="E190" i="5"/>
  <c r="B190" i="5"/>
  <c r="C190" i="5" s="1"/>
  <c r="F189" i="5"/>
  <c r="E189" i="5"/>
  <c r="B189" i="5"/>
  <c r="C189" i="5" s="1"/>
  <c r="F188" i="5"/>
  <c r="E188" i="5"/>
  <c r="B188" i="5"/>
  <c r="C188" i="5" s="1"/>
  <c r="D190" i="5" s="1"/>
  <c r="F187" i="5"/>
  <c r="E187" i="5"/>
  <c r="B187" i="5"/>
  <c r="F186" i="5"/>
  <c r="E186" i="5"/>
  <c r="B186" i="5"/>
  <c r="C186" i="5" s="1"/>
  <c r="F185" i="5"/>
  <c r="E185" i="5"/>
  <c r="B185" i="5"/>
  <c r="F184" i="5"/>
  <c r="E184" i="5"/>
  <c r="C184" i="5"/>
  <c r="B184" i="5"/>
  <c r="C185" i="5" s="1"/>
  <c r="F183" i="5"/>
  <c r="E183" i="5"/>
  <c r="B183" i="5"/>
  <c r="C183" i="5" s="1"/>
  <c r="D185" i="5" s="1"/>
  <c r="F182" i="5"/>
  <c r="E182" i="5"/>
  <c r="B182" i="5"/>
  <c r="C182" i="5" s="1"/>
  <c r="F181" i="5"/>
  <c r="E181" i="5"/>
  <c r="B181" i="5"/>
  <c r="C181" i="5" s="1"/>
  <c r="F180" i="5"/>
  <c r="E180" i="5"/>
  <c r="B180" i="5"/>
  <c r="C180" i="5" s="1"/>
  <c r="F179" i="5"/>
  <c r="E179" i="5"/>
  <c r="B179" i="5"/>
  <c r="F178" i="5"/>
  <c r="E178" i="5"/>
  <c r="B178" i="5"/>
  <c r="C179" i="5" s="1"/>
  <c r="D181" i="5" s="1"/>
  <c r="F177" i="5"/>
  <c r="E177" i="5"/>
  <c r="B177" i="5"/>
  <c r="F176" i="5"/>
  <c r="E176" i="5"/>
  <c r="C176" i="5"/>
  <c r="B176" i="5"/>
  <c r="C177" i="5" s="1"/>
  <c r="F175" i="5"/>
  <c r="E175" i="5"/>
  <c r="B175" i="5"/>
  <c r="C175" i="5" s="1"/>
  <c r="F174" i="5"/>
  <c r="E174" i="5"/>
  <c r="B174" i="5"/>
  <c r="C174" i="5" s="1"/>
  <c r="F173" i="5"/>
  <c r="E173" i="5"/>
  <c r="B173" i="5"/>
  <c r="C173" i="5" s="1"/>
  <c r="D175" i="5" s="1"/>
  <c r="F172" i="5"/>
  <c r="E172" i="5"/>
  <c r="B172" i="5"/>
  <c r="C172" i="5" s="1"/>
  <c r="F171" i="5"/>
  <c r="E171" i="5"/>
  <c r="B171" i="5"/>
  <c r="F170" i="5"/>
  <c r="E170" i="5"/>
  <c r="B170" i="5"/>
  <c r="C170" i="5" s="1"/>
  <c r="F169" i="5"/>
  <c r="E169" i="5"/>
  <c r="B169" i="5"/>
  <c r="F168" i="5"/>
  <c r="E168" i="5"/>
  <c r="C168" i="5"/>
  <c r="B168" i="5"/>
  <c r="C169" i="5" s="1"/>
  <c r="F167" i="5"/>
  <c r="E167" i="5"/>
  <c r="B167" i="5"/>
  <c r="C167" i="5" s="1"/>
  <c r="F166" i="5"/>
  <c r="E166" i="5"/>
  <c r="B166" i="5"/>
  <c r="C166" i="5" s="1"/>
  <c r="D168" i="5" s="1"/>
  <c r="F165" i="5"/>
  <c r="E165" i="5"/>
  <c r="B165" i="5"/>
  <c r="C165" i="5" s="1"/>
  <c r="D167" i="5" s="1"/>
  <c r="F164" i="5"/>
  <c r="E164" i="5"/>
  <c r="B164" i="5"/>
  <c r="C164" i="5" s="1"/>
  <c r="F163" i="5"/>
  <c r="E163" i="5"/>
  <c r="B163" i="5"/>
  <c r="F162" i="5"/>
  <c r="E162" i="5"/>
  <c r="B162" i="5"/>
  <c r="C163" i="5" s="1"/>
  <c r="F161" i="5"/>
  <c r="E161" i="5"/>
  <c r="B161" i="5"/>
  <c r="F160" i="5"/>
  <c r="E160" i="5"/>
  <c r="C160" i="5"/>
  <c r="B160" i="5"/>
  <c r="C161" i="5" s="1"/>
  <c r="F159" i="5"/>
  <c r="E159" i="5"/>
  <c r="B159" i="5"/>
  <c r="C159" i="5" s="1"/>
  <c r="F158" i="5"/>
  <c r="E158" i="5"/>
  <c r="B158" i="5"/>
  <c r="C158" i="5" s="1"/>
  <c r="D160" i="5" s="1"/>
  <c r="F157" i="5"/>
  <c r="E157" i="5"/>
  <c r="B157" i="5"/>
  <c r="C157" i="5" s="1"/>
  <c r="F156" i="5"/>
  <c r="E156" i="5"/>
  <c r="B156" i="5"/>
  <c r="C156" i="5" s="1"/>
  <c r="F155" i="5"/>
  <c r="E155" i="5"/>
  <c r="B155" i="5"/>
  <c r="F154" i="5"/>
  <c r="E154" i="5"/>
  <c r="B154" i="5"/>
  <c r="C155" i="5" s="1"/>
  <c r="F153" i="5"/>
  <c r="E153" i="5"/>
  <c r="B153" i="5"/>
  <c r="F152" i="5"/>
  <c r="E152" i="5"/>
  <c r="C152" i="5"/>
  <c r="B152" i="5"/>
  <c r="C153" i="5" s="1"/>
  <c r="F151" i="5"/>
  <c r="E151" i="5"/>
  <c r="B151" i="5"/>
  <c r="C151" i="5" s="1"/>
  <c r="F150" i="5"/>
  <c r="E150" i="5"/>
  <c r="B150" i="5"/>
  <c r="C150" i="5" s="1"/>
  <c r="D152" i="5" s="1"/>
  <c r="F149" i="5"/>
  <c r="E149" i="5"/>
  <c r="B149" i="5"/>
  <c r="C149" i="5" s="1"/>
  <c r="F148" i="5"/>
  <c r="E148" i="5"/>
  <c r="B148" i="5"/>
  <c r="C148" i="5" s="1"/>
  <c r="F147" i="5"/>
  <c r="E147" i="5"/>
  <c r="B147" i="5"/>
  <c r="F146" i="5"/>
  <c r="E146" i="5"/>
  <c r="B146" i="5"/>
  <c r="C146" i="5" s="1"/>
  <c r="F145" i="5"/>
  <c r="E145" i="5"/>
  <c r="B145" i="5"/>
  <c r="C145" i="5" s="1"/>
  <c r="F144" i="5"/>
  <c r="E144" i="5"/>
  <c r="C144" i="5"/>
  <c r="B144" i="5"/>
  <c r="F143" i="5"/>
  <c r="E143" i="5"/>
  <c r="B143" i="5"/>
  <c r="C143" i="5" s="1"/>
  <c r="F142" i="5"/>
  <c r="E142" i="5"/>
  <c r="B142" i="5"/>
  <c r="C142" i="5" s="1"/>
  <c r="D144" i="5" s="1"/>
  <c r="F141" i="5"/>
  <c r="E141" i="5"/>
  <c r="B141" i="5"/>
  <c r="C141" i="5" s="1"/>
  <c r="F140" i="5"/>
  <c r="E140" i="5"/>
  <c r="B140" i="5"/>
  <c r="C140" i="5" s="1"/>
  <c r="F139" i="5"/>
  <c r="E139" i="5"/>
  <c r="B139" i="5"/>
  <c r="F138" i="5"/>
  <c r="E138" i="5"/>
  <c r="B138" i="5"/>
  <c r="C138" i="5" s="1"/>
  <c r="F137" i="5"/>
  <c r="E137" i="5"/>
  <c r="B137" i="5"/>
  <c r="C137" i="5" s="1"/>
  <c r="F136" i="5"/>
  <c r="E136" i="5"/>
  <c r="C136" i="5"/>
  <c r="B136" i="5"/>
  <c r="F135" i="5"/>
  <c r="E135" i="5"/>
  <c r="B135" i="5"/>
  <c r="C135" i="5" s="1"/>
  <c r="F134" i="5"/>
  <c r="E134" i="5"/>
  <c r="B134" i="5"/>
  <c r="C134" i="5" s="1"/>
  <c r="F133" i="5"/>
  <c r="E133" i="5"/>
  <c r="B133" i="5"/>
  <c r="C133" i="5" s="1"/>
  <c r="F132" i="5"/>
  <c r="E132" i="5"/>
  <c r="B132" i="5"/>
  <c r="C132" i="5" s="1"/>
  <c r="D134" i="5" s="1"/>
  <c r="F131" i="5"/>
  <c r="E131" i="5"/>
  <c r="B131" i="5"/>
  <c r="F130" i="5"/>
  <c r="E130" i="5"/>
  <c r="B130" i="5"/>
  <c r="C130" i="5" s="1"/>
  <c r="F129" i="5"/>
  <c r="E129" i="5"/>
  <c r="B129" i="5"/>
  <c r="C129" i="5" s="1"/>
  <c r="F128" i="5"/>
  <c r="E128" i="5"/>
  <c r="C128" i="5"/>
  <c r="B128" i="5"/>
  <c r="F127" i="5"/>
  <c r="E127" i="5"/>
  <c r="B127" i="5"/>
  <c r="C127" i="5" s="1"/>
  <c r="F126" i="5"/>
  <c r="E126" i="5"/>
  <c r="B126" i="5"/>
  <c r="C126" i="5" s="1"/>
  <c r="F125" i="5"/>
  <c r="E125" i="5"/>
  <c r="B125" i="5"/>
  <c r="C125" i="5" s="1"/>
  <c r="F124" i="5"/>
  <c r="E124" i="5"/>
  <c r="B124" i="5"/>
  <c r="C124" i="5" s="1"/>
  <c r="D126" i="5" s="1"/>
  <c r="F123" i="5"/>
  <c r="E123" i="5"/>
  <c r="B123" i="5"/>
  <c r="F122" i="5"/>
  <c r="E122" i="5"/>
  <c r="B122" i="5"/>
  <c r="C122" i="5" s="1"/>
  <c r="F121" i="5"/>
  <c r="E121" i="5"/>
  <c r="B121" i="5"/>
  <c r="C121" i="5" s="1"/>
  <c r="F120" i="5"/>
  <c r="E120" i="5"/>
  <c r="C120" i="5"/>
  <c r="B120" i="5"/>
  <c r="B119" i="5"/>
  <c r="C119" i="5" s="1"/>
  <c r="D121" i="5" s="1"/>
  <c r="B118" i="5"/>
  <c r="C118" i="5" s="1"/>
  <c r="D120" i="5" s="1"/>
  <c r="C117" i="5"/>
  <c r="D119" i="5" s="1"/>
  <c r="B117" i="5"/>
  <c r="B116" i="5"/>
  <c r="C116" i="5" s="1"/>
  <c r="B115" i="5"/>
  <c r="C115" i="5" s="1"/>
  <c r="D117" i="5" s="1"/>
  <c r="B114" i="5"/>
  <c r="C114" i="5" s="1"/>
  <c r="D116" i="5" s="1"/>
  <c r="B113" i="5"/>
  <c r="C113" i="5" s="1"/>
  <c r="D115" i="5" s="1"/>
  <c r="C112" i="5"/>
  <c r="D114" i="5" s="1"/>
  <c r="B112" i="5"/>
  <c r="B111" i="5"/>
  <c r="C111" i="5" s="1"/>
  <c r="D113" i="5" s="1"/>
  <c r="B110" i="5"/>
  <c r="C110" i="5" s="1"/>
  <c r="C109" i="5"/>
  <c r="B109" i="5"/>
  <c r="B108" i="5"/>
  <c r="C108" i="5" s="1"/>
  <c r="B107" i="5"/>
  <c r="C107" i="5" s="1"/>
  <c r="D109" i="5" s="1"/>
  <c r="B106" i="5"/>
  <c r="C106" i="5" s="1"/>
  <c r="D108" i="5" s="1"/>
  <c r="B105" i="5"/>
  <c r="C105" i="5" s="1"/>
  <c r="D107" i="5" s="1"/>
  <c r="C104" i="5"/>
  <c r="D106" i="5" s="1"/>
  <c r="B104" i="5"/>
  <c r="B103" i="5"/>
  <c r="C103" i="5" s="1"/>
  <c r="B102" i="5"/>
  <c r="C102" i="5" s="1"/>
  <c r="D104" i="5" s="1"/>
  <c r="C101" i="5"/>
  <c r="D103" i="5" s="1"/>
  <c r="B101" i="5"/>
  <c r="B100" i="5"/>
  <c r="C100" i="5" s="1"/>
  <c r="D102" i="5" s="1"/>
  <c r="B99" i="5"/>
  <c r="C99" i="5" s="1"/>
  <c r="D101" i="5" s="1"/>
  <c r="B98" i="5"/>
  <c r="C98" i="5" s="1"/>
  <c r="D100" i="5" s="1"/>
  <c r="B97" i="5"/>
  <c r="C97" i="5" s="1"/>
  <c r="C96" i="5"/>
  <c r="B96" i="5"/>
  <c r="B95" i="5"/>
  <c r="C95" i="5" s="1"/>
  <c r="B94" i="5"/>
  <c r="C94" i="5" s="1"/>
  <c r="D96" i="5" s="1"/>
  <c r="C93" i="5"/>
  <c r="D95" i="5" s="1"/>
  <c r="B93" i="5"/>
  <c r="B92" i="5"/>
  <c r="C92" i="5" s="1"/>
  <c r="D94" i="5" s="1"/>
  <c r="B91" i="5"/>
  <c r="C91" i="5" s="1"/>
  <c r="B90" i="5"/>
  <c r="C90" i="5" s="1"/>
  <c r="B89" i="5"/>
  <c r="C89" i="5" s="1"/>
  <c r="C88" i="5"/>
  <c r="D90" i="5" s="1"/>
  <c r="B88" i="5"/>
  <c r="B87" i="5"/>
  <c r="C87" i="5" s="1"/>
  <c r="D89" i="5" s="1"/>
  <c r="B86" i="5"/>
  <c r="C86" i="5" s="1"/>
  <c r="D88" i="5" s="1"/>
  <c r="C85" i="5"/>
  <c r="D87" i="5" s="1"/>
  <c r="B85" i="5"/>
  <c r="B84" i="5"/>
  <c r="C84" i="5" s="1"/>
  <c r="B83" i="5"/>
  <c r="C83" i="5" s="1"/>
  <c r="D85" i="5" s="1"/>
  <c r="B82" i="5"/>
  <c r="C82" i="5" s="1"/>
  <c r="D84" i="5" s="1"/>
  <c r="B81" i="5"/>
  <c r="C81" i="5" s="1"/>
  <c r="D83" i="5" s="1"/>
  <c r="C80" i="5"/>
  <c r="D82" i="5" s="1"/>
  <c r="B80" i="5"/>
  <c r="B79" i="5"/>
  <c r="C79" i="5" s="1"/>
  <c r="D81" i="5" s="1"/>
  <c r="B78" i="5"/>
  <c r="C78" i="5" s="1"/>
  <c r="C77" i="5"/>
  <c r="B77" i="5"/>
  <c r="B76" i="5"/>
  <c r="C76" i="5" s="1"/>
  <c r="B75" i="5"/>
  <c r="C75" i="5" s="1"/>
  <c r="D77" i="5" s="1"/>
  <c r="B74" i="5"/>
  <c r="C74" i="5" s="1"/>
  <c r="D76" i="5" s="1"/>
  <c r="B73" i="5"/>
  <c r="C73" i="5" s="1"/>
  <c r="D75" i="5" s="1"/>
  <c r="C72" i="5"/>
  <c r="D74" i="5" s="1"/>
  <c r="B72" i="5"/>
  <c r="B71" i="5"/>
  <c r="C71" i="5" s="1"/>
  <c r="B70" i="5"/>
  <c r="C70" i="5" s="1"/>
  <c r="D72" i="5" s="1"/>
  <c r="C69" i="5"/>
  <c r="D71" i="5" s="1"/>
  <c r="B69" i="5"/>
  <c r="B68" i="5"/>
  <c r="C68" i="5" s="1"/>
  <c r="D70" i="5" s="1"/>
  <c r="B67" i="5"/>
  <c r="C67" i="5" s="1"/>
  <c r="D69" i="5" s="1"/>
  <c r="B66" i="5"/>
  <c r="C66" i="5" s="1"/>
  <c r="D68" i="5" s="1"/>
  <c r="B65" i="5"/>
  <c r="C65" i="5" s="1"/>
  <c r="C64" i="5"/>
  <c r="B64" i="5"/>
  <c r="B63" i="5"/>
  <c r="C63" i="5" s="1"/>
  <c r="B62" i="5"/>
  <c r="C62" i="5" s="1"/>
  <c r="D64" i="5" s="1"/>
  <c r="C61" i="5"/>
  <c r="D63" i="5" s="1"/>
  <c r="B61" i="5"/>
  <c r="B60" i="5"/>
  <c r="C60" i="5" s="1"/>
  <c r="D62" i="5" s="1"/>
  <c r="B59" i="5"/>
  <c r="C59" i="5" s="1"/>
  <c r="B58" i="5"/>
  <c r="C58" i="5" s="1"/>
  <c r="B57" i="5"/>
  <c r="C57" i="5" s="1"/>
  <c r="C56" i="5"/>
  <c r="D58" i="5" s="1"/>
  <c r="B56" i="5"/>
  <c r="B55" i="5"/>
  <c r="C55" i="5" s="1"/>
  <c r="D57" i="5" s="1"/>
  <c r="B54" i="5"/>
  <c r="C54" i="5" s="1"/>
  <c r="D56" i="5" s="1"/>
  <c r="C53" i="5"/>
  <c r="D55" i="5" s="1"/>
  <c r="B53" i="5"/>
  <c r="B52" i="5"/>
  <c r="C52" i="5" s="1"/>
  <c r="B51" i="5"/>
  <c r="C51" i="5" s="1"/>
  <c r="D53" i="5" s="1"/>
  <c r="B50" i="5"/>
  <c r="C50" i="5" s="1"/>
  <c r="D52" i="5" s="1"/>
  <c r="B49" i="5"/>
  <c r="C49" i="5" s="1"/>
  <c r="D51" i="5" s="1"/>
  <c r="C48" i="5"/>
  <c r="D50" i="5" s="1"/>
  <c r="B48" i="5"/>
  <c r="B47" i="5"/>
  <c r="C47" i="5" s="1"/>
  <c r="D49" i="5" s="1"/>
  <c r="B46" i="5"/>
  <c r="C46" i="5" s="1"/>
  <c r="C45" i="5"/>
  <c r="B45" i="5"/>
  <c r="B44" i="5"/>
  <c r="C44" i="5" s="1"/>
  <c r="B43" i="5"/>
  <c r="C43" i="5" s="1"/>
  <c r="D45" i="5" s="1"/>
  <c r="B42" i="5"/>
  <c r="C42" i="5" s="1"/>
  <c r="D44" i="5" s="1"/>
  <c r="B41" i="5"/>
  <c r="C41" i="5" s="1"/>
  <c r="D43" i="5" s="1"/>
  <c r="C40" i="5"/>
  <c r="D42" i="5" s="1"/>
  <c r="B40" i="5"/>
  <c r="B39" i="5"/>
  <c r="C39" i="5" s="1"/>
  <c r="B38" i="5"/>
  <c r="C38" i="5" s="1"/>
  <c r="D40" i="5" s="1"/>
  <c r="C37" i="5"/>
  <c r="D39" i="5" s="1"/>
  <c r="B37" i="5"/>
  <c r="B36" i="5"/>
  <c r="C36" i="5" s="1"/>
  <c r="D38" i="5" s="1"/>
  <c r="B35" i="5"/>
  <c r="C35" i="5" s="1"/>
  <c r="D37" i="5" s="1"/>
  <c r="B34" i="5"/>
  <c r="C34" i="5" s="1"/>
  <c r="D36" i="5" s="1"/>
  <c r="B33" i="5"/>
  <c r="C33" i="5" s="1"/>
  <c r="C32" i="5"/>
  <c r="B32" i="5"/>
  <c r="B31" i="5"/>
  <c r="C31" i="5" s="1"/>
  <c r="B30" i="5"/>
  <c r="C30" i="5" s="1"/>
  <c r="D32" i="5" s="1"/>
  <c r="C29" i="5"/>
  <c r="D31" i="5" s="1"/>
  <c r="B29" i="5"/>
  <c r="B28" i="5"/>
  <c r="C28" i="5" s="1"/>
  <c r="D30" i="5" s="1"/>
  <c r="B27" i="5"/>
  <c r="C27" i="5" s="1"/>
  <c r="B26" i="5"/>
  <c r="C26" i="5" s="1"/>
  <c r="B25" i="5"/>
  <c r="C25" i="5" s="1"/>
  <c r="C24" i="5"/>
  <c r="D26" i="5" s="1"/>
  <c r="B24" i="5"/>
  <c r="B23" i="5"/>
  <c r="C23" i="5" s="1"/>
  <c r="D25" i="5" s="1"/>
  <c r="B22" i="5"/>
  <c r="C22" i="5" s="1"/>
  <c r="D24" i="5" s="1"/>
  <c r="C21" i="5"/>
  <c r="D23" i="5" s="1"/>
  <c r="B21" i="5"/>
  <c r="B20" i="5"/>
  <c r="C20" i="5" s="1"/>
  <c r="B19" i="5"/>
  <c r="C19" i="5" s="1"/>
  <c r="D21" i="5" s="1"/>
  <c r="B18" i="5"/>
  <c r="C18" i="5" s="1"/>
  <c r="D20" i="5" s="1"/>
  <c r="B17" i="5"/>
  <c r="C17" i="5" s="1"/>
  <c r="D19" i="5" s="1"/>
  <c r="C16" i="5"/>
  <c r="D18" i="5" s="1"/>
  <c r="B16" i="5"/>
  <c r="B15" i="5"/>
  <c r="C15" i="5" s="1"/>
  <c r="D17" i="5" s="1"/>
  <c r="B14" i="5"/>
  <c r="C14" i="5" s="1"/>
  <c r="B13" i="5"/>
  <c r="C13" i="5" s="1"/>
  <c r="B12" i="5"/>
  <c r="P18" i="1"/>
  <c r="P17" i="1"/>
  <c r="P16" i="1"/>
  <c r="Q14" i="1"/>
  <c r="Q17" i="1" s="1"/>
  <c r="R17" i="1" s="1"/>
  <c r="D129" i="5" l="1"/>
  <c r="D170" i="5"/>
  <c r="D271" i="5"/>
  <c r="D127" i="5"/>
  <c r="D150" i="5"/>
  <c r="D191" i="5"/>
  <c r="D196" i="5"/>
  <c r="D214" i="5"/>
  <c r="D269" i="5"/>
  <c r="D309" i="5"/>
  <c r="D369" i="5"/>
  <c r="D397" i="5"/>
  <c r="D429" i="5"/>
  <c r="D461" i="5"/>
  <c r="D493" i="5"/>
  <c r="D16" i="5"/>
  <c r="D29" i="5"/>
  <c r="D35" i="5"/>
  <c r="D48" i="5"/>
  <c r="D61" i="5"/>
  <c r="D67" i="5"/>
  <c r="D80" i="5"/>
  <c r="D93" i="5"/>
  <c r="D99" i="5"/>
  <c r="D112" i="5"/>
  <c r="D136" i="5"/>
  <c r="D146" i="5"/>
  <c r="D159" i="5"/>
  <c r="D165" i="5"/>
  <c r="D177" i="5"/>
  <c r="D182" i="5"/>
  <c r="D200" i="5"/>
  <c r="D229" i="5"/>
  <c r="D235" i="5"/>
  <c r="D245" i="5"/>
  <c r="D270" i="5"/>
  <c r="D328" i="5"/>
  <c r="D344" i="5"/>
  <c r="D357" i="5"/>
  <c r="D363" i="5"/>
  <c r="D373" i="5"/>
  <c r="D398" i="5"/>
  <c r="D425" i="5"/>
  <c r="D430" i="5"/>
  <c r="D457" i="5"/>
  <c r="D462" i="5"/>
  <c r="D489" i="5"/>
  <c r="D494" i="5"/>
  <c r="D521" i="5"/>
  <c r="D526" i="5"/>
  <c r="D553" i="5"/>
  <c r="D558" i="5"/>
  <c r="D585" i="5"/>
  <c r="D590" i="5"/>
  <c r="D617" i="5"/>
  <c r="D622" i="5"/>
  <c r="D649" i="5"/>
  <c r="D654" i="5"/>
  <c r="D681" i="5"/>
  <c r="D686" i="5"/>
  <c r="D713" i="5"/>
  <c r="D718" i="5"/>
  <c r="D745" i="5"/>
  <c r="D750" i="5"/>
  <c r="C9" i="8"/>
  <c r="D765" i="5"/>
  <c r="C41" i="8"/>
  <c r="D797" i="5"/>
  <c r="C73" i="8"/>
  <c r="D829" i="5"/>
  <c r="C105" i="8"/>
  <c r="D861" i="5"/>
  <c r="C137" i="8"/>
  <c r="D893" i="5"/>
  <c r="C169" i="8"/>
  <c r="D925" i="5"/>
  <c r="D488" i="5"/>
  <c r="D520" i="5"/>
  <c r="D552" i="5"/>
  <c r="D584" i="5"/>
  <c r="D616" i="5"/>
  <c r="D648" i="5"/>
  <c r="D680" i="5"/>
  <c r="D712" i="5"/>
  <c r="D744" i="5"/>
  <c r="C14" i="8"/>
  <c r="C20" i="8"/>
  <c r="D776" i="5"/>
  <c r="C46" i="8"/>
  <c r="C52" i="8"/>
  <c r="D808" i="5"/>
  <c r="C78" i="8"/>
  <c r="C84" i="8"/>
  <c r="D840" i="5"/>
  <c r="C110" i="8"/>
  <c r="C116" i="8"/>
  <c r="D872" i="5"/>
  <c r="C142" i="8"/>
  <c r="C148" i="8"/>
  <c r="D904" i="5"/>
  <c r="C174" i="8"/>
  <c r="C180" i="8"/>
  <c r="D936" i="5"/>
  <c r="C224" i="8"/>
  <c r="D325" i="5"/>
  <c r="D341" i="5"/>
  <c r="D361" i="5"/>
  <c r="D423" i="5"/>
  <c r="D443" i="5"/>
  <c r="D455" i="5"/>
  <c r="D487" i="5"/>
  <c r="D507" i="5"/>
  <c r="D519" i="5"/>
  <c r="D551" i="5"/>
  <c r="D571" i="5"/>
  <c r="D583" i="5"/>
  <c r="D615" i="5"/>
  <c r="D635" i="5"/>
  <c r="D647" i="5"/>
  <c r="D679" i="5"/>
  <c r="D699" i="5"/>
  <c r="D711" i="5"/>
  <c r="D743" i="5"/>
  <c r="C187" i="8"/>
  <c r="D943" i="5"/>
  <c r="C192" i="8"/>
  <c r="D596" i="5"/>
  <c r="D724" i="5"/>
  <c r="D736" i="5"/>
  <c r="C22" i="8"/>
  <c r="C27" i="8"/>
  <c r="D783" i="5"/>
  <c r="C32" i="8"/>
  <c r="C54" i="8"/>
  <c r="C59" i="8"/>
  <c r="D815" i="5"/>
  <c r="C64" i="8"/>
  <c r="C86" i="8"/>
  <c r="C91" i="8"/>
  <c r="D847" i="5"/>
  <c r="C96" i="8"/>
  <c r="C118" i="8"/>
  <c r="C123" i="8"/>
  <c r="D879" i="5"/>
  <c r="C128" i="8"/>
  <c r="C150" i="8"/>
  <c r="D906" i="5"/>
  <c r="C155" i="8"/>
  <c r="D911" i="5"/>
  <c r="C160" i="8"/>
  <c r="C182" i="8"/>
  <c r="C89" i="8"/>
  <c r="D845" i="5"/>
  <c r="C121" i="8"/>
  <c r="D877" i="5"/>
  <c r="C153" i="8"/>
  <c r="D909" i="5"/>
  <c r="C185" i="8"/>
  <c r="C190" i="8"/>
  <c r="C196" i="8"/>
  <c r="D951" i="5"/>
  <c r="D952" i="5"/>
  <c r="C218" i="8"/>
  <c r="D124" i="5"/>
  <c r="D179" i="5"/>
  <c r="D314" i="5"/>
  <c r="D416" i="5"/>
  <c r="D480" i="5"/>
  <c r="D586" i="5"/>
  <c r="D299" i="5"/>
  <c r="D525" i="5"/>
  <c r="D557" i="5"/>
  <c r="D589" i="5"/>
  <c r="D653" i="5"/>
  <c r="D685" i="5"/>
  <c r="D717" i="5"/>
  <c r="D749" i="5"/>
  <c r="C25" i="8"/>
  <c r="D781" i="5"/>
  <c r="C57" i="8"/>
  <c r="D813" i="5"/>
  <c r="D176" i="5"/>
  <c r="D205" i="5"/>
  <c r="D217" i="5"/>
  <c r="D222" i="5"/>
  <c r="D227" i="5"/>
  <c r="D239" i="5"/>
  <c r="D262" i="5"/>
  <c r="D304" i="5"/>
  <c r="D332" i="5"/>
  <c r="D342" i="5"/>
  <c r="D350" i="5"/>
  <c r="D355" i="5"/>
  <c r="D367" i="5"/>
  <c r="D372" i="5"/>
  <c r="D390" i="5"/>
  <c r="D402" i="5"/>
  <c r="D401" i="5"/>
  <c r="D434" i="5"/>
  <c r="D530" i="5"/>
  <c r="D529" i="5"/>
  <c r="D562" i="5"/>
  <c r="D658" i="5"/>
  <c r="D657" i="5"/>
  <c r="D690" i="5"/>
  <c r="C30" i="8"/>
  <c r="D785" i="5"/>
  <c r="C36" i="8"/>
  <c r="D792" i="5"/>
  <c r="C62" i="8"/>
  <c r="C68" i="8"/>
  <c r="D824" i="5"/>
  <c r="C94" i="8"/>
  <c r="C100" i="8"/>
  <c r="D856" i="5"/>
  <c r="C126" i="8"/>
  <c r="C132" i="8"/>
  <c r="D888" i="5"/>
  <c r="C158" i="8"/>
  <c r="C164" i="8"/>
  <c r="D920" i="5"/>
  <c r="C203" i="8"/>
  <c r="D959" i="5"/>
  <c r="C208" i="8"/>
  <c r="D964" i="5"/>
  <c r="D162" i="5"/>
  <c r="D233" i="5"/>
  <c r="D301" i="5"/>
  <c r="D137" i="5"/>
  <c r="D183" i="5"/>
  <c r="D206" i="5"/>
  <c r="D276" i="5"/>
  <c r="D319" i="5"/>
  <c r="D336" i="5"/>
  <c r="D404" i="5"/>
  <c r="D293" i="5"/>
  <c r="D329" i="5"/>
  <c r="D621" i="5"/>
  <c r="R18" i="1"/>
  <c r="D33" i="5"/>
  <c r="D46" i="5"/>
  <c r="D78" i="5"/>
  <c r="D110" i="5"/>
  <c r="D122" i="5"/>
  <c r="D158" i="5"/>
  <c r="D186" i="5"/>
  <c r="D195" i="5"/>
  <c r="D232" i="5"/>
  <c r="D237" i="5"/>
  <c r="D261" i="5"/>
  <c r="D267" i="5"/>
  <c r="D277" i="5"/>
  <c r="D297" i="5"/>
  <c r="D302" i="5"/>
  <c r="D360" i="5"/>
  <c r="D365" i="5"/>
  <c r="D384" i="5"/>
  <c r="D389" i="5"/>
  <c r="D395" i="5"/>
  <c r="D407" i="5"/>
  <c r="D422" i="5"/>
  <c r="D439" i="5"/>
  <c r="D454" i="5"/>
  <c r="D459" i="5"/>
  <c r="D471" i="5"/>
  <c r="D486" i="5"/>
  <c r="D503" i="5"/>
  <c r="D518" i="5"/>
  <c r="D535" i="5"/>
  <c r="D550" i="5"/>
  <c r="D567" i="5"/>
  <c r="D582" i="5"/>
  <c r="D599" i="5"/>
  <c r="D614" i="5"/>
  <c r="D631" i="5"/>
  <c r="D646" i="5"/>
  <c r="D651" i="5"/>
  <c r="D663" i="5"/>
  <c r="D678" i="5"/>
  <c r="D695" i="5"/>
  <c r="D710" i="5"/>
  <c r="D715" i="5"/>
  <c r="D727" i="5"/>
  <c r="D742" i="5"/>
  <c r="D759" i="5"/>
  <c r="C198" i="8"/>
  <c r="D954" i="5"/>
  <c r="D142" i="5"/>
  <c r="D284" i="5"/>
  <c r="D448" i="5"/>
  <c r="D532" i="5"/>
  <c r="D145" i="5"/>
  <c r="D65" i="5"/>
  <c r="D97" i="5"/>
  <c r="D135" i="5"/>
  <c r="D153" i="5"/>
  <c r="D199" i="5"/>
  <c r="D244" i="5"/>
  <c r="D27" i="5"/>
  <c r="D59" i="5"/>
  <c r="D91" i="5"/>
  <c r="D130" i="5"/>
  <c r="D143" i="5"/>
  <c r="D161" i="5"/>
  <c r="D166" i="5"/>
  <c r="D184" i="5"/>
  <c r="D194" i="5"/>
  <c r="D207" i="5"/>
  <c r="D15" i="5"/>
  <c r="D22" i="5"/>
  <c r="D28" i="5"/>
  <c r="D34" i="5"/>
  <c r="D41" i="5"/>
  <c r="D47" i="5"/>
  <c r="D54" i="5"/>
  <c r="D60" i="5"/>
  <c r="D66" i="5"/>
  <c r="D73" i="5"/>
  <c r="D79" i="5"/>
  <c r="D86" i="5"/>
  <c r="D92" i="5"/>
  <c r="D98" i="5"/>
  <c r="D105" i="5"/>
  <c r="D111" i="5"/>
  <c r="D118" i="5"/>
  <c r="D128" i="5"/>
  <c r="D138" i="5"/>
  <c r="D151" i="5"/>
  <c r="D157" i="5"/>
  <c r="D169" i="5"/>
  <c r="D174" i="5"/>
  <c r="D192" i="5"/>
  <c r="D211" i="5"/>
  <c r="D215" i="5"/>
  <c r="D230" i="5"/>
  <c r="D250" i="5"/>
  <c r="D266" i="5"/>
  <c r="D272" i="5"/>
  <c r="D300" i="5"/>
  <c r="D318" i="5"/>
  <c r="D323" i="5"/>
  <c r="D335" i="5"/>
  <c r="D340" i="5"/>
  <c r="D358" i="5"/>
  <c r="D370" i="5"/>
  <c r="D394" i="5"/>
  <c r="D400" i="5"/>
  <c r="D432" i="5"/>
  <c r="D442" i="5"/>
  <c r="D464" i="5"/>
  <c r="D496" i="5"/>
  <c r="D506" i="5"/>
  <c r="D528" i="5"/>
  <c r="D560" i="5"/>
  <c r="D570" i="5"/>
  <c r="D580" i="5"/>
  <c r="D592" i="5"/>
  <c r="D624" i="5"/>
  <c r="D634" i="5"/>
  <c r="D644" i="5"/>
  <c r="D656" i="5"/>
  <c r="D688" i="5"/>
  <c r="D698" i="5"/>
  <c r="D720" i="5"/>
  <c r="D752" i="5"/>
  <c r="C6" i="8"/>
  <c r="C11" i="8"/>
  <c r="D767" i="5"/>
  <c r="C16" i="8"/>
  <c r="D772" i="5"/>
  <c r="C38" i="8"/>
  <c r="C43" i="8"/>
  <c r="D799" i="5"/>
  <c r="C48" i="8"/>
  <c r="C70" i="8"/>
  <c r="D826" i="5"/>
  <c r="C75" i="8"/>
  <c r="D831" i="5"/>
  <c r="C80" i="8"/>
  <c r="C102" i="8"/>
  <c r="C107" i="8"/>
  <c r="D863" i="5"/>
  <c r="C112" i="8"/>
  <c r="C134" i="8"/>
  <c r="C139" i="8"/>
  <c r="D895" i="5"/>
  <c r="C144" i="8"/>
  <c r="D900" i="5"/>
  <c r="C166" i="8"/>
  <c r="C171" i="8"/>
  <c r="D927" i="5"/>
  <c r="C176" i="8"/>
  <c r="C201" i="8"/>
  <c r="C206" i="8"/>
  <c r="Q18" i="1"/>
  <c r="C154" i="5"/>
  <c r="D156" i="5" s="1"/>
  <c r="C162" i="5"/>
  <c r="D164" i="5" s="1"/>
  <c r="C178" i="5"/>
  <c r="D180" i="5" s="1"/>
  <c r="C202" i="5"/>
  <c r="D204" i="5" s="1"/>
  <c r="C223" i="5"/>
  <c r="D225" i="5" s="1"/>
  <c r="C255" i="5"/>
  <c r="D257" i="5" s="1"/>
  <c r="C287" i="5"/>
  <c r="D289" i="5" s="1"/>
  <c r="C341" i="5"/>
  <c r="D343" i="5" s="1"/>
  <c r="C383" i="5"/>
  <c r="D385" i="5" s="1"/>
  <c r="C123" i="5"/>
  <c r="D125" i="5" s="1"/>
  <c r="C131" i="5"/>
  <c r="D133" i="5" s="1"/>
  <c r="C139" i="5"/>
  <c r="D141" i="5" s="1"/>
  <c r="C147" i="5"/>
  <c r="D149" i="5" s="1"/>
  <c r="C171" i="5"/>
  <c r="D173" i="5" s="1"/>
  <c r="C187" i="5"/>
  <c r="D189" i="5" s="1"/>
  <c r="C195" i="5"/>
  <c r="D197" i="5" s="1"/>
  <c r="C211" i="5"/>
  <c r="D213" i="5" s="1"/>
  <c r="C219" i="5"/>
  <c r="D221" i="5" s="1"/>
  <c r="C241" i="5"/>
  <c r="D243" i="5" s="1"/>
  <c r="C246" i="5"/>
  <c r="D248" i="5" s="1"/>
  <c r="C251" i="5"/>
  <c r="D253" i="5" s="1"/>
  <c r="C273" i="5"/>
  <c r="D275" i="5" s="1"/>
  <c r="C278" i="5"/>
  <c r="D280" i="5" s="1"/>
  <c r="C283" i="5"/>
  <c r="D285" i="5" s="1"/>
  <c r="C305" i="5"/>
  <c r="D307" i="5" s="1"/>
  <c r="C310" i="5"/>
  <c r="D312" i="5" s="1"/>
  <c r="C315" i="5"/>
  <c r="D317" i="5" s="1"/>
  <c r="C320" i="5"/>
  <c r="D322" i="5" s="1"/>
  <c r="C337" i="5"/>
  <c r="D339" i="5" s="1"/>
  <c r="C347" i="5"/>
  <c r="D349" i="5" s="1"/>
  <c r="C352" i="5"/>
  <c r="D354" i="5" s="1"/>
  <c r="C369" i="5"/>
  <c r="D371" i="5" s="1"/>
  <c r="C374" i="5"/>
  <c r="D376" i="5" s="1"/>
  <c r="C379" i="5"/>
  <c r="D381" i="5" s="1"/>
  <c r="C403" i="5"/>
  <c r="D405" i="5" s="1"/>
  <c r="C410" i="5"/>
  <c r="D412" i="5" s="1"/>
  <c r="C419" i="5"/>
  <c r="D421" i="5" s="1"/>
  <c r="C426" i="5"/>
  <c r="D428" i="5" s="1"/>
  <c r="C435" i="5"/>
  <c r="D437" i="5" s="1"/>
  <c r="C442" i="5"/>
  <c r="D444" i="5" s="1"/>
  <c r="C451" i="5"/>
  <c r="D453" i="5" s="1"/>
  <c r="C458" i="5"/>
  <c r="D460" i="5" s="1"/>
  <c r="C467" i="5"/>
  <c r="D469" i="5" s="1"/>
  <c r="C474" i="5"/>
  <c r="D476" i="5" s="1"/>
  <c r="C483" i="5"/>
  <c r="D485" i="5" s="1"/>
  <c r="C490" i="5"/>
  <c r="D492" i="5" s="1"/>
  <c r="C499" i="5"/>
  <c r="D501" i="5" s="1"/>
  <c r="C506" i="5"/>
  <c r="D508" i="5" s="1"/>
  <c r="C515" i="5"/>
  <c r="D517" i="5" s="1"/>
  <c r="C522" i="5"/>
  <c r="D524" i="5" s="1"/>
  <c r="C531" i="5"/>
  <c r="D533" i="5" s="1"/>
  <c r="C538" i="5"/>
  <c r="D540" i="5" s="1"/>
  <c r="C547" i="5"/>
  <c r="D549" i="5" s="1"/>
  <c r="C554" i="5"/>
  <c r="D556" i="5" s="1"/>
  <c r="C563" i="5"/>
  <c r="D565" i="5" s="1"/>
  <c r="C570" i="5"/>
  <c r="D572" i="5" s="1"/>
  <c r="C579" i="5"/>
  <c r="D581" i="5" s="1"/>
  <c r="C586" i="5"/>
  <c r="D588" i="5" s="1"/>
  <c r="C595" i="5"/>
  <c r="D597" i="5" s="1"/>
  <c r="C602" i="5"/>
  <c r="D604" i="5" s="1"/>
  <c r="C611" i="5"/>
  <c r="D613" i="5" s="1"/>
  <c r="C618" i="5"/>
  <c r="D620" i="5" s="1"/>
  <c r="C627" i="5"/>
  <c r="D629" i="5" s="1"/>
  <c r="C634" i="5"/>
  <c r="D636" i="5" s="1"/>
  <c r="C643" i="5"/>
  <c r="D645" i="5" s="1"/>
  <c r="C650" i="5"/>
  <c r="D652" i="5" s="1"/>
  <c r="C659" i="5"/>
  <c r="D661" i="5" s="1"/>
  <c r="C666" i="5"/>
  <c r="D668" i="5" s="1"/>
  <c r="C675" i="5"/>
  <c r="D677" i="5" s="1"/>
  <c r="C682" i="5"/>
  <c r="D684" i="5" s="1"/>
  <c r="C691" i="5"/>
  <c r="D693" i="5" s="1"/>
  <c r="C698" i="5"/>
  <c r="D700" i="5" s="1"/>
  <c r="C707" i="5"/>
  <c r="D709" i="5" s="1"/>
  <c r="C714" i="5"/>
  <c r="D716" i="5" s="1"/>
  <c r="C723" i="5"/>
  <c r="D725" i="5" s="1"/>
  <c r="C730" i="5"/>
  <c r="D732" i="5" s="1"/>
  <c r="C739" i="5"/>
  <c r="D741" i="5" s="1"/>
  <c r="C746" i="5"/>
  <c r="D748" i="5" s="1"/>
  <c r="C755" i="5"/>
  <c r="D757" i="5" s="1"/>
  <c r="C762" i="5"/>
  <c r="C771" i="5"/>
  <c r="C778" i="5"/>
  <c r="D778" i="5" s="1"/>
  <c r="C787" i="5"/>
  <c r="C794" i="5"/>
  <c r="D794" i="5" s="1"/>
  <c r="C803" i="5"/>
  <c r="C810" i="5"/>
  <c r="C819" i="5"/>
  <c r="C826" i="5"/>
  <c r="C835" i="5"/>
  <c r="C842" i="5"/>
  <c r="C851" i="5"/>
  <c r="D852" i="5" s="1"/>
  <c r="C858" i="5"/>
  <c r="C867" i="5"/>
  <c r="D868" i="5" s="1"/>
  <c r="C874" i="5"/>
  <c r="C883" i="5"/>
  <c r="C890" i="5"/>
  <c r="C899" i="5"/>
  <c r="C906" i="5"/>
  <c r="C915" i="5"/>
  <c r="C922" i="5"/>
  <c r="D922" i="5" s="1"/>
  <c r="C931" i="5"/>
  <c r="C938" i="5"/>
  <c r="C947" i="5"/>
  <c r="C954" i="5"/>
  <c r="C217" i="8"/>
  <c r="C242" i="8"/>
  <c r="D998" i="5"/>
  <c r="E12" i="6"/>
  <c r="E153" i="6"/>
  <c r="E154" i="6"/>
  <c r="E163" i="6"/>
  <c r="E164" i="6"/>
  <c r="E217" i="6"/>
  <c r="E218" i="6"/>
  <c r="E227" i="6"/>
  <c r="E228" i="6"/>
  <c r="E281" i="6"/>
  <c r="E282" i="6"/>
  <c r="E291" i="6"/>
  <c r="E292" i="6"/>
  <c r="E345" i="6"/>
  <c r="E346" i="6"/>
  <c r="E355" i="6"/>
  <c r="E356" i="6"/>
  <c r="E409" i="6"/>
  <c r="E410" i="6"/>
  <c r="E419" i="6"/>
  <c r="E420" i="6"/>
  <c r="E473" i="6"/>
  <c r="E474" i="6"/>
  <c r="C940" i="5"/>
  <c r="C956" i="5"/>
  <c r="C238" i="8"/>
  <c r="D994" i="5"/>
  <c r="D993" i="5"/>
  <c r="C240" i="8"/>
  <c r="E25" i="6"/>
  <c r="E26" i="6"/>
  <c r="E41" i="6"/>
  <c r="E42" i="6"/>
  <c r="E57" i="6"/>
  <c r="E58" i="6"/>
  <c r="E73" i="6"/>
  <c r="E74" i="6"/>
  <c r="E89" i="6"/>
  <c r="E90" i="6"/>
  <c r="E105" i="6"/>
  <c r="E106" i="6"/>
  <c r="E121" i="6"/>
  <c r="E122" i="6"/>
  <c r="E137" i="6"/>
  <c r="E138" i="6"/>
  <c r="E177" i="6"/>
  <c r="E178" i="6"/>
  <c r="E187" i="6"/>
  <c r="E188" i="6"/>
  <c r="E241" i="6"/>
  <c r="E242" i="6"/>
  <c r="E251" i="6"/>
  <c r="E252" i="6"/>
  <c r="E305" i="6"/>
  <c r="E306" i="6"/>
  <c r="E315" i="6"/>
  <c r="E316" i="6"/>
  <c r="E369" i="6"/>
  <c r="E370" i="6"/>
  <c r="E379" i="6"/>
  <c r="E380" i="6"/>
  <c r="E433" i="6"/>
  <c r="E434" i="6"/>
  <c r="E443" i="6"/>
  <c r="E444" i="6"/>
  <c r="C234" i="8"/>
  <c r="D990" i="5"/>
  <c r="E35" i="6"/>
  <c r="E36" i="6"/>
  <c r="E51" i="6"/>
  <c r="E52" i="6"/>
  <c r="E67" i="6"/>
  <c r="E68" i="6"/>
  <c r="E83" i="6"/>
  <c r="E84" i="6"/>
  <c r="E99" i="6"/>
  <c r="E100" i="6"/>
  <c r="E115" i="6"/>
  <c r="E116" i="6"/>
  <c r="E131" i="6"/>
  <c r="E132" i="6"/>
  <c r="E147" i="6"/>
  <c r="E148" i="6"/>
  <c r="E201" i="6"/>
  <c r="E202" i="6"/>
  <c r="E211" i="6"/>
  <c r="E212" i="6"/>
  <c r="E265" i="6"/>
  <c r="E266" i="6"/>
  <c r="E275" i="6"/>
  <c r="E276" i="6"/>
  <c r="E329" i="6"/>
  <c r="E330" i="6"/>
  <c r="E339" i="6"/>
  <c r="E340" i="6"/>
  <c r="E393" i="6"/>
  <c r="E394" i="6"/>
  <c r="E403" i="6"/>
  <c r="E404" i="6"/>
  <c r="E457" i="6"/>
  <c r="E458" i="6"/>
  <c r="D766" i="5"/>
  <c r="C210" i="8"/>
  <c r="D966" i="5"/>
  <c r="C222" i="8"/>
  <c r="D978" i="5"/>
  <c r="C226" i="8"/>
  <c r="C246" i="8"/>
  <c r="C1001" i="5"/>
  <c r="D1001" i="5" s="1"/>
  <c r="C1002" i="5"/>
  <c r="C248" i="8" s="1"/>
  <c r="E10" i="6"/>
  <c r="E161" i="6"/>
  <c r="E162" i="6"/>
  <c r="E171" i="6"/>
  <c r="E172" i="6"/>
  <c r="E225" i="6"/>
  <c r="E226" i="6"/>
  <c r="E235" i="6"/>
  <c r="E236" i="6"/>
  <c r="E289" i="6"/>
  <c r="E290" i="6"/>
  <c r="E299" i="6"/>
  <c r="E300" i="6"/>
  <c r="E353" i="6"/>
  <c r="E354" i="6"/>
  <c r="E363" i="6"/>
  <c r="E364" i="6"/>
  <c r="E417" i="6"/>
  <c r="E418" i="6"/>
  <c r="E427" i="6"/>
  <c r="E428" i="6"/>
  <c r="D919" i="5"/>
  <c r="D809" i="5"/>
  <c r="D944" i="5"/>
  <c r="D953" i="5"/>
  <c r="D960" i="5"/>
  <c r="C216" i="8"/>
  <c r="D972" i="5"/>
  <c r="D976" i="5"/>
  <c r="C245" i="8"/>
  <c r="E20" i="6"/>
  <c r="E185" i="6"/>
  <c r="E186" i="6"/>
  <c r="E195" i="6"/>
  <c r="E196" i="6"/>
  <c r="E249" i="6"/>
  <c r="E250" i="6"/>
  <c r="E259" i="6"/>
  <c r="E260" i="6"/>
  <c r="E313" i="6"/>
  <c r="E314" i="6"/>
  <c r="E323" i="6"/>
  <c r="E324" i="6"/>
  <c r="E377" i="6"/>
  <c r="E378" i="6"/>
  <c r="E387" i="6"/>
  <c r="E388" i="6"/>
  <c r="E441" i="6"/>
  <c r="E442" i="6"/>
  <c r="E451" i="6"/>
  <c r="E452" i="6"/>
  <c r="D324" i="5"/>
  <c r="D791" i="5"/>
  <c r="D807" i="5"/>
  <c r="D814" i="5"/>
  <c r="D862" i="5"/>
  <c r="D903" i="5"/>
  <c r="D784" i="5"/>
  <c r="D825" i="5"/>
  <c r="D841" i="5"/>
  <c r="D857" i="5"/>
  <c r="D864" i="5"/>
  <c r="D873" i="5"/>
  <c r="D880" i="5"/>
  <c r="D889" i="5"/>
  <c r="D896" i="5"/>
  <c r="D905" i="5"/>
  <c r="D912" i="5"/>
  <c r="D921" i="5"/>
  <c r="D928" i="5"/>
  <c r="D763" i="5"/>
  <c r="D779" i="5"/>
  <c r="D795" i="5"/>
  <c r="D827" i="5"/>
  <c r="D843" i="5"/>
  <c r="D875" i="5"/>
  <c r="D891" i="5"/>
  <c r="D907" i="5"/>
  <c r="D923" i="5"/>
  <c r="D955" i="5"/>
  <c r="D970" i="5"/>
  <c r="C235" i="8"/>
  <c r="D991" i="5"/>
  <c r="D999" i="5"/>
  <c r="E33" i="6"/>
  <c r="E34" i="6"/>
  <c r="E49" i="6"/>
  <c r="E50" i="6"/>
  <c r="E65" i="6"/>
  <c r="E66" i="6"/>
  <c r="E81" i="6"/>
  <c r="E82" i="6"/>
  <c r="E97" i="6"/>
  <c r="E98" i="6"/>
  <c r="E113" i="6"/>
  <c r="E114" i="6"/>
  <c r="E129" i="6"/>
  <c r="E130" i="6"/>
  <c r="E145" i="6"/>
  <c r="E146" i="6"/>
  <c r="E155" i="6"/>
  <c r="E156" i="6"/>
  <c r="E209" i="6"/>
  <c r="E210" i="6"/>
  <c r="E219" i="6"/>
  <c r="E220" i="6"/>
  <c r="E273" i="6"/>
  <c r="E274" i="6"/>
  <c r="E283" i="6"/>
  <c r="E284" i="6"/>
  <c r="E337" i="6"/>
  <c r="E338" i="6"/>
  <c r="E347" i="6"/>
  <c r="E348" i="6"/>
  <c r="E401" i="6"/>
  <c r="E402" i="6"/>
  <c r="E411" i="6"/>
  <c r="E412" i="6"/>
  <c r="E465" i="6"/>
  <c r="E466" i="6"/>
  <c r="D388" i="5"/>
  <c r="D782" i="5"/>
  <c r="D798" i="5"/>
  <c r="D823" i="5"/>
  <c r="D830" i="5"/>
  <c r="D839" i="5"/>
  <c r="D878" i="5"/>
  <c r="D894" i="5"/>
  <c r="D910" i="5"/>
  <c r="Q16" i="1"/>
  <c r="R16" i="1" s="1"/>
  <c r="D777" i="5"/>
  <c r="D793" i="5"/>
  <c r="D816" i="5"/>
  <c r="D937" i="5"/>
  <c r="C249" i="5"/>
  <c r="D249" i="5" s="1"/>
  <c r="C313" i="5"/>
  <c r="D315" i="5" s="1"/>
  <c r="C345" i="5"/>
  <c r="C377" i="5"/>
  <c r="D379" i="5" s="1"/>
  <c r="C228" i="8"/>
  <c r="D984" i="5"/>
  <c r="C985" i="5"/>
  <c r="J1003" i="5"/>
  <c r="C986" i="5"/>
  <c r="C233" i="8"/>
  <c r="D989" i="5"/>
  <c r="E27" i="6"/>
  <c r="E28" i="6"/>
  <c r="E43" i="6"/>
  <c r="E44" i="6"/>
  <c r="E59" i="6"/>
  <c r="E60" i="6"/>
  <c r="E75" i="6"/>
  <c r="E76" i="6"/>
  <c r="E91" i="6"/>
  <c r="E92" i="6"/>
  <c r="E107" i="6"/>
  <c r="E108" i="6"/>
  <c r="E123" i="6"/>
  <c r="E124" i="6"/>
  <c r="E139" i="6"/>
  <c r="E140" i="6"/>
  <c r="E169" i="6"/>
  <c r="E170" i="6"/>
  <c r="E179" i="6"/>
  <c r="E180" i="6"/>
  <c r="E233" i="6"/>
  <c r="E234" i="6"/>
  <c r="E243" i="6"/>
  <c r="E244" i="6"/>
  <c r="E297" i="6"/>
  <c r="E298" i="6"/>
  <c r="E307" i="6"/>
  <c r="E308" i="6"/>
  <c r="E361" i="6"/>
  <c r="E362" i="6"/>
  <c r="E371" i="6"/>
  <c r="E372" i="6"/>
  <c r="E425" i="6"/>
  <c r="E426" i="6"/>
  <c r="E435" i="6"/>
  <c r="E436" i="6"/>
  <c r="D228" i="5"/>
  <c r="D260" i="5"/>
  <c r="D292" i="5"/>
  <c r="D356" i="5"/>
  <c r="D775" i="5"/>
  <c r="D846" i="5"/>
  <c r="D855" i="5"/>
  <c r="D871" i="5"/>
  <c r="D887" i="5"/>
  <c r="D926" i="5"/>
  <c r="D935" i="5"/>
  <c r="D768" i="5"/>
  <c r="D800" i="5"/>
  <c r="D832" i="5"/>
  <c r="D848" i="5"/>
  <c r="C281" i="5"/>
  <c r="D283" i="5" s="1"/>
  <c r="C401" i="5"/>
  <c r="C417" i="5"/>
  <c r="D417" i="5" s="1"/>
  <c r="C433" i="5"/>
  <c r="C449" i="5"/>
  <c r="D451" i="5" s="1"/>
  <c r="C465" i="5"/>
  <c r="D467" i="5" s="1"/>
  <c r="C481" i="5"/>
  <c r="D483" i="5" s="1"/>
  <c r="C497" i="5"/>
  <c r="D499" i="5" s="1"/>
  <c r="C513" i="5"/>
  <c r="D515" i="5" s="1"/>
  <c r="C529" i="5"/>
  <c r="C545" i="5"/>
  <c r="D546" i="5" s="1"/>
  <c r="C561" i="5"/>
  <c r="C577" i="5"/>
  <c r="D579" i="5" s="1"/>
  <c r="C593" i="5"/>
  <c r="D595" i="5" s="1"/>
  <c r="C609" i="5"/>
  <c r="D611" i="5" s="1"/>
  <c r="C625" i="5"/>
  <c r="D627" i="5" s="1"/>
  <c r="C641" i="5"/>
  <c r="D643" i="5" s="1"/>
  <c r="C657" i="5"/>
  <c r="C673" i="5"/>
  <c r="D674" i="5" s="1"/>
  <c r="C689" i="5"/>
  <c r="C705" i="5"/>
  <c r="D707" i="5" s="1"/>
  <c r="C721" i="5"/>
  <c r="D723" i="5" s="1"/>
  <c r="C737" i="5"/>
  <c r="D739" i="5" s="1"/>
  <c r="C753" i="5"/>
  <c r="C769" i="5"/>
  <c r="D774" i="5"/>
  <c r="C785" i="5"/>
  <c r="D786" i="5" s="1"/>
  <c r="D790" i="5"/>
  <c r="C801" i="5"/>
  <c r="D802" i="5" s="1"/>
  <c r="D806" i="5"/>
  <c r="C817" i="5"/>
  <c r="D822" i="5"/>
  <c r="C833" i="5"/>
  <c r="D838" i="5"/>
  <c r="C849" i="5"/>
  <c r="D854" i="5"/>
  <c r="C865" i="5"/>
  <c r="D870" i="5"/>
  <c r="C881" i="5"/>
  <c r="D881" i="5" s="1"/>
  <c r="D886" i="5"/>
  <c r="C897" i="5"/>
  <c r="D902" i="5"/>
  <c r="C913" i="5"/>
  <c r="D914" i="5" s="1"/>
  <c r="D918" i="5"/>
  <c r="C929" i="5"/>
  <c r="D929" i="5" s="1"/>
  <c r="D934" i="5"/>
  <c r="C945" i="5"/>
  <c r="D950" i="5"/>
  <c r="C961" i="5"/>
  <c r="C963" i="5"/>
  <c r="C965" i="5"/>
  <c r="C967" i="5"/>
  <c r="C215" i="8"/>
  <c r="D971" i="5"/>
  <c r="C973" i="5"/>
  <c r="C979" i="5"/>
  <c r="C981" i="5"/>
  <c r="C983" i="5"/>
  <c r="E18" i="6"/>
  <c r="E193" i="6"/>
  <c r="E194" i="6"/>
  <c r="E203" i="6"/>
  <c r="E204" i="6"/>
  <c r="E257" i="6"/>
  <c r="E258" i="6"/>
  <c r="E267" i="6"/>
  <c r="E268" i="6"/>
  <c r="E321" i="6"/>
  <c r="E322" i="6"/>
  <c r="E331" i="6"/>
  <c r="E332" i="6"/>
  <c r="E385" i="6"/>
  <c r="E386" i="6"/>
  <c r="E395" i="6"/>
  <c r="E396" i="6"/>
  <c r="E449" i="6"/>
  <c r="E450" i="6"/>
  <c r="C995" i="5"/>
  <c r="D995" i="5" s="1"/>
  <c r="E13" i="6"/>
  <c r="E21" i="6"/>
  <c r="E725" i="6"/>
  <c r="C746" i="6"/>
  <c r="E757" i="6"/>
  <c r="C778" i="6"/>
  <c r="E789" i="6"/>
  <c r="C810" i="6"/>
  <c r="E821" i="6"/>
  <c r="E702" i="6"/>
  <c r="E703" i="6"/>
  <c r="E734" i="6"/>
  <c r="E735" i="6"/>
  <c r="E766" i="6"/>
  <c r="E767" i="6"/>
  <c r="E798" i="6"/>
  <c r="E799" i="6"/>
  <c r="E830" i="6"/>
  <c r="E831" i="6"/>
  <c r="E711" i="6"/>
  <c r="C723" i="6"/>
  <c r="C724" i="6"/>
  <c r="C755" i="6"/>
  <c r="C756" i="6"/>
  <c r="C787" i="6"/>
  <c r="C788" i="6"/>
  <c r="C819" i="6"/>
  <c r="C820" i="6"/>
  <c r="C837" i="6"/>
  <c r="C838" i="6"/>
  <c r="E846" i="6"/>
  <c r="E847" i="6"/>
  <c r="C853" i="6"/>
  <c r="C854" i="6"/>
  <c r="E862" i="6"/>
  <c r="E863" i="6"/>
  <c r="C869" i="6"/>
  <c r="C870" i="6"/>
  <c r="E878" i="6"/>
  <c r="E879" i="6"/>
  <c r="C885" i="6"/>
  <c r="C886" i="6"/>
  <c r="E894" i="6"/>
  <c r="E895" i="6"/>
  <c r="E910" i="6"/>
  <c r="E911" i="6"/>
  <c r="E926" i="6"/>
  <c r="E927" i="6"/>
  <c r="C633" i="6"/>
  <c r="C641" i="6"/>
  <c r="C649" i="6"/>
  <c r="C657" i="6"/>
  <c r="C665" i="6"/>
  <c r="C673" i="6"/>
  <c r="C681" i="6"/>
  <c r="C689" i="6"/>
  <c r="E697" i="6"/>
  <c r="C709" i="6"/>
  <c r="C710" i="6"/>
  <c r="E720" i="6"/>
  <c r="E729" i="6"/>
  <c r="C741" i="6"/>
  <c r="C742" i="6"/>
  <c r="E752" i="6"/>
  <c r="E761" i="6"/>
  <c r="C773" i="6"/>
  <c r="C774" i="6"/>
  <c r="E784" i="6"/>
  <c r="E793" i="6"/>
  <c r="C805" i="6"/>
  <c r="C806" i="6"/>
  <c r="E816" i="6"/>
  <c r="E825" i="6"/>
  <c r="E837" i="6"/>
  <c r="E838" i="6"/>
  <c r="E853" i="6"/>
  <c r="E854" i="6"/>
  <c r="E869" i="6"/>
  <c r="E870" i="6"/>
  <c r="E885" i="6"/>
  <c r="E886" i="6"/>
  <c r="E901" i="6"/>
  <c r="E902" i="6"/>
  <c r="E917" i="6"/>
  <c r="E918" i="6"/>
  <c r="E933" i="6"/>
  <c r="E934" i="6"/>
  <c r="C698" i="6"/>
  <c r="E709" i="6"/>
  <c r="C730" i="6"/>
  <c r="E741" i="6"/>
  <c r="C762" i="6"/>
  <c r="E773" i="6"/>
  <c r="C794" i="6"/>
  <c r="E805" i="6"/>
  <c r="C826" i="6"/>
  <c r="C10" i="6"/>
  <c r="C18" i="6"/>
  <c r="C26" i="6"/>
  <c r="C34" i="6"/>
  <c r="C42" i="6"/>
  <c r="C50" i="6"/>
  <c r="C58" i="6"/>
  <c r="C66" i="6"/>
  <c r="C74" i="6"/>
  <c r="C82" i="6"/>
  <c r="C90" i="6"/>
  <c r="C98" i="6"/>
  <c r="C106" i="6"/>
  <c r="C114" i="6"/>
  <c r="C122" i="6"/>
  <c r="C130" i="6"/>
  <c r="C138" i="6"/>
  <c r="C146" i="6"/>
  <c r="C154" i="6"/>
  <c r="C162" i="6"/>
  <c r="C170" i="6"/>
  <c r="C178" i="6"/>
  <c r="C186" i="6"/>
  <c r="C194" i="6"/>
  <c r="C202" i="6"/>
  <c r="C210" i="6"/>
  <c r="C218" i="6"/>
  <c r="C226" i="6"/>
  <c r="C234" i="6"/>
  <c r="C242" i="6"/>
  <c r="C250" i="6"/>
  <c r="C258" i="6"/>
  <c r="C266" i="6"/>
  <c r="C274" i="6"/>
  <c r="C282" i="6"/>
  <c r="C290" i="6"/>
  <c r="C298" i="6"/>
  <c r="C306" i="6"/>
  <c r="C314" i="6"/>
  <c r="C322" i="6"/>
  <c r="C330" i="6"/>
  <c r="C338" i="6"/>
  <c r="C346" i="6"/>
  <c r="C354" i="6"/>
  <c r="C362" i="6"/>
  <c r="C370" i="6"/>
  <c r="C378" i="6"/>
  <c r="C386" i="6"/>
  <c r="C394" i="6"/>
  <c r="C402" i="6"/>
  <c r="C410" i="6"/>
  <c r="C418" i="6"/>
  <c r="C426" i="6"/>
  <c r="C434" i="6"/>
  <c r="C442" i="6"/>
  <c r="C450" i="6"/>
  <c r="C458" i="6"/>
  <c r="E460" i="6"/>
  <c r="C466" i="6"/>
  <c r="E468" i="6"/>
  <c r="C474" i="6"/>
  <c r="E476" i="6"/>
  <c r="C482" i="6"/>
  <c r="E484" i="6"/>
  <c r="C490" i="6"/>
  <c r="E492" i="6"/>
  <c r="C498" i="6"/>
  <c r="E500" i="6"/>
  <c r="C506" i="6"/>
  <c r="E508" i="6"/>
  <c r="C514" i="6"/>
  <c r="E516" i="6"/>
  <c r="C522" i="6"/>
  <c r="E524" i="6"/>
  <c r="C530" i="6"/>
  <c r="E532" i="6"/>
  <c r="C538" i="6"/>
  <c r="E540" i="6"/>
  <c r="C546" i="6"/>
  <c r="E548" i="6"/>
  <c r="C554" i="6"/>
  <c r="E556" i="6"/>
  <c r="C562" i="6"/>
  <c r="E564" i="6"/>
  <c r="C570" i="6"/>
  <c r="E572" i="6"/>
  <c r="C578" i="6"/>
  <c r="E580" i="6"/>
  <c r="C586" i="6"/>
  <c r="E588" i="6"/>
  <c r="C594" i="6"/>
  <c r="E596" i="6"/>
  <c r="C602" i="6"/>
  <c r="E604" i="6"/>
  <c r="C610" i="6"/>
  <c r="E612" i="6"/>
  <c r="C618" i="6"/>
  <c r="E620" i="6"/>
  <c r="C626" i="6"/>
  <c r="E628" i="6"/>
  <c r="C631" i="6"/>
  <c r="E636" i="6"/>
  <c r="C639" i="6"/>
  <c r="E644" i="6"/>
  <c r="C647" i="6"/>
  <c r="E652" i="6"/>
  <c r="C655" i="6"/>
  <c r="E660" i="6"/>
  <c r="C663" i="6"/>
  <c r="E668" i="6"/>
  <c r="C671" i="6"/>
  <c r="E676" i="6"/>
  <c r="C679" i="6"/>
  <c r="E684" i="6"/>
  <c r="C687" i="6"/>
  <c r="E692" i="6"/>
  <c r="E718" i="6"/>
  <c r="E719" i="6"/>
  <c r="E750" i="6"/>
  <c r="E751" i="6"/>
  <c r="E782" i="6"/>
  <c r="E783" i="6"/>
  <c r="E814" i="6"/>
  <c r="E815" i="6"/>
  <c r="E7" i="6"/>
  <c r="E15" i="6"/>
  <c r="E695" i="6"/>
  <c r="C707" i="6"/>
  <c r="C708" i="6"/>
  <c r="E727" i="6"/>
  <c r="C739" i="6"/>
  <c r="C740" i="6"/>
  <c r="E759" i="6"/>
  <c r="C771" i="6"/>
  <c r="C772" i="6"/>
  <c r="E791" i="6"/>
  <c r="C803" i="6"/>
  <c r="C804" i="6"/>
  <c r="E823" i="6"/>
  <c r="C835" i="6"/>
  <c r="C836" i="6"/>
  <c r="C851" i="6"/>
  <c r="C852" i="6"/>
  <c r="C867" i="6"/>
  <c r="C868" i="6"/>
  <c r="C883" i="6"/>
  <c r="C884" i="6"/>
  <c r="C899" i="6"/>
  <c r="C900" i="6"/>
  <c r="C915" i="6"/>
  <c r="C916" i="6"/>
  <c r="C931" i="6"/>
  <c r="C932" i="6"/>
  <c r="D1000" i="5"/>
  <c r="C8" i="6"/>
  <c r="C16" i="6"/>
  <c r="C24" i="6"/>
  <c r="C32" i="6"/>
  <c r="C40" i="6"/>
  <c r="C48" i="6"/>
  <c r="C56" i="6"/>
  <c r="C64" i="6"/>
  <c r="C72" i="6"/>
  <c r="C80" i="6"/>
  <c r="C88" i="6"/>
  <c r="C96" i="6"/>
  <c r="C104" i="6"/>
  <c r="C112" i="6"/>
  <c r="C120" i="6"/>
  <c r="C128" i="6"/>
  <c r="C136" i="6"/>
  <c r="C144" i="6"/>
  <c r="C152" i="6"/>
  <c r="C160" i="6"/>
  <c r="C168" i="6"/>
  <c r="C176" i="6"/>
  <c r="C184" i="6"/>
  <c r="C192" i="6"/>
  <c r="C200" i="6"/>
  <c r="C208" i="6"/>
  <c r="C216" i="6"/>
  <c r="C224" i="6"/>
  <c r="C232" i="6"/>
  <c r="C240" i="6"/>
  <c r="C248" i="6"/>
  <c r="C256" i="6"/>
  <c r="C264" i="6"/>
  <c r="C272" i="6"/>
  <c r="C280" i="6"/>
  <c r="C288" i="6"/>
  <c r="C296" i="6"/>
  <c r="C304" i="6"/>
  <c r="C312" i="6"/>
  <c r="C320" i="6"/>
  <c r="C328" i="6"/>
  <c r="C336" i="6"/>
  <c r="C344" i="6"/>
  <c r="C352" i="6"/>
  <c r="C360" i="6"/>
  <c r="C368" i="6"/>
  <c r="C376" i="6"/>
  <c r="C384" i="6"/>
  <c r="C392" i="6"/>
  <c r="C400" i="6"/>
  <c r="C408" i="6"/>
  <c r="C416" i="6"/>
  <c r="C424" i="6"/>
  <c r="C432" i="6"/>
  <c r="C440" i="6"/>
  <c r="C448" i="6"/>
  <c r="C456" i="6"/>
  <c r="C464" i="6"/>
  <c r="C472" i="6"/>
  <c r="C480" i="6"/>
  <c r="E482" i="6"/>
  <c r="C488" i="6"/>
  <c r="E490" i="6"/>
  <c r="C496" i="6"/>
  <c r="E498" i="6"/>
  <c r="C504" i="6"/>
  <c r="E506" i="6"/>
  <c r="C512" i="6"/>
  <c r="E514" i="6"/>
  <c r="C520" i="6"/>
  <c r="E522" i="6"/>
  <c r="C528" i="6"/>
  <c r="E530" i="6"/>
  <c r="C536" i="6"/>
  <c r="E538" i="6"/>
  <c r="C544" i="6"/>
  <c r="E546" i="6"/>
  <c r="C552" i="6"/>
  <c r="E554" i="6"/>
  <c r="C560" i="6"/>
  <c r="E562" i="6"/>
  <c r="C568" i="6"/>
  <c r="E570" i="6"/>
  <c r="C576" i="6"/>
  <c r="E578" i="6"/>
  <c r="C584" i="6"/>
  <c r="E586" i="6"/>
  <c r="C592" i="6"/>
  <c r="E594" i="6"/>
  <c r="C600" i="6"/>
  <c r="E602" i="6"/>
  <c r="C608" i="6"/>
  <c r="E610" i="6"/>
  <c r="C616" i="6"/>
  <c r="E618" i="6"/>
  <c r="C624" i="6"/>
  <c r="E626" i="6"/>
  <c r="C629" i="6"/>
  <c r="E634" i="6"/>
  <c r="C637" i="6"/>
  <c r="E642" i="6"/>
  <c r="C645" i="6"/>
  <c r="E650" i="6"/>
  <c r="C653" i="6"/>
  <c r="E658" i="6"/>
  <c r="C661" i="6"/>
  <c r="E666" i="6"/>
  <c r="C669" i="6"/>
  <c r="E674" i="6"/>
  <c r="C677" i="6"/>
  <c r="E682" i="6"/>
  <c r="C685" i="6"/>
  <c r="E690" i="6"/>
  <c r="C693" i="6"/>
  <c r="C696" i="6"/>
  <c r="E704" i="6"/>
  <c r="E707" i="6"/>
  <c r="E710" i="6"/>
  <c r="E713" i="6"/>
  <c r="E716" i="6"/>
  <c r="C725" i="6"/>
  <c r="C726" i="6"/>
  <c r="C728" i="6"/>
  <c r="E736" i="6"/>
  <c r="E739" i="6"/>
  <c r="E742" i="6"/>
  <c r="E745" i="6"/>
  <c r="E748" i="6"/>
  <c r="C757" i="6"/>
  <c r="C758" i="6"/>
  <c r="C760" i="6"/>
  <c r="E768" i="6"/>
  <c r="E771" i="6"/>
  <c r="E774" i="6"/>
  <c r="E777" i="6"/>
  <c r="E780" i="6"/>
  <c r="C789" i="6"/>
  <c r="C790" i="6"/>
  <c r="C792" i="6"/>
  <c r="E800" i="6"/>
  <c r="E803" i="6"/>
  <c r="E806" i="6"/>
  <c r="E809" i="6"/>
  <c r="E812" i="6"/>
  <c r="C821" i="6"/>
  <c r="C822" i="6"/>
  <c r="C824" i="6"/>
  <c r="E832" i="6"/>
  <c r="E835" i="6"/>
  <c r="E848" i="6"/>
  <c r="E864" i="6"/>
  <c r="E880" i="6"/>
  <c r="C699" i="6"/>
  <c r="C715" i="6"/>
  <c r="C731" i="6"/>
  <c r="C747" i="6"/>
  <c r="C763" i="6"/>
  <c r="C779" i="6"/>
  <c r="C795" i="6"/>
  <c r="C811" i="6"/>
  <c r="C827" i="6"/>
  <c r="C843" i="6"/>
  <c r="C859" i="6"/>
  <c r="C875" i="6"/>
  <c r="C891" i="6"/>
  <c r="C907" i="6"/>
  <c r="C923" i="6"/>
  <c r="C939" i="6"/>
  <c r="E943" i="6"/>
  <c r="C948" i="6"/>
  <c r="C955" i="6"/>
  <c r="E959" i="6"/>
  <c r="C964" i="6"/>
  <c r="C971" i="6"/>
  <c r="E975" i="6"/>
  <c r="C980" i="6"/>
  <c r="C987" i="6"/>
  <c r="E991" i="6"/>
  <c r="C996" i="6"/>
  <c r="C1003" i="6"/>
  <c r="E1007" i="6"/>
  <c r="C1012" i="6"/>
  <c r="C1019" i="6"/>
  <c r="E1023" i="6"/>
  <c r="C1028" i="6"/>
  <c r="C1035" i="6"/>
  <c r="E1049" i="6"/>
  <c r="C1064" i="6"/>
  <c r="E1074" i="6"/>
  <c r="C1189" i="6"/>
  <c r="C1190" i="6"/>
  <c r="C1205" i="6"/>
  <c r="C1206" i="6"/>
  <c r="C1221" i="6"/>
  <c r="C1222" i="6"/>
  <c r="C1237" i="6"/>
  <c r="C1238" i="6"/>
  <c r="C1253" i="6"/>
  <c r="C1254" i="6"/>
  <c r="C1269" i="6"/>
  <c r="C1270" i="6"/>
  <c r="C1285" i="6"/>
  <c r="C1286" i="6"/>
  <c r="C1301" i="6"/>
  <c r="C1302" i="6"/>
  <c r="C1317" i="6"/>
  <c r="C1318" i="6"/>
  <c r="C1333" i="6"/>
  <c r="C1334" i="6"/>
  <c r="C1349" i="6"/>
  <c r="C1350" i="6"/>
  <c r="C1365" i="6"/>
  <c r="C1366" i="6"/>
  <c r="C1381" i="6"/>
  <c r="C1382" i="6"/>
  <c r="C1397" i="6"/>
  <c r="C1398" i="6"/>
  <c r="C1413" i="6"/>
  <c r="C1414" i="6"/>
  <c r="C1429" i="6"/>
  <c r="C1430" i="6"/>
  <c r="C1445" i="6"/>
  <c r="C1446" i="6"/>
  <c r="C1461" i="6"/>
  <c r="C1462" i="6"/>
  <c r="E1476" i="6"/>
  <c r="E1477" i="6"/>
  <c r="C1977" i="6"/>
  <c r="C1978" i="6"/>
  <c r="E950" i="6"/>
  <c r="E966" i="6"/>
  <c r="E982" i="6"/>
  <c r="E998" i="6"/>
  <c r="E1014" i="6"/>
  <c r="E1030" i="6"/>
  <c r="E1066" i="6"/>
  <c r="E1516" i="6"/>
  <c r="E1517" i="6"/>
  <c r="C1673" i="6"/>
  <c r="C1674" i="6"/>
  <c r="C1705" i="6"/>
  <c r="C1706" i="6"/>
  <c r="E1918" i="6"/>
  <c r="E1917" i="6"/>
  <c r="E1186" i="6"/>
  <c r="E1187" i="6"/>
  <c r="E1202" i="6"/>
  <c r="E1203" i="6"/>
  <c r="E1218" i="6"/>
  <c r="E1219" i="6"/>
  <c r="E1234" i="6"/>
  <c r="E1235" i="6"/>
  <c r="E1250" i="6"/>
  <c r="E1251" i="6"/>
  <c r="E1266" i="6"/>
  <c r="E1267" i="6"/>
  <c r="E1492" i="6"/>
  <c r="E1493" i="6"/>
  <c r="E1572" i="6"/>
  <c r="E1573" i="6"/>
  <c r="C1689" i="6"/>
  <c r="C1690" i="6"/>
  <c r="E1741" i="6"/>
  <c r="E1742" i="6"/>
  <c r="E1757" i="6"/>
  <c r="E1907" i="6"/>
  <c r="E1908" i="6"/>
  <c r="E1452" i="6"/>
  <c r="E1453" i="6"/>
  <c r="E1468" i="6"/>
  <c r="E1469" i="6"/>
  <c r="E1539" i="6"/>
  <c r="E1540" i="6"/>
  <c r="E1651" i="6"/>
  <c r="E1652" i="6"/>
  <c r="E1667" i="6"/>
  <c r="E1689" i="6"/>
  <c r="E1690" i="6"/>
  <c r="E1748" i="6"/>
  <c r="C1961" i="6"/>
  <c r="C1962" i="6"/>
  <c r="C1197" i="6"/>
  <c r="C1198" i="6"/>
  <c r="C1213" i="6"/>
  <c r="C1214" i="6"/>
  <c r="C1229" i="6"/>
  <c r="C1230" i="6"/>
  <c r="C1245" i="6"/>
  <c r="C1246" i="6"/>
  <c r="C1261" i="6"/>
  <c r="C1262" i="6"/>
  <c r="C1277" i="6"/>
  <c r="C1278" i="6"/>
  <c r="C1293" i="6"/>
  <c r="C1294" i="6"/>
  <c r="C1309" i="6"/>
  <c r="C1310" i="6"/>
  <c r="C1325" i="6"/>
  <c r="C1326" i="6"/>
  <c r="C1341" i="6"/>
  <c r="C1342" i="6"/>
  <c r="C1357" i="6"/>
  <c r="C1358" i="6"/>
  <c r="C1373" i="6"/>
  <c r="C1374" i="6"/>
  <c r="C1389" i="6"/>
  <c r="C1390" i="6"/>
  <c r="C1405" i="6"/>
  <c r="C1406" i="6"/>
  <c r="C1421" i="6"/>
  <c r="C1422" i="6"/>
  <c r="C1437" i="6"/>
  <c r="C1438" i="6"/>
  <c r="C1453" i="6"/>
  <c r="C1454" i="6"/>
  <c r="C1469" i="6"/>
  <c r="E1508" i="6"/>
  <c r="E1509" i="6"/>
  <c r="E1533" i="6"/>
  <c r="E1661" i="6"/>
  <c r="E1732" i="6"/>
  <c r="C705" i="6"/>
  <c r="C721" i="6"/>
  <c r="C737" i="6"/>
  <c r="C753" i="6"/>
  <c r="C769" i="6"/>
  <c r="C785" i="6"/>
  <c r="C801" i="6"/>
  <c r="C817" i="6"/>
  <c r="C833" i="6"/>
  <c r="C849" i="6"/>
  <c r="C865" i="6"/>
  <c r="C881" i="6"/>
  <c r="C897" i="6"/>
  <c r="C913" i="6"/>
  <c r="C929" i="6"/>
  <c r="C945" i="6"/>
  <c r="C961" i="6"/>
  <c r="C977" i="6"/>
  <c r="C993" i="6"/>
  <c r="C1009" i="6"/>
  <c r="C1025" i="6"/>
  <c r="C1039" i="6"/>
  <c r="C1051" i="6"/>
  <c r="E1053" i="6"/>
  <c r="E1070" i="6"/>
  <c r="E1085" i="6"/>
  <c r="E1101" i="6"/>
  <c r="E1117" i="6"/>
  <c r="E1133" i="6"/>
  <c r="E1149" i="6"/>
  <c r="E1165" i="6"/>
  <c r="E1181" i="6"/>
  <c r="E1197" i="6"/>
  <c r="E1213" i="6"/>
  <c r="E1229" i="6"/>
  <c r="E1245" i="6"/>
  <c r="E1261" i="6"/>
  <c r="E1277" i="6"/>
  <c r="E1293" i="6"/>
  <c r="E1309" i="6"/>
  <c r="E1325" i="6"/>
  <c r="E1341" i="6"/>
  <c r="E1357" i="6"/>
  <c r="E1373" i="6"/>
  <c r="E1389" i="6"/>
  <c r="E1405" i="6"/>
  <c r="E1421" i="6"/>
  <c r="E1437" i="6"/>
  <c r="E1484" i="6"/>
  <c r="E1485" i="6"/>
  <c r="E1487" i="6"/>
  <c r="C1509" i="6"/>
  <c r="C1534" i="6"/>
  <c r="C1640" i="6"/>
  <c r="C1793" i="6"/>
  <c r="C1794" i="6"/>
  <c r="C1945" i="6"/>
  <c r="C1946" i="6"/>
  <c r="C703" i="6"/>
  <c r="C719" i="6"/>
  <c r="C735" i="6"/>
  <c r="C751" i="6"/>
  <c r="C767" i="6"/>
  <c r="C783" i="6"/>
  <c r="C799" i="6"/>
  <c r="C815" i="6"/>
  <c r="C831" i="6"/>
  <c r="C847" i="6"/>
  <c r="C863" i="6"/>
  <c r="C879" i="6"/>
  <c r="C895" i="6"/>
  <c r="C911" i="6"/>
  <c r="C927" i="6"/>
  <c r="C943" i="6"/>
  <c r="C959" i="6"/>
  <c r="C975" i="6"/>
  <c r="C991" i="6"/>
  <c r="C1007" i="6"/>
  <c r="C1023" i="6"/>
  <c r="E1046" i="6"/>
  <c r="C1056" i="6"/>
  <c r="C1061" i="6"/>
  <c r="C1071" i="6"/>
  <c r="E1076" i="6"/>
  <c r="E1082" i="6"/>
  <c r="C1086" i="6"/>
  <c r="E1098" i="6"/>
  <c r="C1102" i="6"/>
  <c r="E1114" i="6"/>
  <c r="C1118" i="6"/>
  <c r="E1130" i="6"/>
  <c r="C1134" i="6"/>
  <c r="E1146" i="6"/>
  <c r="C1150" i="6"/>
  <c r="E1162" i="6"/>
  <c r="C1166" i="6"/>
  <c r="E1178" i="6"/>
  <c r="C1182" i="6"/>
  <c r="E1194" i="6"/>
  <c r="E1195" i="6"/>
  <c r="E1210" i="6"/>
  <c r="E1211" i="6"/>
  <c r="E1226" i="6"/>
  <c r="E1227" i="6"/>
  <c r="E1242" i="6"/>
  <c r="E1243" i="6"/>
  <c r="E1258" i="6"/>
  <c r="E1259" i="6"/>
  <c r="E1274" i="6"/>
  <c r="E1275" i="6"/>
  <c r="E1447" i="6"/>
  <c r="E1463" i="6"/>
  <c r="C1485" i="6"/>
  <c r="E1524" i="6"/>
  <c r="E1525" i="6"/>
  <c r="E1593" i="6"/>
  <c r="E1594" i="6"/>
  <c r="E1609" i="6"/>
  <c r="E1610" i="6"/>
  <c r="C701" i="6"/>
  <c r="C717" i="6"/>
  <c r="C733" i="6"/>
  <c r="C749" i="6"/>
  <c r="C765" i="6"/>
  <c r="C781" i="6"/>
  <c r="C797" i="6"/>
  <c r="C813" i="6"/>
  <c r="C829" i="6"/>
  <c r="C845" i="6"/>
  <c r="C861" i="6"/>
  <c r="C877" i="6"/>
  <c r="C893" i="6"/>
  <c r="C902" i="6"/>
  <c r="C909" i="6"/>
  <c r="C918" i="6"/>
  <c r="C925" i="6"/>
  <c r="C934" i="6"/>
  <c r="C941" i="6"/>
  <c r="C950" i="6"/>
  <c r="C957" i="6"/>
  <c r="C966" i="6"/>
  <c r="C973" i="6"/>
  <c r="C982" i="6"/>
  <c r="C989" i="6"/>
  <c r="C998" i="6"/>
  <c r="C1005" i="6"/>
  <c r="C1014" i="6"/>
  <c r="C1021" i="6"/>
  <c r="C1030" i="6"/>
  <c r="C1037" i="6"/>
  <c r="C1042" i="6"/>
  <c r="C1047" i="6"/>
  <c r="C1054" i="6"/>
  <c r="C1059" i="6"/>
  <c r="C1074" i="6"/>
  <c r="C1077" i="6"/>
  <c r="C1080" i="6"/>
  <c r="E1086" i="6"/>
  <c r="E1089" i="6"/>
  <c r="E1092" i="6"/>
  <c r="C1096" i="6"/>
  <c r="E1102" i="6"/>
  <c r="E1105" i="6"/>
  <c r="E1108" i="6"/>
  <c r="C1112" i="6"/>
  <c r="E1118" i="6"/>
  <c r="E1121" i="6"/>
  <c r="E1124" i="6"/>
  <c r="C1128" i="6"/>
  <c r="E1134" i="6"/>
  <c r="C1144" i="6"/>
  <c r="E1150" i="6"/>
  <c r="C1160" i="6"/>
  <c r="E1166" i="6"/>
  <c r="C1176" i="6"/>
  <c r="E1182" i="6"/>
  <c r="C1192" i="6"/>
  <c r="E1198" i="6"/>
  <c r="C1208" i="6"/>
  <c r="E1214" i="6"/>
  <c r="C1224" i="6"/>
  <c r="E1230" i="6"/>
  <c r="C1240" i="6"/>
  <c r="E1246" i="6"/>
  <c r="C1256" i="6"/>
  <c r="E1262" i="6"/>
  <c r="C1272" i="6"/>
  <c r="E1278" i="6"/>
  <c r="C1288" i="6"/>
  <c r="C1304" i="6"/>
  <c r="C1320" i="6"/>
  <c r="C1336" i="6"/>
  <c r="C1352" i="6"/>
  <c r="C1368" i="6"/>
  <c r="C1384" i="6"/>
  <c r="C1400" i="6"/>
  <c r="C1416" i="6"/>
  <c r="C1432" i="6"/>
  <c r="E1444" i="6"/>
  <c r="E1445" i="6"/>
  <c r="C1448" i="6"/>
  <c r="E1460" i="6"/>
  <c r="E1461" i="6"/>
  <c r="E1500" i="6"/>
  <c r="E1501" i="6"/>
  <c r="E1503" i="6"/>
  <c r="C1525" i="6"/>
  <c r="C1559" i="6"/>
  <c r="C1560" i="6"/>
  <c r="E1577" i="6"/>
  <c r="E1578" i="6"/>
  <c r="C1721" i="6"/>
  <c r="C1722" i="6"/>
  <c r="C1081" i="6"/>
  <c r="C1089" i="6"/>
  <c r="C1097" i="6"/>
  <c r="C1105" i="6"/>
  <c r="C1113" i="6"/>
  <c r="C1121" i="6"/>
  <c r="C1129" i="6"/>
  <c r="C1137" i="6"/>
  <c r="C1145" i="6"/>
  <c r="C1153" i="6"/>
  <c r="C1161" i="6"/>
  <c r="C1169" i="6"/>
  <c r="C1177" i="6"/>
  <c r="C1185" i="6"/>
  <c r="C1193" i="6"/>
  <c r="C1201" i="6"/>
  <c r="C1209" i="6"/>
  <c r="C1217" i="6"/>
  <c r="C1225" i="6"/>
  <c r="C1233" i="6"/>
  <c r="C1241" i="6"/>
  <c r="C1249" i="6"/>
  <c r="C1257" i="6"/>
  <c r="C1265" i="6"/>
  <c r="C1273" i="6"/>
  <c r="C1281" i="6"/>
  <c r="C1289" i="6"/>
  <c r="C1297" i="6"/>
  <c r="C1305" i="6"/>
  <c r="C1313" i="6"/>
  <c r="C1321" i="6"/>
  <c r="C1329" i="6"/>
  <c r="C1337" i="6"/>
  <c r="C1345" i="6"/>
  <c r="C1353" i="6"/>
  <c r="C1361" i="6"/>
  <c r="C1369" i="6"/>
  <c r="C1377" i="6"/>
  <c r="C1385" i="6"/>
  <c r="C1393" i="6"/>
  <c r="C1401" i="6"/>
  <c r="C1409" i="6"/>
  <c r="C1417" i="6"/>
  <c r="C1425" i="6"/>
  <c r="C1433" i="6"/>
  <c r="C1441" i="6"/>
  <c r="E1443" i="6"/>
  <c r="C1449" i="6"/>
  <c r="E1451" i="6"/>
  <c r="C1457" i="6"/>
  <c r="E1459" i="6"/>
  <c r="C1465" i="6"/>
  <c r="E1467" i="6"/>
  <c r="C1473" i="6"/>
  <c r="E1475" i="6"/>
  <c r="C1481" i="6"/>
  <c r="E1483" i="6"/>
  <c r="C1489" i="6"/>
  <c r="E1491" i="6"/>
  <c r="C1497" i="6"/>
  <c r="E1499" i="6"/>
  <c r="C1505" i="6"/>
  <c r="E1507" i="6"/>
  <c r="C1513" i="6"/>
  <c r="E1515" i="6"/>
  <c r="C1521" i="6"/>
  <c r="E1523" i="6"/>
  <c r="C1529" i="6"/>
  <c r="C1530" i="6"/>
  <c r="C1544" i="6"/>
  <c r="C1577" i="6"/>
  <c r="C1578" i="6"/>
  <c r="E1580" i="6"/>
  <c r="E1700" i="6"/>
  <c r="E1701" i="6"/>
  <c r="E1817" i="6"/>
  <c r="E1818" i="6"/>
  <c r="C1833" i="6"/>
  <c r="C1834" i="6"/>
  <c r="E1836" i="6"/>
  <c r="C1929" i="6"/>
  <c r="C1930" i="6"/>
  <c r="C1938" i="6"/>
  <c r="C1954" i="6"/>
  <c r="C2019" i="6"/>
  <c r="E2025" i="6"/>
  <c r="E2057" i="6"/>
  <c r="E2058" i="6"/>
  <c r="E2185" i="6"/>
  <c r="E2186" i="6"/>
  <c r="C2273" i="6"/>
  <c r="C2274" i="6"/>
  <c r="E1833" i="6"/>
  <c r="E1834" i="6"/>
  <c r="E1849" i="6"/>
  <c r="E1850" i="6"/>
  <c r="C2262" i="6"/>
  <c r="C2261" i="6"/>
  <c r="E2329" i="6"/>
  <c r="E2330" i="6"/>
  <c r="E1865" i="6"/>
  <c r="E1866" i="6"/>
  <c r="E1945" i="6"/>
  <c r="E1946" i="6"/>
  <c r="E1961" i="6"/>
  <c r="E1962" i="6"/>
  <c r="E1977" i="6"/>
  <c r="E1978" i="6"/>
  <c r="C2094" i="6"/>
  <c r="C2095" i="6"/>
  <c r="E1828" i="6"/>
  <c r="E1829" i="6"/>
  <c r="E1844" i="6"/>
  <c r="C1896" i="6"/>
  <c r="C1921" i="6"/>
  <c r="C1922" i="6"/>
  <c r="E1924" i="6"/>
  <c r="E1965" i="6"/>
  <c r="E2153" i="6"/>
  <c r="E2154" i="6"/>
  <c r="E1282" i="6"/>
  <c r="E1290" i="6"/>
  <c r="E1298" i="6"/>
  <c r="E1306" i="6"/>
  <c r="E1314" i="6"/>
  <c r="E1322" i="6"/>
  <c r="E1330" i="6"/>
  <c r="E1338" i="6"/>
  <c r="E1346" i="6"/>
  <c r="E1354" i="6"/>
  <c r="E1362" i="6"/>
  <c r="E1370" i="6"/>
  <c r="E1378" i="6"/>
  <c r="E1386" i="6"/>
  <c r="E1394" i="6"/>
  <c r="E1402" i="6"/>
  <c r="E1410" i="6"/>
  <c r="E1418" i="6"/>
  <c r="E1426" i="6"/>
  <c r="E1434" i="6"/>
  <c r="C1552" i="6"/>
  <c r="C1570" i="6"/>
  <c r="C1586" i="6"/>
  <c r="E1613" i="6"/>
  <c r="E1614" i="6"/>
  <c r="C1665" i="6"/>
  <c r="C1666" i="6"/>
  <c r="E1668" i="6"/>
  <c r="E1705" i="6"/>
  <c r="E1706" i="6"/>
  <c r="E1721" i="6"/>
  <c r="E1722" i="6"/>
  <c r="C1752" i="6"/>
  <c r="C1801" i="6"/>
  <c r="C1802" i="6"/>
  <c r="C1810" i="6"/>
  <c r="C1842" i="6"/>
  <c r="E1869" i="6"/>
  <c r="E1870" i="6"/>
  <c r="E1981" i="6"/>
  <c r="E1993" i="6"/>
  <c r="E1994" i="6"/>
  <c r="C2030" i="6"/>
  <c r="C2031" i="6"/>
  <c r="E2040" i="6"/>
  <c r="E2066" i="6"/>
  <c r="E2067" i="6"/>
  <c r="C1033" i="6"/>
  <c r="C1049" i="6"/>
  <c r="C1065" i="6"/>
  <c r="C1075" i="6"/>
  <c r="C1083" i="6"/>
  <c r="C1091" i="6"/>
  <c r="C1099" i="6"/>
  <c r="C1107" i="6"/>
  <c r="C1115" i="6"/>
  <c r="C1123" i="6"/>
  <c r="C1131" i="6"/>
  <c r="C1139" i="6"/>
  <c r="C1147" i="6"/>
  <c r="C1155" i="6"/>
  <c r="C1163" i="6"/>
  <c r="C1171" i="6"/>
  <c r="C1179" i="6"/>
  <c r="C1187" i="6"/>
  <c r="C1195" i="6"/>
  <c r="C1203" i="6"/>
  <c r="C1211" i="6"/>
  <c r="C1219" i="6"/>
  <c r="C1227" i="6"/>
  <c r="C1235" i="6"/>
  <c r="C1243" i="6"/>
  <c r="C1251" i="6"/>
  <c r="C1259" i="6"/>
  <c r="C1267" i="6"/>
  <c r="C1275" i="6"/>
  <c r="C1283" i="6"/>
  <c r="C1291" i="6"/>
  <c r="C1299" i="6"/>
  <c r="C1307" i="6"/>
  <c r="C1315" i="6"/>
  <c r="C1323" i="6"/>
  <c r="C1331" i="6"/>
  <c r="C1339" i="6"/>
  <c r="C1347" i="6"/>
  <c r="C1355" i="6"/>
  <c r="C1363" i="6"/>
  <c r="C1371" i="6"/>
  <c r="C1379" i="6"/>
  <c r="C1387" i="6"/>
  <c r="C1395" i="6"/>
  <c r="C1403" i="6"/>
  <c r="C1411" i="6"/>
  <c r="C1419" i="6"/>
  <c r="C1427" i="6"/>
  <c r="C1435" i="6"/>
  <c r="C1443" i="6"/>
  <c r="C1451" i="6"/>
  <c r="C1459" i="6"/>
  <c r="C1467" i="6"/>
  <c r="C1475" i="6"/>
  <c r="C1483" i="6"/>
  <c r="C1491" i="6"/>
  <c r="C1499" i="6"/>
  <c r="C1507" i="6"/>
  <c r="C1515" i="6"/>
  <c r="C1523" i="6"/>
  <c r="E1531" i="6"/>
  <c r="E1532" i="6"/>
  <c r="E1555" i="6"/>
  <c r="E1709" i="6"/>
  <c r="E1773" i="6"/>
  <c r="E1779" i="6"/>
  <c r="E1780" i="6"/>
  <c r="C1820" i="6"/>
  <c r="C1826" i="6"/>
  <c r="E1940" i="6"/>
  <c r="E1956" i="6"/>
  <c r="E1957" i="6"/>
  <c r="E1972" i="6"/>
  <c r="E2063" i="6"/>
  <c r="E2089" i="6"/>
  <c r="E1136" i="6"/>
  <c r="E1144" i="6"/>
  <c r="E1152" i="6"/>
  <c r="E1160" i="6"/>
  <c r="E1168" i="6"/>
  <c r="E1176" i="6"/>
  <c r="E1184" i="6"/>
  <c r="E1192" i="6"/>
  <c r="E1200" i="6"/>
  <c r="E1208" i="6"/>
  <c r="E1216" i="6"/>
  <c r="E1224" i="6"/>
  <c r="E1232" i="6"/>
  <c r="E1240" i="6"/>
  <c r="E1248" i="6"/>
  <c r="E1256" i="6"/>
  <c r="E1264" i="6"/>
  <c r="E1272" i="6"/>
  <c r="E1280" i="6"/>
  <c r="E1288" i="6"/>
  <c r="E1296" i="6"/>
  <c r="E1304" i="6"/>
  <c r="E1312" i="6"/>
  <c r="E1320" i="6"/>
  <c r="E1328" i="6"/>
  <c r="E1336" i="6"/>
  <c r="E1344" i="6"/>
  <c r="E1352" i="6"/>
  <c r="E1360" i="6"/>
  <c r="E1368" i="6"/>
  <c r="E1376" i="6"/>
  <c r="E1384" i="6"/>
  <c r="E1392" i="6"/>
  <c r="E1400" i="6"/>
  <c r="E1408" i="6"/>
  <c r="E1416" i="6"/>
  <c r="E1424" i="6"/>
  <c r="E1432" i="6"/>
  <c r="E1528" i="6"/>
  <c r="E1549" i="6"/>
  <c r="E1550" i="6"/>
  <c r="E1561" i="6"/>
  <c r="E1562" i="6"/>
  <c r="E1604" i="6"/>
  <c r="E1607" i="6"/>
  <c r="E1629" i="6"/>
  <c r="E1684" i="6"/>
  <c r="E1725" i="6"/>
  <c r="E1737" i="6"/>
  <c r="E1738" i="6"/>
  <c r="C1774" i="6"/>
  <c r="E1795" i="6"/>
  <c r="C1817" i="6"/>
  <c r="C1818" i="6"/>
  <c r="E1860" i="6"/>
  <c r="E1863" i="6"/>
  <c r="E1885" i="6"/>
  <c r="C1970" i="6"/>
  <c r="E1997" i="6"/>
  <c r="E1998" i="6"/>
  <c r="E2018" i="6"/>
  <c r="C2022" i="6"/>
  <c r="C2384" i="6"/>
  <c r="C2383" i="6"/>
  <c r="E1568" i="6"/>
  <c r="E1584" i="6"/>
  <c r="E1712" i="6"/>
  <c r="E1840" i="6"/>
  <c r="E1881" i="6"/>
  <c r="C1884" i="6"/>
  <c r="E1900" i="6"/>
  <c r="E1927" i="6"/>
  <c r="E1968" i="6"/>
  <c r="C1985" i="6"/>
  <c r="C1993" i="6"/>
  <c r="E2009" i="6"/>
  <c r="C2012" i="6"/>
  <c r="E2031" i="6"/>
  <c r="E2121" i="6"/>
  <c r="E2122" i="6"/>
  <c r="E2213" i="6"/>
  <c r="E2214" i="6"/>
  <c r="E2217" i="6"/>
  <c r="E2218" i="6"/>
  <c r="C2245" i="6"/>
  <c r="C2246" i="6"/>
  <c r="C2353" i="6"/>
  <c r="C2354" i="6"/>
  <c r="C2398" i="6"/>
  <c r="C2397" i="6"/>
  <c r="C2221" i="6"/>
  <c r="C2222" i="6"/>
  <c r="C2233" i="6"/>
  <c r="C2234" i="6"/>
  <c r="E2353" i="6"/>
  <c r="E2354" i="6"/>
  <c r="E2249" i="6"/>
  <c r="E2250" i="6"/>
  <c r="C2333" i="6"/>
  <c r="C2334" i="6"/>
  <c r="C2346" i="6"/>
  <c r="C2345" i="6"/>
  <c r="C2410" i="6"/>
  <c r="C2409" i="6"/>
  <c r="C2524" i="6"/>
  <c r="C2523" i="6"/>
  <c r="C2755" i="6"/>
  <c r="C2756" i="6"/>
  <c r="E2101" i="6"/>
  <c r="C2111" i="6"/>
  <c r="E2114" i="6"/>
  <c r="E2144" i="6"/>
  <c r="E2145" i="6"/>
  <c r="E2176" i="6"/>
  <c r="E2177" i="6"/>
  <c r="C2212" i="6"/>
  <c r="C2315" i="6"/>
  <c r="C2316" i="6"/>
  <c r="C2327" i="6"/>
  <c r="C2377" i="6"/>
  <c r="E2387" i="6"/>
  <c r="C2517" i="6"/>
  <c r="C2518" i="6"/>
  <c r="C2539" i="6"/>
  <c r="C1537" i="6"/>
  <c r="E1591" i="6"/>
  <c r="C1608" i="6"/>
  <c r="C1630" i="6"/>
  <c r="E1632" i="6"/>
  <c r="E1635" i="6"/>
  <c r="C1649" i="6"/>
  <c r="C1657" i="6"/>
  <c r="E1673" i="6"/>
  <c r="C1676" i="6"/>
  <c r="E1692" i="6"/>
  <c r="E1719" i="6"/>
  <c r="C1736" i="6"/>
  <c r="C1758" i="6"/>
  <c r="E1760" i="6"/>
  <c r="E1763" i="6"/>
  <c r="C1777" i="6"/>
  <c r="C1785" i="6"/>
  <c r="E1801" i="6"/>
  <c r="C1804" i="6"/>
  <c r="E1820" i="6"/>
  <c r="E1847" i="6"/>
  <c r="C1864" i="6"/>
  <c r="C1886" i="6"/>
  <c r="E1888" i="6"/>
  <c r="E1891" i="6"/>
  <c r="C1905" i="6"/>
  <c r="C1913" i="6"/>
  <c r="E1929" i="6"/>
  <c r="C1932" i="6"/>
  <c r="E1948" i="6"/>
  <c r="E1975" i="6"/>
  <c r="C1992" i="6"/>
  <c r="C2014" i="6"/>
  <c r="E2016" i="6"/>
  <c r="E2033" i="6"/>
  <c r="C2037" i="6"/>
  <c r="E2072" i="6"/>
  <c r="C2115" i="6"/>
  <c r="C2145" i="6"/>
  <c r="C2158" i="6"/>
  <c r="C2159" i="6"/>
  <c r="C2177" i="6"/>
  <c r="C2190" i="6"/>
  <c r="C2191" i="6"/>
  <c r="C2206" i="6"/>
  <c r="C2247" i="6"/>
  <c r="C2260" i="6"/>
  <c r="C2259" i="6"/>
  <c r="C2295" i="6"/>
  <c r="C2382" i="6"/>
  <c r="C2381" i="6"/>
  <c r="E2505" i="6"/>
  <c r="E2506" i="6"/>
  <c r="C1527" i="6"/>
  <c r="C1532" i="6"/>
  <c r="C1550" i="6"/>
  <c r="E1552" i="6"/>
  <c r="E1570" i="6"/>
  <c r="E1575" i="6"/>
  <c r="C1592" i="6"/>
  <c r="C1614" i="6"/>
  <c r="E1616" i="6"/>
  <c r="E1619" i="6"/>
  <c r="C1633" i="6"/>
  <c r="C1641" i="6"/>
  <c r="E1657" i="6"/>
  <c r="C1660" i="6"/>
  <c r="E1676" i="6"/>
  <c r="E1703" i="6"/>
  <c r="C1720" i="6"/>
  <c r="C1742" i="6"/>
  <c r="E1744" i="6"/>
  <c r="E1747" i="6"/>
  <c r="C1761" i="6"/>
  <c r="C1769" i="6"/>
  <c r="E1785" i="6"/>
  <c r="C1788" i="6"/>
  <c r="E1804" i="6"/>
  <c r="E1831" i="6"/>
  <c r="C1848" i="6"/>
  <c r="C1870" i="6"/>
  <c r="E1872" i="6"/>
  <c r="E1875" i="6"/>
  <c r="C1889" i="6"/>
  <c r="C1897" i="6"/>
  <c r="E1913" i="6"/>
  <c r="C1916" i="6"/>
  <c r="E1932" i="6"/>
  <c r="E1959" i="6"/>
  <c r="C1976" i="6"/>
  <c r="C1998" i="6"/>
  <c r="E2000" i="6"/>
  <c r="E2003" i="6"/>
  <c r="C2017" i="6"/>
  <c r="C2055" i="6"/>
  <c r="C2085" i="6"/>
  <c r="E2108" i="6"/>
  <c r="E2133" i="6"/>
  <c r="E2165" i="6"/>
  <c r="E2197" i="6"/>
  <c r="E2206" i="6"/>
  <c r="C2307" i="6"/>
  <c r="C2492" i="6"/>
  <c r="C2491" i="6"/>
  <c r="E1527" i="6"/>
  <c r="C1535" i="6"/>
  <c r="C1545" i="6"/>
  <c r="C1553" i="6"/>
  <c r="C1576" i="6"/>
  <c r="C1598" i="6"/>
  <c r="E1600" i="6"/>
  <c r="E1603" i="6"/>
  <c r="C1617" i="6"/>
  <c r="C1625" i="6"/>
  <c r="E1641" i="6"/>
  <c r="C1644" i="6"/>
  <c r="E1660" i="6"/>
  <c r="E1687" i="6"/>
  <c r="C1704" i="6"/>
  <c r="C1726" i="6"/>
  <c r="E1728" i="6"/>
  <c r="E1731" i="6"/>
  <c r="C1745" i="6"/>
  <c r="C1753" i="6"/>
  <c r="E1769" i="6"/>
  <c r="C1772" i="6"/>
  <c r="E1788" i="6"/>
  <c r="E1815" i="6"/>
  <c r="C1832" i="6"/>
  <c r="C1854" i="6"/>
  <c r="E1856" i="6"/>
  <c r="E1859" i="6"/>
  <c r="C1873" i="6"/>
  <c r="C1881" i="6"/>
  <c r="E1897" i="6"/>
  <c r="C1900" i="6"/>
  <c r="E1916" i="6"/>
  <c r="E1943" i="6"/>
  <c r="C1960" i="6"/>
  <c r="C1982" i="6"/>
  <c r="E1984" i="6"/>
  <c r="E1987" i="6"/>
  <c r="C2001" i="6"/>
  <c r="C2009" i="6"/>
  <c r="E2034" i="6"/>
  <c r="C2038" i="6"/>
  <c r="E2064" i="6"/>
  <c r="E2082" i="6"/>
  <c r="E2085" i="6"/>
  <c r="E2105" i="6"/>
  <c r="E2106" i="6"/>
  <c r="E2131" i="6"/>
  <c r="E2130" i="6"/>
  <c r="E2163" i="6"/>
  <c r="E2162" i="6"/>
  <c r="E2195" i="6"/>
  <c r="E2194" i="6"/>
  <c r="C2281" i="6"/>
  <c r="C2293" i="6"/>
  <c r="C2368" i="6"/>
  <c r="C2367" i="6"/>
  <c r="C2431" i="6"/>
  <c r="C2446" i="6"/>
  <c r="C2445" i="6"/>
  <c r="C1583" i="6"/>
  <c r="C1599" i="6"/>
  <c r="C1615" i="6"/>
  <c r="C1631" i="6"/>
  <c r="C1647" i="6"/>
  <c r="C1663" i="6"/>
  <c r="C1679" i="6"/>
  <c r="C1695" i="6"/>
  <c r="C1711" i="6"/>
  <c r="C1727" i="6"/>
  <c r="C1743" i="6"/>
  <c r="C1759" i="6"/>
  <c r="C1775" i="6"/>
  <c r="C1791" i="6"/>
  <c r="C1807" i="6"/>
  <c r="C1823" i="6"/>
  <c r="C1839" i="6"/>
  <c r="C1855" i="6"/>
  <c r="C1871" i="6"/>
  <c r="C1887" i="6"/>
  <c r="C1903" i="6"/>
  <c r="C1919" i="6"/>
  <c r="C1935" i="6"/>
  <c r="C1951" i="6"/>
  <c r="C1967" i="6"/>
  <c r="C1983" i="6"/>
  <c r="C1999" i="6"/>
  <c r="C2015" i="6"/>
  <c r="C2060" i="6"/>
  <c r="C2078" i="6"/>
  <c r="C2126" i="6"/>
  <c r="E2137" i="6"/>
  <c r="E2138" i="6"/>
  <c r="E2169" i="6"/>
  <c r="E2170" i="6"/>
  <c r="E2201" i="6"/>
  <c r="E2202" i="6"/>
  <c r="C2213" i="6"/>
  <c r="C2249" i="6"/>
  <c r="C2269" i="6"/>
  <c r="C2283" i="6"/>
  <c r="E2297" i="6"/>
  <c r="E2298" i="6"/>
  <c r="E2305" i="6"/>
  <c r="E2306" i="6"/>
  <c r="E2317" i="6"/>
  <c r="E2318" i="6"/>
  <c r="C2393" i="6"/>
  <c r="C2447" i="6"/>
  <c r="C2462" i="6"/>
  <c r="C2461" i="6"/>
  <c r="C2430" i="6"/>
  <c r="C2429" i="6"/>
  <c r="C2504" i="6"/>
  <c r="C2503" i="6"/>
  <c r="C1541" i="6"/>
  <c r="C1557" i="6"/>
  <c r="C1573" i="6"/>
  <c r="C1589" i="6"/>
  <c r="C1605" i="6"/>
  <c r="C1621" i="6"/>
  <c r="C1637" i="6"/>
  <c r="C1653" i="6"/>
  <c r="C1669" i="6"/>
  <c r="C1685" i="6"/>
  <c r="C1701" i="6"/>
  <c r="C1717" i="6"/>
  <c r="C1733" i="6"/>
  <c r="C1749" i="6"/>
  <c r="C1765" i="6"/>
  <c r="C1781" i="6"/>
  <c r="C1797" i="6"/>
  <c r="C1813" i="6"/>
  <c r="C1829" i="6"/>
  <c r="C1845" i="6"/>
  <c r="C1861" i="6"/>
  <c r="C1877" i="6"/>
  <c r="C1893" i="6"/>
  <c r="C1909" i="6"/>
  <c r="C1925" i="6"/>
  <c r="C1941" i="6"/>
  <c r="C1957" i="6"/>
  <c r="C1973" i="6"/>
  <c r="C1989" i="6"/>
  <c r="C2005" i="6"/>
  <c r="C2026" i="6"/>
  <c r="E2028" i="6"/>
  <c r="E2046" i="6"/>
  <c r="C2049" i="6"/>
  <c r="C2067" i="6"/>
  <c r="E2069" i="6"/>
  <c r="E2087" i="6"/>
  <c r="E2092" i="6"/>
  <c r="E2103" i="6"/>
  <c r="C2117" i="6"/>
  <c r="C2142" i="6"/>
  <c r="C2143" i="6"/>
  <c r="C2174" i="6"/>
  <c r="C2175" i="6"/>
  <c r="E2230" i="6"/>
  <c r="E2296" i="6"/>
  <c r="E2310" i="6"/>
  <c r="E2388" i="6"/>
  <c r="C2485" i="6"/>
  <c r="C2486" i="6"/>
  <c r="E2494" i="6"/>
  <c r="C1539" i="6"/>
  <c r="C1555" i="6"/>
  <c r="C1571" i="6"/>
  <c r="C1587" i="6"/>
  <c r="C1603" i="6"/>
  <c r="C1619" i="6"/>
  <c r="C1635" i="6"/>
  <c r="C1651" i="6"/>
  <c r="C1667" i="6"/>
  <c r="C1683" i="6"/>
  <c r="C1699" i="6"/>
  <c r="C1715" i="6"/>
  <c r="C1731" i="6"/>
  <c r="C1747" i="6"/>
  <c r="C1763" i="6"/>
  <c r="C1779" i="6"/>
  <c r="C1795" i="6"/>
  <c r="C1811" i="6"/>
  <c r="C1827" i="6"/>
  <c r="C1843" i="6"/>
  <c r="C1859" i="6"/>
  <c r="C1875" i="6"/>
  <c r="C1891" i="6"/>
  <c r="C1907" i="6"/>
  <c r="C1923" i="6"/>
  <c r="C1939" i="6"/>
  <c r="C1955" i="6"/>
  <c r="C1971" i="6"/>
  <c r="C1987" i="6"/>
  <c r="C2003" i="6"/>
  <c r="E2021" i="6"/>
  <c r="C2044" i="6"/>
  <c r="C2052" i="6"/>
  <c r="C2062" i="6"/>
  <c r="C2070" i="6"/>
  <c r="C2101" i="6"/>
  <c r="E2117" i="6"/>
  <c r="C2131" i="6"/>
  <c r="E2142" i="6"/>
  <c r="E2151" i="6"/>
  <c r="C2163" i="6"/>
  <c r="E2174" i="6"/>
  <c r="E2183" i="6"/>
  <c r="C2195" i="6"/>
  <c r="C2204" i="6"/>
  <c r="C2205" i="6"/>
  <c r="C2219" i="6"/>
  <c r="C2225" i="6"/>
  <c r="C2226" i="6"/>
  <c r="C2237" i="6"/>
  <c r="E2262" i="6"/>
  <c r="C2291" i="6"/>
  <c r="C2292" i="6"/>
  <c r="C2325" i="6"/>
  <c r="C2326" i="6"/>
  <c r="E2345" i="6"/>
  <c r="E2346" i="6"/>
  <c r="C2361" i="6"/>
  <c r="E2371" i="6"/>
  <c r="C2414" i="6"/>
  <c r="C2413" i="6"/>
  <c r="C2463" i="6"/>
  <c r="E2128" i="6"/>
  <c r="C2149" i="6"/>
  <c r="E2160" i="6"/>
  <c r="C2181" i="6"/>
  <c r="E2192" i="6"/>
  <c r="C2216" i="6"/>
  <c r="C2217" i="6"/>
  <c r="E2240" i="6"/>
  <c r="C2257" i="6"/>
  <c r="C2258" i="6"/>
  <c r="E2271" i="6"/>
  <c r="E2272" i="6"/>
  <c r="E2274" i="6"/>
  <c r="E2288" i="6"/>
  <c r="C2305" i="6"/>
  <c r="C2306" i="6"/>
  <c r="C2344" i="6"/>
  <c r="C2343" i="6"/>
  <c r="E2361" i="6"/>
  <c r="C2366" i="6"/>
  <c r="C2365" i="6"/>
  <c r="C2134" i="6"/>
  <c r="C2150" i="6"/>
  <c r="C2166" i="6"/>
  <c r="C2182" i="6"/>
  <c r="C2198" i="6"/>
  <c r="E2207" i="6"/>
  <c r="E2231" i="6"/>
  <c r="E2265" i="6"/>
  <c r="E2277" i="6"/>
  <c r="C2358" i="6"/>
  <c r="C2357" i="6"/>
  <c r="C2374" i="6"/>
  <c r="C2373" i="6"/>
  <c r="C2390" i="6"/>
  <c r="C2389" i="6"/>
  <c r="C2406" i="6"/>
  <c r="C2405" i="6"/>
  <c r="C2422" i="6"/>
  <c r="C2421" i="6"/>
  <c r="C2438" i="6"/>
  <c r="C2437" i="6"/>
  <c r="C2454" i="6"/>
  <c r="C2453" i="6"/>
  <c r="C2470" i="6"/>
  <c r="C2469" i="6"/>
  <c r="E2565" i="6"/>
  <c r="E2566" i="6"/>
  <c r="E2815" i="6"/>
  <c r="E2814" i="6"/>
  <c r="C2108" i="6"/>
  <c r="C2124" i="6"/>
  <c r="C2140" i="6"/>
  <c r="C2156" i="6"/>
  <c r="C2172" i="6"/>
  <c r="C2188" i="6"/>
  <c r="C2209" i="6"/>
  <c r="E2223" i="6"/>
  <c r="E2247" i="6"/>
  <c r="E2252" i="6"/>
  <c r="E2257" i="6"/>
  <c r="E2269" i="6"/>
  <c r="E2281" i="6"/>
  <c r="E2293" i="6"/>
  <c r="E2325" i="6"/>
  <c r="E2348" i="6"/>
  <c r="E2365" i="6"/>
  <c r="E2368" i="6"/>
  <c r="E2384" i="6"/>
  <c r="E2400" i="6"/>
  <c r="E2416" i="6"/>
  <c r="E2432" i="6"/>
  <c r="E2448" i="6"/>
  <c r="E2473" i="6"/>
  <c r="E2474" i="6"/>
  <c r="C2533" i="6"/>
  <c r="C2534" i="6"/>
  <c r="E2743" i="6"/>
  <c r="C2042" i="6"/>
  <c r="C2058" i="6"/>
  <c r="C2074" i="6"/>
  <c r="C2090" i="6"/>
  <c r="C2106" i="6"/>
  <c r="C2122" i="6"/>
  <c r="C2138" i="6"/>
  <c r="C2154" i="6"/>
  <c r="C2170" i="6"/>
  <c r="C2186" i="6"/>
  <c r="E2204" i="6"/>
  <c r="E2209" i="6"/>
  <c r="E2221" i="6"/>
  <c r="E2233" i="6"/>
  <c r="E2245" i="6"/>
  <c r="C2279" i="6"/>
  <c r="E2303" i="6"/>
  <c r="E2320" i="6"/>
  <c r="E2333" i="6"/>
  <c r="C2359" i="6"/>
  <c r="E2362" i="6"/>
  <c r="C2375" i="6"/>
  <c r="E2378" i="6"/>
  <c r="C2391" i="6"/>
  <c r="E2394" i="6"/>
  <c r="C2407" i="6"/>
  <c r="E2410" i="6"/>
  <c r="C2423" i="6"/>
  <c r="E2426" i="6"/>
  <c r="C2439" i="6"/>
  <c r="E2442" i="6"/>
  <c r="C2455" i="6"/>
  <c r="C2471" i="6"/>
  <c r="E2521" i="6"/>
  <c r="E2522" i="6"/>
  <c r="C2538" i="6"/>
  <c r="C2537" i="6"/>
  <c r="E2629" i="6"/>
  <c r="E2630" i="6"/>
  <c r="E2682" i="6"/>
  <c r="E2681" i="6"/>
  <c r="C2024" i="6"/>
  <c r="C2040" i="6"/>
  <c r="C2056" i="6"/>
  <c r="C2072" i="6"/>
  <c r="C2088" i="6"/>
  <c r="C2104" i="6"/>
  <c r="C2120" i="6"/>
  <c r="C2136" i="6"/>
  <c r="C2152" i="6"/>
  <c r="C2168" i="6"/>
  <c r="C2184" i="6"/>
  <c r="C2200" i="6"/>
  <c r="C2231" i="6"/>
  <c r="E2255" i="6"/>
  <c r="E2279" i="6"/>
  <c r="E2284" i="6"/>
  <c r="E2289" i="6"/>
  <c r="E2301" i="6"/>
  <c r="E2313" i="6"/>
  <c r="E2341" i="6"/>
  <c r="E2359" i="6"/>
  <c r="C2364" i="6"/>
  <c r="C2363" i="6"/>
  <c r="C2369" i="6"/>
  <c r="E2375" i="6"/>
  <c r="C2385" i="6"/>
  <c r="E2391" i="6"/>
  <c r="C2401" i="6"/>
  <c r="E2407" i="6"/>
  <c r="C2519" i="6"/>
  <c r="E2597" i="6"/>
  <c r="E2598" i="6"/>
  <c r="C2650" i="6"/>
  <c r="E2419" i="6"/>
  <c r="E2427" i="6"/>
  <c r="E2435" i="6"/>
  <c r="E2443" i="6"/>
  <c r="E2451" i="6"/>
  <c r="E2459" i="6"/>
  <c r="E2467" i="6"/>
  <c r="E2749" i="6"/>
  <c r="E2750" i="6"/>
  <c r="E2327" i="6"/>
  <c r="E2343" i="6"/>
  <c r="E2480" i="6"/>
  <c r="E2540" i="6"/>
  <c r="E2737" i="6"/>
  <c r="E2738" i="6"/>
  <c r="C2747" i="6"/>
  <c r="E2373" i="6"/>
  <c r="E2381" i="6"/>
  <c r="E2389" i="6"/>
  <c r="E2397" i="6"/>
  <c r="E2405" i="6"/>
  <c r="E2413" i="6"/>
  <c r="E2421" i="6"/>
  <c r="E2429" i="6"/>
  <c r="E2437" i="6"/>
  <c r="E2445" i="6"/>
  <c r="E2453" i="6"/>
  <c r="E2461" i="6"/>
  <c r="E2469" i="6"/>
  <c r="C2475" i="6"/>
  <c r="C2489" i="6"/>
  <c r="E2492" i="6"/>
  <c r="E2526" i="6"/>
  <c r="E2537" i="6"/>
  <c r="E2538" i="6"/>
  <c r="C2552" i="6"/>
  <c r="C2553" i="6"/>
  <c r="C2577" i="6"/>
  <c r="C2578" i="6"/>
  <c r="C2584" i="6"/>
  <c r="C2585" i="6"/>
  <c r="C2609" i="6"/>
  <c r="C2610" i="6"/>
  <c r="C2616" i="6"/>
  <c r="C2617" i="6"/>
  <c r="C2641" i="6"/>
  <c r="C2642" i="6"/>
  <c r="C2648" i="6"/>
  <c r="C2649" i="6"/>
  <c r="E2696" i="6"/>
  <c r="E2695" i="6"/>
  <c r="E2705" i="6"/>
  <c r="E2706" i="6"/>
  <c r="E2211" i="6"/>
  <c r="E2227" i="6"/>
  <c r="E2243" i="6"/>
  <c r="E2259" i="6"/>
  <c r="E2275" i="6"/>
  <c r="E2291" i="6"/>
  <c r="E2307" i="6"/>
  <c r="E2323" i="6"/>
  <c r="E2339" i="6"/>
  <c r="E2355" i="6"/>
  <c r="C2371" i="6"/>
  <c r="C2379" i="6"/>
  <c r="C2387" i="6"/>
  <c r="C2395" i="6"/>
  <c r="C2403" i="6"/>
  <c r="C2411" i="6"/>
  <c r="C2419" i="6"/>
  <c r="C2427" i="6"/>
  <c r="C2435" i="6"/>
  <c r="C2443" i="6"/>
  <c r="C2451" i="6"/>
  <c r="C2459" i="6"/>
  <c r="C2467" i="6"/>
  <c r="E2478" i="6"/>
  <c r="E2489" i="6"/>
  <c r="E2490" i="6"/>
  <c r="C2501" i="6"/>
  <c r="C2502" i="6"/>
  <c r="E2512" i="6"/>
  <c r="C2535" i="6"/>
  <c r="C2677" i="6"/>
  <c r="C2678" i="6"/>
  <c r="E2702" i="6"/>
  <c r="C2706" i="6"/>
  <c r="E2481" i="6"/>
  <c r="E2497" i="6"/>
  <c r="E2513" i="6"/>
  <c r="E2529" i="6"/>
  <c r="E2545" i="6"/>
  <c r="C2548" i="6"/>
  <c r="C2568" i="6"/>
  <c r="E2588" i="6"/>
  <c r="C2600" i="6"/>
  <c r="E2620" i="6"/>
  <c r="C2632" i="6"/>
  <c r="E2652" i="6"/>
  <c r="C2661" i="6"/>
  <c r="C2662" i="6"/>
  <c r="E2664" i="6"/>
  <c r="E2665" i="6"/>
  <c r="C2771" i="6"/>
  <c r="C2772" i="6"/>
  <c r="C2803" i="6"/>
  <c r="C2804" i="6"/>
  <c r="E2806" i="6"/>
  <c r="E2471" i="6"/>
  <c r="E2487" i="6"/>
  <c r="E2503" i="6"/>
  <c r="E2519" i="6"/>
  <c r="E2535" i="6"/>
  <c r="E2549" i="6"/>
  <c r="E2552" i="6"/>
  <c r="C2561" i="6"/>
  <c r="C2562" i="6"/>
  <c r="C2564" i="6"/>
  <c r="C2573" i="6"/>
  <c r="E2584" i="6"/>
  <c r="C2593" i="6"/>
  <c r="C2594" i="6"/>
  <c r="C2596" i="6"/>
  <c r="C2605" i="6"/>
  <c r="E2616" i="6"/>
  <c r="C2625" i="6"/>
  <c r="C2626" i="6"/>
  <c r="C2628" i="6"/>
  <c r="C2637" i="6"/>
  <c r="E2648" i="6"/>
  <c r="C2657" i="6"/>
  <c r="C2658" i="6"/>
  <c r="C2660" i="6"/>
  <c r="C2670" i="6"/>
  <c r="C2738" i="6"/>
  <c r="E2783" i="6"/>
  <c r="E2782" i="6"/>
  <c r="E2485" i="6"/>
  <c r="E2501" i="6"/>
  <c r="E2517" i="6"/>
  <c r="E2533" i="6"/>
  <c r="C2550" i="6"/>
  <c r="C2570" i="6"/>
  <c r="E2581" i="6"/>
  <c r="E2582" i="6"/>
  <c r="C2602" i="6"/>
  <c r="E2613" i="6"/>
  <c r="E2614" i="6"/>
  <c r="C2634" i="6"/>
  <c r="E2645" i="6"/>
  <c r="E2646" i="6"/>
  <c r="C2667" i="6"/>
  <c r="C2668" i="6"/>
  <c r="C2685" i="6"/>
  <c r="C2686" i="6"/>
  <c r="E2734" i="6"/>
  <c r="E2483" i="6"/>
  <c r="E2499" i="6"/>
  <c r="E2515" i="6"/>
  <c r="E2531" i="6"/>
  <c r="C2559" i="6"/>
  <c r="E2570" i="6"/>
  <c r="C2582" i="6"/>
  <c r="C2591" i="6"/>
  <c r="E2602" i="6"/>
  <c r="C2614" i="6"/>
  <c r="C2623" i="6"/>
  <c r="E2634" i="6"/>
  <c r="C2646" i="6"/>
  <c r="C2655" i="6"/>
  <c r="C2698" i="6"/>
  <c r="E2557" i="6"/>
  <c r="E2573" i="6"/>
  <c r="E2589" i="6"/>
  <c r="E2605" i="6"/>
  <c r="E2621" i="6"/>
  <c r="E2637" i="6"/>
  <c r="E2653" i="6"/>
  <c r="E2785" i="6"/>
  <c r="E2786" i="6"/>
  <c r="E2817" i="6"/>
  <c r="E2818" i="6"/>
  <c r="C2819" i="6"/>
  <c r="C2820" i="6"/>
  <c r="E2822" i="6"/>
  <c r="E2547" i="6"/>
  <c r="E2563" i="6"/>
  <c r="E2579" i="6"/>
  <c r="E2595" i="6"/>
  <c r="E2611" i="6"/>
  <c r="E2627" i="6"/>
  <c r="E2643" i="6"/>
  <c r="E2659" i="6"/>
  <c r="E2677" i="6"/>
  <c r="C2680" i="6"/>
  <c r="C2710" i="6"/>
  <c r="C2800" i="6"/>
  <c r="E2561" i="6"/>
  <c r="E2577" i="6"/>
  <c r="E2593" i="6"/>
  <c r="E2609" i="6"/>
  <c r="E2625" i="6"/>
  <c r="E2641" i="6"/>
  <c r="E2657" i="6"/>
  <c r="C2675" i="6"/>
  <c r="C2683" i="6"/>
  <c r="E2698" i="6"/>
  <c r="E2727" i="6"/>
  <c r="C2739" i="6"/>
  <c r="E2759" i="6"/>
  <c r="E2791" i="6"/>
  <c r="E2559" i="6"/>
  <c r="E2575" i="6"/>
  <c r="E2591" i="6"/>
  <c r="E2607" i="6"/>
  <c r="E2623" i="6"/>
  <c r="E2639" i="6"/>
  <c r="E2655" i="6"/>
  <c r="E2670" i="6"/>
  <c r="E2675" i="6"/>
  <c r="C2691" i="6"/>
  <c r="E2701" i="6"/>
  <c r="C2722" i="6"/>
  <c r="E2733" i="6"/>
  <c r="C2736" i="6"/>
  <c r="E2788" i="6"/>
  <c r="E2772" i="6"/>
  <c r="C2787" i="6"/>
  <c r="C2788" i="6"/>
  <c r="C2758" i="6"/>
  <c r="E2763" i="6"/>
  <c r="E2774" i="6"/>
  <c r="C2786" i="6"/>
  <c r="E2797" i="6"/>
  <c r="C2816" i="6"/>
  <c r="C2673" i="6"/>
  <c r="C2689" i="6"/>
  <c r="C2694" i="6"/>
  <c r="C2699" i="6"/>
  <c r="E2717" i="6"/>
  <c r="C2720" i="6"/>
  <c r="C2723" i="6"/>
  <c r="C2731" i="6"/>
  <c r="C2742" i="6"/>
  <c r="E2747" i="6"/>
  <c r="E2758" i="6"/>
  <c r="C2671" i="6"/>
  <c r="C2687" i="6"/>
  <c r="E2689" i="6"/>
  <c r="C2704" i="6"/>
  <c r="C2707" i="6"/>
  <c r="C2715" i="6"/>
  <c r="C2726" i="6"/>
  <c r="E2731" i="6"/>
  <c r="E2742" i="6"/>
  <c r="E2769" i="6"/>
  <c r="E2795" i="6"/>
  <c r="C2711" i="6"/>
  <c r="C2727" i="6"/>
  <c r="C2743" i="6"/>
  <c r="C2759" i="6"/>
  <c r="C2775" i="6"/>
  <c r="C2791" i="6"/>
  <c r="C2807" i="6"/>
  <c r="C2823" i="6"/>
  <c r="C2839" i="6"/>
  <c r="C2855" i="6"/>
  <c r="E2834" i="6"/>
  <c r="E2850" i="6"/>
  <c r="E2830" i="6"/>
  <c r="E2846" i="6"/>
  <c r="C2701" i="6"/>
  <c r="C2717" i="6"/>
  <c r="C2733" i="6"/>
  <c r="C2749" i="6"/>
  <c r="C2765" i="6"/>
  <c r="C2781" i="6"/>
  <c r="C2797" i="6"/>
  <c r="C2813" i="6"/>
  <c r="C2829" i="6"/>
  <c r="C2845" i="6"/>
  <c r="C2779" i="6"/>
  <c r="C2795" i="6"/>
  <c r="C2811" i="6"/>
  <c r="C2827" i="6"/>
  <c r="C2836" i="6"/>
  <c r="C2843" i="6"/>
  <c r="C2852" i="6"/>
  <c r="C2713" i="6"/>
  <c r="C2729" i="6"/>
  <c r="C2745" i="6"/>
  <c r="C2761" i="6"/>
  <c r="C2777" i="6"/>
  <c r="C2793" i="6"/>
  <c r="C2809" i="6"/>
  <c r="C2825" i="6"/>
  <c r="C2841" i="6"/>
  <c r="C227" i="8" l="1"/>
  <c r="D983" i="5"/>
  <c r="C207" i="8"/>
  <c r="D963" i="5"/>
  <c r="C143" i="8"/>
  <c r="D899" i="5"/>
  <c r="C79" i="8"/>
  <c r="D835" i="5"/>
  <c r="C15" i="8"/>
  <c r="D771" i="5"/>
  <c r="C231" i="8"/>
  <c r="D987" i="5"/>
  <c r="D986" i="5"/>
  <c r="C193" i="8"/>
  <c r="D949" i="5"/>
  <c r="C129" i="8"/>
  <c r="D885" i="5"/>
  <c r="C65" i="8"/>
  <c r="D821" i="5"/>
  <c r="D961" i="5"/>
  <c r="D676" i="5"/>
  <c r="D420" i="5"/>
  <c r="D353" i="5"/>
  <c r="D203" i="5"/>
  <c r="D147" i="5"/>
  <c r="D747" i="5"/>
  <c r="D491" i="5"/>
  <c r="D337" i="5"/>
  <c r="D436" i="5"/>
  <c r="D252" i="5"/>
  <c r="D897" i="5"/>
  <c r="D801" i="5"/>
  <c r="D577" i="5"/>
  <c r="D338" i="5"/>
  <c r="D352" i="5"/>
  <c r="D155" i="5"/>
  <c r="D132" i="5"/>
  <c r="C225" i="8"/>
  <c r="D981" i="5"/>
  <c r="D755" i="5"/>
  <c r="C184" i="8"/>
  <c r="D940" i="5"/>
  <c r="C120" i="8"/>
  <c r="D876" i="5"/>
  <c r="C56" i="8"/>
  <c r="D812" i="5"/>
  <c r="D962" i="5"/>
  <c r="D666" i="5"/>
  <c r="D410" i="5"/>
  <c r="D348" i="5"/>
  <c r="D202" i="5"/>
  <c r="D4" i="5"/>
  <c r="D281" i="5"/>
  <c r="D874" i="5"/>
  <c r="D820" i="5"/>
  <c r="D714" i="5"/>
  <c r="D948" i="5"/>
  <c r="D898" i="5"/>
  <c r="D737" i="5"/>
  <c r="D578" i="5"/>
  <c r="D481" i="5"/>
  <c r="D321" i="5"/>
  <c r="D224" i="5"/>
  <c r="D241" i="5"/>
  <c r="D311" i="5"/>
  <c r="C219" i="8"/>
  <c r="D975" i="5"/>
  <c r="C191" i="8"/>
  <c r="D947" i="5"/>
  <c r="C127" i="8"/>
  <c r="D883" i="5"/>
  <c r="C63" i="8"/>
  <c r="D819" i="5"/>
  <c r="C202" i="8"/>
  <c r="D958" i="5"/>
  <c r="C177" i="8"/>
  <c r="D933" i="5"/>
  <c r="C113" i="8"/>
  <c r="D869" i="5"/>
  <c r="C49" i="8"/>
  <c r="D805" i="5"/>
  <c r="D740" i="5"/>
  <c r="D484" i="5"/>
  <c r="D255" i="5"/>
  <c r="D3" i="5"/>
  <c r="D555" i="5"/>
  <c r="D882" i="5"/>
  <c r="D945" i="5"/>
  <c r="D692" i="5"/>
  <c r="D667" i="5"/>
  <c r="D539" i="5"/>
  <c r="D411" i="5"/>
  <c r="D738" i="5"/>
  <c r="D641" i="5"/>
  <c r="D482" i="5"/>
  <c r="D219" i="5"/>
  <c r="D377" i="5"/>
  <c r="D564" i="5"/>
  <c r="D171" i="5"/>
  <c r="C186" i="8"/>
  <c r="D942" i="5"/>
  <c r="C168" i="8"/>
  <c r="D924" i="5"/>
  <c r="C104" i="8"/>
  <c r="D860" i="5"/>
  <c r="C40" i="8"/>
  <c r="D796" i="5"/>
  <c r="D957" i="5"/>
  <c r="D730" i="5"/>
  <c r="D474" i="5"/>
  <c r="D5" i="5"/>
  <c r="D273" i="5"/>
  <c r="D817" i="5"/>
  <c r="D753" i="5"/>
  <c r="D625" i="5"/>
  <c r="D497" i="5"/>
  <c r="D320" i="5"/>
  <c r="D946" i="5"/>
  <c r="D682" i="5"/>
  <c r="D833" i="5"/>
  <c r="D642" i="5"/>
  <c r="D545" i="5"/>
  <c r="D449" i="5"/>
  <c r="D313" i="5"/>
  <c r="D123" i="5"/>
  <c r="D500" i="5"/>
  <c r="C247" i="8"/>
  <c r="D1003" i="5"/>
  <c r="C175" i="8"/>
  <c r="D931" i="5"/>
  <c r="C111" i="8"/>
  <c r="D867" i="5"/>
  <c r="C47" i="8"/>
  <c r="D803" i="5"/>
  <c r="D347" i="5"/>
  <c r="D859" i="5"/>
  <c r="D1002" i="5"/>
  <c r="C161" i="8"/>
  <c r="D917" i="5"/>
  <c r="C97" i="8"/>
  <c r="D853" i="5"/>
  <c r="C33" i="8"/>
  <c r="D789" i="5"/>
  <c r="D548" i="5"/>
  <c r="D383" i="5"/>
  <c r="D242" i="5"/>
  <c r="D426" i="5"/>
  <c r="D154" i="5"/>
  <c r="D619" i="5"/>
  <c r="D375" i="5"/>
  <c r="D140" i="5"/>
  <c r="D172" i="5"/>
  <c r="D913" i="5"/>
  <c r="D818" i="5"/>
  <c r="D754" i="5"/>
  <c r="D626" i="5"/>
  <c r="D498" i="5"/>
  <c r="D380" i="5"/>
  <c r="D287" i="5"/>
  <c r="D522" i="5"/>
  <c r="D139" i="5"/>
  <c r="D660" i="5"/>
  <c r="D930" i="5"/>
  <c r="D834" i="5"/>
  <c r="D705" i="5"/>
  <c r="D450" i="5"/>
  <c r="D305" i="5"/>
  <c r="D458" i="5"/>
  <c r="D316" i="5"/>
  <c r="C241" i="8"/>
  <c r="D997" i="5"/>
  <c r="C213" i="8"/>
  <c r="D968" i="5"/>
  <c r="D969" i="5"/>
  <c r="D691" i="5"/>
  <c r="D563" i="5"/>
  <c r="D435" i="5"/>
  <c r="D996" i="5"/>
  <c r="D973" i="5"/>
  <c r="C152" i="8"/>
  <c r="D908" i="5"/>
  <c r="C88" i="8"/>
  <c r="D844" i="5"/>
  <c r="C24" i="8"/>
  <c r="D780" i="5"/>
  <c r="D932" i="5"/>
  <c r="D858" i="5"/>
  <c r="D804" i="5"/>
  <c r="D708" i="5"/>
  <c r="D538" i="5"/>
  <c r="D452" i="5"/>
  <c r="D378" i="5"/>
  <c r="D247" i="5"/>
  <c r="D148" i="5"/>
  <c r="D306" i="5"/>
  <c r="D523" i="5"/>
  <c r="D131" i="5"/>
  <c r="D721" i="5"/>
  <c r="D593" i="5"/>
  <c r="D465" i="5"/>
  <c r="D282" i="5"/>
  <c r="D974" i="5"/>
  <c r="D941" i="5"/>
  <c r="D938" i="5"/>
  <c r="D884" i="5"/>
  <c r="D810" i="5"/>
  <c r="D756" i="5"/>
  <c r="D650" i="5"/>
  <c r="D865" i="5"/>
  <c r="D769" i="5"/>
  <c r="D706" i="5"/>
  <c r="D609" i="5"/>
  <c r="D288" i="5"/>
  <c r="D187" i="5"/>
  <c r="D374" i="5"/>
  <c r="D278" i="5"/>
  <c r="C211" i="8"/>
  <c r="D967" i="5"/>
  <c r="C159" i="8"/>
  <c r="D915" i="5"/>
  <c r="C95" i="8"/>
  <c r="D851" i="5"/>
  <c r="C31" i="8"/>
  <c r="D787" i="5"/>
  <c r="D675" i="5"/>
  <c r="D547" i="5"/>
  <c r="D419" i="5"/>
  <c r="C232" i="8"/>
  <c r="D988" i="5"/>
  <c r="D251" i="5"/>
  <c r="D982" i="5"/>
  <c r="C145" i="8"/>
  <c r="D901" i="5"/>
  <c r="C81" i="8"/>
  <c r="D837" i="5"/>
  <c r="C17" i="8"/>
  <c r="F6" i="8" s="1"/>
  <c r="D773" i="5"/>
  <c r="D612" i="5"/>
  <c r="D310" i="5"/>
  <c r="D220" i="5"/>
  <c r="D212" i="5"/>
  <c r="D683" i="5"/>
  <c r="D427" i="5"/>
  <c r="D256" i="5"/>
  <c r="D554" i="5"/>
  <c r="D849" i="5"/>
  <c r="D722" i="5"/>
  <c r="D594" i="5"/>
  <c r="D466" i="5"/>
  <c r="D274" i="5"/>
  <c r="D468" i="5"/>
  <c r="D746" i="5"/>
  <c r="D628" i="5"/>
  <c r="D731" i="5"/>
  <c r="D603" i="5"/>
  <c r="D475" i="5"/>
  <c r="D979" i="5"/>
  <c r="D6" i="5"/>
  <c r="D770" i="5"/>
  <c r="D610" i="5"/>
  <c r="D513" i="5"/>
  <c r="D418" i="5"/>
  <c r="D279" i="5"/>
  <c r="D178" i="5"/>
  <c r="D223" i="5"/>
  <c r="C229" i="8"/>
  <c r="D985" i="5"/>
  <c r="C209" i="8"/>
  <c r="D965" i="5"/>
  <c r="D659" i="5"/>
  <c r="D531" i="5"/>
  <c r="D403" i="5"/>
  <c r="D939" i="5"/>
  <c r="D811" i="5"/>
  <c r="C200" i="8"/>
  <c r="D956" i="5"/>
  <c r="C136" i="8"/>
  <c r="D892" i="5"/>
  <c r="C72" i="8"/>
  <c r="D828" i="5"/>
  <c r="C8" i="8"/>
  <c r="D764" i="5"/>
  <c r="D890" i="5"/>
  <c r="D836" i="5"/>
  <c r="D762" i="5"/>
  <c r="D602" i="5"/>
  <c r="D516" i="5"/>
  <c r="D188" i="5"/>
  <c r="D587" i="5"/>
  <c r="D345" i="5"/>
  <c r="D490" i="5"/>
  <c r="D850" i="5"/>
  <c r="D689" i="5"/>
  <c r="D561" i="5"/>
  <c r="D433" i="5"/>
  <c r="D916" i="5"/>
  <c r="D842" i="5"/>
  <c r="D788" i="5"/>
  <c r="D618" i="5"/>
  <c r="D980" i="5"/>
  <c r="D866" i="5"/>
  <c r="D673" i="5"/>
  <c r="D514" i="5"/>
  <c r="D346" i="5"/>
  <c r="D246" i="5"/>
  <c r="D163" i="5"/>
</calcChain>
</file>

<file path=xl/sharedStrings.xml><?xml version="1.0" encoding="utf-8"?>
<sst xmlns="http://schemas.openxmlformats.org/spreadsheetml/2006/main" count="149" uniqueCount="108">
  <si>
    <t>Job Market</t>
  </si>
  <si>
    <t>Definition</t>
  </si>
  <si>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</si>
  <si>
    <t>Process / TO DO LIST</t>
  </si>
  <si>
    <t>Summary</t>
  </si>
  <si>
    <t>TO DO LIST</t>
  </si>
  <si>
    <t>Comments</t>
  </si>
  <si>
    <t>Database</t>
  </si>
  <si>
    <t>U.S. Job Market</t>
  </si>
  <si>
    <t>Create data on Fred</t>
  </si>
  <si>
    <t>https://research.stlouisfed.org/useraccount/datalists</t>
  </si>
  <si>
    <t>Last</t>
  </si>
  <si>
    <t>Var.</t>
  </si>
  <si>
    <t>CIVPART</t>
  </si>
  <si>
    <t>Civilian Labor Force Participation Rate</t>
  </si>
  <si>
    <t>NFP</t>
  </si>
  <si>
    <t>PAYEMS</t>
  </si>
  <si>
    <t>All Employees: Total Nonfarm Payrolls</t>
  </si>
  <si>
    <t>Unemployment Rate</t>
  </si>
  <si>
    <t>UNRATE</t>
  </si>
  <si>
    <t>Civilian Unemployment Rate</t>
  </si>
  <si>
    <t>Participation Rate</t>
  </si>
  <si>
    <t>CCSA</t>
  </si>
  <si>
    <t>Continued Claims (Insured Unemployment)</t>
  </si>
  <si>
    <t>ICSA</t>
  </si>
  <si>
    <t>Initial Claims</t>
  </si>
  <si>
    <t>Copy Monthly in Database A:C</t>
  </si>
  <si>
    <t>Copy Weekly, Ending Saturday in Database F:H</t>
  </si>
  <si>
    <t>https://data.oecd.org/unemp/harmonised-unemployment-rate-hur.htm#indicator-chart</t>
  </si>
  <si>
    <t>World Job data</t>
  </si>
  <si>
    <t>Table</t>
  </si>
  <si>
    <t>monthly</t>
  </si>
  <si>
    <t>from beginning</t>
  </si>
  <si>
    <t>download</t>
  </si>
  <si>
    <t>https://tradingeconomics.com/country-list/unemployment-rate</t>
  </si>
  <si>
    <t>Other data</t>
  </si>
  <si>
    <t>DATE</t>
  </si>
  <si>
    <t>ADP</t>
  </si>
  <si>
    <t>All Employees: Total Nonfarm Payrolls, Thousands of Persons, Monthly, Seasonally Adjusted</t>
  </si>
  <si>
    <t>Max</t>
  </si>
  <si>
    <t>Min</t>
  </si>
  <si>
    <t>Average</t>
  </si>
  <si>
    <t>Avg. since 2010</t>
  </si>
  <si>
    <t>Frequency: Monthly</t>
  </si>
  <si>
    <t>Date</t>
  </si>
  <si>
    <t>Monthly Change in k</t>
  </si>
  <si>
    <t>3 months average</t>
  </si>
  <si>
    <t>Continued Claims</t>
  </si>
  <si>
    <t xml:space="preserve">Var. </t>
  </si>
  <si>
    <t>http://www.adpemploymentreport.com/</t>
  </si>
  <si>
    <t>https://tradingeconomics.com/united-states/adp-employment-change</t>
  </si>
  <si>
    <t>https://uk.investing.com/economic-calendar/adp-nonfarm-employment-change-1</t>
  </si>
  <si>
    <t xml:space="preserve">ADP </t>
  </si>
  <si>
    <t>AUS</t>
  </si>
  <si>
    <t>AUT</t>
  </si>
  <si>
    <t>BEL</t>
  </si>
  <si>
    <t>CAN</t>
  </si>
  <si>
    <t>CHL</t>
  </si>
  <si>
    <t>CZE</t>
  </si>
  <si>
    <t>DEU</t>
  </si>
  <si>
    <t>DNK</t>
  </si>
  <si>
    <t>ESP</t>
  </si>
  <si>
    <t>EST</t>
  </si>
  <si>
    <t>FIN</t>
  </si>
  <si>
    <t>FRA</t>
  </si>
  <si>
    <t>GBR</t>
  </si>
  <si>
    <t>GRC</t>
  </si>
  <si>
    <t>HUN</t>
  </si>
  <si>
    <t>IRL</t>
  </si>
  <si>
    <t>ISL</t>
  </si>
  <si>
    <t>ISR</t>
  </si>
  <si>
    <t>ITA</t>
  </si>
  <si>
    <t>JPN</t>
  </si>
  <si>
    <t>KOR</t>
  </si>
  <si>
    <t>LUX</t>
  </si>
  <si>
    <t>LVA</t>
  </si>
  <si>
    <t>MEX</t>
  </si>
  <si>
    <t>NLD</t>
  </si>
  <si>
    <t>NOR</t>
  </si>
  <si>
    <t>OECD</t>
  </si>
  <si>
    <t>POL</t>
  </si>
  <si>
    <t>PRT</t>
  </si>
  <si>
    <t>SVK</t>
  </si>
  <si>
    <t>SVN</t>
  </si>
  <si>
    <t>SWE</t>
  </si>
  <si>
    <t>TUR</t>
  </si>
  <si>
    <t>USA</t>
  </si>
  <si>
    <t>EA19</t>
  </si>
  <si>
    <t>G-7</t>
  </si>
  <si>
    <t>CHE</t>
  </si>
  <si>
    <t>US</t>
  </si>
  <si>
    <t>Eurozone</t>
  </si>
  <si>
    <t xml:space="preserve">Japan </t>
  </si>
  <si>
    <t>Germany</t>
  </si>
  <si>
    <t>France</t>
  </si>
  <si>
    <t>UK</t>
  </si>
  <si>
    <t xml:space="preserve">Italy </t>
  </si>
  <si>
    <t>Spain</t>
  </si>
  <si>
    <t>Sweden</t>
  </si>
  <si>
    <t>Mexico</t>
  </si>
  <si>
    <t>Canada</t>
  </si>
  <si>
    <t>Australia</t>
  </si>
  <si>
    <t xml:space="preserve">S Korea </t>
  </si>
  <si>
    <t>Greece</t>
  </si>
  <si>
    <t>Ireland</t>
  </si>
  <si>
    <t>Turkey</t>
  </si>
  <si>
    <t xml:space="preserve">Czech </t>
  </si>
  <si>
    <t>Poland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</si>
</sst>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yyyy\-mm\-dd"/>
    <numFmt numFmtId="167" formatCode="dd\-mm\-yyyy"/>
  </numFmts>
  <fonts count="13" x14ac:knownFonts="1">
    <font>
      <sz val="11"/>
      <color theme="1"/>
      <name val="Calibri"/>
      <family val="2"/>
      <scheme val="minor"/>
    </font>
    <font>
      <sz val="10"/>
      <name val="Arial"/>
      <family val="2"/>
    </font>
    <font>
      <b/>
      <sz val="11"/>
      <color theme="0"/>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b/>
      <sz val="11"/>
      <color indexed="9"/>
      <name val="Calibri"/>
      <family val="2"/>
    </font>
    <font>
      <b/>
      <sz val="11"/>
      <color rgb="FF00B0F0"/>
      <name val="Calibri"/>
      <family val="2"/>
      <scheme val="minor"/>
    </font>
    <font>
      <sz val="10"/>
      <name val="Arial"/>
      <family val="2"/>
    </font>
  </fonts>
  <fills count="12">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2"/>
      </patternFill>
    </fill>
    <fill>
      <patternFill patternType="solid">
        <fgColor theme="4" tint="0.7999816888943144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80">
    <xf numFmtId="0" fontId="0" fillId="0" borderId="0" xfId="0"/>
    <xf numFmtId="0" fontId="4" fillId="0" borderId="0" xfId="3"/>
    <xf numFmtId="0" fontId="1" fillId="0" borderId="0" xfId="2" applyFont="1"/>
    <xf numFmtId="0" fontId="0" fillId="0" borderId="0" xfId="0" applyAlignment="1">
      <alignment horizontal="center"/>
    </xf>
    <xf numFmtId="0" fontId="1" fillId="2" borderId="0" xfId="2" applyFont="1" applyFill="1"/>
    <xf numFmtId="0" fontId="0" fillId="3" borderId="0" xfId="0" applyFill="1" applyAlignment="1">
      <alignment horizontal="center" wrapText="1"/>
    </xf>
    <xf numFmtId="17" fontId="0" fillId="0" borderId="0" xfId="0" applyNumberFormat="1"/>
    <xf numFmtId="0" fontId="6" fillId="0" borderId="1" xfId="0" applyFont="1" applyBorder="1"/>
    <xf numFmtId="0" fontId="7" fillId="4" borderId="1" xfId="0" applyFont="1" applyFill="1" applyBorder="1" applyAlignment="1">
      <alignment horizontal="center" textRotation="90"/>
    </xf>
    <xf numFmtId="0" fontId="7" fillId="5" borderId="1" xfId="0" applyFont="1" applyFill="1" applyBorder="1" applyAlignment="1">
      <alignment horizontal="center" textRotation="90"/>
    </xf>
    <xf numFmtId="0" fontId="7" fillId="6" borderId="1" xfId="0" applyFont="1" applyFill="1" applyBorder="1" applyAlignment="1">
      <alignment horizontal="center" textRotation="90"/>
    </xf>
    <xf numFmtId="0" fontId="7" fillId="7" borderId="1" xfId="0" applyFont="1" applyFill="1" applyBorder="1" applyAlignment="1">
      <alignment horizontal="center" textRotation="90"/>
    </xf>
    <xf numFmtId="0" fontId="8" fillId="7" borderId="1" xfId="0" applyFont="1" applyFill="1" applyBorder="1" applyAlignment="1">
      <alignment horizontal="center" vertical="center"/>
    </xf>
    <xf numFmtId="17" fontId="9" fillId="7" borderId="1" xfId="0" applyNumberFormat="1" applyFont="1" applyFill="1" applyBorder="1" applyAlignment="1">
      <alignment horizontal="left" vertical="top" wrapText="1"/>
    </xf>
    <xf numFmtId="2" fontId="6" fillId="0" borderId="1" xfId="0" applyNumberFormat="1" applyFont="1" applyBorder="1" applyAlignment="1">
      <alignment horizontal="center" vertical="center"/>
    </xf>
    <xf numFmtId="0" fontId="0" fillId="9" borderId="0" xfId="0" applyFill="1" applyAlignment="1">
      <alignment horizontal="center" wrapText="1"/>
    </xf>
    <xf numFmtId="0" fontId="0" fillId="2" borderId="0" xfId="0" applyFill="1" applyAlignment="1">
      <alignment horizontal="center"/>
    </xf>
    <xf numFmtId="0" fontId="4" fillId="2" borderId="0" xfId="3" applyFill="1" applyAlignment="1">
      <alignment horizontal="center"/>
    </xf>
    <xf numFmtId="0" fontId="4" fillId="2" borderId="0" xfId="3" applyFill="1"/>
    <xf numFmtId="3" fontId="0" fillId="2" borderId="3" xfId="0" applyNumberFormat="1" applyFill="1" applyBorder="1" applyAlignment="1">
      <alignment horizontal="center"/>
    </xf>
    <xf numFmtId="3" fontId="0" fillId="2" borderId="5" xfId="0" applyNumberFormat="1" applyFill="1" applyBorder="1" applyAlignment="1">
      <alignment horizontal="center"/>
    </xf>
    <xf numFmtId="2" fontId="0" fillId="2" borderId="5" xfId="0" applyNumberFormat="1" applyFill="1" applyBorder="1" applyAlignment="1">
      <alignment horizontal="center"/>
    </xf>
    <xf numFmtId="2" fontId="0" fillId="2" borderId="7" xfId="0" applyNumberFormat="1" applyFill="1" applyBorder="1" applyAlignment="1">
      <alignment horizontal="center"/>
    </xf>
    <xf numFmtId="0" fontId="0" fillId="2" borderId="2" xfId="0" applyFill="1" applyBorder="1"/>
    <xf numFmtId="0" fontId="0" fillId="2" borderId="4" xfId="0" applyFill="1" applyBorder="1"/>
    <xf numFmtId="0" fontId="0" fillId="2" borderId="6" xfId="0" applyFill="1" applyBorder="1"/>
    <xf numFmtId="3" fontId="0" fillId="2" borderId="1" xfId="0" applyNumberFormat="1" applyFill="1" applyBorder="1" applyAlignment="1">
      <alignment horizontal="center"/>
    </xf>
    <xf numFmtId="1" fontId="0" fillId="2" borderId="1" xfId="0" applyNumberFormat="1" applyFill="1" applyBorder="1" applyAlignment="1">
      <alignment horizontal="center"/>
    </xf>
    <xf numFmtId="3" fontId="5" fillId="2" borderId="1" xfId="0" applyNumberFormat="1" applyFont="1" applyFill="1" applyBorder="1" applyAlignment="1">
      <alignment horizontal="center"/>
    </xf>
    <xf numFmtId="14" fontId="0" fillId="2" borderId="1" xfId="0" applyNumberFormat="1" applyFill="1" applyBorder="1"/>
    <xf numFmtId="3" fontId="0" fillId="10" borderId="1" xfId="0" applyNumberFormat="1" applyFill="1" applyBorder="1" applyAlignment="1">
      <alignment horizontal="center"/>
    </xf>
    <xf numFmtId="2" fontId="0" fillId="9" borderId="0" xfId="0" applyNumberFormat="1" applyFill="1" applyAlignment="1">
      <alignment horizontal="center" wrapText="1"/>
    </xf>
    <xf numFmtId="2" fontId="0" fillId="2" borderId="0" xfId="0" applyNumberFormat="1" applyFill="1"/>
    <xf numFmtId="0" fontId="0" fillId="9" borderId="0" xfId="0" applyFill="1" applyAlignment="1">
      <alignment horizontal="center"/>
    </xf>
    <xf numFmtId="0" fontId="4" fillId="2" borderId="0" xfId="3" applyFill="1" applyAlignment="1">
      <alignment horizontal="left"/>
    </xf>
    <xf numFmtId="0" fontId="0" fillId="2" borderId="0" xfId="0" applyFill="1" applyAlignment="1">
      <alignment vertical="center"/>
    </xf>
    <xf numFmtId="0" fontId="3" fillId="2" borderId="0" xfId="0" applyFont="1" applyFill="1"/>
    <xf numFmtId="0" fontId="0" fillId="0" borderId="0" xfId="0" applyAlignment="1">
      <alignment vertical="center"/>
    </xf>
    <xf numFmtId="14" fontId="11" fillId="2" borderId="13" xfId="0" applyNumberFormat="1" applyFont="1" applyFill="1" applyBorder="1" applyAlignment="1">
      <alignment horizontal="center"/>
    </xf>
    <xf numFmtId="14" fontId="3" fillId="2" borderId="13" xfId="0" applyNumberFormat="1" applyFont="1" applyFill="1" applyBorder="1" applyAlignment="1">
      <alignment horizontal="center"/>
    </xf>
    <xf numFmtId="0" fontId="3" fillId="2" borderId="14" xfId="0" applyFont="1" applyFill="1" applyBorder="1" applyAlignment="1">
      <alignment horizontal="center"/>
    </xf>
    <xf numFmtId="0" fontId="3" fillId="2" borderId="15" xfId="0" applyFont="1" applyFill="1" applyBorder="1" applyAlignment="1">
      <alignment horizontal="center"/>
    </xf>
    <xf numFmtId="0" fontId="3" fillId="2" borderId="16" xfId="0" applyFont="1" applyFill="1" applyBorder="1" applyAlignment="1">
      <alignment horizontal="center"/>
    </xf>
    <xf numFmtId="3" fontId="0" fillId="2" borderId="17" xfId="0" applyNumberFormat="1" applyFill="1" applyBorder="1" applyAlignment="1">
      <alignment horizontal="center"/>
    </xf>
    <xf numFmtId="0" fontId="6" fillId="2" borderId="3" xfId="0" applyFont="1" applyFill="1" applyBorder="1" applyAlignment="1">
      <alignment horizontal="center"/>
    </xf>
    <xf numFmtId="0" fontId="6" fillId="2" borderId="5" xfId="0" applyFont="1" applyFill="1" applyBorder="1" applyAlignment="1">
      <alignment horizontal="center"/>
    </xf>
    <xf numFmtId="1" fontId="0" fillId="2" borderId="17" xfId="8" applyNumberFormat="1" applyFont="1" applyFill="1" applyBorder="1" applyAlignment="1">
      <alignment horizontal="center"/>
    </xf>
    <xf numFmtId="0" fontId="6" fillId="2" borderId="7" xfId="0" applyFont="1" applyFill="1" applyBorder="1" applyAlignment="1">
      <alignment horizontal="center" vertical="center"/>
    </xf>
    <xf numFmtId="3" fontId="0" fillId="2" borderId="0" xfId="0" applyNumberFormat="1" applyFill="1"/>
    <xf numFmtId="1" fontId="0" fillId="2" borderId="0" xfId="0" applyNumberFormat="1" applyFill="1"/>
    <xf numFmtId="0" fontId="0" fillId="0" borderId="0" xfId="0" applyAlignment="1">
      <alignment wrapText="1"/>
    </xf>
    <xf numFmtId="0" fontId="0" fillId="0" borderId="0" xfId="0"/>
    <xf numFmtId="164" fontId="0" fillId="2" borderId="1" xfId="0" applyNumberFormat="1" applyFill="1" applyBorder="1" applyAlignment="1">
      <alignment horizontal="center"/>
    </xf>
    <xf numFmtId="165" fontId="0" fillId="2" borderId="1" xfId="8" applyNumberFormat="1" applyFont="1" applyFill="1" applyBorder="1" applyAlignment="1">
      <alignment horizontal="center"/>
    </xf>
    <xf numFmtId="164" fontId="0" fillId="2" borderId="18" xfId="0" applyNumberFormat="1" applyFill="1" applyBorder="1" applyAlignment="1">
      <alignment horizontal="center"/>
    </xf>
    <xf numFmtId="165" fontId="0" fillId="2" borderId="18" xfId="8" applyNumberFormat="1" applyFont="1" applyFill="1" applyBorder="1" applyAlignment="1">
      <alignment horizontal="center"/>
    </xf>
    <xf numFmtId="166" fontId="0" fillId="2" borderId="1" xfId="0" applyNumberFormat="1" applyFill="1" applyBorder="1" applyAlignment="1">
      <alignment horizontal="center"/>
    </xf>
    <xf numFmtId="165" fontId="1" fillId="2" borderId="0" xfId="2" applyNumberFormat="1" applyFont="1" applyFill="1"/>
    <xf numFmtId="167" fontId="0" fillId="0" borderId="0" xfId="0" applyNumberFormat="1"/>
    <xf numFmtId="0" fontId="0" fillId="2" borderId="0" xfId="0" applyFill="1" applyAlignment="1">
      <alignment wrapText="1"/>
    </xf>
    <xf numFmtId="0" fontId="0" fillId="2" borderId="0" xfId="0" applyFill="1"/>
    <xf numFmtId="14" fontId="0" fillId="2" borderId="1" xfId="0" applyNumberFormat="1" applyFill="1" applyBorder="1" applyAlignment="1">
      <alignment horizontal="center"/>
    </xf>
    <xf numFmtId="2" fontId="0" fillId="2" borderId="1" xfId="0" applyNumberFormat="1" applyFill="1" applyBorder="1" applyAlignment="1">
      <alignment horizontal="center"/>
    </xf>
    <xf numFmtId="0" fontId="0" fillId="2" borderId="1" xfId="0" applyFill="1" applyBorder="1" applyAlignment="1">
      <alignment horizontal="center"/>
    </xf>
    <xf numFmtId="167" fontId="0" fillId="0" borderId="0" xfId="0" applyNumberFormat="1"/>
    <xf numFmtId="0" fontId="3" fillId="2" borderId="2" xfId="0" applyFont="1" applyFill="1" applyBorder="1" applyAlignment="1">
      <alignment wrapText="1"/>
    </xf>
    <xf numFmtId="0" fontId="0" fillId="0" borderId="19" xfId="0" applyBorder="1"/>
    <xf numFmtId="0" fontId="3" fillId="2" borderId="4" xfId="0" applyFont="1" applyFill="1" applyBorder="1" applyAlignment="1">
      <alignment wrapText="1"/>
    </xf>
    <xf numFmtId="0" fontId="0" fillId="0" borderId="12" xfId="0" applyBorder="1"/>
    <xf numFmtId="0" fontId="3" fillId="2" borderId="6" xfId="0" applyFont="1" applyFill="1" applyBorder="1" applyAlignment="1">
      <alignment wrapText="1"/>
    </xf>
    <xf numFmtId="0" fontId="0" fillId="0" borderId="20" xfId="0" applyBorder="1"/>
    <xf numFmtId="0" fontId="3" fillId="2" borderId="8" xfId="0" applyFont="1" applyFill="1" applyBorder="1" applyAlignment="1">
      <alignment horizontal="center" vertical="center"/>
    </xf>
    <xf numFmtId="0" fontId="0" fillId="2" borderId="0" xfId="0" applyFill="1"/>
    <xf numFmtId="0" fontId="0" fillId="0" borderId="8" xfId="0" applyBorder="1"/>
    <xf numFmtId="0" fontId="2" fillId="9" borderId="21" xfId="0" applyFont="1" applyFill="1" applyBorder="1" applyAlignment="1">
      <alignment horizontal="center"/>
    </xf>
    <xf numFmtId="0" fontId="0" fillId="0" borderId="9" xfId="0" applyBorder="1"/>
    <xf numFmtId="0" fontId="0" fillId="0" borderId="10" xfId="0" applyBorder="1"/>
    <xf numFmtId="0" fontId="3" fillId="11" borderId="1" xfId="0" applyFont="1" applyFill="1" applyBorder="1" applyAlignment="1">
      <alignment horizontal="center"/>
    </xf>
    <xf numFmtId="0" fontId="0" fillId="0" borderId="11" xfId="0" applyBorder="1"/>
    <xf numFmtId="0" fontId="0" fillId="2" borderId="0" xfId="0" applyFill="1" applyAlignment="1">
      <alignment wrapText="1"/>
    </xf>
  </cellXfs>
  <cellStyles count="10">
    <cellStyle name="blp_column_header" xfId="7" xr:uid="{00000000-0005-0000-0000-000007000000}"/>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Normal 7" xfId="9" xr:uid="{00000000-0005-0000-0000-000009000000}"/>
    <cellStyle name="Per cent" xfId="8" builtinId="5"/>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strike val="0"/>
        <condense val="0"/>
        <extend val="0"/>
        <outline val="0"/>
        <shadow val="0"/>
        <vertAlign val="baseline"/>
        <sz val="10"/>
        <color auto="1"/>
        <name val="Arial"/>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11"/>
        <color theme="1"/>
        <name val="Calibri"/>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NFP!$A$120:$A$1006</c:f>
              <c:numCache>
                <c:formatCode>yyyy\-mm\-dd</c:formatCode>
                <c:ptCount val="88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numCache>
            </c:numRef>
          </c:cat>
          <c:val>
            <c:numRef>
              <c:f>NFP!$E$120:$E$1006</c:f>
              <c:numCache>
                <c:formatCode>General</c:formatCode>
                <c:ptCount val="887"/>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4.5</c:v>
                </c:pt>
                <c:pt idx="832">
                  <c:v>4.4000000000000004</c:v>
                </c:pt>
                <c:pt idx="833">
                  <c:v>4.3</c:v>
                </c:pt>
                <c:pt idx="834">
                  <c:v>4.3</c:v>
                </c:pt>
                <c:pt idx="835">
                  <c:v>4.4000000000000004</c:v>
                </c:pt>
                <c:pt idx="836">
                  <c:v>4.2</c:v>
                </c:pt>
                <c:pt idx="837">
                  <c:v>4.0999999999999996</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3.7</c:v>
                </c:pt>
                <c:pt idx="856">
                  <c:v>3.7</c:v>
                </c:pt>
                <c:pt idx="857">
                  <c:v>3.6</c:v>
                </c:pt>
                <c:pt idx="858">
                  <c:v>3.6</c:v>
                </c:pt>
                <c:pt idx="859">
                  <c:v>3.7</c:v>
                </c:pt>
                <c:pt idx="860">
                  <c:v>3.5</c:v>
                </c:pt>
                <c:pt idx="861">
                  <c:v>3.6</c:v>
                </c:pt>
                <c:pt idx="862">
                  <c:v>3.6</c:v>
                </c:pt>
                <c:pt idx="863">
                  <c:v>3.6</c:v>
                </c:pt>
                <c:pt idx="864">
                  <c:v>3.5</c:v>
                </c:pt>
                <c:pt idx="865">
                  <c:v>3.5</c:v>
                </c:pt>
                <c:pt idx="866">
                  <c:v>4.4000000000000004</c:v>
                </c:pt>
                <c:pt idx="867">
                  <c:v>14.8</c:v>
                </c:pt>
                <c:pt idx="868">
                  <c:v>13.3</c:v>
                </c:pt>
                <c:pt idx="869">
                  <c:v>11.1</c:v>
                </c:pt>
                <c:pt idx="870">
                  <c:v>10.199999999999999</c:v>
                </c:pt>
                <c:pt idx="871">
                  <c:v>8.4</c:v>
                </c:pt>
                <c:pt idx="872">
                  <c:v>7.8</c:v>
                </c:pt>
                <c:pt idx="873">
                  <c:v>6.9</c:v>
                </c:pt>
                <c:pt idx="874">
                  <c:v>6.7</c:v>
                </c:pt>
                <c:pt idx="875">
                  <c:v>6.7</c:v>
                </c:pt>
                <c:pt idx="876">
                  <c:v>6.3</c:v>
                </c:pt>
                <c:pt idx="877">
                  <c:v>6.2</c:v>
                </c:pt>
                <c:pt idx="878">
                  <c:v>6</c:v>
                </c:pt>
                <c:pt idx="879">
                  <c:v>6.1</c:v>
                </c:pt>
                <c:pt idx="880">
                  <c:v>5.8</c:v>
                </c:pt>
                <c:pt idx="881">
                  <c:v>5.9</c:v>
                </c:pt>
                <c:pt idx="882">
                  <c:v>5.4</c:v>
                </c:pt>
                <c:pt idx="883">
                  <c:v>5.2</c:v>
                </c:pt>
              </c:numCache>
            </c:numRef>
          </c:val>
          <c:smooth val="0"/>
          <c:extLst>
            <c:ext xmlns:c16="http://schemas.microsoft.com/office/drawing/2014/chart" uri="{C3380CC4-5D6E-409C-BE32-E72D297353CC}">
              <c16:uniqueId val="{00000000-A4DB-1C4B-B36A-8AAE599E5809}"/>
            </c:ext>
          </c:extLst>
        </c:ser>
        <c:dLbls>
          <c:showLegendKey val="0"/>
          <c:showVal val="0"/>
          <c:showCatName val="0"/>
          <c:showSerName val="0"/>
          <c:showPercent val="0"/>
          <c:showBubbleSize val="0"/>
        </c:dLbls>
        <c:smooth val="0"/>
        <c:axId val="1034260720"/>
        <c:axId val="1034261112"/>
      </c:lineChart>
      <c:dateAx>
        <c:axId val="1034260720"/>
        <c:scaling>
          <c:orientation val="minMax"/>
          <c:min val="36586"/>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NFP!$A$120:$A$1012</c:f>
              <c:numCache>
                <c:formatCode>yyyy\-mm\-dd</c:formatCode>
                <c:ptCount val="893"/>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numCache>
            </c:numRef>
          </c:cat>
          <c:val>
            <c:numRef>
              <c:f>NFP!$E$120:$E$1012</c:f>
              <c:numCache>
                <c:formatCode>General</c:formatCode>
                <c:ptCount val="893"/>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4.5</c:v>
                </c:pt>
                <c:pt idx="832">
                  <c:v>4.4000000000000004</c:v>
                </c:pt>
                <c:pt idx="833">
                  <c:v>4.3</c:v>
                </c:pt>
                <c:pt idx="834">
                  <c:v>4.3</c:v>
                </c:pt>
                <c:pt idx="835">
                  <c:v>4.4000000000000004</c:v>
                </c:pt>
                <c:pt idx="836">
                  <c:v>4.2</c:v>
                </c:pt>
                <c:pt idx="837">
                  <c:v>4.0999999999999996</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3.7</c:v>
                </c:pt>
                <c:pt idx="856">
                  <c:v>3.7</c:v>
                </c:pt>
                <c:pt idx="857">
                  <c:v>3.6</c:v>
                </c:pt>
                <c:pt idx="858">
                  <c:v>3.6</c:v>
                </c:pt>
                <c:pt idx="859">
                  <c:v>3.7</c:v>
                </c:pt>
                <c:pt idx="860">
                  <c:v>3.5</c:v>
                </c:pt>
                <c:pt idx="861">
                  <c:v>3.6</c:v>
                </c:pt>
                <c:pt idx="862">
                  <c:v>3.6</c:v>
                </c:pt>
                <c:pt idx="863">
                  <c:v>3.6</c:v>
                </c:pt>
                <c:pt idx="864">
                  <c:v>3.5</c:v>
                </c:pt>
                <c:pt idx="865">
                  <c:v>3.5</c:v>
                </c:pt>
                <c:pt idx="866">
                  <c:v>4.4000000000000004</c:v>
                </c:pt>
                <c:pt idx="867">
                  <c:v>14.8</c:v>
                </c:pt>
                <c:pt idx="868">
                  <c:v>13.3</c:v>
                </c:pt>
                <c:pt idx="869">
                  <c:v>11.1</c:v>
                </c:pt>
                <c:pt idx="870">
                  <c:v>10.199999999999999</c:v>
                </c:pt>
                <c:pt idx="871">
                  <c:v>8.4</c:v>
                </c:pt>
                <c:pt idx="872">
                  <c:v>7.8</c:v>
                </c:pt>
                <c:pt idx="873">
                  <c:v>6.9</c:v>
                </c:pt>
                <c:pt idx="874">
                  <c:v>6.7</c:v>
                </c:pt>
                <c:pt idx="875">
                  <c:v>6.7</c:v>
                </c:pt>
                <c:pt idx="876">
                  <c:v>6.3</c:v>
                </c:pt>
                <c:pt idx="877">
                  <c:v>6.2</c:v>
                </c:pt>
                <c:pt idx="878">
                  <c:v>6</c:v>
                </c:pt>
                <c:pt idx="879">
                  <c:v>6.1</c:v>
                </c:pt>
                <c:pt idx="880">
                  <c:v>5.8</c:v>
                </c:pt>
                <c:pt idx="881">
                  <c:v>5.9</c:v>
                </c:pt>
                <c:pt idx="882">
                  <c:v>5.4</c:v>
                </c:pt>
                <c:pt idx="883">
                  <c:v>5.2</c:v>
                </c:pt>
              </c:numCache>
            </c:numRef>
          </c:val>
          <c:smooth val="0"/>
          <c:extLst>
            <c:ext xmlns:c16="http://schemas.microsoft.com/office/drawing/2014/chart" uri="{C3380CC4-5D6E-409C-BE32-E72D297353CC}">
              <c16:uniqueId val="{00000000-F22C-7747-934A-DBEB92990B56}"/>
            </c:ext>
          </c:extLst>
        </c:ser>
        <c:dLbls>
          <c:showLegendKey val="0"/>
          <c:showVal val="0"/>
          <c:showCatName val="0"/>
          <c:showSerName val="0"/>
          <c:showPercent val="0"/>
          <c:showBubbleSize val="0"/>
        </c:dLbls>
        <c:smooth val="0"/>
        <c:axId val="1034260720"/>
        <c:axId val="1034261112"/>
      </c:lineChart>
      <c:dateAx>
        <c:axId val="1034260720"/>
        <c:scaling>
          <c:orientation val="minMax"/>
          <c:min val="17593"/>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5"/>
          <c:order val="0"/>
          <c:tx>
            <c:strRef>
              <c:f>NFP!$F$11</c:f>
              <c:strCache>
                <c:ptCount val="1"/>
                <c:pt idx="0">
                  <c:v>Participation Rate</c:v>
                </c:pt>
              </c:strCache>
            </c:strRef>
          </c:tx>
          <c:spPr>
            <a:ln w="28575" cap="rnd">
              <a:solidFill>
                <a:schemeClr val="accent6"/>
              </a:solidFill>
              <a:prstDash val="solid"/>
              <a:round/>
            </a:ln>
          </c:spPr>
          <c:marker>
            <c:symbol val="none"/>
          </c:marker>
          <c:cat>
            <c:numRef>
              <c:f>NFP!$A$120:$A$969</c:f>
              <c:numCache>
                <c:formatCode>yyyy\-mm\-dd</c:formatCode>
                <c:ptCount val="85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numCache>
            </c:numRef>
          </c:cat>
          <c:val>
            <c:numRef>
              <c:f>NFP!$F$120:$F$969</c:f>
              <c:numCache>
                <c:formatCode>General</c:formatCode>
                <c:ptCount val="850"/>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62.8</c:v>
                </c:pt>
                <c:pt idx="830">
                  <c:v>63</c:v>
                </c:pt>
                <c:pt idx="831">
                  <c:v>63</c:v>
                </c:pt>
                <c:pt idx="832">
                  <c:v>62.8</c:v>
                </c:pt>
                <c:pt idx="833">
                  <c:v>62.8</c:v>
                </c:pt>
                <c:pt idx="834">
                  <c:v>62.9</c:v>
                </c:pt>
                <c:pt idx="835">
                  <c:v>62.9</c:v>
                </c:pt>
                <c:pt idx="836">
                  <c:v>63</c:v>
                </c:pt>
                <c:pt idx="837">
                  <c:v>62.7</c:v>
                </c:pt>
                <c:pt idx="838">
                  <c:v>62.7</c:v>
                </c:pt>
                <c:pt idx="839">
                  <c:v>62.7</c:v>
                </c:pt>
                <c:pt idx="840">
                  <c:v>62.7</c:v>
                </c:pt>
                <c:pt idx="841">
                  <c:v>63</c:v>
                </c:pt>
                <c:pt idx="842">
                  <c:v>62.9</c:v>
                </c:pt>
                <c:pt idx="843">
                  <c:v>62.9</c:v>
                </c:pt>
                <c:pt idx="844">
                  <c:v>62.9</c:v>
                </c:pt>
                <c:pt idx="845">
                  <c:v>63</c:v>
                </c:pt>
                <c:pt idx="846">
                  <c:v>63</c:v>
                </c:pt>
                <c:pt idx="847">
                  <c:v>62.7</c:v>
                </c:pt>
                <c:pt idx="848">
                  <c:v>62.7</c:v>
                </c:pt>
                <c:pt idx="849">
                  <c:v>62.8</c:v>
                </c:pt>
              </c:numCache>
            </c:numRef>
          </c:val>
          <c:smooth val="0"/>
          <c:extLst>
            <c:ext xmlns:c16="http://schemas.microsoft.com/office/drawing/2014/chart" uri="{C3380CC4-5D6E-409C-BE32-E72D297353CC}">
              <c16:uniqueId val="{00000000-43C5-3348-BE03-C82174DFAFF9}"/>
            </c:ext>
          </c:extLst>
        </c:ser>
        <c:dLbls>
          <c:showLegendKey val="0"/>
          <c:showVal val="0"/>
          <c:showCatName val="0"/>
          <c:showSerName val="0"/>
          <c:showPercent val="0"/>
          <c:showBubbleSize val="0"/>
        </c:dLbls>
        <c:smooth val="0"/>
        <c:axId val="1096970312"/>
        <c:axId val="1096973592"/>
      </c:lineChart>
      <c:dateAx>
        <c:axId val="1096970312"/>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6973592"/>
        <c:crosses val="autoZero"/>
        <c:auto val="0"/>
        <c:lblOffset val="100"/>
        <c:baseTimeUnit val="months"/>
      </c:dateAx>
      <c:valAx>
        <c:axId val="1096973592"/>
        <c:scaling>
          <c:orientation val="minMax"/>
          <c:min val="5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6970312"/>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Participation Rate</a:t>
            </a:r>
          </a:p>
        </c:rich>
      </c:tx>
      <c:overlay val="0"/>
      <c:spPr>
        <a:noFill/>
        <a:ln>
          <a:noFill/>
          <a:prstDash val="solid"/>
        </a:ln>
      </c:spPr>
    </c:title>
    <c:autoTitleDeleted val="0"/>
    <c:plotArea>
      <c:layout/>
      <c:lineChart>
        <c:grouping val="standard"/>
        <c:varyColors val="0"/>
        <c:ser>
          <c:idx val="5"/>
          <c:order val="0"/>
          <c:tx>
            <c:strRef>
              <c:f>NFP!$F$11</c:f>
              <c:strCache>
                <c:ptCount val="1"/>
                <c:pt idx="0">
                  <c:v>Participation Rate</c:v>
                </c:pt>
              </c:strCache>
            </c:strRef>
          </c:tx>
          <c:spPr>
            <a:ln w="28575" cap="rnd">
              <a:solidFill>
                <a:schemeClr val="accent6"/>
              </a:solidFill>
              <a:prstDash val="solid"/>
              <a:round/>
            </a:ln>
          </c:spPr>
          <c:marker>
            <c:symbol val="none"/>
          </c:marker>
          <c:cat>
            <c:numRef>
              <c:f>NFP!$A$120:$A$1012</c:f>
              <c:numCache>
                <c:formatCode>yyyy\-mm\-dd</c:formatCode>
                <c:ptCount val="893"/>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numCache>
            </c:numRef>
          </c:cat>
          <c:val>
            <c:numRef>
              <c:f>NFP!$F$120:$F$1012</c:f>
              <c:numCache>
                <c:formatCode>General</c:formatCode>
                <c:ptCount val="893"/>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62.8</c:v>
                </c:pt>
                <c:pt idx="830">
                  <c:v>63</c:v>
                </c:pt>
                <c:pt idx="831">
                  <c:v>63</c:v>
                </c:pt>
                <c:pt idx="832">
                  <c:v>62.8</c:v>
                </c:pt>
                <c:pt idx="833">
                  <c:v>62.8</c:v>
                </c:pt>
                <c:pt idx="834">
                  <c:v>62.9</c:v>
                </c:pt>
                <c:pt idx="835">
                  <c:v>62.9</c:v>
                </c:pt>
                <c:pt idx="836">
                  <c:v>63</c:v>
                </c:pt>
                <c:pt idx="837">
                  <c:v>62.7</c:v>
                </c:pt>
                <c:pt idx="838">
                  <c:v>62.7</c:v>
                </c:pt>
                <c:pt idx="839">
                  <c:v>62.7</c:v>
                </c:pt>
                <c:pt idx="840">
                  <c:v>62.7</c:v>
                </c:pt>
                <c:pt idx="841">
                  <c:v>63</c:v>
                </c:pt>
                <c:pt idx="842">
                  <c:v>62.9</c:v>
                </c:pt>
                <c:pt idx="843">
                  <c:v>62.9</c:v>
                </c:pt>
                <c:pt idx="844">
                  <c:v>62.9</c:v>
                </c:pt>
                <c:pt idx="845">
                  <c:v>63</c:v>
                </c:pt>
                <c:pt idx="846">
                  <c:v>63</c:v>
                </c:pt>
                <c:pt idx="847">
                  <c:v>62.7</c:v>
                </c:pt>
                <c:pt idx="848">
                  <c:v>62.7</c:v>
                </c:pt>
                <c:pt idx="849">
                  <c:v>62.8</c:v>
                </c:pt>
                <c:pt idx="850">
                  <c:v>62.9</c:v>
                </c:pt>
                <c:pt idx="851">
                  <c:v>63</c:v>
                </c:pt>
                <c:pt idx="852">
                  <c:v>63.1</c:v>
                </c:pt>
                <c:pt idx="853">
                  <c:v>63.1</c:v>
                </c:pt>
                <c:pt idx="854">
                  <c:v>63.1</c:v>
                </c:pt>
                <c:pt idx="855">
                  <c:v>62.9</c:v>
                </c:pt>
                <c:pt idx="856">
                  <c:v>62.9</c:v>
                </c:pt>
                <c:pt idx="857">
                  <c:v>62.9</c:v>
                </c:pt>
                <c:pt idx="858">
                  <c:v>63.1</c:v>
                </c:pt>
                <c:pt idx="859">
                  <c:v>63.2</c:v>
                </c:pt>
                <c:pt idx="860">
                  <c:v>63.1</c:v>
                </c:pt>
                <c:pt idx="861">
                  <c:v>63.2</c:v>
                </c:pt>
                <c:pt idx="862">
                  <c:v>63.2</c:v>
                </c:pt>
                <c:pt idx="863">
                  <c:v>63.3</c:v>
                </c:pt>
                <c:pt idx="864">
                  <c:v>63.4</c:v>
                </c:pt>
                <c:pt idx="865">
                  <c:v>63.3</c:v>
                </c:pt>
                <c:pt idx="866">
                  <c:v>62.6</c:v>
                </c:pt>
                <c:pt idx="867">
                  <c:v>60.2</c:v>
                </c:pt>
                <c:pt idx="868">
                  <c:v>60.8</c:v>
                </c:pt>
                <c:pt idx="869">
                  <c:v>61.4</c:v>
                </c:pt>
                <c:pt idx="870">
                  <c:v>61.5</c:v>
                </c:pt>
                <c:pt idx="871">
                  <c:v>61.7</c:v>
                </c:pt>
                <c:pt idx="872">
                  <c:v>61.4</c:v>
                </c:pt>
                <c:pt idx="873">
                  <c:v>61.6</c:v>
                </c:pt>
                <c:pt idx="874">
                  <c:v>61.5</c:v>
                </c:pt>
                <c:pt idx="875">
                  <c:v>61.5</c:v>
                </c:pt>
                <c:pt idx="876">
                  <c:v>61.4</c:v>
                </c:pt>
                <c:pt idx="877">
                  <c:v>61.4</c:v>
                </c:pt>
                <c:pt idx="878">
                  <c:v>61.5</c:v>
                </c:pt>
                <c:pt idx="879">
                  <c:v>61.7</c:v>
                </c:pt>
                <c:pt idx="880">
                  <c:v>61.6</c:v>
                </c:pt>
                <c:pt idx="881">
                  <c:v>61.6</c:v>
                </c:pt>
                <c:pt idx="882">
                  <c:v>61.7</c:v>
                </c:pt>
                <c:pt idx="883">
                  <c:v>61.7</c:v>
                </c:pt>
              </c:numCache>
            </c:numRef>
          </c:val>
          <c:smooth val="0"/>
          <c:extLst>
            <c:ext xmlns:c16="http://schemas.microsoft.com/office/drawing/2014/chart" uri="{C3380CC4-5D6E-409C-BE32-E72D297353CC}">
              <c16:uniqueId val="{00000000-F2D5-CE47-AE42-009A2C31D939}"/>
            </c:ext>
          </c:extLst>
        </c:ser>
        <c:dLbls>
          <c:showLegendKey val="0"/>
          <c:showVal val="0"/>
          <c:showCatName val="0"/>
          <c:showSerName val="0"/>
          <c:showPercent val="0"/>
          <c:showBubbleSize val="0"/>
        </c:dLbls>
        <c:smooth val="0"/>
        <c:axId val="790027088"/>
        <c:axId val="790026760"/>
      </c:lineChart>
      <c:dateAx>
        <c:axId val="79002708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6760"/>
        <c:crosses val="autoZero"/>
        <c:auto val="0"/>
        <c:lblOffset val="100"/>
        <c:baseTimeUnit val="months"/>
      </c:dateAx>
      <c:valAx>
        <c:axId val="79002676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70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Table4[[#Headers],[Initial Claims]]</c:f>
          <c:strCache>
            <c:ptCount val="1"/>
            <c:pt idx="0">
              <c:v>Initial Claims</c:v>
            </c:pt>
          </c:strCache>
        </c:strRef>
      </c:tx>
      <c:overlay val="0"/>
      <c:spPr>
        <a:noFill/>
        <a:ln>
          <a:noFill/>
          <a:prstDash val="solid"/>
        </a:ln>
      </c:spPr>
    </c:title>
    <c:autoTitleDeleted val="0"/>
    <c:plotArea>
      <c:layout/>
      <c:lineChart>
        <c:grouping val="standard"/>
        <c:varyColors val="0"/>
        <c:ser>
          <c:idx val="0"/>
          <c:order val="0"/>
          <c:tx>
            <c:strRef>
              <c:f>Claims!$B$4</c:f>
              <c:strCache>
                <c:ptCount val="1"/>
                <c:pt idx="0">
                  <c:v>Initial Claims</c:v>
                </c:pt>
              </c:strCache>
            </c:strRef>
          </c:tx>
          <c:spPr>
            <a:ln w="28575" cap="rnd">
              <a:solidFill>
                <a:schemeClr val="accent1"/>
              </a:solidFill>
              <a:prstDash val="solid"/>
              <a:round/>
            </a:ln>
          </c:spPr>
          <c:marker>
            <c:symbol val="none"/>
          </c:marker>
          <c:cat>
            <c:numRef>
              <c:f>Claims!$A$5:$A$2795</c:f>
              <c:numCache>
                <c:formatCode>m/d/yy</c:formatCode>
                <c:ptCount val="2791"/>
                <c:pt idx="0">
                  <c:v>24479</c:v>
                </c:pt>
                <c:pt idx="1">
                  <c:v>24486</c:v>
                </c:pt>
                <c:pt idx="2">
                  <c:v>24493</c:v>
                </c:pt>
                <c:pt idx="3">
                  <c:v>24500</c:v>
                </c:pt>
                <c:pt idx="4">
                  <c:v>24507</c:v>
                </c:pt>
                <c:pt idx="5">
                  <c:v>24514</c:v>
                </c:pt>
                <c:pt idx="6">
                  <c:v>24521</c:v>
                </c:pt>
                <c:pt idx="7">
                  <c:v>24528</c:v>
                </c:pt>
                <c:pt idx="8">
                  <c:v>24535</c:v>
                </c:pt>
                <c:pt idx="9">
                  <c:v>24542</c:v>
                </c:pt>
                <c:pt idx="10">
                  <c:v>24549</c:v>
                </c:pt>
                <c:pt idx="11">
                  <c:v>24556</c:v>
                </c:pt>
                <c:pt idx="12">
                  <c:v>24563</c:v>
                </c:pt>
                <c:pt idx="13">
                  <c:v>24570</c:v>
                </c:pt>
                <c:pt idx="14">
                  <c:v>24577</c:v>
                </c:pt>
                <c:pt idx="15">
                  <c:v>24584</c:v>
                </c:pt>
                <c:pt idx="16">
                  <c:v>24591</c:v>
                </c:pt>
                <c:pt idx="17">
                  <c:v>24598</c:v>
                </c:pt>
                <c:pt idx="18">
                  <c:v>24605</c:v>
                </c:pt>
                <c:pt idx="19">
                  <c:v>24612</c:v>
                </c:pt>
                <c:pt idx="20">
                  <c:v>24619</c:v>
                </c:pt>
                <c:pt idx="21">
                  <c:v>24626</c:v>
                </c:pt>
                <c:pt idx="22">
                  <c:v>24633</c:v>
                </c:pt>
                <c:pt idx="23">
                  <c:v>24640</c:v>
                </c:pt>
                <c:pt idx="24">
                  <c:v>24647</c:v>
                </c:pt>
                <c:pt idx="25">
                  <c:v>24654</c:v>
                </c:pt>
                <c:pt idx="26">
                  <c:v>24661</c:v>
                </c:pt>
                <c:pt idx="27">
                  <c:v>24668</c:v>
                </c:pt>
                <c:pt idx="28">
                  <c:v>24675</c:v>
                </c:pt>
                <c:pt idx="29">
                  <c:v>24682</c:v>
                </c:pt>
                <c:pt idx="30">
                  <c:v>24689</c:v>
                </c:pt>
                <c:pt idx="31">
                  <c:v>24696</c:v>
                </c:pt>
                <c:pt idx="32">
                  <c:v>24703</c:v>
                </c:pt>
                <c:pt idx="33">
                  <c:v>24710</c:v>
                </c:pt>
                <c:pt idx="34">
                  <c:v>24717</c:v>
                </c:pt>
                <c:pt idx="35">
                  <c:v>24724</c:v>
                </c:pt>
                <c:pt idx="36">
                  <c:v>24731</c:v>
                </c:pt>
                <c:pt idx="37">
                  <c:v>24738</c:v>
                </c:pt>
                <c:pt idx="38">
                  <c:v>24745</c:v>
                </c:pt>
                <c:pt idx="39">
                  <c:v>24752</c:v>
                </c:pt>
                <c:pt idx="40">
                  <c:v>24759</c:v>
                </c:pt>
                <c:pt idx="41">
                  <c:v>24766</c:v>
                </c:pt>
                <c:pt idx="42">
                  <c:v>24773</c:v>
                </c:pt>
                <c:pt idx="43">
                  <c:v>24780</c:v>
                </c:pt>
                <c:pt idx="44">
                  <c:v>24787</c:v>
                </c:pt>
                <c:pt idx="45">
                  <c:v>24794</c:v>
                </c:pt>
                <c:pt idx="46">
                  <c:v>24801</c:v>
                </c:pt>
                <c:pt idx="47">
                  <c:v>24808</c:v>
                </c:pt>
                <c:pt idx="48">
                  <c:v>24815</c:v>
                </c:pt>
                <c:pt idx="49">
                  <c:v>24822</c:v>
                </c:pt>
                <c:pt idx="50">
                  <c:v>24829</c:v>
                </c:pt>
                <c:pt idx="51">
                  <c:v>24836</c:v>
                </c:pt>
                <c:pt idx="52">
                  <c:v>24843</c:v>
                </c:pt>
                <c:pt idx="53">
                  <c:v>24850</c:v>
                </c:pt>
                <c:pt idx="54">
                  <c:v>24857</c:v>
                </c:pt>
                <c:pt idx="55">
                  <c:v>24864</c:v>
                </c:pt>
                <c:pt idx="56">
                  <c:v>24871</c:v>
                </c:pt>
                <c:pt idx="57">
                  <c:v>24878</c:v>
                </c:pt>
                <c:pt idx="58">
                  <c:v>24885</c:v>
                </c:pt>
                <c:pt idx="59">
                  <c:v>24892</c:v>
                </c:pt>
                <c:pt idx="60">
                  <c:v>24899</c:v>
                </c:pt>
                <c:pt idx="61">
                  <c:v>24906</c:v>
                </c:pt>
                <c:pt idx="62">
                  <c:v>24913</c:v>
                </c:pt>
                <c:pt idx="63">
                  <c:v>24920</c:v>
                </c:pt>
                <c:pt idx="64">
                  <c:v>24927</c:v>
                </c:pt>
                <c:pt idx="65">
                  <c:v>24934</c:v>
                </c:pt>
                <c:pt idx="66">
                  <c:v>24941</c:v>
                </c:pt>
                <c:pt idx="67">
                  <c:v>24948</c:v>
                </c:pt>
                <c:pt idx="68">
                  <c:v>24955</c:v>
                </c:pt>
                <c:pt idx="69">
                  <c:v>24962</c:v>
                </c:pt>
                <c:pt idx="70">
                  <c:v>24969</c:v>
                </c:pt>
                <c:pt idx="71">
                  <c:v>24976</c:v>
                </c:pt>
                <c:pt idx="72">
                  <c:v>24983</c:v>
                </c:pt>
                <c:pt idx="73">
                  <c:v>24990</c:v>
                </c:pt>
                <c:pt idx="74">
                  <c:v>24997</c:v>
                </c:pt>
                <c:pt idx="75">
                  <c:v>25004</c:v>
                </c:pt>
                <c:pt idx="76">
                  <c:v>25011</c:v>
                </c:pt>
                <c:pt idx="77">
                  <c:v>25018</c:v>
                </c:pt>
                <c:pt idx="78">
                  <c:v>25025</c:v>
                </c:pt>
                <c:pt idx="79">
                  <c:v>25032</c:v>
                </c:pt>
                <c:pt idx="80">
                  <c:v>25039</c:v>
                </c:pt>
                <c:pt idx="81">
                  <c:v>25046</c:v>
                </c:pt>
                <c:pt idx="82">
                  <c:v>25053</c:v>
                </c:pt>
                <c:pt idx="83">
                  <c:v>25060</c:v>
                </c:pt>
                <c:pt idx="84">
                  <c:v>25067</c:v>
                </c:pt>
                <c:pt idx="85">
                  <c:v>25074</c:v>
                </c:pt>
                <c:pt idx="86">
                  <c:v>25081</c:v>
                </c:pt>
                <c:pt idx="87">
                  <c:v>25088</c:v>
                </c:pt>
                <c:pt idx="88">
                  <c:v>25095</c:v>
                </c:pt>
                <c:pt idx="89">
                  <c:v>25102</c:v>
                </c:pt>
                <c:pt idx="90">
                  <c:v>25109</c:v>
                </c:pt>
                <c:pt idx="91">
                  <c:v>25116</c:v>
                </c:pt>
                <c:pt idx="92">
                  <c:v>25123</c:v>
                </c:pt>
                <c:pt idx="93">
                  <c:v>25130</c:v>
                </c:pt>
                <c:pt idx="94">
                  <c:v>25137</c:v>
                </c:pt>
                <c:pt idx="95">
                  <c:v>25144</c:v>
                </c:pt>
                <c:pt idx="96">
                  <c:v>25151</c:v>
                </c:pt>
                <c:pt idx="97">
                  <c:v>25158</c:v>
                </c:pt>
                <c:pt idx="98">
                  <c:v>25165</c:v>
                </c:pt>
                <c:pt idx="99">
                  <c:v>25172</c:v>
                </c:pt>
                <c:pt idx="100">
                  <c:v>25179</c:v>
                </c:pt>
                <c:pt idx="101">
                  <c:v>25186</c:v>
                </c:pt>
                <c:pt idx="102">
                  <c:v>25193</c:v>
                </c:pt>
                <c:pt idx="103">
                  <c:v>25200</c:v>
                </c:pt>
                <c:pt idx="104">
                  <c:v>25207</c:v>
                </c:pt>
                <c:pt idx="105">
                  <c:v>25214</c:v>
                </c:pt>
                <c:pt idx="106">
                  <c:v>25221</c:v>
                </c:pt>
                <c:pt idx="107">
                  <c:v>25228</c:v>
                </c:pt>
                <c:pt idx="108">
                  <c:v>25235</c:v>
                </c:pt>
                <c:pt idx="109">
                  <c:v>25242</c:v>
                </c:pt>
                <c:pt idx="110">
                  <c:v>25249</c:v>
                </c:pt>
                <c:pt idx="111">
                  <c:v>25256</c:v>
                </c:pt>
                <c:pt idx="112">
                  <c:v>25263</c:v>
                </c:pt>
                <c:pt idx="113">
                  <c:v>25270</c:v>
                </c:pt>
                <c:pt idx="114">
                  <c:v>25277</c:v>
                </c:pt>
                <c:pt idx="115">
                  <c:v>25284</c:v>
                </c:pt>
                <c:pt idx="116">
                  <c:v>25291</c:v>
                </c:pt>
                <c:pt idx="117">
                  <c:v>25298</c:v>
                </c:pt>
                <c:pt idx="118">
                  <c:v>25305</c:v>
                </c:pt>
                <c:pt idx="119">
                  <c:v>25312</c:v>
                </c:pt>
                <c:pt idx="120">
                  <c:v>25319</c:v>
                </c:pt>
                <c:pt idx="121">
                  <c:v>25326</c:v>
                </c:pt>
                <c:pt idx="122">
                  <c:v>25333</c:v>
                </c:pt>
                <c:pt idx="123">
                  <c:v>25340</c:v>
                </c:pt>
                <c:pt idx="124">
                  <c:v>25347</c:v>
                </c:pt>
                <c:pt idx="125">
                  <c:v>25354</c:v>
                </c:pt>
                <c:pt idx="126">
                  <c:v>25361</c:v>
                </c:pt>
                <c:pt idx="127">
                  <c:v>25368</c:v>
                </c:pt>
                <c:pt idx="128">
                  <c:v>25375</c:v>
                </c:pt>
                <c:pt idx="129">
                  <c:v>25382</c:v>
                </c:pt>
                <c:pt idx="130">
                  <c:v>25389</c:v>
                </c:pt>
                <c:pt idx="131">
                  <c:v>25396</c:v>
                </c:pt>
                <c:pt idx="132">
                  <c:v>25403</c:v>
                </c:pt>
                <c:pt idx="133">
                  <c:v>25410</c:v>
                </c:pt>
                <c:pt idx="134">
                  <c:v>25417</c:v>
                </c:pt>
                <c:pt idx="135">
                  <c:v>25424</c:v>
                </c:pt>
                <c:pt idx="136">
                  <c:v>25431</c:v>
                </c:pt>
                <c:pt idx="137">
                  <c:v>25438</c:v>
                </c:pt>
                <c:pt idx="138">
                  <c:v>25445</c:v>
                </c:pt>
                <c:pt idx="139">
                  <c:v>25452</c:v>
                </c:pt>
                <c:pt idx="140">
                  <c:v>25459</c:v>
                </c:pt>
                <c:pt idx="141">
                  <c:v>25466</c:v>
                </c:pt>
                <c:pt idx="142">
                  <c:v>25473</c:v>
                </c:pt>
                <c:pt idx="143">
                  <c:v>25480</c:v>
                </c:pt>
                <c:pt idx="144">
                  <c:v>25487</c:v>
                </c:pt>
                <c:pt idx="145">
                  <c:v>25494</c:v>
                </c:pt>
                <c:pt idx="146">
                  <c:v>25501</c:v>
                </c:pt>
                <c:pt idx="147">
                  <c:v>25508</c:v>
                </c:pt>
                <c:pt idx="148">
                  <c:v>25515</c:v>
                </c:pt>
                <c:pt idx="149">
                  <c:v>25522</c:v>
                </c:pt>
                <c:pt idx="150">
                  <c:v>25529</c:v>
                </c:pt>
                <c:pt idx="151">
                  <c:v>25536</c:v>
                </c:pt>
                <c:pt idx="152">
                  <c:v>25543</c:v>
                </c:pt>
                <c:pt idx="153">
                  <c:v>25550</c:v>
                </c:pt>
                <c:pt idx="154">
                  <c:v>25557</c:v>
                </c:pt>
                <c:pt idx="155">
                  <c:v>25564</c:v>
                </c:pt>
                <c:pt idx="156">
                  <c:v>25571</c:v>
                </c:pt>
                <c:pt idx="157">
                  <c:v>25578</c:v>
                </c:pt>
                <c:pt idx="158">
                  <c:v>25585</c:v>
                </c:pt>
                <c:pt idx="159">
                  <c:v>25592</c:v>
                </c:pt>
                <c:pt idx="160">
                  <c:v>25599</c:v>
                </c:pt>
                <c:pt idx="161">
                  <c:v>25606</c:v>
                </c:pt>
                <c:pt idx="162">
                  <c:v>25613</c:v>
                </c:pt>
                <c:pt idx="163">
                  <c:v>25620</c:v>
                </c:pt>
                <c:pt idx="164">
                  <c:v>25627</c:v>
                </c:pt>
                <c:pt idx="165">
                  <c:v>25634</c:v>
                </c:pt>
                <c:pt idx="166">
                  <c:v>25641</c:v>
                </c:pt>
                <c:pt idx="167">
                  <c:v>25648</c:v>
                </c:pt>
                <c:pt idx="168">
                  <c:v>25655</c:v>
                </c:pt>
                <c:pt idx="169">
                  <c:v>25662</c:v>
                </c:pt>
                <c:pt idx="170">
                  <c:v>25669</c:v>
                </c:pt>
                <c:pt idx="171">
                  <c:v>25676</c:v>
                </c:pt>
                <c:pt idx="172">
                  <c:v>25683</c:v>
                </c:pt>
                <c:pt idx="173">
                  <c:v>25690</c:v>
                </c:pt>
                <c:pt idx="174">
                  <c:v>25697</c:v>
                </c:pt>
                <c:pt idx="175">
                  <c:v>25704</c:v>
                </c:pt>
                <c:pt idx="176">
                  <c:v>25711</c:v>
                </c:pt>
                <c:pt idx="177">
                  <c:v>25718</c:v>
                </c:pt>
                <c:pt idx="178">
                  <c:v>25725</c:v>
                </c:pt>
                <c:pt idx="179">
                  <c:v>25732</c:v>
                </c:pt>
                <c:pt idx="180">
                  <c:v>25739</c:v>
                </c:pt>
                <c:pt idx="181">
                  <c:v>25746</c:v>
                </c:pt>
                <c:pt idx="182">
                  <c:v>25753</c:v>
                </c:pt>
                <c:pt idx="183">
                  <c:v>25760</c:v>
                </c:pt>
                <c:pt idx="184">
                  <c:v>25767</c:v>
                </c:pt>
                <c:pt idx="185">
                  <c:v>25774</c:v>
                </c:pt>
                <c:pt idx="186">
                  <c:v>25781</c:v>
                </c:pt>
                <c:pt idx="187">
                  <c:v>25788</c:v>
                </c:pt>
                <c:pt idx="188">
                  <c:v>25795</c:v>
                </c:pt>
                <c:pt idx="189">
                  <c:v>25802</c:v>
                </c:pt>
                <c:pt idx="190">
                  <c:v>25809</c:v>
                </c:pt>
                <c:pt idx="191">
                  <c:v>25816</c:v>
                </c:pt>
                <c:pt idx="192">
                  <c:v>25823</c:v>
                </c:pt>
                <c:pt idx="193">
                  <c:v>25830</c:v>
                </c:pt>
                <c:pt idx="194">
                  <c:v>25837</c:v>
                </c:pt>
                <c:pt idx="195">
                  <c:v>25844</c:v>
                </c:pt>
                <c:pt idx="196">
                  <c:v>25851</c:v>
                </c:pt>
                <c:pt idx="197">
                  <c:v>25858</c:v>
                </c:pt>
                <c:pt idx="198">
                  <c:v>25865</c:v>
                </c:pt>
                <c:pt idx="199">
                  <c:v>25872</c:v>
                </c:pt>
                <c:pt idx="200">
                  <c:v>25879</c:v>
                </c:pt>
                <c:pt idx="201">
                  <c:v>25886</c:v>
                </c:pt>
                <c:pt idx="202">
                  <c:v>25893</c:v>
                </c:pt>
                <c:pt idx="203">
                  <c:v>25900</c:v>
                </c:pt>
                <c:pt idx="204">
                  <c:v>25907</c:v>
                </c:pt>
                <c:pt idx="205">
                  <c:v>25914</c:v>
                </c:pt>
                <c:pt idx="206">
                  <c:v>25921</c:v>
                </c:pt>
                <c:pt idx="207">
                  <c:v>25928</c:v>
                </c:pt>
                <c:pt idx="208">
                  <c:v>25935</c:v>
                </c:pt>
                <c:pt idx="209">
                  <c:v>25942</c:v>
                </c:pt>
                <c:pt idx="210">
                  <c:v>25949</c:v>
                </c:pt>
                <c:pt idx="211">
                  <c:v>25956</c:v>
                </c:pt>
                <c:pt idx="212">
                  <c:v>25963</c:v>
                </c:pt>
                <c:pt idx="213">
                  <c:v>25970</c:v>
                </c:pt>
                <c:pt idx="214">
                  <c:v>25977</c:v>
                </c:pt>
                <c:pt idx="215">
                  <c:v>25984</c:v>
                </c:pt>
                <c:pt idx="216">
                  <c:v>25991</c:v>
                </c:pt>
                <c:pt idx="217">
                  <c:v>25998</c:v>
                </c:pt>
                <c:pt idx="218">
                  <c:v>26005</c:v>
                </c:pt>
                <c:pt idx="219">
                  <c:v>26012</c:v>
                </c:pt>
                <c:pt idx="220">
                  <c:v>26019</c:v>
                </c:pt>
                <c:pt idx="221">
                  <c:v>26026</c:v>
                </c:pt>
                <c:pt idx="222">
                  <c:v>26033</c:v>
                </c:pt>
                <c:pt idx="223">
                  <c:v>26040</c:v>
                </c:pt>
                <c:pt idx="224">
                  <c:v>26047</c:v>
                </c:pt>
                <c:pt idx="225">
                  <c:v>26054</c:v>
                </c:pt>
                <c:pt idx="226">
                  <c:v>26061</c:v>
                </c:pt>
                <c:pt idx="227">
                  <c:v>26068</c:v>
                </c:pt>
                <c:pt idx="228">
                  <c:v>26075</c:v>
                </c:pt>
                <c:pt idx="229">
                  <c:v>26082</c:v>
                </c:pt>
                <c:pt idx="230">
                  <c:v>26089</c:v>
                </c:pt>
                <c:pt idx="231">
                  <c:v>26096</c:v>
                </c:pt>
                <c:pt idx="232">
                  <c:v>26103</c:v>
                </c:pt>
                <c:pt idx="233">
                  <c:v>26110</c:v>
                </c:pt>
                <c:pt idx="234">
                  <c:v>26117</c:v>
                </c:pt>
                <c:pt idx="235">
                  <c:v>26124</c:v>
                </c:pt>
                <c:pt idx="236">
                  <c:v>26131</c:v>
                </c:pt>
                <c:pt idx="237">
                  <c:v>26138</c:v>
                </c:pt>
                <c:pt idx="238">
                  <c:v>26145</c:v>
                </c:pt>
                <c:pt idx="239">
                  <c:v>26152</c:v>
                </c:pt>
                <c:pt idx="240">
                  <c:v>26159</c:v>
                </c:pt>
                <c:pt idx="241">
                  <c:v>26166</c:v>
                </c:pt>
                <c:pt idx="242">
                  <c:v>26173</c:v>
                </c:pt>
                <c:pt idx="243">
                  <c:v>26180</c:v>
                </c:pt>
                <c:pt idx="244">
                  <c:v>26187</c:v>
                </c:pt>
                <c:pt idx="245">
                  <c:v>26194</c:v>
                </c:pt>
                <c:pt idx="246">
                  <c:v>26201</c:v>
                </c:pt>
                <c:pt idx="247">
                  <c:v>26208</c:v>
                </c:pt>
                <c:pt idx="248">
                  <c:v>26215</c:v>
                </c:pt>
                <c:pt idx="249">
                  <c:v>26222</c:v>
                </c:pt>
                <c:pt idx="250">
                  <c:v>26229</c:v>
                </c:pt>
                <c:pt idx="251">
                  <c:v>26236</c:v>
                </c:pt>
                <c:pt idx="252">
                  <c:v>26243</c:v>
                </c:pt>
                <c:pt idx="253">
                  <c:v>26250</c:v>
                </c:pt>
                <c:pt idx="254">
                  <c:v>26257</c:v>
                </c:pt>
                <c:pt idx="255">
                  <c:v>26264</c:v>
                </c:pt>
                <c:pt idx="256">
                  <c:v>26271</c:v>
                </c:pt>
                <c:pt idx="257">
                  <c:v>26278</c:v>
                </c:pt>
                <c:pt idx="258">
                  <c:v>26285</c:v>
                </c:pt>
                <c:pt idx="259">
                  <c:v>26292</c:v>
                </c:pt>
                <c:pt idx="260">
                  <c:v>26299</c:v>
                </c:pt>
                <c:pt idx="261">
                  <c:v>26306</c:v>
                </c:pt>
                <c:pt idx="262">
                  <c:v>26313</c:v>
                </c:pt>
                <c:pt idx="263">
                  <c:v>26320</c:v>
                </c:pt>
                <c:pt idx="264">
                  <c:v>26327</c:v>
                </c:pt>
                <c:pt idx="265">
                  <c:v>26334</c:v>
                </c:pt>
                <c:pt idx="266">
                  <c:v>26341</c:v>
                </c:pt>
                <c:pt idx="267">
                  <c:v>26348</c:v>
                </c:pt>
                <c:pt idx="268">
                  <c:v>26355</c:v>
                </c:pt>
                <c:pt idx="269">
                  <c:v>26362</c:v>
                </c:pt>
                <c:pt idx="270">
                  <c:v>26369</c:v>
                </c:pt>
                <c:pt idx="271">
                  <c:v>26376</c:v>
                </c:pt>
                <c:pt idx="272">
                  <c:v>26383</c:v>
                </c:pt>
                <c:pt idx="273">
                  <c:v>26390</c:v>
                </c:pt>
                <c:pt idx="274">
                  <c:v>26397</c:v>
                </c:pt>
                <c:pt idx="275">
                  <c:v>26404</c:v>
                </c:pt>
                <c:pt idx="276">
                  <c:v>26411</c:v>
                </c:pt>
                <c:pt idx="277">
                  <c:v>26418</c:v>
                </c:pt>
                <c:pt idx="278">
                  <c:v>26425</c:v>
                </c:pt>
                <c:pt idx="279">
                  <c:v>26432</c:v>
                </c:pt>
                <c:pt idx="280">
                  <c:v>26439</c:v>
                </c:pt>
                <c:pt idx="281">
                  <c:v>26446</c:v>
                </c:pt>
                <c:pt idx="282">
                  <c:v>26453</c:v>
                </c:pt>
                <c:pt idx="283">
                  <c:v>26460</c:v>
                </c:pt>
                <c:pt idx="284">
                  <c:v>26467</c:v>
                </c:pt>
                <c:pt idx="285">
                  <c:v>26474</c:v>
                </c:pt>
                <c:pt idx="286">
                  <c:v>26481</c:v>
                </c:pt>
                <c:pt idx="287">
                  <c:v>26488</c:v>
                </c:pt>
                <c:pt idx="288">
                  <c:v>26495</c:v>
                </c:pt>
                <c:pt idx="289">
                  <c:v>26502</c:v>
                </c:pt>
                <c:pt idx="290">
                  <c:v>26509</c:v>
                </c:pt>
                <c:pt idx="291">
                  <c:v>26516</c:v>
                </c:pt>
                <c:pt idx="292">
                  <c:v>26523</c:v>
                </c:pt>
                <c:pt idx="293">
                  <c:v>26530</c:v>
                </c:pt>
                <c:pt idx="294">
                  <c:v>26537</c:v>
                </c:pt>
                <c:pt idx="295">
                  <c:v>26544</c:v>
                </c:pt>
                <c:pt idx="296">
                  <c:v>26551</c:v>
                </c:pt>
                <c:pt idx="297">
                  <c:v>26558</c:v>
                </c:pt>
                <c:pt idx="298">
                  <c:v>26565</c:v>
                </c:pt>
                <c:pt idx="299">
                  <c:v>26572</c:v>
                </c:pt>
                <c:pt idx="300">
                  <c:v>26579</c:v>
                </c:pt>
                <c:pt idx="301">
                  <c:v>26586</c:v>
                </c:pt>
                <c:pt idx="302">
                  <c:v>26593</c:v>
                </c:pt>
                <c:pt idx="303">
                  <c:v>26600</c:v>
                </c:pt>
                <c:pt idx="304">
                  <c:v>26607</c:v>
                </c:pt>
                <c:pt idx="305">
                  <c:v>26614</c:v>
                </c:pt>
                <c:pt idx="306">
                  <c:v>26621</c:v>
                </c:pt>
                <c:pt idx="307">
                  <c:v>26628</c:v>
                </c:pt>
                <c:pt idx="308">
                  <c:v>26635</c:v>
                </c:pt>
                <c:pt idx="309">
                  <c:v>26642</c:v>
                </c:pt>
                <c:pt idx="310">
                  <c:v>26649</c:v>
                </c:pt>
                <c:pt idx="311">
                  <c:v>26656</c:v>
                </c:pt>
                <c:pt idx="312">
                  <c:v>26663</c:v>
                </c:pt>
                <c:pt idx="313">
                  <c:v>26670</c:v>
                </c:pt>
                <c:pt idx="314">
                  <c:v>26677</c:v>
                </c:pt>
                <c:pt idx="315">
                  <c:v>26684</c:v>
                </c:pt>
                <c:pt idx="316">
                  <c:v>26691</c:v>
                </c:pt>
                <c:pt idx="317">
                  <c:v>26698</c:v>
                </c:pt>
                <c:pt idx="318">
                  <c:v>26705</c:v>
                </c:pt>
                <c:pt idx="319">
                  <c:v>26712</c:v>
                </c:pt>
                <c:pt idx="320">
                  <c:v>26719</c:v>
                </c:pt>
                <c:pt idx="321">
                  <c:v>26726</c:v>
                </c:pt>
                <c:pt idx="322">
                  <c:v>26733</c:v>
                </c:pt>
                <c:pt idx="323">
                  <c:v>26740</c:v>
                </c:pt>
                <c:pt idx="324">
                  <c:v>26747</c:v>
                </c:pt>
                <c:pt idx="325">
                  <c:v>26754</c:v>
                </c:pt>
                <c:pt idx="326">
                  <c:v>26761</c:v>
                </c:pt>
                <c:pt idx="327">
                  <c:v>26768</c:v>
                </c:pt>
                <c:pt idx="328">
                  <c:v>26775</c:v>
                </c:pt>
                <c:pt idx="329">
                  <c:v>26782</c:v>
                </c:pt>
                <c:pt idx="330">
                  <c:v>26789</c:v>
                </c:pt>
                <c:pt idx="331">
                  <c:v>26796</c:v>
                </c:pt>
                <c:pt idx="332">
                  <c:v>26803</c:v>
                </c:pt>
                <c:pt idx="333">
                  <c:v>26810</c:v>
                </c:pt>
                <c:pt idx="334">
                  <c:v>26817</c:v>
                </c:pt>
                <c:pt idx="335">
                  <c:v>26824</c:v>
                </c:pt>
                <c:pt idx="336">
                  <c:v>26831</c:v>
                </c:pt>
                <c:pt idx="337">
                  <c:v>26838</c:v>
                </c:pt>
                <c:pt idx="338">
                  <c:v>26845</c:v>
                </c:pt>
                <c:pt idx="339">
                  <c:v>26852</c:v>
                </c:pt>
                <c:pt idx="340">
                  <c:v>26859</c:v>
                </c:pt>
                <c:pt idx="341">
                  <c:v>26866</c:v>
                </c:pt>
                <c:pt idx="342">
                  <c:v>26873</c:v>
                </c:pt>
                <c:pt idx="343">
                  <c:v>26880</c:v>
                </c:pt>
                <c:pt idx="344">
                  <c:v>26887</c:v>
                </c:pt>
                <c:pt idx="345">
                  <c:v>26894</c:v>
                </c:pt>
                <c:pt idx="346">
                  <c:v>26901</c:v>
                </c:pt>
                <c:pt idx="347">
                  <c:v>26908</c:v>
                </c:pt>
                <c:pt idx="348">
                  <c:v>26915</c:v>
                </c:pt>
                <c:pt idx="349">
                  <c:v>26922</c:v>
                </c:pt>
                <c:pt idx="350">
                  <c:v>26929</c:v>
                </c:pt>
                <c:pt idx="351">
                  <c:v>26936</c:v>
                </c:pt>
                <c:pt idx="352">
                  <c:v>26943</c:v>
                </c:pt>
                <c:pt idx="353">
                  <c:v>26950</c:v>
                </c:pt>
                <c:pt idx="354">
                  <c:v>26957</c:v>
                </c:pt>
                <c:pt idx="355">
                  <c:v>26964</c:v>
                </c:pt>
                <c:pt idx="356">
                  <c:v>26971</c:v>
                </c:pt>
                <c:pt idx="357">
                  <c:v>26978</c:v>
                </c:pt>
                <c:pt idx="358">
                  <c:v>26985</c:v>
                </c:pt>
                <c:pt idx="359">
                  <c:v>26992</c:v>
                </c:pt>
                <c:pt idx="360">
                  <c:v>26999</c:v>
                </c:pt>
                <c:pt idx="361">
                  <c:v>27006</c:v>
                </c:pt>
                <c:pt idx="362">
                  <c:v>27013</c:v>
                </c:pt>
                <c:pt idx="363">
                  <c:v>27020</c:v>
                </c:pt>
                <c:pt idx="364">
                  <c:v>27027</c:v>
                </c:pt>
                <c:pt idx="365">
                  <c:v>27034</c:v>
                </c:pt>
                <c:pt idx="366">
                  <c:v>27041</c:v>
                </c:pt>
                <c:pt idx="367">
                  <c:v>27048</c:v>
                </c:pt>
                <c:pt idx="368">
                  <c:v>27055</c:v>
                </c:pt>
                <c:pt idx="369">
                  <c:v>27062</c:v>
                </c:pt>
                <c:pt idx="370">
                  <c:v>27069</c:v>
                </c:pt>
                <c:pt idx="371">
                  <c:v>27076</c:v>
                </c:pt>
                <c:pt idx="372">
                  <c:v>27083</c:v>
                </c:pt>
                <c:pt idx="373">
                  <c:v>27090</c:v>
                </c:pt>
                <c:pt idx="374">
                  <c:v>27097</c:v>
                </c:pt>
                <c:pt idx="375">
                  <c:v>27104</c:v>
                </c:pt>
                <c:pt idx="376">
                  <c:v>27111</c:v>
                </c:pt>
                <c:pt idx="377">
                  <c:v>27118</c:v>
                </c:pt>
                <c:pt idx="378">
                  <c:v>27125</c:v>
                </c:pt>
                <c:pt idx="379">
                  <c:v>27132</c:v>
                </c:pt>
                <c:pt idx="380">
                  <c:v>27139</c:v>
                </c:pt>
                <c:pt idx="381">
                  <c:v>27146</c:v>
                </c:pt>
                <c:pt idx="382">
                  <c:v>27153</c:v>
                </c:pt>
                <c:pt idx="383">
                  <c:v>27160</c:v>
                </c:pt>
                <c:pt idx="384">
                  <c:v>27167</c:v>
                </c:pt>
                <c:pt idx="385">
                  <c:v>27174</c:v>
                </c:pt>
                <c:pt idx="386">
                  <c:v>27181</c:v>
                </c:pt>
                <c:pt idx="387">
                  <c:v>27188</c:v>
                </c:pt>
                <c:pt idx="388">
                  <c:v>27195</c:v>
                </c:pt>
                <c:pt idx="389">
                  <c:v>27202</c:v>
                </c:pt>
                <c:pt idx="390">
                  <c:v>27209</c:v>
                </c:pt>
                <c:pt idx="391">
                  <c:v>27216</c:v>
                </c:pt>
                <c:pt idx="392">
                  <c:v>27223</c:v>
                </c:pt>
                <c:pt idx="393">
                  <c:v>27230</c:v>
                </c:pt>
                <c:pt idx="394">
                  <c:v>27237</c:v>
                </c:pt>
                <c:pt idx="395">
                  <c:v>27244</c:v>
                </c:pt>
                <c:pt idx="396">
                  <c:v>27251</c:v>
                </c:pt>
                <c:pt idx="397">
                  <c:v>27258</c:v>
                </c:pt>
                <c:pt idx="398">
                  <c:v>27265</c:v>
                </c:pt>
                <c:pt idx="399">
                  <c:v>27272</c:v>
                </c:pt>
                <c:pt idx="400">
                  <c:v>27279</c:v>
                </c:pt>
                <c:pt idx="401">
                  <c:v>27286</c:v>
                </c:pt>
                <c:pt idx="402">
                  <c:v>27293</c:v>
                </c:pt>
                <c:pt idx="403">
                  <c:v>27300</c:v>
                </c:pt>
                <c:pt idx="404">
                  <c:v>27307</c:v>
                </c:pt>
                <c:pt idx="405">
                  <c:v>27314</c:v>
                </c:pt>
                <c:pt idx="406">
                  <c:v>27321</c:v>
                </c:pt>
                <c:pt idx="407">
                  <c:v>27328</c:v>
                </c:pt>
                <c:pt idx="408">
                  <c:v>27335</c:v>
                </c:pt>
                <c:pt idx="409">
                  <c:v>27342</c:v>
                </c:pt>
                <c:pt idx="410">
                  <c:v>27349</c:v>
                </c:pt>
                <c:pt idx="411">
                  <c:v>27356</c:v>
                </c:pt>
                <c:pt idx="412">
                  <c:v>27363</c:v>
                </c:pt>
                <c:pt idx="413">
                  <c:v>27370</c:v>
                </c:pt>
                <c:pt idx="414">
                  <c:v>27377</c:v>
                </c:pt>
                <c:pt idx="415">
                  <c:v>27384</c:v>
                </c:pt>
                <c:pt idx="416">
                  <c:v>27391</c:v>
                </c:pt>
                <c:pt idx="417">
                  <c:v>27398</c:v>
                </c:pt>
                <c:pt idx="418">
                  <c:v>27405</c:v>
                </c:pt>
                <c:pt idx="419">
                  <c:v>27412</c:v>
                </c:pt>
                <c:pt idx="420">
                  <c:v>27419</c:v>
                </c:pt>
                <c:pt idx="421">
                  <c:v>27426</c:v>
                </c:pt>
                <c:pt idx="422">
                  <c:v>27433</c:v>
                </c:pt>
                <c:pt idx="423">
                  <c:v>27440</c:v>
                </c:pt>
                <c:pt idx="424">
                  <c:v>27447</c:v>
                </c:pt>
                <c:pt idx="425">
                  <c:v>27454</c:v>
                </c:pt>
                <c:pt idx="426">
                  <c:v>27461</c:v>
                </c:pt>
                <c:pt idx="427">
                  <c:v>27468</c:v>
                </c:pt>
                <c:pt idx="428">
                  <c:v>27475</c:v>
                </c:pt>
                <c:pt idx="429">
                  <c:v>27482</c:v>
                </c:pt>
                <c:pt idx="430">
                  <c:v>27489</c:v>
                </c:pt>
                <c:pt idx="431">
                  <c:v>27496</c:v>
                </c:pt>
                <c:pt idx="432">
                  <c:v>27503</c:v>
                </c:pt>
                <c:pt idx="433">
                  <c:v>27510</c:v>
                </c:pt>
                <c:pt idx="434">
                  <c:v>27517</c:v>
                </c:pt>
                <c:pt idx="435">
                  <c:v>27524</c:v>
                </c:pt>
                <c:pt idx="436">
                  <c:v>27531</c:v>
                </c:pt>
                <c:pt idx="437">
                  <c:v>27538</c:v>
                </c:pt>
                <c:pt idx="438">
                  <c:v>27545</c:v>
                </c:pt>
                <c:pt idx="439">
                  <c:v>27552</c:v>
                </c:pt>
                <c:pt idx="440">
                  <c:v>27559</c:v>
                </c:pt>
                <c:pt idx="441">
                  <c:v>27566</c:v>
                </c:pt>
                <c:pt idx="442">
                  <c:v>27573</c:v>
                </c:pt>
                <c:pt idx="443">
                  <c:v>27580</c:v>
                </c:pt>
                <c:pt idx="444">
                  <c:v>27587</c:v>
                </c:pt>
                <c:pt idx="445">
                  <c:v>27594</c:v>
                </c:pt>
                <c:pt idx="446">
                  <c:v>27601</c:v>
                </c:pt>
                <c:pt idx="447">
                  <c:v>27608</c:v>
                </c:pt>
                <c:pt idx="448">
                  <c:v>27615</c:v>
                </c:pt>
                <c:pt idx="449">
                  <c:v>27622</c:v>
                </c:pt>
                <c:pt idx="450">
                  <c:v>27629</c:v>
                </c:pt>
                <c:pt idx="451">
                  <c:v>27636</c:v>
                </c:pt>
                <c:pt idx="452">
                  <c:v>27643</c:v>
                </c:pt>
                <c:pt idx="453">
                  <c:v>27650</c:v>
                </c:pt>
                <c:pt idx="454">
                  <c:v>27657</c:v>
                </c:pt>
                <c:pt idx="455">
                  <c:v>27664</c:v>
                </c:pt>
                <c:pt idx="456">
                  <c:v>27671</c:v>
                </c:pt>
                <c:pt idx="457">
                  <c:v>27678</c:v>
                </c:pt>
                <c:pt idx="458">
                  <c:v>27685</c:v>
                </c:pt>
                <c:pt idx="459">
                  <c:v>27692</c:v>
                </c:pt>
                <c:pt idx="460">
                  <c:v>27699</c:v>
                </c:pt>
                <c:pt idx="461">
                  <c:v>27706</c:v>
                </c:pt>
                <c:pt idx="462">
                  <c:v>27713</c:v>
                </c:pt>
                <c:pt idx="463">
                  <c:v>27720</c:v>
                </c:pt>
                <c:pt idx="464">
                  <c:v>27727</c:v>
                </c:pt>
                <c:pt idx="465">
                  <c:v>27734</c:v>
                </c:pt>
                <c:pt idx="466">
                  <c:v>27741</c:v>
                </c:pt>
                <c:pt idx="467">
                  <c:v>27748</c:v>
                </c:pt>
                <c:pt idx="468">
                  <c:v>27755</c:v>
                </c:pt>
                <c:pt idx="469">
                  <c:v>27762</c:v>
                </c:pt>
                <c:pt idx="470">
                  <c:v>27769</c:v>
                </c:pt>
                <c:pt idx="471">
                  <c:v>27776</c:v>
                </c:pt>
                <c:pt idx="472">
                  <c:v>27783</c:v>
                </c:pt>
                <c:pt idx="473">
                  <c:v>27790</c:v>
                </c:pt>
                <c:pt idx="474">
                  <c:v>27797</c:v>
                </c:pt>
                <c:pt idx="475">
                  <c:v>27804</c:v>
                </c:pt>
                <c:pt idx="476">
                  <c:v>27811</c:v>
                </c:pt>
                <c:pt idx="477">
                  <c:v>27818</c:v>
                </c:pt>
                <c:pt idx="478">
                  <c:v>27825</c:v>
                </c:pt>
                <c:pt idx="479">
                  <c:v>27832</c:v>
                </c:pt>
                <c:pt idx="480">
                  <c:v>27839</c:v>
                </c:pt>
                <c:pt idx="481">
                  <c:v>27846</c:v>
                </c:pt>
                <c:pt idx="482">
                  <c:v>27853</c:v>
                </c:pt>
                <c:pt idx="483">
                  <c:v>27860</c:v>
                </c:pt>
                <c:pt idx="484">
                  <c:v>27867</c:v>
                </c:pt>
                <c:pt idx="485">
                  <c:v>27874</c:v>
                </c:pt>
                <c:pt idx="486">
                  <c:v>27881</c:v>
                </c:pt>
                <c:pt idx="487">
                  <c:v>27888</c:v>
                </c:pt>
                <c:pt idx="488">
                  <c:v>27895</c:v>
                </c:pt>
                <c:pt idx="489">
                  <c:v>27902</c:v>
                </c:pt>
                <c:pt idx="490">
                  <c:v>27909</c:v>
                </c:pt>
                <c:pt idx="491">
                  <c:v>27916</c:v>
                </c:pt>
                <c:pt idx="492">
                  <c:v>27923</c:v>
                </c:pt>
                <c:pt idx="493">
                  <c:v>27930</c:v>
                </c:pt>
                <c:pt idx="494">
                  <c:v>27937</c:v>
                </c:pt>
                <c:pt idx="495">
                  <c:v>27944</c:v>
                </c:pt>
                <c:pt idx="496">
                  <c:v>27951</c:v>
                </c:pt>
                <c:pt idx="497">
                  <c:v>27958</c:v>
                </c:pt>
                <c:pt idx="498">
                  <c:v>27965</c:v>
                </c:pt>
                <c:pt idx="499">
                  <c:v>27972</c:v>
                </c:pt>
                <c:pt idx="500">
                  <c:v>27979</c:v>
                </c:pt>
                <c:pt idx="501">
                  <c:v>27986</c:v>
                </c:pt>
                <c:pt idx="502">
                  <c:v>27993</c:v>
                </c:pt>
                <c:pt idx="503">
                  <c:v>28000</c:v>
                </c:pt>
                <c:pt idx="504">
                  <c:v>28007</c:v>
                </c:pt>
                <c:pt idx="505">
                  <c:v>28014</c:v>
                </c:pt>
                <c:pt idx="506">
                  <c:v>28021</c:v>
                </c:pt>
                <c:pt idx="507">
                  <c:v>28028</c:v>
                </c:pt>
                <c:pt idx="508">
                  <c:v>28035</c:v>
                </c:pt>
                <c:pt idx="509">
                  <c:v>28042</c:v>
                </c:pt>
                <c:pt idx="510">
                  <c:v>28049</c:v>
                </c:pt>
                <c:pt idx="511">
                  <c:v>28056</c:v>
                </c:pt>
                <c:pt idx="512">
                  <c:v>28063</c:v>
                </c:pt>
                <c:pt idx="513">
                  <c:v>28070</c:v>
                </c:pt>
                <c:pt idx="514">
                  <c:v>28077</c:v>
                </c:pt>
                <c:pt idx="515">
                  <c:v>28084</c:v>
                </c:pt>
                <c:pt idx="516">
                  <c:v>28091</c:v>
                </c:pt>
                <c:pt idx="517">
                  <c:v>28098</c:v>
                </c:pt>
                <c:pt idx="518">
                  <c:v>28105</c:v>
                </c:pt>
                <c:pt idx="519">
                  <c:v>28112</c:v>
                </c:pt>
                <c:pt idx="520">
                  <c:v>28119</c:v>
                </c:pt>
                <c:pt idx="521">
                  <c:v>28126</c:v>
                </c:pt>
                <c:pt idx="522">
                  <c:v>28133</c:v>
                </c:pt>
                <c:pt idx="523">
                  <c:v>28140</c:v>
                </c:pt>
                <c:pt idx="524">
                  <c:v>28147</c:v>
                </c:pt>
                <c:pt idx="525">
                  <c:v>28154</c:v>
                </c:pt>
                <c:pt idx="526">
                  <c:v>28161</c:v>
                </c:pt>
                <c:pt idx="527">
                  <c:v>28168</c:v>
                </c:pt>
                <c:pt idx="528">
                  <c:v>28175</c:v>
                </c:pt>
                <c:pt idx="529">
                  <c:v>28182</c:v>
                </c:pt>
                <c:pt idx="530">
                  <c:v>28189</c:v>
                </c:pt>
                <c:pt idx="531">
                  <c:v>28196</c:v>
                </c:pt>
                <c:pt idx="532">
                  <c:v>28203</c:v>
                </c:pt>
                <c:pt idx="533">
                  <c:v>28210</c:v>
                </c:pt>
                <c:pt idx="534">
                  <c:v>28217</c:v>
                </c:pt>
                <c:pt idx="535">
                  <c:v>28224</c:v>
                </c:pt>
                <c:pt idx="536">
                  <c:v>28231</c:v>
                </c:pt>
                <c:pt idx="537">
                  <c:v>28238</c:v>
                </c:pt>
                <c:pt idx="538">
                  <c:v>28245</c:v>
                </c:pt>
                <c:pt idx="539">
                  <c:v>28252</c:v>
                </c:pt>
                <c:pt idx="540">
                  <c:v>28259</c:v>
                </c:pt>
                <c:pt idx="541">
                  <c:v>28266</c:v>
                </c:pt>
                <c:pt idx="542">
                  <c:v>28273</c:v>
                </c:pt>
                <c:pt idx="543">
                  <c:v>28280</c:v>
                </c:pt>
                <c:pt idx="544">
                  <c:v>28287</c:v>
                </c:pt>
                <c:pt idx="545">
                  <c:v>28294</c:v>
                </c:pt>
                <c:pt idx="546">
                  <c:v>28301</c:v>
                </c:pt>
                <c:pt idx="547">
                  <c:v>28308</c:v>
                </c:pt>
                <c:pt idx="548">
                  <c:v>28315</c:v>
                </c:pt>
                <c:pt idx="549">
                  <c:v>28322</c:v>
                </c:pt>
                <c:pt idx="550">
                  <c:v>28329</c:v>
                </c:pt>
                <c:pt idx="551">
                  <c:v>28336</c:v>
                </c:pt>
                <c:pt idx="552">
                  <c:v>28343</c:v>
                </c:pt>
                <c:pt idx="553">
                  <c:v>28350</c:v>
                </c:pt>
                <c:pt idx="554">
                  <c:v>28357</c:v>
                </c:pt>
                <c:pt idx="555">
                  <c:v>28364</c:v>
                </c:pt>
                <c:pt idx="556">
                  <c:v>28371</c:v>
                </c:pt>
                <c:pt idx="557">
                  <c:v>28378</c:v>
                </c:pt>
                <c:pt idx="558">
                  <c:v>28385</c:v>
                </c:pt>
                <c:pt idx="559">
                  <c:v>28392</c:v>
                </c:pt>
                <c:pt idx="560">
                  <c:v>28399</c:v>
                </c:pt>
                <c:pt idx="561">
                  <c:v>28406</c:v>
                </c:pt>
                <c:pt idx="562">
                  <c:v>28413</c:v>
                </c:pt>
                <c:pt idx="563">
                  <c:v>28420</c:v>
                </c:pt>
                <c:pt idx="564">
                  <c:v>28427</c:v>
                </c:pt>
                <c:pt idx="565">
                  <c:v>28434</c:v>
                </c:pt>
                <c:pt idx="566">
                  <c:v>28441</c:v>
                </c:pt>
                <c:pt idx="567">
                  <c:v>28448</c:v>
                </c:pt>
                <c:pt idx="568">
                  <c:v>28455</c:v>
                </c:pt>
                <c:pt idx="569">
                  <c:v>28462</c:v>
                </c:pt>
                <c:pt idx="570">
                  <c:v>28469</c:v>
                </c:pt>
                <c:pt idx="571">
                  <c:v>28476</c:v>
                </c:pt>
                <c:pt idx="572">
                  <c:v>28483</c:v>
                </c:pt>
                <c:pt idx="573">
                  <c:v>28490</c:v>
                </c:pt>
                <c:pt idx="574">
                  <c:v>28497</c:v>
                </c:pt>
                <c:pt idx="575">
                  <c:v>28504</c:v>
                </c:pt>
                <c:pt idx="576">
                  <c:v>28511</c:v>
                </c:pt>
                <c:pt idx="577">
                  <c:v>28518</c:v>
                </c:pt>
                <c:pt idx="578">
                  <c:v>28525</c:v>
                </c:pt>
                <c:pt idx="579">
                  <c:v>28532</c:v>
                </c:pt>
                <c:pt idx="580">
                  <c:v>28539</c:v>
                </c:pt>
                <c:pt idx="581">
                  <c:v>28546</c:v>
                </c:pt>
                <c:pt idx="582">
                  <c:v>28553</c:v>
                </c:pt>
                <c:pt idx="583">
                  <c:v>28560</c:v>
                </c:pt>
                <c:pt idx="584">
                  <c:v>28567</c:v>
                </c:pt>
                <c:pt idx="585">
                  <c:v>28574</c:v>
                </c:pt>
                <c:pt idx="586">
                  <c:v>28581</c:v>
                </c:pt>
                <c:pt idx="587">
                  <c:v>28588</c:v>
                </c:pt>
                <c:pt idx="588">
                  <c:v>28595</c:v>
                </c:pt>
                <c:pt idx="589">
                  <c:v>28602</c:v>
                </c:pt>
                <c:pt idx="590">
                  <c:v>28609</c:v>
                </c:pt>
                <c:pt idx="591">
                  <c:v>28616</c:v>
                </c:pt>
                <c:pt idx="592">
                  <c:v>28623</c:v>
                </c:pt>
                <c:pt idx="593">
                  <c:v>28630</c:v>
                </c:pt>
                <c:pt idx="594">
                  <c:v>28637</c:v>
                </c:pt>
                <c:pt idx="595">
                  <c:v>28644</c:v>
                </c:pt>
                <c:pt idx="596">
                  <c:v>28651</c:v>
                </c:pt>
                <c:pt idx="597">
                  <c:v>28658</c:v>
                </c:pt>
                <c:pt idx="598">
                  <c:v>28665</c:v>
                </c:pt>
                <c:pt idx="599">
                  <c:v>28672</c:v>
                </c:pt>
                <c:pt idx="600">
                  <c:v>28679</c:v>
                </c:pt>
                <c:pt idx="601">
                  <c:v>28686</c:v>
                </c:pt>
                <c:pt idx="602">
                  <c:v>28693</c:v>
                </c:pt>
                <c:pt idx="603">
                  <c:v>28700</c:v>
                </c:pt>
                <c:pt idx="604">
                  <c:v>28707</c:v>
                </c:pt>
                <c:pt idx="605">
                  <c:v>28714</c:v>
                </c:pt>
                <c:pt idx="606">
                  <c:v>28721</c:v>
                </c:pt>
                <c:pt idx="607">
                  <c:v>28728</c:v>
                </c:pt>
                <c:pt idx="608">
                  <c:v>28735</c:v>
                </c:pt>
                <c:pt idx="609">
                  <c:v>28742</c:v>
                </c:pt>
                <c:pt idx="610">
                  <c:v>28749</c:v>
                </c:pt>
                <c:pt idx="611">
                  <c:v>28756</c:v>
                </c:pt>
                <c:pt idx="612">
                  <c:v>28763</c:v>
                </c:pt>
                <c:pt idx="613">
                  <c:v>28770</c:v>
                </c:pt>
                <c:pt idx="614">
                  <c:v>28777</c:v>
                </c:pt>
                <c:pt idx="615">
                  <c:v>28784</c:v>
                </c:pt>
                <c:pt idx="616">
                  <c:v>28791</c:v>
                </c:pt>
                <c:pt idx="617">
                  <c:v>28798</c:v>
                </c:pt>
                <c:pt idx="618">
                  <c:v>28805</c:v>
                </c:pt>
                <c:pt idx="619">
                  <c:v>28812</c:v>
                </c:pt>
                <c:pt idx="620">
                  <c:v>28819</c:v>
                </c:pt>
                <c:pt idx="621">
                  <c:v>28826</c:v>
                </c:pt>
                <c:pt idx="622">
                  <c:v>28833</c:v>
                </c:pt>
                <c:pt idx="623">
                  <c:v>28840</c:v>
                </c:pt>
                <c:pt idx="624">
                  <c:v>28847</c:v>
                </c:pt>
                <c:pt idx="625">
                  <c:v>28854</c:v>
                </c:pt>
                <c:pt idx="626">
                  <c:v>28861</c:v>
                </c:pt>
                <c:pt idx="627">
                  <c:v>28868</c:v>
                </c:pt>
                <c:pt idx="628">
                  <c:v>28875</c:v>
                </c:pt>
                <c:pt idx="629">
                  <c:v>28882</c:v>
                </c:pt>
                <c:pt idx="630">
                  <c:v>28889</c:v>
                </c:pt>
                <c:pt idx="631">
                  <c:v>28896</c:v>
                </c:pt>
                <c:pt idx="632">
                  <c:v>28903</c:v>
                </c:pt>
                <c:pt idx="633">
                  <c:v>28910</c:v>
                </c:pt>
                <c:pt idx="634">
                  <c:v>28917</c:v>
                </c:pt>
                <c:pt idx="635">
                  <c:v>28924</c:v>
                </c:pt>
                <c:pt idx="636">
                  <c:v>28931</c:v>
                </c:pt>
                <c:pt idx="637">
                  <c:v>28938</c:v>
                </c:pt>
                <c:pt idx="638">
                  <c:v>28945</c:v>
                </c:pt>
                <c:pt idx="639">
                  <c:v>28952</c:v>
                </c:pt>
                <c:pt idx="640">
                  <c:v>28959</c:v>
                </c:pt>
                <c:pt idx="641">
                  <c:v>28966</c:v>
                </c:pt>
                <c:pt idx="642">
                  <c:v>28973</c:v>
                </c:pt>
                <c:pt idx="643">
                  <c:v>28980</c:v>
                </c:pt>
                <c:pt idx="644">
                  <c:v>28987</c:v>
                </c:pt>
                <c:pt idx="645">
                  <c:v>28994</c:v>
                </c:pt>
                <c:pt idx="646">
                  <c:v>29001</c:v>
                </c:pt>
                <c:pt idx="647">
                  <c:v>29008</c:v>
                </c:pt>
                <c:pt idx="648">
                  <c:v>29015</c:v>
                </c:pt>
                <c:pt idx="649">
                  <c:v>29022</c:v>
                </c:pt>
                <c:pt idx="650">
                  <c:v>29029</c:v>
                </c:pt>
                <c:pt idx="651">
                  <c:v>29036</c:v>
                </c:pt>
                <c:pt idx="652">
                  <c:v>29043</c:v>
                </c:pt>
                <c:pt idx="653">
                  <c:v>29050</c:v>
                </c:pt>
                <c:pt idx="654">
                  <c:v>29057</c:v>
                </c:pt>
                <c:pt idx="655">
                  <c:v>29064</c:v>
                </c:pt>
                <c:pt idx="656">
                  <c:v>29071</c:v>
                </c:pt>
                <c:pt idx="657">
                  <c:v>29078</c:v>
                </c:pt>
                <c:pt idx="658">
                  <c:v>29085</c:v>
                </c:pt>
                <c:pt idx="659">
                  <c:v>29092</c:v>
                </c:pt>
                <c:pt idx="660">
                  <c:v>29099</c:v>
                </c:pt>
                <c:pt idx="661">
                  <c:v>29106</c:v>
                </c:pt>
                <c:pt idx="662">
                  <c:v>29113</c:v>
                </c:pt>
                <c:pt idx="663">
                  <c:v>29120</c:v>
                </c:pt>
                <c:pt idx="664">
                  <c:v>29127</c:v>
                </c:pt>
                <c:pt idx="665">
                  <c:v>29134</c:v>
                </c:pt>
                <c:pt idx="666">
                  <c:v>29141</c:v>
                </c:pt>
                <c:pt idx="667">
                  <c:v>29148</c:v>
                </c:pt>
                <c:pt idx="668">
                  <c:v>29155</c:v>
                </c:pt>
                <c:pt idx="669">
                  <c:v>29162</c:v>
                </c:pt>
                <c:pt idx="670">
                  <c:v>29169</c:v>
                </c:pt>
                <c:pt idx="671">
                  <c:v>29176</c:v>
                </c:pt>
                <c:pt idx="672">
                  <c:v>29183</c:v>
                </c:pt>
                <c:pt idx="673">
                  <c:v>29190</c:v>
                </c:pt>
                <c:pt idx="674">
                  <c:v>29197</c:v>
                </c:pt>
                <c:pt idx="675">
                  <c:v>29204</c:v>
                </c:pt>
                <c:pt idx="676">
                  <c:v>29211</c:v>
                </c:pt>
                <c:pt idx="677">
                  <c:v>29218</c:v>
                </c:pt>
                <c:pt idx="678">
                  <c:v>29225</c:v>
                </c:pt>
                <c:pt idx="679">
                  <c:v>29232</c:v>
                </c:pt>
                <c:pt idx="680">
                  <c:v>29239</c:v>
                </c:pt>
                <c:pt idx="681">
                  <c:v>29246</c:v>
                </c:pt>
                <c:pt idx="682">
                  <c:v>29253</c:v>
                </c:pt>
                <c:pt idx="683">
                  <c:v>29260</c:v>
                </c:pt>
                <c:pt idx="684">
                  <c:v>29267</c:v>
                </c:pt>
                <c:pt idx="685">
                  <c:v>29274</c:v>
                </c:pt>
                <c:pt idx="686">
                  <c:v>29281</c:v>
                </c:pt>
                <c:pt idx="687">
                  <c:v>29288</c:v>
                </c:pt>
                <c:pt idx="688">
                  <c:v>29295</c:v>
                </c:pt>
                <c:pt idx="689">
                  <c:v>29302</c:v>
                </c:pt>
                <c:pt idx="690">
                  <c:v>29309</c:v>
                </c:pt>
                <c:pt idx="691">
                  <c:v>29316</c:v>
                </c:pt>
                <c:pt idx="692">
                  <c:v>29323</c:v>
                </c:pt>
                <c:pt idx="693">
                  <c:v>29330</c:v>
                </c:pt>
                <c:pt idx="694">
                  <c:v>29337</c:v>
                </c:pt>
                <c:pt idx="695">
                  <c:v>29344</c:v>
                </c:pt>
                <c:pt idx="696">
                  <c:v>29351</c:v>
                </c:pt>
                <c:pt idx="697">
                  <c:v>29358</c:v>
                </c:pt>
                <c:pt idx="698">
                  <c:v>29365</c:v>
                </c:pt>
                <c:pt idx="699">
                  <c:v>29372</c:v>
                </c:pt>
                <c:pt idx="700">
                  <c:v>29379</c:v>
                </c:pt>
                <c:pt idx="701">
                  <c:v>29386</c:v>
                </c:pt>
                <c:pt idx="702">
                  <c:v>29393</c:v>
                </c:pt>
                <c:pt idx="703">
                  <c:v>29400</c:v>
                </c:pt>
                <c:pt idx="704">
                  <c:v>29407</c:v>
                </c:pt>
                <c:pt idx="705">
                  <c:v>29414</c:v>
                </c:pt>
                <c:pt idx="706">
                  <c:v>29421</c:v>
                </c:pt>
                <c:pt idx="707">
                  <c:v>29428</c:v>
                </c:pt>
                <c:pt idx="708">
                  <c:v>29435</c:v>
                </c:pt>
                <c:pt idx="709">
                  <c:v>29442</c:v>
                </c:pt>
                <c:pt idx="710">
                  <c:v>29449</c:v>
                </c:pt>
                <c:pt idx="711">
                  <c:v>29456</c:v>
                </c:pt>
                <c:pt idx="712">
                  <c:v>29463</c:v>
                </c:pt>
                <c:pt idx="713">
                  <c:v>29470</c:v>
                </c:pt>
                <c:pt idx="714">
                  <c:v>29477</c:v>
                </c:pt>
                <c:pt idx="715">
                  <c:v>29484</c:v>
                </c:pt>
                <c:pt idx="716">
                  <c:v>29491</c:v>
                </c:pt>
                <c:pt idx="717">
                  <c:v>29498</c:v>
                </c:pt>
                <c:pt idx="718">
                  <c:v>29505</c:v>
                </c:pt>
                <c:pt idx="719">
                  <c:v>29512</c:v>
                </c:pt>
                <c:pt idx="720">
                  <c:v>29519</c:v>
                </c:pt>
                <c:pt idx="721">
                  <c:v>29526</c:v>
                </c:pt>
                <c:pt idx="722">
                  <c:v>29533</c:v>
                </c:pt>
                <c:pt idx="723">
                  <c:v>29540</c:v>
                </c:pt>
                <c:pt idx="724">
                  <c:v>29547</c:v>
                </c:pt>
                <c:pt idx="725">
                  <c:v>29554</c:v>
                </c:pt>
                <c:pt idx="726">
                  <c:v>29561</c:v>
                </c:pt>
                <c:pt idx="727">
                  <c:v>29568</c:v>
                </c:pt>
                <c:pt idx="728">
                  <c:v>29575</c:v>
                </c:pt>
                <c:pt idx="729">
                  <c:v>29582</c:v>
                </c:pt>
                <c:pt idx="730">
                  <c:v>29589</c:v>
                </c:pt>
                <c:pt idx="731">
                  <c:v>29596</c:v>
                </c:pt>
                <c:pt idx="732">
                  <c:v>29603</c:v>
                </c:pt>
                <c:pt idx="733">
                  <c:v>29610</c:v>
                </c:pt>
                <c:pt idx="734">
                  <c:v>29617</c:v>
                </c:pt>
                <c:pt idx="735">
                  <c:v>29624</c:v>
                </c:pt>
                <c:pt idx="736">
                  <c:v>29631</c:v>
                </c:pt>
                <c:pt idx="737">
                  <c:v>29638</c:v>
                </c:pt>
                <c:pt idx="738">
                  <c:v>29645</c:v>
                </c:pt>
                <c:pt idx="739">
                  <c:v>29652</c:v>
                </c:pt>
                <c:pt idx="740">
                  <c:v>29659</c:v>
                </c:pt>
                <c:pt idx="741">
                  <c:v>29666</c:v>
                </c:pt>
                <c:pt idx="742">
                  <c:v>29673</c:v>
                </c:pt>
                <c:pt idx="743">
                  <c:v>29680</c:v>
                </c:pt>
                <c:pt idx="744">
                  <c:v>29687</c:v>
                </c:pt>
                <c:pt idx="745">
                  <c:v>29694</c:v>
                </c:pt>
                <c:pt idx="746">
                  <c:v>29701</c:v>
                </c:pt>
                <c:pt idx="747">
                  <c:v>29708</c:v>
                </c:pt>
                <c:pt idx="748">
                  <c:v>29715</c:v>
                </c:pt>
                <c:pt idx="749">
                  <c:v>29722</c:v>
                </c:pt>
                <c:pt idx="750">
                  <c:v>29729</c:v>
                </c:pt>
                <c:pt idx="751">
                  <c:v>29736</c:v>
                </c:pt>
                <c:pt idx="752">
                  <c:v>29743</c:v>
                </c:pt>
                <c:pt idx="753">
                  <c:v>29750</c:v>
                </c:pt>
                <c:pt idx="754">
                  <c:v>29757</c:v>
                </c:pt>
                <c:pt idx="755">
                  <c:v>29764</c:v>
                </c:pt>
                <c:pt idx="756">
                  <c:v>29771</c:v>
                </c:pt>
                <c:pt idx="757">
                  <c:v>29778</c:v>
                </c:pt>
                <c:pt idx="758">
                  <c:v>29785</c:v>
                </c:pt>
                <c:pt idx="759">
                  <c:v>29792</c:v>
                </c:pt>
                <c:pt idx="760">
                  <c:v>29799</c:v>
                </c:pt>
                <c:pt idx="761">
                  <c:v>29806</c:v>
                </c:pt>
                <c:pt idx="762">
                  <c:v>29813</c:v>
                </c:pt>
                <c:pt idx="763">
                  <c:v>29820</c:v>
                </c:pt>
                <c:pt idx="764">
                  <c:v>29827</c:v>
                </c:pt>
                <c:pt idx="765">
                  <c:v>29834</c:v>
                </c:pt>
                <c:pt idx="766">
                  <c:v>29841</c:v>
                </c:pt>
                <c:pt idx="767">
                  <c:v>29848</c:v>
                </c:pt>
                <c:pt idx="768">
                  <c:v>29855</c:v>
                </c:pt>
                <c:pt idx="769">
                  <c:v>29862</c:v>
                </c:pt>
                <c:pt idx="770">
                  <c:v>29869</c:v>
                </c:pt>
                <c:pt idx="771">
                  <c:v>29876</c:v>
                </c:pt>
                <c:pt idx="772">
                  <c:v>29883</c:v>
                </c:pt>
                <c:pt idx="773">
                  <c:v>29890</c:v>
                </c:pt>
                <c:pt idx="774">
                  <c:v>29897</c:v>
                </c:pt>
                <c:pt idx="775">
                  <c:v>29904</c:v>
                </c:pt>
                <c:pt idx="776">
                  <c:v>29911</c:v>
                </c:pt>
                <c:pt idx="777">
                  <c:v>29918</c:v>
                </c:pt>
                <c:pt idx="778">
                  <c:v>29925</c:v>
                </c:pt>
                <c:pt idx="779">
                  <c:v>29932</c:v>
                </c:pt>
                <c:pt idx="780">
                  <c:v>29939</c:v>
                </c:pt>
                <c:pt idx="781">
                  <c:v>29946</c:v>
                </c:pt>
                <c:pt idx="782">
                  <c:v>29953</c:v>
                </c:pt>
                <c:pt idx="783">
                  <c:v>29960</c:v>
                </c:pt>
                <c:pt idx="784">
                  <c:v>29967</c:v>
                </c:pt>
                <c:pt idx="785">
                  <c:v>29974</c:v>
                </c:pt>
                <c:pt idx="786">
                  <c:v>29981</c:v>
                </c:pt>
                <c:pt idx="787">
                  <c:v>29988</c:v>
                </c:pt>
                <c:pt idx="788">
                  <c:v>29995</c:v>
                </c:pt>
                <c:pt idx="789">
                  <c:v>30002</c:v>
                </c:pt>
                <c:pt idx="790">
                  <c:v>30009</c:v>
                </c:pt>
                <c:pt idx="791">
                  <c:v>30016</c:v>
                </c:pt>
                <c:pt idx="792">
                  <c:v>30023</c:v>
                </c:pt>
                <c:pt idx="793">
                  <c:v>30030</c:v>
                </c:pt>
                <c:pt idx="794">
                  <c:v>30037</c:v>
                </c:pt>
                <c:pt idx="795">
                  <c:v>30044</c:v>
                </c:pt>
                <c:pt idx="796">
                  <c:v>30051</c:v>
                </c:pt>
                <c:pt idx="797">
                  <c:v>30058</c:v>
                </c:pt>
                <c:pt idx="798">
                  <c:v>30065</c:v>
                </c:pt>
                <c:pt idx="799">
                  <c:v>30072</c:v>
                </c:pt>
                <c:pt idx="800">
                  <c:v>30079</c:v>
                </c:pt>
                <c:pt idx="801">
                  <c:v>30086</c:v>
                </c:pt>
                <c:pt idx="802">
                  <c:v>30093</c:v>
                </c:pt>
                <c:pt idx="803">
                  <c:v>30100</c:v>
                </c:pt>
                <c:pt idx="804">
                  <c:v>30107</c:v>
                </c:pt>
                <c:pt idx="805">
                  <c:v>30114</c:v>
                </c:pt>
                <c:pt idx="806">
                  <c:v>30121</c:v>
                </c:pt>
                <c:pt idx="807">
                  <c:v>30128</c:v>
                </c:pt>
                <c:pt idx="808">
                  <c:v>30135</c:v>
                </c:pt>
                <c:pt idx="809">
                  <c:v>30142</c:v>
                </c:pt>
                <c:pt idx="810">
                  <c:v>30149</c:v>
                </c:pt>
                <c:pt idx="811">
                  <c:v>30156</c:v>
                </c:pt>
                <c:pt idx="812">
                  <c:v>30163</c:v>
                </c:pt>
                <c:pt idx="813">
                  <c:v>30170</c:v>
                </c:pt>
                <c:pt idx="814">
                  <c:v>30177</c:v>
                </c:pt>
                <c:pt idx="815">
                  <c:v>30184</c:v>
                </c:pt>
                <c:pt idx="816">
                  <c:v>30191</c:v>
                </c:pt>
                <c:pt idx="817">
                  <c:v>30198</c:v>
                </c:pt>
                <c:pt idx="818">
                  <c:v>30205</c:v>
                </c:pt>
                <c:pt idx="819">
                  <c:v>30212</c:v>
                </c:pt>
                <c:pt idx="820">
                  <c:v>30219</c:v>
                </c:pt>
                <c:pt idx="821">
                  <c:v>30226</c:v>
                </c:pt>
                <c:pt idx="822">
                  <c:v>30233</c:v>
                </c:pt>
                <c:pt idx="823">
                  <c:v>30240</c:v>
                </c:pt>
                <c:pt idx="824">
                  <c:v>30247</c:v>
                </c:pt>
                <c:pt idx="825">
                  <c:v>30254</c:v>
                </c:pt>
                <c:pt idx="826">
                  <c:v>30261</c:v>
                </c:pt>
                <c:pt idx="827">
                  <c:v>30268</c:v>
                </c:pt>
                <c:pt idx="828">
                  <c:v>30275</c:v>
                </c:pt>
                <c:pt idx="829">
                  <c:v>30282</c:v>
                </c:pt>
                <c:pt idx="830">
                  <c:v>30289</c:v>
                </c:pt>
                <c:pt idx="831">
                  <c:v>30296</c:v>
                </c:pt>
                <c:pt idx="832">
                  <c:v>30303</c:v>
                </c:pt>
                <c:pt idx="833">
                  <c:v>30310</c:v>
                </c:pt>
                <c:pt idx="834">
                  <c:v>30317</c:v>
                </c:pt>
                <c:pt idx="835">
                  <c:v>30324</c:v>
                </c:pt>
                <c:pt idx="836">
                  <c:v>30331</c:v>
                </c:pt>
                <c:pt idx="837">
                  <c:v>30338</c:v>
                </c:pt>
                <c:pt idx="838">
                  <c:v>30345</c:v>
                </c:pt>
                <c:pt idx="839">
                  <c:v>30352</c:v>
                </c:pt>
                <c:pt idx="840">
                  <c:v>30359</c:v>
                </c:pt>
                <c:pt idx="841">
                  <c:v>30366</c:v>
                </c:pt>
                <c:pt idx="842">
                  <c:v>30373</c:v>
                </c:pt>
                <c:pt idx="843">
                  <c:v>30380</c:v>
                </c:pt>
                <c:pt idx="844">
                  <c:v>30387</c:v>
                </c:pt>
                <c:pt idx="845">
                  <c:v>30394</c:v>
                </c:pt>
                <c:pt idx="846">
                  <c:v>30401</c:v>
                </c:pt>
                <c:pt idx="847">
                  <c:v>30408</c:v>
                </c:pt>
                <c:pt idx="848">
                  <c:v>30415</c:v>
                </c:pt>
                <c:pt idx="849">
                  <c:v>30422</c:v>
                </c:pt>
                <c:pt idx="850">
                  <c:v>30429</c:v>
                </c:pt>
                <c:pt idx="851">
                  <c:v>30436</c:v>
                </c:pt>
                <c:pt idx="852">
                  <c:v>30443</c:v>
                </c:pt>
                <c:pt idx="853">
                  <c:v>30450</c:v>
                </c:pt>
                <c:pt idx="854">
                  <c:v>30457</c:v>
                </c:pt>
                <c:pt idx="855">
                  <c:v>30464</c:v>
                </c:pt>
                <c:pt idx="856">
                  <c:v>30471</c:v>
                </c:pt>
                <c:pt idx="857">
                  <c:v>30478</c:v>
                </c:pt>
                <c:pt idx="858">
                  <c:v>30485</c:v>
                </c:pt>
                <c:pt idx="859">
                  <c:v>30492</c:v>
                </c:pt>
                <c:pt idx="860">
                  <c:v>30499</c:v>
                </c:pt>
                <c:pt idx="861">
                  <c:v>30506</c:v>
                </c:pt>
                <c:pt idx="862">
                  <c:v>30513</c:v>
                </c:pt>
                <c:pt idx="863">
                  <c:v>30520</c:v>
                </c:pt>
                <c:pt idx="864">
                  <c:v>30527</c:v>
                </c:pt>
                <c:pt idx="865">
                  <c:v>30534</c:v>
                </c:pt>
                <c:pt idx="866">
                  <c:v>30541</c:v>
                </c:pt>
                <c:pt idx="867">
                  <c:v>30548</c:v>
                </c:pt>
                <c:pt idx="868">
                  <c:v>30555</c:v>
                </c:pt>
                <c:pt idx="869">
                  <c:v>30562</c:v>
                </c:pt>
                <c:pt idx="870">
                  <c:v>30569</c:v>
                </c:pt>
                <c:pt idx="871">
                  <c:v>30576</c:v>
                </c:pt>
                <c:pt idx="872">
                  <c:v>30583</c:v>
                </c:pt>
                <c:pt idx="873">
                  <c:v>30590</c:v>
                </c:pt>
                <c:pt idx="874">
                  <c:v>30597</c:v>
                </c:pt>
                <c:pt idx="875">
                  <c:v>30604</c:v>
                </c:pt>
                <c:pt idx="876">
                  <c:v>30611</c:v>
                </c:pt>
                <c:pt idx="877">
                  <c:v>30618</c:v>
                </c:pt>
                <c:pt idx="878">
                  <c:v>30625</c:v>
                </c:pt>
                <c:pt idx="879">
                  <c:v>30632</c:v>
                </c:pt>
                <c:pt idx="880">
                  <c:v>30639</c:v>
                </c:pt>
                <c:pt idx="881">
                  <c:v>30646</c:v>
                </c:pt>
                <c:pt idx="882">
                  <c:v>30653</c:v>
                </c:pt>
                <c:pt idx="883">
                  <c:v>30660</c:v>
                </c:pt>
                <c:pt idx="884">
                  <c:v>30667</c:v>
                </c:pt>
                <c:pt idx="885">
                  <c:v>30674</c:v>
                </c:pt>
                <c:pt idx="886">
                  <c:v>30681</c:v>
                </c:pt>
                <c:pt idx="887">
                  <c:v>30688</c:v>
                </c:pt>
                <c:pt idx="888">
                  <c:v>30695</c:v>
                </c:pt>
                <c:pt idx="889">
                  <c:v>30702</c:v>
                </c:pt>
                <c:pt idx="890">
                  <c:v>30709</c:v>
                </c:pt>
                <c:pt idx="891">
                  <c:v>30716</c:v>
                </c:pt>
                <c:pt idx="892">
                  <c:v>30723</c:v>
                </c:pt>
                <c:pt idx="893">
                  <c:v>30730</c:v>
                </c:pt>
                <c:pt idx="894">
                  <c:v>30737</c:v>
                </c:pt>
                <c:pt idx="895">
                  <c:v>30744</c:v>
                </c:pt>
                <c:pt idx="896">
                  <c:v>30751</c:v>
                </c:pt>
                <c:pt idx="897">
                  <c:v>30758</c:v>
                </c:pt>
                <c:pt idx="898">
                  <c:v>30765</c:v>
                </c:pt>
                <c:pt idx="899">
                  <c:v>30772</c:v>
                </c:pt>
                <c:pt idx="900">
                  <c:v>30779</c:v>
                </c:pt>
                <c:pt idx="901">
                  <c:v>30786</c:v>
                </c:pt>
                <c:pt idx="902">
                  <c:v>30793</c:v>
                </c:pt>
                <c:pt idx="903">
                  <c:v>30800</c:v>
                </c:pt>
                <c:pt idx="904">
                  <c:v>30807</c:v>
                </c:pt>
                <c:pt idx="905">
                  <c:v>30814</c:v>
                </c:pt>
                <c:pt idx="906">
                  <c:v>30821</c:v>
                </c:pt>
                <c:pt idx="907">
                  <c:v>30828</c:v>
                </c:pt>
                <c:pt idx="908">
                  <c:v>30835</c:v>
                </c:pt>
                <c:pt idx="909">
                  <c:v>30842</c:v>
                </c:pt>
                <c:pt idx="910">
                  <c:v>30849</c:v>
                </c:pt>
                <c:pt idx="911">
                  <c:v>30856</c:v>
                </c:pt>
                <c:pt idx="912">
                  <c:v>30863</c:v>
                </c:pt>
                <c:pt idx="913">
                  <c:v>30870</c:v>
                </c:pt>
                <c:pt idx="914">
                  <c:v>30877</c:v>
                </c:pt>
                <c:pt idx="915">
                  <c:v>30884</c:v>
                </c:pt>
                <c:pt idx="916">
                  <c:v>30891</c:v>
                </c:pt>
                <c:pt idx="917">
                  <c:v>30898</c:v>
                </c:pt>
                <c:pt idx="918">
                  <c:v>30905</c:v>
                </c:pt>
                <c:pt idx="919">
                  <c:v>30912</c:v>
                </c:pt>
                <c:pt idx="920">
                  <c:v>30919</c:v>
                </c:pt>
                <c:pt idx="921">
                  <c:v>30926</c:v>
                </c:pt>
                <c:pt idx="922">
                  <c:v>30933</c:v>
                </c:pt>
                <c:pt idx="923">
                  <c:v>30940</c:v>
                </c:pt>
                <c:pt idx="924">
                  <c:v>30947</c:v>
                </c:pt>
                <c:pt idx="925">
                  <c:v>30954</c:v>
                </c:pt>
                <c:pt idx="926">
                  <c:v>30961</c:v>
                </c:pt>
                <c:pt idx="927">
                  <c:v>30968</c:v>
                </c:pt>
                <c:pt idx="928">
                  <c:v>30975</c:v>
                </c:pt>
                <c:pt idx="929">
                  <c:v>30982</c:v>
                </c:pt>
                <c:pt idx="930">
                  <c:v>30989</c:v>
                </c:pt>
                <c:pt idx="931">
                  <c:v>30996</c:v>
                </c:pt>
                <c:pt idx="932">
                  <c:v>31003</c:v>
                </c:pt>
                <c:pt idx="933">
                  <c:v>31010</c:v>
                </c:pt>
                <c:pt idx="934">
                  <c:v>31017</c:v>
                </c:pt>
                <c:pt idx="935">
                  <c:v>31024</c:v>
                </c:pt>
                <c:pt idx="936">
                  <c:v>31031</c:v>
                </c:pt>
                <c:pt idx="937">
                  <c:v>31038</c:v>
                </c:pt>
                <c:pt idx="938">
                  <c:v>31045</c:v>
                </c:pt>
                <c:pt idx="939">
                  <c:v>31052</c:v>
                </c:pt>
                <c:pt idx="940">
                  <c:v>31059</c:v>
                </c:pt>
                <c:pt idx="941">
                  <c:v>31066</c:v>
                </c:pt>
                <c:pt idx="942">
                  <c:v>31073</c:v>
                </c:pt>
                <c:pt idx="943">
                  <c:v>31080</c:v>
                </c:pt>
                <c:pt idx="944">
                  <c:v>31087</c:v>
                </c:pt>
                <c:pt idx="945">
                  <c:v>31094</c:v>
                </c:pt>
                <c:pt idx="946">
                  <c:v>31101</c:v>
                </c:pt>
                <c:pt idx="947">
                  <c:v>31108</c:v>
                </c:pt>
                <c:pt idx="948">
                  <c:v>31115</c:v>
                </c:pt>
                <c:pt idx="949">
                  <c:v>31122</c:v>
                </c:pt>
                <c:pt idx="950">
                  <c:v>31129</c:v>
                </c:pt>
                <c:pt idx="951">
                  <c:v>31136</c:v>
                </c:pt>
                <c:pt idx="952">
                  <c:v>31143</c:v>
                </c:pt>
                <c:pt idx="953">
                  <c:v>31150</c:v>
                </c:pt>
                <c:pt idx="954">
                  <c:v>31157</c:v>
                </c:pt>
                <c:pt idx="955">
                  <c:v>31164</c:v>
                </c:pt>
                <c:pt idx="956">
                  <c:v>31171</c:v>
                </c:pt>
                <c:pt idx="957">
                  <c:v>31178</c:v>
                </c:pt>
                <c:pt idx="958">
                  <c:v>31185</c:v>
                </c:pt>
                <c:pt idx="959">
                  <c:v>31192</c:v>
                </c:pt>
                <c:pt idx="960">
                  <c:v>31199</c:v>
                </c:pt>
                <c:pt idx="961">
                  <c:v>31206</c:v>
                </c:pt>
                <c:pt idx="962">
                  <c:v>31213</c:v>
                </c:pt>
                <c:pt idx="963">
                  <c:v>31220</c:v>
                </c:pt>
                <c:pt idx="964">
                  <c:v>31227</c:v>
                </c:pt>
                <c:pt idx="965">
                  <c:v>31234</c:v>
                </c:pt>
                <c:pt idx="966">
                  <c:v>31241</c:v>
                </c:pt>
                <c:pt idx="967">
                  <c:v>31248</c:v>
                </c:pt>
                <c:pt idx="968">
                  <c:v>31255</c:v>
                </c:pt>
                <c:pt idx="969">
                  <c:v>31262</c:v>
                </c:pt>
                <c:pt idx="970">
                  <c:v>31269</c:v>
                </c:pt>
                <c:pt idx="971">
                  <c:v>31276</c:v>
                </c:pt>
                <c:pt idx="972">
                  <c:v>31283</c:v>
                </c:pt>
                <c:pt idx="973">
                  <c:v>31290</c:v>
                </c:pt>
                <c:pt idx="974">
                  <c:v>31297</c:v>
                </c:pt>
                <c:pt idx="975">
                  <c:v>31304</c:v>
                </c:pt>
                <c:pt idx="976">
                  <c:v>31311</c:v>
                </c:pt>
                <c:pt idx="977">
                  <c:v>31318</c:v>
                </c:pt>
                <c:pt idx="978">
                  <c:v>31325</c:v>
                </c:pt>
                <c:pt idx="979">
                  <c:v>31332</c:v>
                </c:pt>
                <c:pt idx="980">
                  <c:v>31339</c:v>
                </c:pt>
                <c:pt idx="981">
                  <c:v>31346</c:v>
                </c:pt>
                <c:pt idx="982">
                  <c:v>31353</c:v>
                </c:pt>
                <c:pt idx="983">
                  <c:v>31360</c:v>
                </c:pt>
                <c:pt idx="984">
                  <c:v>31367</c:v>
                </c:pt>
                <c:pt idx="985">
                  <c:v>31374</c:v>
                </c:pt>
                <c:pt idx="986">
                  <c:v>31381</c:v>
                </c:pt>
                <c:pt idx="987">
                  <c:v>31388</c:v>
                </c:pt>
                <c:pt idx="988">
                  <c:v>31395</c:v>
                </c:pt>
                <c:pt idx="989">
                  <c:v>31402</c:v>
                </c:pt>
                <c:pt idx="990">
                  <c:v>31409</c:v>
                </c:pt>
                <c:pt idx="991">
                  <c:v>31416</c:v>
                </c:pt>
                <c:pt idx="992">
                  <c:v>31423</c:v>
                </c:pt>
                <c:pt idx="993">
                  <c:v>31430</c:v>
                </c:pt>
                <c:pt idx="994">
                  <c:v>31437</c:v>
                </c:pt>
                <c:pt idx="995">
                  <c:v>31444</c:v>
                </c:pt>
                <c:pt idx="996">
                  <c:v>31451</c:v>
                </c:pt>
                <c:pt idx="997">
                  <c:v>31458</c:v>
                </c:pt>
                <c:pt idx="998">
                  <c:v>31465</c:v>
                </c:pt>
                <c:pt idx="999">
                  <c:v>31472</c:v>
                </c:pt>
                <c:pt idx="1000">
                  <c:v>31479</c:v>
                </c:pt>
                <c:pt idx="1001">
                  <c:v>31486</c:v>
                </c:pt>
                <c:pt idx="1002">
                  <c:v>31493</c:v>
                </c:pt>
                <c:pt idx="1003">
                  <c:v>31500</c:v>
                </c:pt>
                <c:pt idx="1004">
                  <c:v>31507</c:v>
                </c:pt>
                <c:pt idx="1005">
                  <c:v>31514</c:v>
                </c:pt>
                <c:pt idx="1006">
                  <c:v>31521</c:v>
                </c:pt>
                <c:pt idx="1007">
                  <c:v>31528</c:v>
                </c:pt>
                <c:pt idx="1008">
                  <c:v>31535</c:v>
                </c:pt>
                <c:pt idx="1009">
                  <c:v>31542</c:v>
                </c:pt>
                <c:pt idx="1010">
                  <c:v>31549</c:v>
                </c:pt>
                <c:pt idx="1011">
                  <c:v>31556</c:v>
                </c:pt>
                <c:pt idx="1012">
                  <c:v>31563</c:v>
                </c:pt>
                <c:pt idx="1013">
                  <c:v>31570</c:v>
                </c:pt>
                <c:pt idx="1014">
                  <c:v>31577</c:v>
                </c:pt>
                <c:pt idx="1015">
                  <c:v>31584</c:v>
                </c:pt>
                <c:pt idx="1016">
                  <c:v>31591</c:v>
                </c:pt>
                <c:pt idx="1017">
                  <c:v>31598</c:v>
                </c:pt>
                <c:pt idx="1018">
                  <c:v>31605</c:v>
                </c:pt>
                <c:pt idx="1019">
                  <c:v>31612</c:v>
                </c:pt>
                <c:pt idx="1020">
                  <c:v>31619</c:v>
                </c:pt>
                <c:pt idx="1021">
                  <c:v>31626</c:v>
                </c:pt>
                <c:pt idx="1022">
                  <c:v>31633</c:v>
                </c:pt>
                <c:pt idx="1023">
                  <c:v>31640</c:v>
                </c:pt>
                <c:pt idx="1024">
                  <c:v>31647</c:v>
                </c:pt>
                <c:pt idx="1025">
                  <c:v>31654</c:v>
                </c:pt>
                <c:pt idx="1026">
                  <c:v>31661</c:v>
                </c:pt>
                <c:pt idx="1027">
                  <c:v>31668</c:v>
                </c:pt>
                <c:pt idx="1028">
                  <c:v>31675</c:v>
                </c:pt>
                <c:pt idx="1029">
                  <c:v>31682</c:v>
                </c:pt>
                <c:pt idx="1030">
                  <c:v>31689</c:v>
                </c:pt>
                <c:pt idx="1031">
                  <c:v>31696</c:v>
                </c:pt>
                <c:pt idx="1032">
                  <c:v>31703</c:v>
                </c:pt>
                <c:pt idx="1033">
                  <c:v>31710</c:v>
                </c:pt>
                <c:pt idx="1034">
                  <c:v>31717</c:v>
                </c:pt>
                <c:pt idx="1035">
                  <c:v>31724</c:v>
                </c:pt>
                <c:pt idx="1036">
                  <c:v>31731</c:v>
                </c:pt>
                <c:pt idx="1037">
                  <c:v>31738</c:v>
                </c:pt>
                <c:pt idx="1038">
                  <c:v>31745</c:v>
                </c:pt>
                <c:pt idx="1039">
                  <c:v>31752</c:v>
                </c:pt>
                <c:pt idx="1040">
                  <c:v>31759</c:v>
                </c:pt>
                <c:pt idx="1041">
                  <c:v>31766</c:v>
                </c:pt>
                <c:pt idx="1042">
                  <c:v>31773</c:v>
                </c:pt>
                <c:pt idx="1043">
                  <c:v>31780</c:v>
                </c:pt>
                <c:pt idx="1044">
                  <c:v>31787</c:v>
                </c:pt>
                <c:pt idx="1045">
                  <c:v>31794</c:v>
                </c:pt>
                <c:pt idx="1046">
                  <c:v>31801</c:v>
                </c:pt>
                <c:pt idx="1047">
                  <c:v>31808</c:v>
                </c:pt>
                <c:pt idx="1048">
                  <c:v>31815</c:v>
                </c:pt>
                <c:pt idx="1049">
                  <c:v>31822</c:v>
                </c:pt>
                <c:pt idx="1050">
                  <c:v>31829</c:v>
                </c:pt>
                <c:pt idx="1051">
                  <c:v>31836</c:v>
                </c:pt>
                <c:pt idx="1052">
                  <c:v>31843</c:v>
                </c:pt>
                <c:pt idx="1053">
                  <c:v>31850</c:v>
                </c:pt>
                <c:pt idx="1054">
                  <c:v>31857</c:v>
                </c:pt>
                <c:pt idx="1055">
                  <c:v>31864</c:v>
                </c:pt>
                <c:pt idx="1056">
                  <c:v>31871</c:v>
                </c:pt>
                <c:pt idx="1057">
                  <c:v>31878</c:v>
                </c:pt>
                <c:pt idx="1058">
                  <c:v>31885</c:v>
                </c:pt>
                <c:pt idx="1059">
                  <c:v>31892</c:v>
                </c:pt>
                <c:pt idx="1060">
                  <c:v>31899</c:v>
                </c:pt>
                <c:pt idx="1061">
                  <c:v>31906</c:v>
                </c:pt>
                <c:pt idx="1062">
                  <c:v>31913</c:v>
                </c:pt>
                <c:pt idx="1063">
                  <c:v>31920</c:v>
                </c:pt>
                <c:pt idx="1064">
                  <c:v>31927</c:v>
                </c:pt>
                <c:pt idx="1065">
                  <c:v>31934</c:v>
                </c:pt>
                <c:pt idx="1066">
                  <c:v>31941</c:v>
                </c:pt>
                <c:pt idx="1067">
                  <c:v>31948</c:v>
                </c:pt>
                <c:pt idx="1068">
                  <c:v>31955</c:v>
                </c:pt>
                <c:pt idx="1069">
                  <c:v>31962</c:v>
                </c:pt>
                <c:pt idx="1070">
                  <c:v>31969</c:v>
                </c:pt>
                <c:pt idx="1071">
                  <c:v>31976</c:v>
                </c:pt>
                <c:pt idx="1072">
                  <c:v>31983</c:v>
                </c:pt>
                <c:pt idx="1073">
                  <c:v>31990</c:v>
                </c:pt>
                <c:pt idx="1074">
                  <c:v>31997</c:v>
                </c:pt>
                <c:pt idx="1075">
                  <c:v>32004</c:v>
                </c:pt>
                <c:pt idx="1076">
                  <c:v>32011</c:v>
                </c:pt>
                <c:pt idx="1077">
                  <c:v>32018</c:v>
                </c:pt>
                <c:pt idx="1078">
                  <c:v>32025</c:v>
                </c:pt>
                <c:pt idx="1079">
                  <c:v>32032</c:v>
                </c:pt>
                <c:pt idx="1080">
                  <c:v>32039</c:v>
                </c:pt>
                <c:pt idx="1081">
                  <c:v>32046</c:v>
                </c:pt>
                <c:pt idx="1082">
                  <c:v>32053</c:v>
                </c:pt>
                <c:pt idx="1083">
                  <c:v>32060</c:v>
                </c:pt>
                <c:pt idx="1084">
                  <c:v>32067</c:v>
                </c:pt>
                <c:pt idx="1085">
                  <c:v>32074</c:v>
                </c:pt>
                <c:pt idx="1086">
                  <c:v>32081</c:v>
                </c:pt>
                <c:pt idx="1087">
                  <c:v>32088</c:v>
                </c:pt>
                <c:pt idx="1088">
                  <c:v>32095</c:v>
                </c:pt>
                <c:pt idx="1089">
                  <c:v>32102</c:v>
                </c:pt>
                <c:pt idx="1090">
                  <c:v>32109</c:v>
                </c:pt>
                <c:pt idx="1091">
                  <c:v>32116</c:v>
                </c:pt>
                <c:pt idx="1092">
                  <c:v>32123</c:v>
                </c:pt>
                <c:pt idx="1093">
                  <c:v>32130</c:v>
                </c:pt>
                <c:pt idx="1094">
                  <c:v>32137</c:v>
                </c:pt>
                <c:pt idx="1095">
                  <c:v>32144</c:v>
                </c:pt>
                <c:pt idx="1096">
                  <c:v>32151</c:v>
                </c:pt>
                <c:pt idx="1097">
                  <c:v>32158</c:v>
                </c:pt>
                <c:pt idx="1098">
                  <c:v>32165</c:v>
                </c:pt>
                <c:pt idx="1099">
                  <c:v>32172</c:v>
                </c:pt>
                <c:pt idx="1100">
                  <c:v>32179</c:v>
                </c:pt>
                <c:pt idx="1101">
                  <c:v>32186</c:v>
                </c:pt>
                <c:pt idx="1102">
                  <c:v>32193</c:v>
                </c:pt>
                <c:pt idx="1103">
                  <c:v>32200</c:v>
                </c:pt>
                <c:pt idx="1104">
                  <c:v>32207</c:v>
                </c:pt>
                <c:pt idx="1105">
                  <c:v>32214</c:v>
                </c:pt>
                <c:pt idx="1106">
                  <c:v>32221</c:v>
                </c:pt>
                <c:pt idx="1107">
                  <c:v>32228</c:v>
                </c:pt>
                <c:pt idx="1108">
                  <c:v>32235</c:v>
                </c:pt>
                <c:pt idx="1109">
                  <c:v>32242</c:v>
                </c:pt>
                <c:pt idx="1110">
                  <c:v>32249</c:v>
                </c:pt>
                <c:pt idx="1111">
                  <c:v>32256</c:v>
                </c:pt>
                <c:pt idx="1112">
                  <c:v>32263</c:v>
                </c:pt>
                <c:pt idx="1113">
                  <c:v>32270</c:v>
                </c:pt>
                <c:pt idx="1114">
                  <c:v>32277</c:v>
                </c:pt>
                <c:pt idx="1115">
                  <c:v>32284</c:v>
                </c:pt>
                <c:pt idx="1116">
                  <c:v>32291</c:v>
                </c:pt>
                <c:pt idx="1117">
                  <c:v>32298</c:v>
                </c:pt>
                <c:pt idx="1118">
                  <c:v>32305</c:v>
                </c:pt>
                <c:pt idx="1119">
                  <c:v>32312</c:v>
                </c:pt>
                <c:pt idx="1120">
                  <c:v>32319</c:v>
                </c:pt>
                <c:pt idx="1121">
                  <c:v>32326</c:v>
                </c:pt>
                <c:pt idx="1122">
                  <c:v>32333</c:v>
                </c:pt>
                <c:pt idx="1123">
                  <c:v>32340</c:v>
                </c:pt>
                <c:pt idx="1124">
                  <c:v>32347</c:v>
                </c:pt>
                <c:pt idx="1125">
                  <c:v>32354</c:v>
                </c:pt>
                <c:pt idx="1126">
                  <c:v>32361</c:v>
                </c:pt>
                <c:pt idx="1127">
                  <c:v>32368</c:v>
                </c:pt>
                <c:pt idx="1128">
                  <c:v>32375</c:v>
                </c:pt>
                <c:pt idx="1129">
                  <c:v>32382</c:v>
                </c:pt>
                <c:pt idx="1130">
                  <c:v>32389</c:v>
                </c:pt>
                <c:pt idx="1131">
                  <c:v>32396</c:v>
                </c:pt>
                <c:pt idx="1132">
                  <c:v>32403</c:v>
                </c:pt>
                <c:pt idx="1133">
                  <c:v>32410</c:v>
                </c:pt>
                <c:pt idx="1134">
                  <c:v>32417</c:v>
                </c:pt>
                <c:pt idx="1135">
                  <c:v>32424</c:v>
                </c:pt>
                <c:pt idx="1136">
                  <c:v>32431</c:v>
                </c:pt>
                <c:pt idx="1137">
                  <c:v>32438</c:v>
                </c:pt>
                <c:pt idx="1138">
                  <c:v>32445</c:v>
                </c:pt>
                <c:pt idx="1139">
                  <c:v>32452</c:v>
                </c:pt>
                <c:pt idx="1140">
                  <c:v>32459</c:v>
                </c:pt>
                <c:pt idx="1141">
                  <c:v>32466</c:v>
                </c:pt>
                <c:pt idx="1142">
                  <c:v>32473</c:v>
                </c:pt>
                <c:pt idx="1143">
                  <c:v>32480</c:v>
                </c:pt>
                <c:pt idx="1144">
                  <c:v>32487</c:v>
                </c:pt>
                <c:pt idx="1145">
                  <c:v>32494</c:v>
                </c:pt>
                <c:pt idx="1146">
                  <c:v>32501</c:v>
                </c:pt>
                <c:pt idx="1147">
                  <c:v>32508</c:v>
                </c:pt>
                <c:pt idx="1148">
                  <c:v>32515</c:v>
                </c:pt>
                <c:pt idx="1149">
                  <c:v>32522</c:v>
                </c:pt>
                <c:pt idx="1150">
                  <c:v>32529</c:v>
                </c:pt>
                <c:pt idx="1151">
                  <c:v>32536</c:v>
                </c:pt>
                <c:pt idx="1152">
                  <c:v>32543</c:v>
                </c:pt>
                <c:pt idx="1153">
                  <c:v>32550</c:v>
                </c:pt>
                <c:pt idx="1154">
                  <c:v>32557</c:v>
                </c:pt>
                <c:pt idx="1155">
                  <c:v>32564</c:v>
                </c:pt>
                <c:pt idx="1156">
                  <c:v>32571</c:v>
                </c:pt>
                <c:pt idx="1157">
                  <c:v>32578</c:v>
                </c:pt>
                <c:pt idx="1158">
                  <c:v>32585</c:v>
                </c:pt>
                <c:pt idx="1159">
                  <c:v>32592</c:v>
                </c:pt>
                <c:pt idx="1160">
                  <c:v>32599</c:v>
                </c:pt>
                <c:pt idx="1161">
                  <c:v>32606</c:v>
                </c:pt>
                <c:pt idx="1162">
                  <c:v>32613</c:v>
                </c:pt>
                <c:pt idx="1163">
                  <c:v>32620</c:v>
                </c:pt>
                <c:pt idx="1164">
                  <c:v>32627</c:v>
                </c:pt>
                <c:pt idx="1165">
                  <c:v>32634</c:v>
                </c:pt>
                <c:pt idx="1166">
                  <c:v>32641</c:v>
                </c:pt>
                <c:pt idx="1167">
                  <c:v>32648</c:v>
                </c:pt>
                <c:pt idx="1168">
                  <c:v>32655</c:v>
                </c:pt>
                <c:pt idx="1169">
                  <c:v>32662</c:v>
                </c:pt>
                <c:pt idx="1170">
                  <c:v>32669</c:v>
                </c:pt>
                <c:pt idx="1171">
                  <c:v>32676</c:v>
                </c:pt>
                <c:pt idx="1172">
                  <c:v>32683</c:v>
                </c:pt>
                <c:pt idx="1173">
                  <c:v>32690</c:v>
                </c:pt>
                <c:pt idx="1174">
                  <c:v>32697</c:v>
                </c:pt>
                <c:pt idx="1175">
                  <c:v>32704</c:v>
                </c:pt>
                <c:pt idx="1176">
                  <c:v>32711</c:v>
                </c:pt>
                <c:pt idx="1177">
                  <c:v>32718</c:v>
                </c:pt>
                <c:pt idx="1178">
                  <c:v>32725</c:v>
                </c:pt>
                <c:pt idx="1179">
                  <c:v>32732</c:v>
                </c:pt>
                <c:pt idx="1180">
                  <c:v>32739</c:v>
                </c:pt>
                <c:pt idx="1181">
                  <c:v>32746</c:v>
                </c:pt>
                <c:pt idx="1182">
                  <c:v>32753</c:v>
                </c:pt>
                <c:pt idx="1183">
                  <c:v>32760</c:v>
                </c:pt>
                <c:pt idx="1184">
                  <c:v>32767</c:v>
                </c:pt>
                <c:pt idx="1185">
                  <c:v>32774</c:v>
                </c:pt>
                <c:pt idx="1186">
                  <c:v>32781</c:v>
                </c:pt>
                <c:pt idx="1187">
                  <c:v>32788</c:v>
                </c:pt>
                <c:pt idx="1188">
                  <c:v>32795</c:v>
                </c:pt>
                <c:pt idx="1189">
                  <c:v>32802</c:v>
                </c:pt>
                <c:pt idx="1190">
                  <c:v>32809</c:v>
                </c:pt>
                <c:pt idx="1191">
                  <c:v>32816</c:v>
                </c:pt>
                <c:pt idx="1192">
                  <c:v>32823</c:v>
                </c:pt>
                <c:pt idx="1193">
                  <c:v>32830</c:v>
                </c:pt>
                <c:pt idx="1194">
                  <c:v>32837</c:v>
                </c:pt>
                <c:pt idx="1195">
                  <c:v>32844</c:v>
                </c:pt>
                <c:pt idx="1196">
                  <c:v>32851</c:v>
                </c:pt>
                <c:pt idx="1197">
                  <c:v>32858</c:v>
                </c:pt>
                <c:pt idx="1198">
                  <c:v>32865</c:v>
                </c:pt>
                <c:pt idx="1199">
                  <c:v>32872</c:v>
                </c:pt>
                <c:pt idx="1200">
                  <c:v>32879</c:v>
                </c:pt>
                <c:pt idx="1201">
                  <c:v>32886</c:v>
                </c:pt>
                <c:pt idx="1202">
                  <c:v>32893</c:v>
                </c:pt>
                <c:pt idx="1203">
                  <c:v>32900</c:v>
                </c:pt>
                <c:pt idx="1204">
                  <c:v>32907</c:v>
                </c:pt>
                <c:pt idx="1205">
                  <c:v>32914</c:v>
                </c:pt>
                <c:pt idx="1206">
                  <c:v>32921</c:v>
                </c:pt>
                <c:pt idx="1207">
                  <c:v>32928</c:v>
                </c:pt>
                <c:pt idx="1208">
                  <c:v>32935</c:v>
                </c:pt>
                <c:pt idx="1209">
                  <c:v>32942</c:v>
                </c:pt>
                <c:pt idx="1210">
                  <c:v>32949</c:v>
                </c:pt>
                <c:pt idx="1211">
                  <c:v>32956</c:v>
                </c:pt>
                <c:pt idx="1212">
                  <c:v>32963</c:v>
                </c:pt>
                <c:pt idx="1213">
                  <c:v>32970</c:v>
                </c:pt>
                <c:pt idx="1214">
                  <c:v>32977</c:v>
                </c:pt>
                <c:pt idx="1215">
                  <c:v>32984</c:v>
                </c:pt>
                <c:pt idx="1216">
                  <c:v>32991</c:v>
                </c:pt>
                <c:pt idx="1217">
                  <c:v>32998</c:v>
                </c:pt>
                <c:pt idx="1218">
                  <c:v>33005</c:v>
                </c:pt>
                <c:pt idx="1219">
                  <c:v>33012</c:v>
                </c:pt>
                <c:pt idx="1220">
                  <c:v>33019</c:v>
                </c:pt>
                <c:pt idx="1221">
                  <c:v>33026</c:v>
                </c:pt>
                <c:pt idx="1222">
                  <c:v>33033</c:v>
                </c:pt>
                <c:pt idx="1223">
                  <c:v>33040</c:v>
                </c:pt>
                <c:pt idx="1224">
                  <c:v>33047</c:v>
                </c:pt>
                <c:pt idx="1225">
                  <c:v>33054</c:v>
                </c:pt>
                <c:pt idx="1226">
                  <c:v>33061</c:v>
                </c:pt>
                <c:pt idx="1227">
                  <c:v>33068</c:v>
                </c:pt>
                <c:pt idx="1228">
                  <c:v>33075</c:v>
                </c:pt>
                <c:pt idx="1229">
                  <c:v>33082</c:v>
                </c:pt>
                <c:pt idx="1230">
                  <c:v>33089</c:v>
                </c:pt>
                <c:pt idx="1231">
                  <c:v>33096</c:v>
                </c:pt>
                <c:pt idx="1232">
                  <c:v>33103</c:v>
                </c:pt>
                <c:pt idx="1233">
                  <c:v>33110</c:v>
                </c:pt>
                <c:pt idx="1234">
                  <c:v>33117</c:v>
                </c:pt>
                <c:pt idx="1235">
                  <c:v>33124</c:v>
                </c:pt>
                <c:pt idx="1236">
                  <c:v>33131</c:v>
                </c:pt>
                <c:pt idx="1237">
                  <c:v>33138</c:v>
                </c:pt>
                <c:pt idx="1238">
                  <c:v>33145</c:v>
                </c:pt>
                <c:pt idx="1239">
                  <c:v>33152</c:v>
                </c:pt>
                <c:pt idx="1240">
                  <c:v>33159</c:v>
                </c:pt>
                <c:pt idx="1241">
                  <c:v>33166</c:v>
                </c:pt>
                <c:pt idx="1242">
                  <c:v>33173</c:v>
                </c:pt>
                <c:pt idx="1243">
                  <c:v>33180</c:v>
                </c:pt>
                <c:pt idx="1244">
                  <c:v>33187</c:v>
                </c:pt>
                <c:pt idx="1245">
                  <c:v>33194</c:v>
                </c:pt>
                <c:pt idx="1246">
                  <c:v>33201</c:v>
                </c:pt>
                <c:pt idx="1247">
                  <c:v>33208</c:v>
                </c:pt>
                <c:pt idx="1248">
                  <c:v>33215</c:v>
                </c:pt>
                <c:pt idx="1249">
                  <c:v>33222</c:v>
                </c:pt>
                <c:pt idx="1250">
                  <c:v>33229</c:v>
                </c:pt>
                <c:pt idx="1251">
                  <c:v>33236</c:v>
                </c:pt>
                <c:pt idx="1252">
                  <c:v>33243</c:v>
                </c:pt>
                <c:pt idx="1253">
                  <c:v>33250</c:v>
                </c:pt>
                <c:pt idx="1254">
                  <c:v>33257</c:v>
                </c:pt>
                <c:pt idx="1255">
                  <c:v>33264</c:v>
                </c:pt>
                <c:pt idx="1256">
                  <c:v>33271</c:v>
                </c:pt>
                <c:pt idx="1257">
                  <c:v>33278</c:v>
                </c:pt>
                <c:pt idx="1258">
                  <c:v>33285</c:v>
                </c:pt>
                <c:pt idx="1259">
                  <c:v>33292</c:v>
                </c:pt>
                <c:pt idx="1260">
                  <c:v>33299</c:v>
                </c:pt>
                <c:pt idx="1261">
                  <c:v>33306</c:v>
                </c:pt>
                <c:pt idx="1262">
                  <c:v>33313</c:v>
                </c:pt>
                <c:pt idx="1263">
                  <c:v>33320</c:v>
                </c:pt>
                <c:pt idx="1264">
                  <c:v>33327</c:v>
                </c:pt>
                <c:pt idx="1265">
                  <c:v>33334</c:v>
                </c:pt>
                <c:pt idx="1266">
                  <c:v>33341</c:v>
                </c:pt>
                <c:pt idx="1267">
                  <c:v>33348</c:v>
                </c:pt>
                <c:pt idx="1268">
                  <c:v>33355</c:v>
                </c:pt>
                <c:pt idx="1269">
                  <c:v>33362</c:v>
                </c:pt>
                <c:pt idx="1270">
                  <c:v>33369</c:v>
                </c:pt>
                <c:pt idx="1271">
                  <c:v>33376</c:v>
                </c:pt>
                <c:pt idx="1272">
                  <c:v>33383</c:v>
                </c:pt>
                <c:pt idx="1273">
                  <c:v>33390</c:v>
                </c:pt>
                <c:pt idx="1274">
                  <c:v>33397</c:v>
                </c:pt>
                <c:pt idx="1275">
                  <c:v>33404</c:v>
                </c:pt>
                <c:pt idx="1276">
                  <c:v>33411</c:v>
                </c:pt>
                <c:pt idx="1277">
                  <c:v>33418</c:v>
                </c:pt>
                <c:pt idx="1278">
                  <c:v>33425</c:v>
                </c:pt>
                <c:pt idx="1279">
                  <c:v>33432</c:v>
                </c:pt>
                <c:pt idx="1280">
                  <c:v>33439</c:v>
                </c:pt>
                <c:pt idx="1281">
                  <c:v>33446</c:v>
                </c:pt>
                <c:pt idx="1282">
                  <c:v>33453</c:v>
                </c:pt>
                <c:pt idx="1283">
                  <c:v>33460</c:v>
                </c:pt>
                <c:pt idx="1284">
                  <c:v>33467</c:v>
                </c:pt>
                <c:pt idx="1285">
                  <c:v>33474</c:v>
                </c:pt>
                <c:pt idx="1286">
                  <c:v>33481</c:v>
                </c:pt>
                <c:pt idx="1287">
                  <c:v>33488</c:v>
                </c:pt>
                <c:pt idx="1288">
                  <c:v>33495</c:v>
                </c:pt>
                <c:pt idx="1289">
                  <c:v>33502</c:v>
                </c:pt>
                <c:pt idx="1290">
                  <c:v>33509</c:v>
                </c:pt>
                <c:pt idx="1291">
                  <c:v>33516</c:v>
                </c:pt>
                <c:pt idx="1292">
                  <c:v>33523</c:v>
                </c:pt>
                <c:pt idx="1293">
                  <c:v>33530</c:v>
                </c:pt>
                <c:pt idx="1294">
                  <c:v>33537</c:v>
                </c:pt>
                <c:pt idx="1295">
                  <c:v>33544</c:v>
                </c:pt>
                <c:pt idx="1296">
                  <c:v>33551</c:v>
                </c:pt>
                <c:pt idx="1297">
                  <c:v>33558</c:v>
                </c:pt>
                <c:pt idx="1298">
                  <c:v>33565</c:v>
                </c:pt>
                <c:pt idx="1299">
                  <c:v>33572</c:v>
                </c:pt>
                <c:pt idx="1300">
                  <c:v>33579</c:v>
                </c:pt>
                <c:pt idx="1301">
                  <c:v>33586</c:v>
                </c:pt>
                <c:pt idx="1302">
                  <c:v>33593</c:v>
                </c:pt>
                <c:pt idx="1303">
                  <c:v>33600</c:v>
                </c:pt>
                <c:pt idx="1304">
                  <c:v>33607</c:v>
                </c:pt>
                <c:pt idx="1305">
                  <c:v>33614</c:v>
                </c:pt>
                <c:pt idx="1306">
                  <c:v>33621</c:v>
                </c:pt>
                <c:pt idx="1307">
                  <c:v>33628</c:v>
                </c:pt>
                <c:pt idx="1308">
                  <c:v>33635</c:v>
                </c:pt>
                <c:pt idx="1309">
                  <c:v>33642</c:v>
                </c:pt>
                <c:pt idx="1310">
                  <c:v>33649</c:v>
                </c:pt>
                <c:pt idx="1311">
                  <c:v>33656</c:v>
                </c:pt>
                <c:pt idx="1312">
                  <c:v>33663</c:v>
                </c:pt>
                <c:pt idx="1313">
                  <c:v>33670</c:v>
                </c:pt>
                <c:pt idx="1314">
                  <c:v>33677</c:v>
                </c:pt>
                <c:pt idx="1315">
                  <c:v>33684</c:v>
                </c:pt>
                <c:pt idx="1316">
                  <c:v>33691</c:v>
                </c:pt>
                <c:pt idx="1317">
                  <c:v>33698</c:v>
                </c:pt>
                <c:pt idx="1318">
                  <c:v>33705</c:v>
                </c:pt>
                <c:pt idx="1319">
                  <c:v>33712</c:v>
                </c:pt>
                <c:pt idx="1320">
                  <c:v>33719</c:v>
                </c:pt>
                <c:pt idx="1321">
                  <c:v>33726</c:v>
                </c:pt>
                <c:pt idx="1322">
                  <c:v>33733</c:v>
                </c:pt>
                <c:pt idx="1323">
                  <c:v>33740</c:v>
                </c:pt>
                <c:pt idx="1324">
                  <c:v>33747</c:v>
                </c:pt>
                <c:pt idx="1325">
                  <c:v>33754</c:v>
                </c:pt>
                <c:pt idx="1326">
                  <c:v>33761</c:v>
                </c:pt>
                <c:pt idx="1327">
                  <c:v>33768</c:v>
                </c:pt>
                <c:pt idx="1328">
                  <c:v>33775</c:v>
                </c:pt>
                <c:pt idx="1329">
                  <c:v>33782</c:v>
                </c:pt>
                <c:pt idx="1330">
                  <c:v>33789</c:v>
                </c:pt>
                <c:pt idx="1331">
                  <c:v>33796</c:v>
                </c:pt>
                <c:pt idx="1332">
                  <c:v>33803</c:v>
                </c:pt>
                <c:pt idx="1333">
                  <c:v>33810</c:v>
                </c:pt>
                <c:pt idx="1334">
                  <c:v>33817</c:v>
                </c:pt>
                <c:pt idx="1335">
                  <c:v>33824</c:v>
                </c:pt>
                <c:pt idx="1336">
                  <c:v>33831</c:v>
                </c:pt>
                <c:pt idx="1337">
                  <c:v>33838</c:v>
                </c:pt>
                <c:pt idx="1338">
                  <c:v>33845</c:v>
                </c:pt>
                <c:pt idx="1339">
                  <c:v>33852</c:v>
                </c:pt>
                <c:pt idx="1340">
                  <c:v>33859</c:v>
                </c:pt>
                <c:pt idx="1341">
                  <c:v>33866</c:v>
                </c:pt>
                <c:pt idx="1342">
                  <c:v>33873</c:v>
                </c:pt>
                <c:pt idx="1343">
                  <c:v>33880</c:v>
                </c:pt>
                <c:pt idx="1344">
                  <c:v>33887</c:v>
                </c:pt>
                <c:pt idx="1345">
                  <c:v>33894</c:v>
                </c:pt>
                <c:pt idx="1346">
                  <c:v>33901</c:v>
                </c:pt>
                <c:pt idx="1347">
                  <c:v>33908</c:v>
                </c:pt>
                <c:pt idx="1348">
                  <c:v>33915</c:v>
                </c:pt>
                <c:pt idx="1349">
                  <c:v>33922</c:v>
                </c:pt>
                <c:pt idx="1350">
                  <c:v>33929</c:v>
                </c:pt>
                <c:pt idx="1351">
                  <c:v>33936</c:v>
                </c:pt>
                <c:pt idx="1352">
                  <c:v>33943</c:v>
                </c:pt>
                <c:pt idx="1353">
                  <c:v>33950</c:v>
                </c:pt>
                <c:pt idx="1354">
                  <c:v>33957</c:v>
                </c:pt>
                <c:pt idx="1355">
                  <c:v>33964</c:v>
                </c:pt>
                <c:pt idx="1356">
                  <c:v>33971</c:v>
                </c:pt>
                <c:pt idx="1357">
                  <c:v>33978</c:v>
                </c:pt>
                <c:pt idx="1358">
                  <c:v>33985</c:v>
                </c:pt>
                <c:pt idx="1359">
                  <c:v>33992</c:v>
                </c:pt>
                <c:pt idx="1360">
                  <c:v>33999</c:v>
                </c:pt>
                <c:pt idx="1361">
                  <c:v>34006</c:v>
                </c:pt>
                <c:pt idx="1362">
                  <c:v>34013</c:v>
                </c:pt>
                <c:pt idx="1363">
                  <c:v>34020</c:v>
                </c:pt>
                <c:pt idx="1364">
                  <c:v>34027</c:v>
                </c:pt>
                <c:pt idx="1365">
                  <c:v>34034</c:v>
                </c:pt>
                <c:pt idx="1366">
                  <c:v>34041</c:v>
                </c:pt>
                <c:pt idx="1367">
                  <c:v>34048</c:v>
                </c:pt>
                <c:pt idx="1368">
                  <c:v>34055</c:v>
                </c:pt>
                <c:pt idx="1369">
                  <c:v>34062</c:v>
                </c:pt>
                <c:pt idx="1370">
                  <c:v>34069</c:v>
                </c:pt>
                <c:pt idx="1371">
                  <c:v>34076</c:v>
                </c:pt>
                <c:pt idx="1372">
                  <c:v>34083</c:v>
                </c:pt>
                <c:pt idx="1373">
                  <c:v>34090</c:v>
                </c:pt>
                <c:pt idx="1374">
                  <c:v>34097</c:v>
                </c:pt>
                <c:pt idx="1375">
                  <c:v>34104</c:v>
                </c:pt>
                <c:pt idx="1376">
                  <c:v>34111</c:v>
                </c:pt>
                <c:pt idx="1377">
                  <c:v>34118</c:v>
                </c:pt>
                <c:pt idx="1378">
                  <c:v>34125</c:v>
                </c:pt>
                <c:pt idx="1379">
                  <c:v>34132</c:v>
                </c:pt>
                <c:pt idx="1380">
                  <c:v>34139</c:v>
                </c:pt>
                <c:pt idx="1381">
                  <c:v>34146</c:v>
                </c:pt>
                <c:pt idx="1382">
                  <c:v>34153</c:v>
                </c:pt>
                <c:pt idx="1383">
                  <c:v>34160</c:v>
                </c:pt>
                <c:pt idx="1384">
                  <c:v>34167</c:v>
                </c:pt>
                <c:pt idx="1385">
                  <c:v>34174</c:v>
                </c:pt>
                <c:pt idx="1386">
                  <c:v>34181</c:v>
                </c:pt>
                <c:pt idx="1387">
                  <c:v>34188</c:v>
                </c:pt>
                <c:pt idx="1388">
                  <c:v>34195</c:v>
                </c:pt>
                <c:pt idx="1389">
                  <c:v>34202</c:v>
                </c:pt>
                <c:pt idx="1390">
                  <c:v>34209</c:v>
                </c:pt>
                <c:pt idx="1391">
                  <c:v>34216</c:v>
                </c:pt>
                <c:pt idx="1392">
                  <c:v>34223</c:v>
                </c:pt>
                <c:pt idx="1393">
                  <c:v>34230</c:v>
                </c:pt>
                <c:pt idx="1394">
                  <c:v>34237</c:v>
                </c:pt>
                <c:pt idx="1395">
                  <c:v>34244</c:v>
                </c:pt>
                <c:pt idx="1396">
                  <c:v>34251</c:v>
                </c:pt>
                <c:pt idx="1397">
                  <c:v>34258</c:v>
                </c:pt>
                <c:pt idx="1398">
                  <c:v>34265</c:v>
                </c:pt>
                <c:pt idx="1399">
                  <c:v>34272</c:v>
                </c:pt>
                <c:pt idx="1400">
                  <c:v>34279</c:v>
                </c:pt>
                <c:pt idx="1401">
                  <c:v>34286</c:v>
                </c:pt>
                <c:pt idx="1402">
                  <c:v>34293</c:v>
                </c:pt>
                <c:pt idx="1403">
                  <c:v>34300</c:v>
                </c:pt>
                <c:pt idx="1404">
                  <c:v>34307</c:v>
                </c:pt>
                <c:pt idx="1405">
                  <c:v>34314</c:v>
                </c:pt>
                <c:pt idx="1406">
                  <c:v>34321</c:v>
                </c:pt>
                <c:pt idx="1407">
                  <c:v>34328</c:v>
                </c:pt>
                <c:pt idx="1408">
                  <c:v>34335</c:v>
                </c:pt>
                <c:pt idx="1409">
                  <c:v>34342</c:v>
                </c:pt>
                <c:pt idx="1410">
                  <c:v>34349</c:v>
                </c:pt>
                <c:pt idx="1411">
                  <c:v>34356</c:v>
                </c:pt>
                <c:pt idx="1412">
                  <c:v>34363</c:v>
                </c:pt>
                <c:pt idx="1413">
                  <c:v>34370</c:v>
                </c:pt>
                <c:pt idx="1414">
                  <c:v>34377</c:v>
                </c:pt>
                <c:pt idx="1415">
                  <c:v>34384</c:v>
                </c:pt>
                <c:pt idx="1416">
                  <c:v>34391</c:v>
                </c:pt>
                <c:pt idx="1417">
                  <c:v>34398</c:v>
                </c:pt>
                <c:pt idx="1418">
                  <c:v>34405</c:v>
                </c:pt>
                <c:pt idx="1419">
                  <c:v>34412</c:v>
                </c:pt>
                <c:pt idx="1420">
                  <c:v>34419</c:v>
                </c:pt>
                <c:pt idx="1421">
                  <c:v>34426</c:v>
                </c:pt>
                <c:pt idx="1422">
                  <c:v>34433</c:v>
                </c:pt>
                <c:pt idx="1423">
                  <c:v>34440</c:v>
                </c:pt>
                <c:pt idx="1424">
                  <c:v>34447</c:v>
                </c:pt>
                <c:pt idx="1425">
                  <c:v>34454</c:v>
                </c:pt>
                <c:pt idx="1426">
                  <c:v>34461</c:v>
                </c:pt>
                <c:pt idx="1427">
                  <c:v>34468</c:v>
                </c:pt>
                <c:pt idx="1428">
                  <c:v>34475</c:v>
                </c:pt>
                <c:pt idx="1429">
                  <c:v>34482</c:v>
                </c:pt>
                <c:pt idx="1430">
                  <c:v>34489</c:v>
                </c:pt>
                <c:pt idx="1431">
                  <c:v>34496</c:v>
                </c:pt>
                <c:pt idx="1432">
                  <c:v>34503</c:v>
                </c:pt>
                <c:pt idx="1433">
                  <c:v>34510</c:v>
                </c:pt>
                <c:pt idx="1434">
                  <c:v>34517</c:v>
                </c:pt>
                <c:pt idx="1435">
                  <c:v>34524</c:v>
                </c:pt>
                <c:pt idx="1436">
                  <c:v>34531</c:v>
                </c:pt>
                <c:pt idx="1437">
                  <c:v>34538</c:v>
                </c:pt>
                <c:pt idx="1438">
                  <c:v>34545</c:v>
                </c:pt>
                <c:pt idx="1439">
                  <c:v>34552</c:v>
                </c:pt>
                <c:pt idx="1440">
                  <c:v>34559</c:v>
                </c:pt>
                <c:pt idx="1441">
                  <c:v>34566</c:v>
                </c:pt>
                <c:pt idx="1442">
                  <c:v>34573</c:v>
                </c:pt>
                <c:pt idx="1443">
                  <c:v>34580</c:v>
                </c:pt>
                <c:pt idx="1444">
                  <c:v>34587</c:v>
                </c:pt>
                <c:pt idx="1445">
                  <c:v>34594</c:v>
                </c:pt>
                <c:pt idx="1446">
                  <c:v>34601</c:v>
                </c:pt>
                <c:pt idx="1447">
                  <c:v>34608</c:v>
                </c:pt>
                <c:pt idx="1448">
                  <c:v>34615</c:v>
                </c:pt>
                <c:pt idx="1449">
                  <c:v>34622</c:v>
                </c:pt>
                <c:pt idx="1450">
                  <c:v>34629</c:v>
                </c:pt>
                <c:pt idx="1451">
                  <c:v>34636</c:v>
                </c:pt>
                <c:pt idx="1452">
                  <c:v>34643</c:v>
                </c:pt>
                <c:pt idx="1453">
                  <c:v>34650</c:v>
                </c:pt>
                <c:pt idx="1454">
                  <c:v>34657</c:v>
                </c:pt>
                <c:pt idx="1455">
                  <c:v>34664</c:v>
                </c:pt>
                <c:pt idx="1456">
                  <c:v>34671</c:v>
                </c:pt>
                <c:pt idx="1457">
                  <c:v>34678</c:v>
                </c:pt>
                <c:pt idx="1458">
                  <c:v>34685</c:v>
                </c:pt>
                <c:pt idx="1459">
                  <c:v>34692</c:v>
                </c:pt>
                <c:pt idx="1460">
                  <c:v>34699</c:v>
                </c:pt>
                <c:pt idx="1461">
                  <c:v>34706</c:v>
                </c:pt>
                <c:pt idx="1462">
                  <c:v>34713</c:v>
                </c:pt>
                <c:pt idx="1463">
                  <c:v>34720</c:v>
                </c:pt>
                <c:pt idx="1464">
                  <c:v>34727</c:v>
                </c:pt>
                <c:pt idx="1465">
                  <c:v>34734</c:v>
                </c:pt>
                <c:pt idx="1466">
                  <c:v>34741</c:v>
                </c:pt>
                <c:pt idx="1467">
                  <c:v>34748</c:v>
                </c:pt>
                <c:pt idx="1468">
                  <c:v>34755</c:v>
                </c:pt>
                <c:pt idx="1469">
                  <c:v>34762</c:v>
                </c:pt>
                <c:pt idx="1470">
                  <c:v>34769</c:v>
                </c:pt>
                <c:pt idx="1471">
                  <c:v>34776</c:v>
                </c:pt>
                <c:pt idx="1472">
                  <c:v>34783</c:v>
                </c:pt>
                <c:pt idx="1473">
                  <c:v>34790</c:v>
                </c:pt>
                <c:pt idx="1474">
                  <c:v>34797</c:v>
                </c:pt>
                <c:pt idx="1475">
                  <c:v>34804</c:v>
                </c:pt>
                <c:pt idx="1476">
                  <c:v>34811</c:v>
                </c:pt>
                <c:pt idx="1477">
                  <c:v>34818</c:v>
                </c:pt>
                <c:pt idx="1478">
                  <c:v>34825</c:v>
                </c:pt>
                <c:pt idx="1479">
                  <c:v>34832</c:v>
                </c:pt>
                <c:pt idx="1480">
                  <c:v>34839</c:v>
                </c:pt>
                <c:pt idx="1481">
                  <c:v>34846</c:v>
                </c:pt>
                <c:pt idx="1482">
                  <c:v>34853</c:v>
                </c:pt>
                <c:pt idx="1483">
                  <c:v>34860</c:v>
                </c:pt>
                <c:pt idx="1484">
                  <c:v>34867</c:v>
                </c:pt>
                <c:pt idx="1485">
                  <c:v>34874</c:v>
                </c:pt>
                <c:pt idx="1486">
                  <c:v>34881</c:v>
                </c:pt>
                <c:pt idx="1487">
                  <c:v>34888</c:v>
                </c:pt>
                <c:pt idx="1488">
                  <c:v>34895</c:v>
                </c:pt>
                <c:pt idx="1489">
                  <c:v>34902</c:v>
                </c:pt>
                <c:pt idx="1490">
                  <c:v>34909</c:v>
                </c:pt>
                <c:pt idx="1491">
                  <c:v>34916</c:v>
                </c:pt>
                <c:pt idx="1492">
                  <c:v>34923</c:v>
                </c:pt>
                <c:pt idx="1493">
                  <c:v>34930</c:v>
                </c:pt>
                <c:pt idx="1494">
                  <c:v>34937</c:v>
                </c:pt>
                <c:pt idx="1495">
                  <c:v>34944</c:v>
                </c:pt>
                <c:pt idx="1496">
                  <c:v>34951</c:v>
                </c:pt>
                <c:pt idx="1497">
                  <c:v>34958</c:v>
                </c:pt>
                <c:pt idx="1498">
                  <c:v>34965</c:v>
                </c:pt>
                <c:pt idx="1499">
                  <c:v>34972</c:v>
                </c:pt>
                <c:pt idx="1500">
                  <c:v>34979</c:v>
                </c:pt>
                <c:pt idx="1501">
                  <c:v>34986</c:v>
                </c:pt>
                <c:pt idx="1502">
                  <c:v>34993</c:v>
                </c:pt>
                <c:pt idx="1503">
                  <c:v>35000</c:v>
                </c:pt>
                <c:pt idx="1504">
                  <c:v>35007</c:v>
                </c:pt>
                <c:pt idx="1505">
                  <c:v>35014</c:v>
                </c:pt>
                <c:pt idx="1506">
                  <c:v>35021</c:v>
                </c:pt>
                <c:pt idx="1507">
                  <c:v>35028</c:v>
                </c:pt>
                <c:pt idx="1508">
                  <c:v>35035</c:v>
                </c:pt>
                <c:pt idx="1509">
                  <c:v>35042</c:v>
                </c:pt>
                <c:pt idx="1510">
                  <c:v>35049</c:v>
                </c:pt>
                <c:pt idx="1511">
                  <c:v>35056</c:v>
                </c:pt>
                <c:pt idx="1512">
                  <c:v>35063</c:v>
                </c:pt>
                <c:pt idx="1513">
                  <c:v>35070</c:v>
                </c:pt>
                <c:pt idx="1514">
                  <c:v>35077</c:v>
                </c:pt>
                <c:pt idx="1515">
                  <c:v>35084</c:v>
                </c:pt>
                <c:pt idx="1516">
                  <c:v>35091</c:v>
                </c:pt>
                <c:pt idx="1517">
                  <c:v>35098</c:v>
                </c:pt>
                <c:pt idx="1518">
                  <c:v>35105</c:v>
                </c:pt>
                <c:pt idx="1519">
                  <c:v>35112</c:v>
                </c:pt>
                <c:pt idx="1520">
                  <c:v>35119</c:v>
                </c:pt>
                <c:pt idx="1521">
                  <c:v>35126</c:v>
                </c:pt>
                <c:pt idx="1522">
                  <c:v>35133</c:v>
                </c:pt>
                <c:pt idx="1523">
                  <c:v>35140</c:v>
                </c:pt>
                <c:pt idx="1524">
                  <c:v>35147</c:v>
                </c:pt>
                <c:pt idx="1525">
                  <c:v>35154</c:v>
                </c:pt>
                <c:pt idx="1526">
                  <c:v>35161</c:v>
                </c:pt>
                <c:pt idx="1527">
                  <c:v>35168</c:v>
                </c:pt>
                <c:pt idx="1528">
                  <c:v>35175</c:v>
                </c:pt>
                <c:pt idx="1529">
                  <c:v>35182</c:v>
                </c:pt>
                <c:pt idx="1530">
                  <c:v>35189</c:v>
                </c:pt>
                <c:pt idx="1531">
                  <c:v>35196</c:v>
                </c:pt>
                <c:pt idx="1532">
                  <c:v>35203</c:v>
                </c:pt>
                <c:pt idx="1533">
                  <c:v>35210</c:v>
                </c:pt>
                <c:pt idx="1534">
                  <c:v>35217</c:v>
                </c:pt>
                <c:pt idx="1535">
                  <c:v>35224</c:v>
                </c:pt>
                <c:pt idx="1536">
                  <c:v>35231</c:v>
                </c:pt>
                <c:pt idx="1537">
                  <c:v>35238</c:v>
                </c:pt>
                <c:pt idx="1538">
                  <c:v>35245</c:v>
                </c:pt>
                <c:pt idx="1539">
                  <c:v>35252</c:v>
                </c:pt>
                <c:pt idx="1540">
                  <c:v>35259</c:v>
                </c:pt>
                <c:pt idx="1541">
                  <c:v>35266</c:v>
                </c:pt>
                <c:pt idx="1542">
                  <c:v>35273</c:v>
                </c:pt>
                <c:pt idx="1543">
                  <c:v>35280</c:v>
                </c:pt>
                <c:pt idx="1544">
                  <c:v>35287</c:v>
                </c:pt>
                <c:pt idx="1545">
                  <c:v>35294</c:v>
                </c:pt>
                <c:pt idx="1546">
                  <c:v>35301</c:v>
                </c:pt>
                <c:pt idx="1547">
                  <c:v>35308</c:v>
                </c:pt>
                <c:pt idx="1548">
                  <c:v>35315</c:v>
                </c:pt>
                <c:pt idx="1549">
                  <c:v>35322</c:v>
                </c:pt>
                <c:pt idx="1550">
                  <c:v>35329</c:v>
                </c:pt>
                <c:pt idx="1551">
                  <c:v>35336</c:v>
                </c:pt>
                <c:pt idx="1552">
                  <c:v>35343</c:v>
                </c:pt>
                <c:pt idx="1553">
                  <c:v>35350</c:v>
                </c:pt>
                <c:pt idx="1554">
                  <c:v>35357</c:v>
                </c:pt>
                <c:pt idx="1555">
                  <c:v>35364</c:v>
                </c:pt>
                <c:pt idx="1556">
                  <c:v>35371</c:v>
                </c:pt>
                <c:pt idx="1557">
                  <c:v>35378</c:v>
                </c:pt>
                <c:pt idx="1558">
                  <c:v>35385</c:v>
                </c:pt>
                <c:pt idx="1559">
                  <c:v>35392</c:v>
                </c:pt>
                <c:pt idx="1560">
                  <c:v>35399</c:v>
                </c:pt>
                <c:pt idx="1561">
                  <c:v>35406</c:v>
                </c:pt>
                <c:pt idx="1562">
                  <c:v>35413</c:v>
                </c:pt>
                <c:pt idx="1563">
                  <c:v>35420</c:v>
                </c:pt>
                <c:pt idx="1564">
                  <c:v>35427</c:v>
                </c:pt>
                <c:pt idx="1565">
                  <c:v>35434</c:v>
                </c:pt>
                <c:pt idx="1566">
                  <c:v>35441</c:v>
                </c:pt>
                <c:pt idx="1567">
                  <c:v>35448</c:v>
                </c:pt>
                <c:pt idx="1568">
                  <c:v>35455</c:v>
                </c:pt>
                <c:pt idx="1569">
                  <c:v>35462</c:v>
                </c:pt>
                <c:pt idx="1570">
                  <c:v>35469</c:v>
                </c:pt>
                <c:pt idx="1571">
                  <c:v>35476</c:v>
                </c:pt>
                <c:pt idx="1572">
                  <c:v>35483</c:v>
                </c:pt>
                <c:pt idx="1573">
                  <c:v>35490</c:v>
                </c:pt>
                <c:pt idx="1574">
                  <c:v>35497</c:v>
                </c:pt>
                <c:pt idx="1575">
                  <c:v>35504</c:v>
                </c:pt>
                <c:pt idx="1576">
                  <c:v>35511</c:v>
                </c:pt>
                <c:pt idx="1577">
                  <c:v>35518</c:v>
                </c:pt>
                <c:pt idx="1578">
                  <c:v>35525</c:v>
                </c:pt>
                <c:pt idx="1579">
                  <c:v>35532</c:v>
                </c:pt>
                <c:pt idx="1580">
                  <c:v>35539</c:v>
                </c:pt>
                <c:pt idx="1581">
                  <c:v>35546</c:v>
                </c:pt>
                <c:pt idx="1582">
                  <c:v>35553</c:v>
                </c:pt>
                <c:pt idx="1583">
                  <c:v>35560</c:v>
                </c:pt>
                <c:pt idx="1584">
                  <c:v>35567</c:v>
                </c:pt>
                <c:pt idx="1585">
                  <c:v>35574</c:v>
                </c:pt>
                <c:pt idx="1586">
                  <c:v>35581</c:v>
                </c:pt>
                <c:pt idx="1587">
                  <c:v>35588</c:v>
                </c:pt>
                <c:pt idx="1588">
                  <c:v>35595</c:v>
                </c:pt>
                <c:pt idx="1589">
                  <c:v>35602</c:v>
                </c:pt>
                <c:pt idx="1590">
                  <c:v>35609</c:v>
                </c:pt>
                <c:pt idx="1591">
                  <c:v>35616</c:v>
                </c:pt>
                <c:pt idx="1592">
                  <c:v>35623</c:v>
                </c:pt>
                <c:pt idx="1593">
                  <c:v>35630</c:v>
                </c:pt>
                <c:pt idx="1594">
                  <c:v>35637</c:v>
                </c:pt>
                <c:pt idx="1595">
                  <c:v>35644</c:v>
                </c:pt>
                <c:pt idx="1596">
                  <c:v>35651</c:v>
                </c:pt>
                <c:pt idx="1597">
                  <c:v>35658</c:v>
                </c:pt>
                <c:pt idx="1598">
                  <c:v>35665</c:v>
                </c:pt>
                <c:pt idx="1599">
                  <c:v>35672</c:v>
                </c:pt>
                <c:pt idx="1600">
                  <c:v>35679</c:v>
                </c:pt>
                <c:pt idx="1601">
                  <c:v>35686</c:v>
                </c:pt>
                <c:pt idx="1602">
                  <c:v>35693</c:v>
                </c:pt>
                <c:pt idx="1603">
                  <c:v>35700</c:v>
                </c:pt>
                <c:pt idx="1604">
                  <c:v>35707</c:v>
                </c:pt>
                <c:pt idx="1605">
                  <c:v>35714</c:v>
                </c:pt>
                <c:pt idx="1606">
                  <c:v>35721</c:v>
                </c:pt>
                <c:pt idx="1607">
                  <c:v>35728</c:v>
                </c:pt>
                <c:pt idx="1608">
                  <c:v>35735</c:v>
                </c:pt>
                <c:pt idx="1609">
                  <c:v>35742</c:v>
                </c:pt>
                <c:pt idx="1610">
                  <c:v>35749</c:v>
                </c:pt>
                <c:pt idx="1611">
                  <c:v>35756</c:v>
                </c:pt>
                <c:pt idx="1612">
                  <c:v>35763</c:v>
                </c:pt>
                <c:pt idx="1613">
                  <c:v>35770</c:v>
                </c:pt>
                <c:pt idx="1614">
                  <c:v>35777</c:v>
                </c:pt>
                <c:pt idx="1615">
                  <c:v>35784</c:v>
                </c:pt>
                <c:pt idx="1616">
                  <c:v>35791</c:v>
                </c:pt>
                <c:pt idx="1617">
                  <c:v>35798</c:v>
                </c:pt>
                <c:pt idx="1618">
                  <c:v>35805</c:v>
                </c:pt>
                <c:pt idx="1619">
                  <c:v>35812</c:v>
                </c:pt>
                <c:pt idx="1620">
                  <c:v>35819</c:v>
                </c:pt>
                <c:pt idx="1621">
                  <c:v>35826</c:v>
                </c:pt>
                <c:pt idx="1622">
                  <c:v>35833</c:v>
                </c:pt>
                <c:pt idx="1623">
                  <c:v>35840</c:v>
                </c:pt>
                <c:pt idx="1624">
                  <c:v>35847</c:v>
                </c:pt>
                <c:pt idx="1625">
                  <c:v>35854</c:v>
                </c:pt>
                <c:pt idx="1626">
                  <c:v>35861</c:v>
                </c:pt>
                <c:pt idx="1627">
                  <c:v>35868</c:v>
                </c:pt>
                <c:pt idx="1628">
                  <c:v>35875</c:v>
                </c:pt>
                <c:pt idx="1629">
                  <c:v>35882</c:v>
                </c:pt>
                <c:pt idx="1630">
                  <c:v>35889</c:v>
                </c:pt>
                <c:pt idx="1631">
                  <c:v>35896</c:v>
                </c:pt>
                <c:pt idx="1632">
                  <c:v>35903</c:v>
                </c:pt>
                <c:pt idx="1633">
                  <c:v>35910</c:v>
                </c:pt>
                <c:pt idx="1634">
                  <c:v>35917</c:v>
                </c:pt>
                <c:pt idx="1635">
                  <c:v>35924</c:v>
                </c:pt>
                <c:pt idx="1636">
                  <c:v>35931</c:v>
                </c:pt>
                <c:pt idx="1637">
                  <c:v>35938</c:v>
                </c:pt>
                <c:pt idx="1638">
                  <c:v>35945</c:v>
                </c:pt>
                <c:pt idx="1639">
                  <c:v>35952</c:v>
                </c:pt>
                <c:pt idx="1640">
                  <c:v>35959</c:v>
                </c:pt>
                <c:pt idx="1641">
                  <c:v>35966</c:v>
                </c:pt>
                <c:pt idx="1642">
                  <c:v>35973</c:v>
                </c:pt>
                <c:pt idx="1643">
                  <c:v>35980</c:v>
                </c:pt>
                <c:pt idx="1644">
                  <c:v>35987</c:v>
                </c:pt>
                <c:pt idx="1645">
                  <c:v>35994</c:v>
                </c:pt>
                <c:pt idx="1646">
                  <c:v>36001</c:v>
                </c:pt>
                <c:pt idx="1647">
                  <c:v>36008</c:v>
                </c:pt>
                <c:pt idx="1648">
                  <c:v>36015</c:v>
                </c:pt>
                <c:pt idx="1649">
                  <c:v>36022</c:v>
                </c:pt>
                <c:pt idx="1650">
                  <c:v>36029</c:v>
                </c:pt>
                <c:pt idx="1651">
                  <c:v>36036</c:v>
                </c:pt>
                <c:pt idx="1652">
                  <c:v>36043</c:v>
                </c:pt>
                <c:pt idx="1653">
                  <c:v>36050</c:v>
                </c:pt>
                <c:pt idx="1654">
                  <c:v>36057</c:v>
                </c:pt>
                <c:pt idx="1655">
                  <c:v>36064</c:v>
                </c:pt>
                <c:pt idx="1656">
                  <c:v>36071</c:v>
                </c:pt>
                <c:pt idx="1657">
                  <c:v>36078</c:v>
                </c:pt>
                <c:pt idx="1658">
                  <c:v>36085</c:v>
                </c:pt>
                <c:pt idx="1659">
                  <c:v>36092</c:v>
                </c:pt>
                <c:pt idx="1660">
                  <c:v>36099</c:v>
                </c:pt>
                <c:pt idx="1661">
                  <c:v>36106</c:v>
                </c:pt>
                <c:pt idx="1662">
                  <c:v>36113</c:v>
                </c:pt>
                <c:pt idx="1663">
                  <c:v>36120</c:v>
                </c:pt>
                <c:pt idx="1664">
                  <c:v>36127</c:v>
                </c:pt>
                <c:pt idx="1665">
                  <c:v>36134</c:v>
                </c:pt>
                <c:pt idx="1666">
                  <c:v>36141</c:v>
                </c:pt>
                <c:pt idx="1667">
                  <c:v>36148</c:v>
                </c:pt>
                <c:pt idx="1668">
                  <c:v>36155</c:v>
                </c:pt>
                <c:pt idx="1669">
                  <c:v>36162</c:v>
                </c:pt>
                <c:pt idx="1670">
                  <c:v>36169</c:v>
                </c:pt>
                <c:pt idx="1671">
                  <c:v>36176</c:v>
                </c:pt>
                <c:pt idx="1672">
                  <c:v>36183</c:v>
                </c:pt>
                <c:pt idx="1673">
                  <c:v>36190</c:v>
                </c:pt>
                <c:pt idx="1674">
                  <c:v>36197</c:v>
                </c:pt>
                <c:pt idx="1675">
                  <c:v>36204</c:v>
                </c:pt>
                <c:pt idx="1676">
                  <c:v>36211</c:v>
                </c:pt>
                <c:pt idx="1677">
                  <c:v>36218</c:v>
                </c:pt>
                <c:pt idx="1678">
                  <c:v>36225</c:v>
                </c:pt>
                <c:pt idx="1679">
                  <c:v>36232</c:v>
                </c:pt>
                <c:pt idx="1680">
                  <c:v>36239</c:v>
                </c:pt>
                <c:pt idx="1681">
                  <c:v>36246</c:v>
                </c:pt>
                <c:pt idx="1682">
                  <c:v>36253</c:v>
                </c:pt>
                <c:pt idx="1683">
                  <c:v>36260</c:v>
                </c:pt>
                <c:pt idx="1684">
                  <c:v>36267</c:v>
                </c:pt>
                <c:pt idx="1685">
                  <c:v>36274</c:v>
                </c:pt>
                <c:pt idx="1686">
                  <c:v>36281</c:v>
                </c:pt>
                <c:pt idx="1687">
                  <c:v>36288</c:v>
                </c:pt>
                <c:pt idx="1688">
                  <c:v>36295</c:v>
                </c:pt>
                <c:pt idx="1689">
                  <c:v>36302</c:v>
                </c:pt>
                <c:pt idx="1690">
                  <c:v>36309</c:v>
                </c:pt>
                <c:pt idx="1691">
                  <c:v>36316</c:v>
                </c:pt>
                <c:pt idx="1692">
                  <c:v>36323</c:v>
                </c:pt>
                <c:pt idx="1693">
                  <c:v>36330</c:v>
                </c:pt>
                <c:pt idx="1694">
                  <c:v>36337</c:v>
                </c:pt>
                <c:pt idx="1695">
                  <c:v>36344</c:v>
                </c:pt>
                <c:pt idx="1696">
                  <c:v>36351</c:v>
                </c:pt>
                <c:pt idx="1697">
                  <c:v>36358</c:v>
                </c:pt>
                <c:pt idx="1698">
                  <c:v>36365</c:v>
                </c:pt>
                <c:pt idx="1699">
                  <c:v>36372</c:v>
                </c:pt>
                <c:pt idx="1700">
                  <c:v>36379</c:v>
                </c:pt>
                <c:pt idx="1701">
                  <c:v>36386</c:v>
                </c:pt>
                <c:pt idx="1702">
                  <c:v>36393</c:v>
                </c:pt>
                <c:pt idx="1703">
                  <c:v>36400</c:v>
                </c:pt>
                <c:pt idx="1704">
                  <c:v>36407</c:v>
                </c:pt>
                <c:pt idx="1705">
                  <c:v>36414</c:v>
                </c:pt>
                <c:pt idx="1706">
                  <c:v>36421</c:v>
                </c:pt>
                <c:pt idx="1707">
                  <c:v>36428</c:v>
                </c:pt>
                <c:pt idx="1708">
                  <c:v>36435</c:v>
                </c:pt>
                <c:pt idx="1709">
                  <c:v>36442</c:v>
                </c:pt>
                <c:pt idx="1710">
                  <c:v>36449</c:v>
                </c:pt>
                <c:pt idx="1711">
                  <c:v>36456</c:v>
                </c:pt>
                <c:pt idx="1712">
                  <c:v>36463</c:v>
                </c:pt>
                <c:pt idx="1713">
                  <c:v>36470</c:v>
                </c:pt>
                <c:pt idx="1714">
                  <c:v>36477</c:v>
                </c:pt>
                <c:pt idx="1715">
                  <c:v>36484</c:v>
                </c:pt>
                <c:pt idx="1716">
                  <c:v>36491</c:v>
                </c:pt>
                <c:pt idx="1717">
                  <c:v>36498</c:v>
                </c:pt>
                <c:pt idx="1718">
                  <c:v>36505</c:v>
                </c:pt>
                <c:pt idx="1719">
                  <c:v>36512</c:v>
                </c:pt>
                <c:pt idx="1720">
                  <c:v>36519</c:v>
                </c:pt>
                <c:pt idx="1721">
                  <c:v>36526</c:v>
                </c:pt>
                <c:pt idx="1722">
                  <c:v>36533</c:v>
                </c:pt>
                <c:pt idx="1723">
                  <c:v>36540</c:v>
                </c:pt>
                <c:pt idx="1724">
                  <c:v>36547</c:v>
                </c:pt>
                <c:pt idx="1725">
                  <c:v>36554</c:v>
                </c:pt>
                <c:pt idx="1726">
                  <c:v>36561</c:v>
                </c:pt>
                <c:pt idx="1727">
                  <c:v>36568</c:v>
                </c:pt>
                <c:pt idx="1728">
                  <c:v>36575</c:v>
                </c:pt>
                <c:pt idx="1729">
                  <c:v>36582</c:v>
                </c:pt>
                <c:pt idx="1730">
                  <c:v>36589</c:v>
                </c:pt>
                <c:pt idx="1731">
                  <c:v>36596</c:v>
                </c:pt>
                <c:pt idx="1732">
                  <c:v>36603</c:v>
                </c:pt>
                <c:pt idx="1733">
                  <c:v>36610</c:v>
                </c:pt>
                <c:pt idx="1734">
                  <c:v>36617</c:v>
                </c:pt>
                <c:pt idx="1735">
                  <c:v>36624</c:v>
                </c:pt>
                <c:pt idx="1736">
                  <c:v>36631</c:v>
                </c:pt>
                <c:pt idx="1737">
                  <c:v>36638</c:v>
                </c:pt>
                <c:pt idx="1738">
                  <c:v>36645</c:v>
                </c:pt>
                <c:pt idx="1739">
                  <c:v>36652</c:v>
                </c:pt>
                <c:pt idx="1740">
                  <c:v>36659</c:v>
                </c:pt>
                <c:pt idx="1741">
                  <c:v>36666</c:v>
                </c:pt>
                <c:pt idx="1742">
                  <c:v>36673</c:v>
                </c:pt>
                <c:pt idx="1743">
                  <c:v>36680</c:v>
                </c:pt>
                <c:pt idx="1744">
                  <c:v>36687</c:v>
                </c:pt>
                <c:pt idx="1745">
                  <c:v>36694</c:v>
                </c:pt>
                <c:pt idx="1746">
                  <c:v>36701</c:v>
                </c:pt>
                <c:pt idx="1747">
                  <c:v>36708</c:v>
                </c:pt>
                <c:pt idx="1748">
                  <c:v>36715</c:v>
                </c:pt>
                <c:pt idx="1749">
                  <c:v>36722</c:v>
                </c:pt>
                <c:pt idx="1750">
                  <c:v>36729</c:v>
                </c:pt>
                <c:pt idx="1751">
                  <c:v>36736</c:v>
                </c:pt>
                <c:pt idx="1752">
                  <c:v>36743</c:v>
                </c:pt>
                <c:pt idx="1753">
                  <c:v>36750</c:v>
                </c:pt>
                <c:pt idx="1754">
                  <c:v>36757</c:v>
                </c:pt>
                <c:pt idx="1755">
                  <c:v>36764</c:v>
                </c:pt>
                <c:pt idx="1756">
                  <c:v>36771</c:v>
                </c:pt>
                <c:pt idx="1757">
                  <c:v>36778</c:v>
                </c:pt>
                <c:pt idx="1758">
                  <c:v>36785</c:v>
                </c:pt>
                <c:pt idx="1759">
                  <c:v>36792</c:v>
                </c:pt>
                <c:pt idx="1760">
                  <c:v>36799</c:v>
                </c:pt>
                <c:pt idx="1761">
                  <c:v>36806</c:v>
                </c:pt>
                <c:pt idx="1762">
                  <c:v>36813</c:v>
                </c:pt>
                <c:pt idx="1763">
                  <c:v>36820</c:v>
                </c:pt>
                <c:pt idx="1764">
                  <c:v>36827</c:v>
                </c:pt>
                <c:pt idx="1765">
                  <c:v>36834</c:v>
                </c:pt>
                <c:pt idx="1766">
                  <c:v>36841</c:v>
                </c:pt>
                <c:pt idx="1767">
                  <c:v>36848</c:v>
                </c:pt>
                <c:pt idx="1768">
                  <c:v>36855</c:v>
                </c:pt>
                <c:pt idx="1769">
                  <c:v>36862</c:v>
                </c:pt>
                <c:pt idx="1770">
                  <c:v>36869</c:v>
                </c:pt>
                <c:pt idx="1771">
                  <c:v>36876</c:v>
                </c:pt>
                <c:pt idx="1772">
                  <c:v>36883</c:v>
                </c:pt>
                <c:pt idx="1773">
                  <c:v>36890</c:v>
                </c:pt>
                <c:pt idx="1774">
                  <c:v>36897</c:v>
                </c:pt>
                <c:pt idx="1775">
                  <c:v>36904</c:v>
                </c:pt>
                <c:pt idx="1776">
                  <c:v>36911</c:v>
                </c:pt>
                <c:pt idx="1777">
                  <c:v>36918</c:v>
                </c:pt>
                <c:pt idx="1778">
                  <c:v>36925</c:v>
                </c:pt>
                <c:pt idx="1779">
                  <c:v>36932</c:v>
                </c:pt>
                <c:pt idx="1780">
                  <c:v>36939</c:v>
                </c:pt>
                <c:pt idx="1781">
                  <c:v>36946</c:v>
                </c:pt>
                <c:pt idx="1782">
                  <c:v>36953</c:v>
                </c:pt>
                <c:pt idx="1783">
                  <c:v>36960</c:v>
                </c:pt>
                <c:pt idx="1784">
                  <c:v>36967</c:v>
                </c:pt>
                <c:pt idx="1785">
                  <c:v>36974</c:v>
                </c:pt>
                <c:pt idx="1786">
                  <c:v>36981</c:v>
                </c:pt>
                <c:pt idx="1787">
                  <c:v>36988</c:v>
                </c:pt>
                <c:pt idx="1788">
                  <c:v>36995</c:v>
                </c:pt>
                <c:pt idx="1789">
                  <c:v>37002</c:v>
                </c:pt>
                <c:pt idx="1790">
                  <c:v>37009</c:v>
                </c:pt>
                <c:pt idx="1791">
                  <c:v>37016</c:v>
                </c:pt>
                <c:pt idx="1792">
                  <c:v>37023</c:v>
                </c:pt>
                <c:pt idx="1793">
                  <c:v>37030</c:v>
                </c:pt>
                <c:pt idx="1794">
                  <c:v>37037</c:v>
                </c:pt>
                <c:pt idx="1795">
                  <c:v>37044</c:v>
                </c:pt>
                <c:pt idx="1796">
                  <c:v>37051</c:v>
                </c:pt>
                <c:pt idx="1797">
                  <c:v>37058</c:v>
                </c:pt>
                <c:pt idx="1798">
                  <c:v>37065</c:v>
                </c:pt>
                <c:pt idx="1799">
                  <c:v>37072</c:v>
                </c:pt>
                <c:pt idx="1800">
                  <c:v>37079</c:v>
                </c:pt>
                <c:pt idx="1801">
                  <c:v>37086</c:v>
                </c:pt>
                <c:pt idx="1802">
                  <c:v>37093</c:v>
                </c:pt>
                <c:pt idx="1803">
                  <c:v>37100</c:v>
                </c:pt>
                <c:pt idx="1804">
                  <c:v>37107</c:v>
                </c:pt>
                <c:pt idx="1805">
                  <c:v>37114</c:v>
                </c:pt>
                <c:pt idx="1806">
                  <c:v>37121</c:v>
                </c:pt>
                <c:pt idx="1807">
                  <c:v>37128</c:v>
                </c:pt>
                <c:pt idx="1808">
                  <c:v>37135</c:v>
                </c:pt>
                <c:pt idx="1809">
                  <c:v>37142</c:v>
                </c:pt>
                <c:pt idx="1810">
                  <c:v>37149</c:v>
                </c:pt>
                <c:pt idx="1811">
                  <c:v>37156</c:v>
                </c:pt>
                <c:pt idx="1812">
                  <c:v>37163</c:v>
                </c:pt>
                <c:pt idx="1813">
                  <c:v>37170</c:v>
                </c:pt>
                <c:pt idx="1814">
                  <c:v>37177</c:v>
                </c:pt>
                <c:pt idx="1815">
                  <c:v>37184</c:v>
                </c:pt>
                <c:pt idx="1816">
                  <c:v>37191</c:v>
                </c:pt>
                <c:pt idx="1817">
                  <c:v>37198</c:v>
                </c:pt>
                <c:pt idx="1818">
                  <c:v>37205</c:v>
                </c:pt>
                <c:pt idx="1819">
                  <c:v>37212</c:v>
                </c:pt>
                <c:pt idx="1820">
                  <c:v>37219</c:v>
                </c:pt>
                <c:pt idx="1821">
                  <c:v>37226</c:v>
                </c:pt>
                <c:pt idx="1822">
                  <c:v>37233</c:v>
                </c:pt>
                <c:pt idx="1823">
                  <c:v>37240</c:v>
                </c:pt>
                <c:pt idx="1824">
                  <c:v>37247</c:v>
                </c:pt>
                <c:pt idx="1825">
                  <c:v>37254</c:v>
                </c:pt>
                <c:pt idx="1826">
                  <c:v>37261</c:v>
                </c:pt>
                <c:pt idx="1827">
                  <c:v>37268</c:v>
                </c:pt>
                <c:pt idx="1828">
                  <c:v>37275</c:v>
                </c:pt>
                <c:pt idx="1829">
                  <c:v>37282</c:v>
                </c:pt>
                <c:pt idx="1830">
                  <c:v>37289</c:v>
                </c:pt>
                <c:pt idx="1831">
                  <c:v>37296</c:v>
                </c:pt>
                <c:pt idx="1832">
                  <c:v>37303</c:v>
                </c:pt>
                <c:pt idx="1833">
                  <c:v>37310</c:v>
                </c:pt>
                <c:pt idx="1834">
                  <c:v>37317</c:v>
                </c:pt>
                <c:pt idx="1835">
                  <c:v>37324</c:v>
                </c:pt>
                <c:pt idx="1836">
                  <c:v>37331</c:v>
                </c:pt>
                <c:pt idx="1837">
                  <c:v>37338</c:v>
                </c:pt>
                <c:pt idx="1838">
                  <c:v>37345</c:v>
                </c:pt>
                <c:pt idx="1839">
                  <c:v>37352</c:v>
                </c:pt>
                <c:pt idx="1840">
                  <c:v>37359</c:v>
                </c:pt>
                <c:pt idx="1841">
                  <c:v>37366</c:v>
                </c:pt>
                <c:pt idx="1842">
                  <c:v>37373</c:v>
                </c:pt>
                <c:pt idx="1843">
                  <c:v>37380</c:v>
                </c:pt>
                <c:pt idx="1844">
                  <c:v>37387</c:v>
                </c:pt>
                <c:pt idx="1845">
                  <c:v>37394</c:v>
                </c:pt>
                <c:pt idx="1846">
                  <c:v>37401</c:v>
                </c:pt>
                <c:pt idx="1847">
                  <c:v>37408</c:v>
                </c:pt>
                <c:pt idx="1848">
                  <c:v>37415</c:v>
                </c:pt>
                <c:pt idx="1849">
                  <c:v>37422</c:v>
                </c:pt>
                <c:pt idx="1850">
                  <c:v>37429</c:v>
                </c:pt>
                <c:pt idx="1851">
                  <c:v>37436</c:v>
                </c:pt>
                <c:pt idx="1852">
                  <c:v>37443</c:v>
                </c:pt>
                <c:pt idx="1853">
                  <c:v>37450</c:v>
                </c:pt>
                <c:pt idx="1854">
                  <c:v>37457</c:v>
                </c:pt>
                <c:pt idx="1855">
                  <c:v>37464</c:v>
                </c:pt>
                <c:pt idx="1856">
                  <c:v>37471</c:v>
                </c:pt>
                <c:pt idx="1857">
                  <c:v>37478</c:v>
                </c:pt>
                <c:pt idx="1858">
                  <c:v>37485</c:v>
                </c:pt>
                <c:pt idx="1859">
                  <c:v>37492</c:v>
                </c:pt>
                <c:pt idx="1860">
                  <c:v>37499</c:v>
                </c:pt>
                <c:pt idx="1861">
                  <c:v>37506</c:v>
                </c:pt>
                <c:pt idx="1862">
                  <c:v>37513</c:v>
                </c:pt>
                <c:pt idx="1863">
                  <c:v>37520</c:v>
                </c:pt>
                <c:pt idx="1864">
                  <c:v>37527</c:v>
                </c:pt>
                <c:pt idx="1865">
                  <c:v>37534</c:v>
                </c:pt>
                <c:pt idx="1866">
                  <c:v>37541</c:v>
                </c:pt>
                <c:pt idx="1867">
                  <c:v>37548</c:v>
                </c:pt>
                <c:pt idx="1868">
                  <c:v>37555</c:v>
                </c:pt>
                <c:pt idx="1869">
                  <c:v>37562</c:v>
                </c:pt>
                <c:pt idx="1870">
                  <c:v>37569</c:v>
                </c:pt>
                <c:pt idx="1871">
                  <c:v>37576</c:v>
                </c:pt>
                <c:pt idx="1872">
                  <c:v>37583</c:v>
                </c:pt>
                <c:pt idx="1873">
                  <c:v>37590</c:v>
                </c:pt>
                <c:pt idx="1874">
                  <c:v>37597</c:v>
                </c:pt>
                <c:pt idx="1875">
                  <c:v>37604</c:v>
                </c:pt>
                <c:pt idx="1876">
                  <c:v>37611</c:v>
                </c:pt>
                <c:pt idx="1877">
                  <c:v>37618</c:v>
                </c:pt>
                <c:pt idx="1878">
                  <c:v>37625</c:v>
                </c:pt>
                <c:pt idx="1879">
                  <c:v>37632</c:v>
                </c:pt>
                <c:pt idx="1880">
                  <c:v>37639</c:v>
                </c:pt>
                <c:pt idx="1881">
                  <c:v>37646</c:v>
                </c:pt>
                <c:pt idx="1882">
                  <c:v>37653</c:v>
                </c:pt>
                <c:pt idx="1883">
                  <c:v>37660</c:v>
                </c:pt>
                <c:pt idx="1884">
                  <c:v>37667</c:v>
                </c:pt>
                <c:pt idx="1885">
                  <c:v>37674</c:v>
                </c:pt>
                <c:pt idx="1886">
                  <c:v>37681</c:v>
                </c:pt>
                <c:pt idx="1887">
                  <c:v>37688</c:v>
                </c:pt>
                <c:pt idx="1888">
                  <c:v>37695</c:v>
                </c:pt>
                <c:pt idx="1889">
                  <c:v>37702</c:v>
                </c:pt>
                <c:pt idx="1890">
                  <c:v>37709</c:v>
                </c:pt>
                <c:pt idx="1891">
                  <c:v>37716</c:v>
                </c:pt>
                <c:pt idx="1892">
                  <c:v>37723</c:v>
                </c:pt>
                <c:pt idx="1893">
                  <c:v>37730</c:v>
                </c:pt>
                <c:pt idx="1894">
                  <c:v>37737</c:v>
                </c:pt>
                <c:pt idx="1895">
                  <c:v>37744</c:v>
                </c:pt>
                <c:pt idx="1896">
                  <c:v>37751</c:v>
                </c:pt>
                <c:pt idx="1897">
                  <c:v>37758</c:v>
                </c:pt>
                <c:pt idx="1898">
                  <c:v>37765</c:v>
                </c:pt>
                <c:pt idx="1899">
                  <c:v>37772</c:v>
                </c:pt>
                <c:pt idx="1900">
                  <c:v>37779</c:v>
                </c:pt>
                <c:pt idx="1901">
                  <c:v>37786</c:v>
                </c:pt>
                <c:pt idx="1902">
                  <c:v>37793</c:v>
                </c:pt>
                <c:pt idx="1903">
                  <c:v>37800</c:v>
                </c:pt>
                <c:pt idx="1904">
                  <c:v>37807</c:v>
                </c:pt>
                <c:pt idx="1905">
                  <c:v>37814</c:v>
                </c:pt>
                <c:pt idx="1906">
                  <c:v>37821</c:v>
                </c:pt>
                <c:pt idx="1907">
                  <c:v>37828</c:v>
                </c:pt>
                <c:pt idx="1908">
                  <c:v>37835</c:v>
                </c:pt>
                <c:pt idx="1909">
                  <c:v>37842</c:v>
                </c:pt>
                <c:pt idx="1910">
                  <c:v>37849</c:v>
                </c:pt>
                <c:pt idx="1911">
                  <c:v>37856</c:v>
                </c:pt>
                <c:pt idx="1912">
                  <c:v>37863</c:v>
                </c:pt>
                <c:pt idx="1913">
                  <c:v>37870</c:v>
                </c:pt>
                <c:pt idx="1914">
                  <c:v>37877</c:v>
                </c:pt>
                <c:pt idx="1915">
                  <c:v>37884</c:v>
                </c:pt>
                <c:pt idx="1916">
                  <c:v>37891</c:v>
                </c:pt>
                <c:pt idx="1917">
                  <c:v>37898</c:v>
                </c:pt>
                <c:pt idx="1918">
                  <c:v>37905</c:v>
                </c:pt>
                <c:pt idx="1919">
                  <c:v>37912</c:v>
                </c:pt>
                <c:pt idx="1920">
                  <c:v>37919</c:v>
                </c:pt>
                <c:pt idx="1921">
                  <c:v>37926</c:v>
                </c:pt>
                <c:pt idx="1922">
                  <c:v>37933</c:v>
                </c:pt>
                <c:pt idx="1923">
                  <c:v>37940</c:v>
                </c:pt>
                <c:pt idx="1924">
                  <c:v>37947</c:v>
                </c:pt>
                <c:pt idx="1925">
                  <c:v>37954</c:v>
                </c:pt>
                <c:pt idx="1926">
                  <c:v>37961</c:v>
                </c:pt>
                <c:pt idx="1927">
                  <c:v>37968</c:v>
                </c:pt>
                <c:pt idx="1928">
                  <c:v>37975</c:v>
                </c:pt>
                <c:pt idx="1929">
                  <c:v>37982</c:v>
                </c:pt>
                <c:pt idx="1930">
                  <c:v>37989</c:v>
                </c:pt>
                <c:pt idx="1931">
                  <c:v>37996</c:v>
                </c:pt>
                <c:pt idx="1932">
                  <c:v>38003</c:v>
                </c:pt>
                <c:pt idx="1933">
                  <c:v>38010</c:v>
                </c:pt>
                <c:pt idx="1934">
                  <c:v>38017</c:v>
                </c:pt>
                <c:pt idx="1935">
                  <c:v>38024</c:v>
                </c:pt>
                <c:pt idx="1936">
                  <c:v>38031</c:v>
                </c:pt>
                <c:pt idx="1937">
                  <c:v>38038</c:v>
                </c:pt>
                <c:pt idx="1938">
                  <c:v>38045</c:v>
                </c:pt>
                <c:pt idx="1939">
                  <c:v>38052</c:v>
                </c:pt>
                <c:pt idx="1940">
                  <c:v>38059</c:v>
                </c:pt>
                <c:pt idx="1941">
                  <c:v>38066</c:v>
                </c:pt>
                <c:pt idx="1942">
                  <c:v>38073</c:v>
                </c:pt>
                <c:pt idx="1943">
                  <c:v>38080</c:v>
                </c:pt>
                <c:pt idx="1944">
                  <c:v>38087</c:v>
                </c:pt>
                <c:pt idx="1945">
                  <c:v>38094</c:v>
                </c:pt>
                <c:pt idx="1946">
                  <c:v>38101</c:v>
                </c:pt>
                <c:pt idx="1947">
                  <c:v>38108</c:v>
                </c:pt>
                <c:pt idx="1948">
                  <c:v>38115</c:v>
                </c:pt>
                <c:pt idx="1949">
                  <c:v>38122</c:v>
                </c:pt>
                <c:pt idx="1950">
                  <c:v>38129</c:v>
                </c:pt>
                <c:pt idx="1951">
                  <c:v>38136</c:v>
                </c:pt>
                <c:pt idx="1952">
                  <c:v>38143</c:v>
                </c:pt>
                <c:pt idx="1953">
                  <c:v>38150</c:v>
                </c:pt>
                <c:pt idx="1954">
                  <c:v>38157</c:v>
                </c:pt>
                <c:pt idx="1955">
                  <c:v>38164</c:v>
                </c:pt>
                <c:pt idx="1956">
                  <c:v>38171</c:v>
                </c:pt>
                <c:pt idx="1957">
                  <c:v>38178</c:v>
                </c:pt>
                <c:pt idx="1958">
                  <c:v>38185</c:v>
                </c:pt>
                <c:pt idx="1959">
                  <c:v>38192</c:v>
                </c:pt>
                <c:pt idx="1960">
                  <c:v>38199</c:v>
                </c:pt>
                <c:pt idx="1961">
                  <c:v>38206</c:v>
                </c:pt>
                <c:pt idx="1962">
                  <c:v>38213</c:v>
                </c:pt>
                <c:pt idx="1963">
                  <c:v>38220</c:v>
                </c:pt>
                <c:pt idx="1964">
                  <c:v>38227</c:v>
                </c:pt>
                <c:pt idx="1965">
                  <c:v>38234</c:v>
                </c:pt>
                <c:pt idx="1966">
                  <c:v>38241</c:v>
                </c:pt>
                <c:pt idx="1967">
                  <c:v>38248</c:v>
                </c:pt>
                <c:pt idx="1968">
                  <c:v>38255</c:v>
                </c:pt>
                <c:pt idx="1969">
                  <c:v>38262</c:v>
                </c:pt>
                <c:pt idx="1970">
                  <c:v>38269</c:v>
                </c:pt>
                <c:pt idx="1971">
                  <c:v>38276</c:v>
                </c:pt>
                <c:pt idx="1972">
                  <c:v>38283</c:v>
                </c:pt>
                <c:pt idx="1973">
                  <c:v>38290</c:v>
                </c:pt>
                <c:pt idx="1974">
                  <c:v>38297</c:v>
                </c:pt>
                <c:pt idx="1975">
                  <c:v>38304</c:v>
                </c:pt>
                <c:pt idx="1976">
                  <c:v>38311</c:v>
                </c:pt>
                <c:pt idx="1977">
                  <c:v>38318</c:v>
                </c:pt>
                <c:pt idx="1978">
                  <c:v>38325</c:v>
                </c:pt>
                <c:pt idx="1979">
                  <c:v>38332</c:v>
                </c:pt>
                <c:pt idx="1980">
                  <c:v>38339</c:v>
                </c:pt>
                <c:pt idx="1981">
                  <c:v>38346</c:v>
                </c:pt>
                <c:pt idx="1982">
                  <c:v>38353</c:v>
                </c:pt>
                <c:pt idx="1983">
                  <c:v>38360</c:v>
                </c:pt>
                <c:pt idx="1984">
                  <c:v>38367</c:v>
                </c:pt>
                <c:pt idx="1985">
                  <c:v>38374</c:v>
                </c:pt>
                <c:pt idx="1986">
                  <c:v>38381</c:v>
                </c:pt>
                <c:pt idx="1987">
                  <c:v>38388</c:v>
                </c:pt>
                <c:pt idx="1988">
                  <c:v>38395</c:v>
                </c:pt>
                <c:pt idx="1989">
                  <c:v>38402</c:v>
                </c:pt>
                <c:pt idx="1990">
                  <c:v>38409</c:v>
                </c:pt>
                <c:pt idx="1991">
                  <c:v>38416</c:v>
                </c:pt>
                <c:pt idx="1992">
                  <c:v>38423</c:v>
                </c:pt>
                <c:pt idx="1993">
                  <c:v>38430</c:v>
                </c:pt>
                <c:pt idx="1994">
                  <c:v>38437</c:v>
                </c:pt>
                <c:pt idx="1995">
                  <c:v>38444</c:v>
                </c:pt>
                <c:pt idx="1996">
                  <c:v>38451</c:v>
                </c:pt>
                <c:pt idx="1997">
                  <c:v>38458</c:v>
                </c:pt>
                <c:pt idx="1998">
                  <c:v>38465</c:v>
                </c:pt>
                <c:pt idx="1999">
                  <c:v>38472</c:v>
                </c:pt>
                <c:pt idx="2000">
                  <c:v>38479</c:v>
                </c:pt>
                <c:pt idx="2001">
                  <c:v>38486</c:v>
                </c:pt>
                <c:pt idx="2002">
                  <c:v>38493</c:v>
                </c:pt>
                <c:pt idx="2003">
                  <c:v>38500</c:v>
                </c:pt>
                <c:pt idx="2004">
                  <c:v>38507</c:v>
                </c:pt>
                <c:pt idx="2005">
                  <c:v>38514</c:v>
                </c:pt>
                <c:pt idx="2006">
                  <c:v>38521</c:v>
                </c:pt>
                <c:pt idx="2007">
                  <c:v>38528</c:v>
                </c:pt>
                <c:pt idx="2008">
                  <c:v>38535</c:v>
                </c:pt>
                <c:pt idx="2009">
                  <c:v>38542</c:v>
                </c:pt>
                <c:pt idx="2010">
                  <c:v>38549</c:v>
                </c:pt>
                <c:pt idx="2011">
                  <c:v>38556</c:v>
                </c:pt>
                <c:pt idx="2012">
                  <c:v>38563</c:v>
                </c:pt>
                <c:pt idx="2013">
                  <c:v>38570</c:v>
                </c:pt>
                <c:pt idx="2014">
                  <c:v>38577</c:v>
                </c:pt>
                <c:pt idx="2015">
                  <c:v>38584</c:v>
                </c:pt>
                <c:pt idx="2016">
                  <c:v>38591</c:v>
                </c:pt>
                <c:pt idx="2017">
                  <c:v>38598</c:v>
                </c:pt>
                <c:pt idx="2018">
                  <c:v>38605</c:v>
                </c:pt>
                <c:pt idx="2019">
                  <c:v>38612</c:v>
                </c:pt>
                <c:pt idx="2020">
                  <c:v>38619</c:v>
                </c:pt>
                <c:pt idx="2021">
                  <c:v>38626</c:v>
                </c:pt>
                <c:pt idx="2022">
                  <c:v>38633</c:v>
                </c:pt>
                <c:pt idx="2023">
                  <c:v>38640</c:v>
                </c:pt>
                <c:pt idx="2024">
                  <c:v>38647</c:v>
                </c:pt>
                <c:pt idx="2025">
                  <c:v>38654</c:v>
                </c:pt>
                <c:pt idx="2026">
                  <c:v>38661</c:v>
                </c:pt>
                <c:pt idx="2027">
                  <c:v>38668</c:v>
                </c:pt>
                <c:pt idx="2028">
                  <c:v>38675</c:v>
                </c:pt>
                <c:pt idx="2029">
                  <c:v>38682</c:v>
                </c:pt>
                <c:pt idx="2030">
                  <c:v>38689</c:v>
                </c:pt>
                <c:pt idx="2031">
                  <c:v>38696</c:v>
                </c:pt>
                <c:pt idx="2032">
                  <c:v>38703</c:v>
                </c:pt>
                <c:pt idx="2033">
                  <c:v>38710</c:v>
                </c:pt>
                <c:pt idx="2034">
                  <c:v>38717</c:v>
                </c:pt>
                <c:pt idx="2035">
                  <c:v>38724</c:v>
                </c:pt>
                <c:pt idx="2036">
                  <c:v>38731</c:v>
                </c:pt>
                <c:pt idx="2037">
                  <c:v>38738</c:v>
                </c:pt>
                <c:pt idx="2038">
                  <c:v>38745</c:v>
                </c:pt>
                <c:pt idx="2039">
                  <c:v>38752</c:v>
                </c:pt>
                <c:pt idx="2040">
                  <c:v>38759</c:v>
                </c:pt>
                <c:pt idx="2041">
                  <c:v>38766</c:v>
                </c:pt>
                <c:pt idx="2042">
                  <c:v>38773</c:v>
                </c:pt>
                <c:pt idx="2043">
                  <c:v>38780</c:v>
                </c:pt>
                <c:pt idx="2044">
                  <c:v>38787</c:v>
                </c:pt>
                <c:pt idx="2045">
                  <c:v>38794</c:v>
                </c:pt>
                <c:pt idx="2046">
                  <c:v>38801</c:v>
                </c:pt>
                <c:pt idx="2047">
                  <c:v>38808</c:v>
                </c:pt>
                <c:pt idx="2048">
                  <c:v>38815</c:v>
                </c:pt>
                <c:pt idx="2049">
                  <c:v>38822</c:v>
                </c:pt>
                <c:pt idx="2050">
                  <c:v>38829</c:v>
                </c:pt>
                <c:pt idx="2051">
                  <c:v>38836</c:v>
                </c:pt>
                <c:pt idx="2052">
                  <c:v>38843</c:v>
                </c:pt>
                <c:pt idx="2053">
                  <c:v>38850</c:v>
                </c:pt>
                <c:pt idx="2054">
                  <c:v>38857</c:v>
                </c:pt>
                <c:pt idx="2055">
                  <c:v>38864</c:v>
                </c:pt>
                <c:pt idx="2056">
                  <c:v>38871</c:v>
                </c:pt>
                <c:pt idx="2057">
                  <c:v>38878</c:v>
                </c:pt>
                <c:pt idx="2058">
                  <c:v>38885</c:v>
                </c:pt>
                <c:pt idx="2059">
                  <c:v>38892</c:v>
                </c:pt>
                <c:pt idx="2060">
                  <c:v>38899</c:v>
                </c:pt>
                <c:pt idx="2061">
                  <c:v>38906</c:v>
                </c:pt>
                <c:pt idx="2062">
                  <c:v>38913</c:v>
                </c:pt>
                <c:pt idx="2063">
                  <c:v>38920</c:v>
                </c:pt>
                <c:pt idx="2064">
                  <c:v>38927</c:v>
                </c:pt>
                <c:pt idx="2065">
                  <c:v>38934</c:v>
                </c:pt>
                <c:pt idx="2066">
                  <c:v>38941</c:v>
                </c:pt>
                <c:pt idx="2067">
                  <c:v>38948</c:v>
                </c:pt>
                <c:pt idx="2068">
                  <c:v>38955</c:v>
                </c:pt>
                <c:pt idx="2069">
                  <c:v>38962</c:v>
                </c:pt>
                <c:pt idx="2070">
                  <c:v>38969</c:v>
                </c:pt>
                <c:pt idx="2071">
                  <c:v>38976</c:v>
                </c:pt>
                <c:pt idx="2072">
                  <c:v>38983</c:v>
                </c:pt>
                <c:pt idx="2073">
                  <c:v>38990</c:v>
                </c:pt>
                <c:pt idx="2074">
                  <c:v>38997</c:v>
                </c:pt>
                <c:pt idx="2075">
                  <c:v>39004</c:v>
                </c:pt>
                <c:pt idx="2076">
                  <c:v>39011</c:v>
                </c:pt>
                <c:pt idx="2077">
                  <c:v>39018</c:v>
                </c:pt>
                <c:pt idx="2078">
                  <c:v>39025</c:v>
                </c:pt>
                <c:pt idx="2079">
                  <c:v>39032</c:v>
                </c:pt>
                <c:pt idx="2080">
                  <c:v>39039</c:v>
                </c:pt>
                <c:pt idx="2081">
                  <c:v>39046</c:v>
                </c:pt>
                <c:pt idx="2082">
                  <c:v>39053</c:v>
                </c:pt>
                <c:pt idx="2083">
                  <c:v>39060</c:v>
                </c:pt>
                <c:pt idx="2084">
                  <c:v>39067</c:v>
                </c:pt>
                <c:pt idx="2085">
                  <c:v>39074</c:v>
                </c:pt>
                <c:pt idx="2086">
                  <c:v>39081</c:v>
                </c:pt>
                <c:pt idx="2087">
                  <c:v>39088</c:v>
                </c:pt>
                <c:pt idx="2088">
                  <c:v>39095</c:v>
                </c:pt>
                <c:pt idx="2089">
                  <c:v>39102</c:v>
                </c:pt>
                <c:pt idx="2090">
                  <c:v>39109</c:v>
                </c:pt>
                <c:pt idx="2091">
                  <c:v>39116</c:v>
                </c:pt>
                <c:pt idx="2092">
                  <c:v>39123</c:v>
                </c:pt>
                <c:pt idx="2093">
                  <c:v>39130</c:v>
                </c:pt>
                <c:pt idx="2094">
                  <c:v>39137</c:v>
                </c:pt>
                <c:pt idx="2095">
                  <c:v>39144</c:v>
                </c:pt>
                <c:pt idx="2096">
                  <c:v>39151</c:v>
                </c:pt>
                <c:pt idx="2097">
                  <c:v>39158</c:v>
                </c:pt>
                <c:pt idx="2098">
                  <c:v>39165</c:v>
                </c:pt>
                <c:pt idx="2099">
                  <c:v>39172</c:v>
                </c:pt>
                <c:pt idx="2100">
                  <c:v>39179</c:v>
                </c:pt>
                <c:pt idx="2101">
                  <c:v>39186</c:v>
                </c:pt>
                <c:pt idx="2102">
                  <c:v>39193</c:v>
                </c:pt>
                <c:pt idx="2103">
                  <c:v>39200</c:v>
                </c:pt>
                <c:pt idx="2104">
                  <c:v>39207</c:v>
                </c:pt>
                <c:pt idx="2105">
                  <c:v>39214</c:v>
                </c:pt>
                <c:pt idx="2106">
                  <c:v>39221</c:v>
                </c:pt>
                <c:pt idx="2107">
                  <c:v>39228</c:v>
                </c:pt>
                <c:pt idx="2108">
                  <c:v>39235</c:v>
                </c:pt>
                <c:pt idx="2109">
                  <c:v>39242</c:v>
                </c:pt>
                <c:pt idx="2110">
                  <c:v>39249</c:v>
                </c:pt>
                <c:pt idx="2111">
                  <c:v>39256</c:v>
                </c:pt>
                <c:pt idx="2112">
                  <c:v>39263</c:v>
                </c:pt>
                <c:pt idx="2113">
                  <c:v>39270</c:v>
                </c:pt>
                <c:pt idx="2114">
                  <c:v>39277</c:v>
                </c:pt>
                <c:pt idx="2115">
                  <c:v>39284</c:v>
                </c:pt>
                <c:pt idx="2116">
                  <c:v>39291</c:v>
                </c:pt>
                <c:pt idx="2117">
                  <c:v>39298</c:v>
                </c:pt>
                <c:pt idx="2118">
                  <c:v>39305</c:v>
                </c:pt>
                <c:pt idx="2119">
                  <c:v>39312</c:v>
                </c:pt>
                <c:pt idx="2120">
                  <c:v>39319</c:v>
                </c:pt>
                <c:pt idx="2121">
                  <c:v>39326</c:v>
                </c:pt>
                <c:pt idx="2122">
                  <c:v>39333</c:v>
                </c:pt>
                <c:pt idx="2123">
                  <c:v>39340</c:v>
                </c:pt>
                <c:pt idx="2124">
                  <c:v>39347</c:v>
                </c:pt>
                <c:pt idx="2125">
                  <c:v>39354</c:v>
                </c:pt>
                <c:pt idx="2126">
                  <c:v>39361</c:v>
                </c:pt>
                <c:pt idx="2127">
                  <c:v>39368</c:v>
                </c:pt>
                <c:pt idx="2128">
                  <c:v>39375</c:v>
                </c:pt>
                <c:pt idx="2129">
                  <c:v>39382</c:v>
                </c:pt>
                <c:pt idx="2130">
                  <c:v>39389</c:v>
                </c:pt>
                <c:pt idx="2131">
                  <c:v>39396</c:v>
                </c:pt>
                <c:pt idx="2132">
                  <c:v>39403</c:v>
                </c:pt>
                <c:pt idx="2133">
                  <c:v>39410</c:v>
                </c:pt>
                <c:pt idx="2134">
                  <c:v>39417</c:v>
                </c:pt>
                <c:pt idx="2135">
                  <c:v>39424</c:v>
                </c:pt>
                <c:pt idx="2136">
                  <c:v>39431</c:v>
                </c:pt>
                <c:pt idx="2137">
                  <c:v>39438</c:v>
                </c:pt>
                <c:pt idx="2138">
                  <c:v>39445</c:v>
                </c:pt>
                <c:pt idx="2139">
                  <c:v>39452</c:v>
                </c:pt>
                <c:pt idx="2140">
                  <c:v>39459</c:v>
                </c:pt>
                <c:pt idx="2141">
                  <c:v>39466</c:v>
                </c:pt>
                <c:pt idx="2142">
                  <c:v>39473</c:v>
                </c:pt>
                <c:pt idx="2143">
                  <c:v>39480</c:v>
                </c:pt>
                <c:pt idx="2144">
                  <c:v>39487</c:v>
                </c:pt>
                <c:pt idx="2145">
                  <c:v>39494</c:v>
                </c:pt>
                <c:pt idx="2146">
                  <c:v>39501</c:v>
                </c:pt>
                <c:pt idx="2147">
                  <c:v>39508</c:v>
                </c:pt>
                <c:pt idx="2148">
                  <c:v>39515</c:v>
                </c:pt>
                <c:pt idx="2149">
                  <c:v>39522</c:v>
                </c:pt>
                <c:pt idx="2150">
                  <c:v>39529</c:v>
                </c:pt>
                <c:pt idx="2151">
                  <c:v>39536</c:v>
                </c:pt>
                <c:pt idx="2152">
                  <c:v>39543</c:v>
                </c:pt>
                <c:pt idx="2153">
                  <c:v>39550</c:v>
                </c:pt>
                <c:pt idx="2154">
                  <c:v>39557</c:v>
                </c:pt>
                <c:pt idx="2155">
                  <c:v>39564</c:v>
                </c:pt>
                <c:pt idx="2156">
                  <c:v>39571</c:v>
                </c:pt>
                <c:pt idx="2157">
                  <c:v>39578</c:v>
                </c:pt>
                <c:pt idx="2158">
                  <c:v>39585</c:v>
                </c:pt>
                <c:pt idx="2159">
                  <c:v>39592</c:v>
                </c:pt>
                <c:pt idx="2160">
                  <c:v>39599</c:v>
                </c:pt>
                <c:pt idx="2161">
                  <c:v>39606</c:v>
                </c:pt>
                <c:pt idx="2162">
                  <c:v>39613</c:v>
                </c:pt>
                <c:pt idx="2163">
                  <c:v>39620</c:v>
                </c:pt>
                <c:pt idx="2164">
                  <c:v>39627</c:v>
                </c:pt>
                <c:pt idx="2165">
                  <c:v>39634</c:v>
                </c:pt>
                <c:pt idx="2166">
                  <c:v>39641</c:v>
                </c:pt>
                <c:pt idx="2167">
                  <c:v>39648</c:v>
                </c:pt>
                <c:pt idx="2168">
                  <c:v>39655</c:v>
                </c:pt>
                <c:pt idx="2169">
                  <c:v>39662</c:v>
                </c:pt>
                <c:pt idx="2170">
                  <c:v>39669</c:v>
                </c:pt>
                <c:pt idx="2171">
                  <c:v>39676</c:v>
                </c:pt>
                <c:pt idx="2172">
                  <c:v>39683</c:v>
                </c:pt>
                <c:pt idx="2173">
                  <c:v>39690</c:v>
                </c:pt>
                <c:pt idx="2174">
                  <c:v>39697</c:v>
                </c:pt>
                <c:pt idx="2175">
                  <c:v>39704</c:v>
                </c:pt>
                <c:pt idx="2176">
                  <c:v>39711</c:v>
                </c:pt>
                <c:pt idx="2177">
                  <c:v>39718</c:v>
                </c:pt>
                <c:pt idx="2178">
                  <c:v>39725</c:v>
                </c:pt>
                <c:pt idx="2179">
                  <c:v>39732</c:v>
                </c:pt>
                <c:pt idx="2180">
                  <c:v>39739</c:v>
                </c:pt>
                <c:pt idx="2181">
                  <c:v>39746</c:v>
                </c:pt>
                <c:pt idx="2182">
                  <c:v>39753</c:v>
                </c:pt>
                <c:pt idx="2183">
                  <c:v>39760</c:v>
                </c:pt>
                <c:pt idx="2184">
                  <c:v>39767</c:v>
                </c:pt>
                <c:pt idx="2185">
                  <c:v>39774</c:v>
                </c:pt>
                <c:pt idx="2186">
                  <c:v>39781</c:v>
                </c:pt>
                <c:pt idx="2187">
                  <c:v>39788</c:v>
                </c:pt>
                <c:pt idx="2188">
                  <c:v>39795</c:v>
                </c:pt>
                <c:pt idx="2189">
                  <c:v>39802</c:v>
                </c:pt>
                <c:pt idx="2190">
                  <c:v>39809</c:v>
                </c:pt>
                <c:pt idx="2191">
                  <c:v>39816</c:v>
                </c:pt>
                <c:pt idx="2192">
                  <c:v>39823</c:v>
                </c:pt>
                <c:pt idx="2193">
                  <c:v>39830</c:v>
                </c:pt>
                <c:pt idx="2194">
                  <c:v>39837</c:v>
                </c:pt>
                <c:pt idx="2195">
                  <c:v>39844</c:v>
                </c:pt>
                <c:pt idx="2196">
                  <c:v>39851</c:v>
                </c:pt>
                <c:pt idx="2197">
                  <c:v>39858</c:v>
                </c:pt>
                <c:pt idx="2198">
                  <c:v>39865</c:v>
                </c:pt>
                <c:pt idx="2199">
                  <c:v>39872</c:v>
                </c:pt>
                <c:pt idx="2200">
                  <c:v>39879</c:v>
                </c:pt>
                <c:pt idx="2201">
                  <c:v>39886</c:v>
                </c:pt>
                <c:pt idx="2202">
                  <c:v>39893</c:v>
                </c:pt>
                <c:pt idx="2203">
                  <c:v>39900</c:v>
                </c:pt>
                <c:pt idx="2204">
                  <c:v>39907</c:v>
                </c:pt>
                <c:pt idx="2205">
                  <c:v>39914</c:v>
                </c:pt>
                <c:pt idx="2206">
                  <c:v>39921</c:v>
                </c:pt>
                <c:pt idx="2207">
                  <c:v>39928</c:v>
                </c:pt>
                <c:pt idx="2208">
                  <c:v>39935</c:v>
                </c:pt>
                <c:pt idx="2209">
                  <c:v>39942</c:v>
                </c:pt>
                <c:pt idx="2210">
                  <c:v>39949</c:v>
                </c:pt>
                <c:pt idx="2211">
                  <c:v>39956</c:v>
                </c:pt>
                <c:pt idx="2212">
                  <c:v>39963</c:v>
                </c:pt>
                <c:pt idx="2213">
                  <c:v>39970</c:v>
                </c:pt>
                <c:pt idx="2214">
                  <c:v>39977</c:v>
                </c:pt>
                <c:pt idx="2215">
                  <c:v>39984</c:v>
                </c:pt>
                <c:pt idx="2216">
                  <c:v>39991</c:v>
                </c:pt>
                <c:pt idx="2217">
                  <c:v>39998</c:v>
                </c:pt>
                <c:pt idx="2218">
                  <c:v>40005</c:v>
                </c:pt>
                <c:pt idx="2219">
                  <c:v>40012</c:v>
                </c:pt>
                <c:pt idx="2220">
                  <c:v>40019</c:v>
                </c:pt>
                <c:pt idx="2221">
                  <c:v>40026</c:v>
                </c:pt>
                <c:pt idx="2222">
                  <c:v>40033</c:v>
                </c:pt>
                <c:pt idx="2223">
                  <c:v>40040</c:v>
                </c:pt>
                <c:pt idx="2224">
                  <c:v>40047</c:v>
                </c:pt>
                <c:pt idx="2225">
                  <c:v>40054</c:v>
                </c:pt>
                <c:pt idx="2226">
                  <c:v>40061</c:v>
                </c:pt>
                <c:pt idx="2227">
                  <c:v>40068</c:v>
                </c:pt>
                <c:pt idx="2228">
                  <c:v>40075</c:v>
                </c:pt>
                <c:pt idx="2229">
                  <c:v>40082</c:v>
                </c:pt>
                <c:pt idx="2230">
                  <c:v>40089</c:v>
                </c:pt>
                <c:pt idx="2231">
                  <c:v>40096</c:v>
                </c:pt>
                <c:pt idx="2232">
                  <c:v>40103</c:v>
                </c:pt>
                <c:pt idx="2233">
                  <c:v>40110</c:v>
                </c:pt>
                <c:pt idx="2234">
                  <c:v>40117</c:v>
                </c:pt>
                <c:pt idx="2235">
                  <c:v>40124</c:v>
                </c:pt>
                <c:pt idx="2236">
                  <c:v>40131</c:v>
                </c:pt>
                <c:pt idx="2237">
                  <c:v>40138</c:v>
                </c:pt>
                <c:pt idx="2238">
                  <c:v>40145</c:v>
                </c:pt>
                <c:pt idx="2239">
                  <c:v>40152</c:v>
                </c:pt>
                <c:pt idx="2240">
                  <c:v>40159</c:v>
                </c:pt>
                <c:pt idx="2241">
                  <c:v>40166</c:v>
                </c:pt>
                <c:pt idx="2242">
                  <c:v>40173</c:v>
                </c:pt>
                <c:pt idx="2243">
                  <c:v>40180</c:v>
                </c:pt>
                <c:pt idx="2244">
                  <c:v>40187</c:v>
                </c:pt>
                <c:pt idx="2245">
                  <c:v>40194</c:v>
                </c:pt>
                <c:pt idx="2246">
                  <c:v>40201</c:v>
                </c:pt>
                <c:pt idx="2247">
                  <c:v>40208</c:v>
                </c:pt>
                <c:pt idx="2248">
                  <c:v>40215</c:v>
                </c:pt>
                <c:pt idx="2249">
                  <c:v>40222</c:v>
                </c:pt>
                <c:pt idx="2250">
                  <c:v>40229</c:v>
                </c:pt>
                <c:pt idx="2251">
                  <c:v>40236</c:v>
                </c:pt>
                <c:pt idx="2252">
                  <c:v>40243</c:v>
                </c:pt>
                <c:pt idx="2253">
                  <c:v>40250</c:v>
                </c:pt>
                <c:pt idx="2254">
                  <c:v>40257</c:v>
                </c:pt>
                <c:pt idx="2255">
                  <c:v>40264</c:v>
                </c:pt>
                <c:pt idx="2256">
                  <c:v>40271</c:v>
                </c:pt>
                <c:pt idx="2257">
                  <c:v>40278</c:v>
                </c:pt>
                <c:pt idx="2258">
                  <c:v>40285</c:v>
                </c:pt>
                <c:pt idx="2259">
                  <c:v>40292</c:v>
                </c:pt>
                <c:pt idx="2260">
                  <c:v>40299</c:v>
                </c:pt>
                <c:pt idx="2261">
                  <c:v>40306</c:v>
                </c:pt>
                <c:pt idx="2262">
                  <c:v>40313</c:v>
                </c:pt>
                <c:pt idx="2263">
                  <c:v>40320</c:v>
                </c:pt>
                <c:pt idx="2264">
                  <c:v>40327</c:v>
                </c:pt>
                <c:pt idx="2265">
                  <c:v>40334</c:v>
                </c:pt>
                <c:pt idx="2266">
                  <c:v>40341</c:v>
                </c:pt>
                <c:pt idx="2267">
                  <c:v>40348</c:v>
                </c:pt>
                <c:pt idx="2268">
                  <c:v>40355</c:v>
                </c:pt>
                <c:pt idx="2269">
                  <c:v>40362</c:v>
                </c:pt>
                <c:pt idx="2270">
                  <c:v>40369</c:v>
                </c:pt>
                <c:pt idx="2271">
                  <c:v>40376</c:v>
                </c:pt>
                <c:pt idx="2272">
                  <c:v>40383</c:v>
                </c:pt>
                <c:pt idx="2273">
                  <c:v>40390</c:v>
                </c:pt>
                <c:pt idx="2274">
                  <c:v>40397</c:v>
                </c:pt>
                <c:pt idx="2275">
                  <c:v>40404</c:v>
                </c:pt>
                <c:pt idx="2276">
                  <c:v>40411</c:v>
                </c:pt>
                <c:pt idx="2277">
                  <c:v>40418</c:v>
                </c:pt>
                <c:pt idx="2278">
                  <c:v>40425</c:v>
                </c:pt>
                <c:pt idx="2279">
                  <c:v>40432</c:v>
                </c:pt>
                <c:pt idx="2280">
                  <c:v>40439</c:v>
                </c:pt>
                <c:pt idx="2281">
                  <c:v>40446</c:v>
                </c:pt>
                <c:pt idx="2282">
                  <c:v>40453</c:v>
                </c:pt>
                <c:pt idx="2283">
                  <c:v>40460</c:v>
                </c:pt>
                <c:pt idx="2284">
                  <c:v>40467</c:v>
                </c:pt>
                <c:pt idx="2285">
                  <c:v>40474</c:v>
                </c:pt>
                <c:pt idx="2286">
                  <c:v>40481</c:v>
                </c:pt>
                <c:pt idx="2287">
                  <c:v>40488</c:v>
                </c:pt>
                <c:pt idx="2288">
                  <c:v>40495</c:v>
                </c:pt>
                <c:pt idx="2289">
                  <c:v>40502</c:v>
                </c:pt>
                <c:pt idx="2290">
                  <c:v>40509</c:v>
                </c:pt>
                <c:pt idx="2291">
                  <c:v>40516</c:v>
                </c:pt>
                <c:pt idx="2292">
                  <c:v>40523</c:v>
                </c:pt>
                <c:pt idx="2293">
                  <c:v>40530</c:v>
                </c:pt>
                <c:pt idx="2294">
                  <c:v>40537</c:v>
                </c:pt>
                <c:pt idx="2295">
                  <c:v>40544</c:v>
                </c:pt>
                <c:pt idx="2296">
                  <c:v>40551</c:v>
                </c:pt>
                <c:pt idx="2297">
                  <c:v>40558</c:v>
                </c:pt>
                <c:pt idx="2298">
                  <c:v>40565</c:v>
                </c:pt>
                <c:pt idx="2299">
                  <c:v>40572</c:v>
                </c:pt>
                <c:pt idx="2300">
                  <c:v>40579</c:v>
                </c:pt>
                <c:pt idx="2301">
                  <c:v>40586</c:v>
                </c:pt>
                <c:pt idx="2302">
                  <c:v>40593</c:v>
                </c:pt>
                <c:pt idx="2303">
                  <c:v>40600</c:v>
                </c:pt>
                <c:pt idx="2304">
                  <c:v>40607</c:v>
                </c:pt>
                <c:pt idx="2305">
                  <c:v>40614</c:v>
                </c:pt>
                <c:pt idx="2306">
                  <c:v>40621</c:v>
                </c:pt>
                <c:pt idx="2307">
                  <c:v>40628</c:v>
                </c:pt>
                <c:pt idx="2308">
                  <c:v>40635</c:v>
                </c:pt>
                <c:pt idx="2309">
                  <c:v>40642</c:v>
                </c:pt>
                <c:pt idx="2310">
                  <c:v>40649</c:v>
                </c:pt>
                <c:pt idx="2311">
                  <c:v>40656</c:v>
                </c:pt>
                <c:pt idx="2312">
                  <c:v>40663</c:v>
                </c:pt>
                <c:pt idx="2313">
                  <c:v>40670</c:v>
                </c:pt>
                <c:pt idx="2314">
                  <c:v>40677</c:v>
                </c:pt>
                <c:pt idx="2315">
                  <c:v>40684</c:v>
                </c:pt>
                <c:pt idx="2316">
                  <c:v>40691</c:v>
                </c:pt>
                <c:pt idx="2317">
                  <c:v>40698</c:v>
                </c:pt>
                <c:pt idx="2318">
                  <c:v>40705</c:v>
                </c:pt>
                <c:pt idx="2319">
                  <c:v>40712</c:v>
                </c:pt>
                <c:pt idx="2320">
                  <c:v>40719</c:v>
                </c:pt>
                <c:pt idx="2321">
                  <c:v>40726</c:v>
                </c:pt>
                <c:pt idx="2322">
                  <c:v>40733</c:v>
                </c:pt>
                <c:pt idx="2323">
                  <c:v>40740</c:v>
                </c:pt>
                <c:pt idx="2324">
                  <c:v>40747</c:v>
                </c:pt>
                <c:pt idx="2325">
                  <c:v>40754</c:v>
                </c:pt>
                <c:pt idx="2326">
                  <c:v>40761</c:v>
                </c:pt>
                <c:pt idx="2327">
                  <c:v>40768</c:v>
                </c:pt>
                <c:pt idx="2328">
                  <c:v>40775</c:v>
                </c:pt>
                <c:pt idx="2329">
                  <c:v>40782</c:v>
                </c:pt>
                <c:pt idx="2330">
                  <c:v>40789</c:v>
                </c:pt>
                <c:pt idx="2331">
                  <c:v>40796</c:v>
                </c:pt>
                <c:pt idx="2332">
                  <c:v>40803</c:v>
                </c:pt>
                <c:pt idx="2333">
                  <c:v>40810</c:v>
                </c:pt>
                <c:pt idx="2334">
                  <c:v>40817</c:v>
                </c:pt>
                <c:pt idx="2335">
                  <c:v>40824</c:v>
                </c:pt>
                <c:pt idx="2336">
                  <c:v>40831</c:v>
                </c:pt>
                <c:pt idx="2337">
                  <c:v>40838</c:v>
                </c:pt>
                <c:pt idx="2338">
                  <c:v>40845</c:v>
                </c:pt>
                <c:pt idx="2339">
                  <c:v>40852</c:v>
                </c:pt>
                <c:pt idx="2340">
                  <c:v>40859</c:v>
                </c:pt>
                <c:pt idx="2341">
                  <c:v>40866</c:v>
                </c:pt>
                <c:pt idx="2342">
                  <c:v>40873</c:v>
                </c:pt>
                <c:pt idx="2343">
                  <c:v>40880</c:v>
                </c:pt>
                <c:pt idx="2344">
                  <c:v>40887</c:v>
                </c:pt>
                <c:pt idx="2345">
                  <c:v>40894</c:v>
                </c:pt>
                <c:pt idx="2346">
                  <c:v>40901</c:v>
                </c:pt>
                <c:pt idx="2347">
                  <c:v>40908</c:v>
                </c:pt>
                <c:pt idx="2348">
                  <c:v>40915</c:v>
                </c:pt>
                <c:pt idx="2349">
                  <c:v>40922</c:v>
                </c:pt>
                <c:pt idx="2350">
                  <c:v>40929</c:v>
                </c:pt>
                <c:pt idx="2351">
                  <c:v>40936</c:v>
                </c:pt>
                <c:pt idx="2352">
                  <c:v>40943</c:v>
                </c:pt>
                <c:pt idx="2353">
                  <c:v>40950</c:v>
                </c:pt>
                <c:pt idx="2354">
                  <c:v>40957</c:v>
                </c:pt>
                <c:pt idx="2355">
                  <c:v>40964</c:v>
                </c:pt>
                <c:pt idx="2356">
                  <c:v>40971</c:v>
                </c:pt>
                <c:pt idx="2357">
                  <c:v>40978</c:v>
                </c:pt>
                <c:pt idx="2358">
                  <c:v>40985</c:v>
                </c:pt>
                <c:pt idx="2359">
                  <c:v>40992</c:v>
                </c:pt>
                <c:pt idx="2360">
                  <c:v>40999</c:v>
                </c:pt>
                <c:pt idx="2361">
                  <c:v>41006</c:v>
                </c:pt>
                <c:pt idx="2362">
                  <c:v>41013</c:v>
                </c:pt>
                <c:pt idx="2363">
                  <c:v>41020</c:v>
                </c:pt>
                <c:pt idx="2364">
                  <c:v>41027</c:v>
                </c:pt>
                <c:pt idx="2365">
                  <c:v>41034</c:v>
                </c:pt>
                <c:pt idx="2366">
                  <c:v>41041</c:v>
                </c:pt>
                <c:pt idx="2367">
                  <c:v>41048</c:v>
                </c:pt>
                <c:pt idx="2368">
                  <c:v>41055</c:v>
                </c:pt>
                <c:pt idx="2369">
                  <c:v>41062</c:v>
                </c:pt>
                <c:pt idx="2370">
                  <c:v>41069</c:v>
                </c:pt>
                <c:pt idx="2371">
                  <c:v>41076</c:v>
                </c:pt>
                <c:pt idx="2372">
                  <c:v>41083</c:v>
                </c:pt>
                <c:pt idx="2373">
                  <c:v>41090</c:v>
                </c:pt>
                <c:pt idx="2374">
                  <c:v>41097</c:v>
                </c:pt>
                <c:pt idx="2375">
                  <c:v>41104</c:v>
                </c:pt>
                <c:pt idx="2376">
                  <c:v>41111</c:v>
                </c:pt>
                <c:pt idx="2377">
                  <c:v>41118</c:v>
                </c:pt>
                <c:pt idx="2378">
                  <c:v>41125</c:v>
                </c:pt>
                <c:pt idx="2379">
                  <c:v>41132</c:v>
                </c:pt>
                <c:pt idx="2380">
                  <c:v>41139</c:v>
                </c:pt>
                <c:pt idx="2381">
                  <c:v>41146</c:v>
                </c:pt>
                <c:pt idx="2382">
                  <c:v>41153</c:v>
                </c:pt>
                <c:pt idx="2383">
                  <c:v>41160</c:v>
                </c:pt>
                <c:pt idx="2384">
                  <c:v>41167</c:v>
                </c:pt>
                <c:pt idx="2385">
                  <c:v>41174</c:v>
                </c:pt>
                <c:pt idx="2386">
                  <c:v>41181</c:v>
                </c:pt>
                <c:pt idx="2387">
                  <c:v>41188</c:v>
                </c:pt>
                <c:pt idx="2388">
                  <c:v>41195</c:v>
                </c:pt>
                <c:pt idx="2389">
                  <c:v>41202</c:v>
                </c:pt>
                <c:pt idx="2390">
                  <c:v>41209</c:v>
                </c:pt>
                <c:pt idx="2391">
                  <c:v>41216</c:v>
                </c:pt>
                <c:pt idx="2392">
                  <c:v>41223</c:v>
                </c:pt>
                <c:pt idx="2393">
                  <c:v>41230</c:v>
                </c:pt>
                <c:pt idx="2394">
                  <c:v>41237</c:v>
                </c:pt>
                <c:pt idx="2395">
                  <c:v>41244</c:v>
                </c:pt>
                <c:pt idx="2396">
                  <c:v>41251</c:v>
                </c:pt>
                <c:pt idx="2397">
                  <c:v>41258</c:v>
                </c:pt>
                <c:pt idx="2398">
                  <c:v>41265</c:v>
                </c:pt>
                <c:pt idx="2399">
                  <c:v>41272</c:v>
                </c:pt>
                <c:pt idx="2400">
                  <c:v>41279</c:v>
                </c:pt>
                <c:pt idx="2401">
                  <c:v>41286</c:v>
                </c:pt>
                <c:pt idx="2402">
                  <c:v>41293</c:v>
                </c:pt>
                <c:pt idx="2403">
                  <c:v>41300</c:v>
                </c:pt>
                <c:pt idx="2404">
                  <c:v>41307</c:v>
                </c:pt>
                <c:pt idx="2405">
                  <c:v>41314</c:v>
                </c:pt>
                <c:pt idx="2406">
                  <c:v>41321</c:v>
                </c:pt>
                <c:pt idx="2407">
                  <c:v>41328</c:v>
                </c:pt>
                <c:pt idx="2408">
                  <c:v>41335</c:v>
                </c:pt>
                <c:pt idx="2409">
                  <c:v>41342</c:v>
                </c:pt>
                <c:pt idx="2410">
                  <c:v>41349</c:v>
                </c:pt>
                <c:pt idx="2411">
                  <c:v>41356</c:v>
                </c:pt>
                <c:pt idx="2412">
                  <c:v>41363</c:v>
                </c:pt>
                <c:pt idx="2413">
                  <c:v>41370</c:v>
                </c:pt>
                <c:pt idx="2414">
                  <c:v>41377</c:v>
                </c:pt>
                <c:pt idx="2415">
                  <c:v>41384</c:v>
                </c:pt>
                <c:pt idx="2416">
                  <c:v>41391</c:v>
                </c:pt>
                <c:pt idx="2417">
                  <c:v>41398</c:v>
                </c:pt>
                <c:pt idx="2418">
                  <c:v>41405</c:v>
                </c:pt>
                <c:pt idx="2419">
                  <c:v>41412</c:v>
                </c:pt>
                <c:pt idx="2420">
                  <c:v>41419</c:v>
                </c:pt>
                <c:pt idx="2421">
                  <c:v>41426</c:v>
                </c:pt>
                <c:pt idx="2422">
                  <c:v>41433</c:v>
                </c:pt>
                <c:pt idx="2423">
                  <c:v>41440</c:v>
                </c:pt>
                <c:pt idx="2424">
                  <c:v>41447</c:v>
                </c:pt>
                <c:pt idx="2425">
                  <c:v>41454</c:v>
                </c:pt>
                <c:pt idx="2426">
                  <c:v>41461</c:v>
                </c:pt>
                <c:pt idx="2427">
                  <c:v>41468</c:v>
                </c:pt>
                <c:pt idx="2428">
                  <c:v>41475</c:v>
                </c:pt>
                <c:pt idx="2429">
                  <c:v>41482</c:v>
                </c:pt>
                <c:pt idx="2430">
                  <c:v>41489</c:v>
                </c:pt>
                <c:pt idx="2431">
                  <c:v>41496</c:v>
                </c:pt>
                <c:pt idx="2432">
                  <c:v>41503</c:v>
                </c:pt>
                <c:pt idx="2433">
                  <c:v>41510</c:v>
                </c:pt>
                <c:pt idx="2434">
                  <c:v>41517</c:v>
                </c:pt>
                <c:pt idx="2435">
                  <c:v>41524</c:v>
                </c:pt>
                <c:pt idx="2436">
                  <c:v>41531</c:v>
                </c:pt>
                <c:pt idx="2437">
                  <c:v>41538</c:v>
                </c:pt>
                <c:pt idx="2438">
                  <c:v>41545</c:v>
                </c:pt>
                <c:pt idx="2439">
                  <c:v>41552</c:v>
                </c:pt>
                <c:pt idx="2440">
                  <c:v>41559</c:v>
                </c:pt>
                <c:pt idx="2441">
                  <c:v>41566</c:v>
                </c:pt>
                <c:pt idx="2442">
                  <c:v>41573</c:v>
                </c:pt>
                <c:pt idx="2443">
                  <c:v>41580</c:v>
                </c:pt>
                <c:pt idx="2444">
                  <c:v>41587</c:v>
                </c:pt>
                <c:pt idx="2445">
                  <c:v>41594</c:v>
                </c:pt>
                <c:pt idx="2446">
                  <c:v>41601</c:v>
                </c:pt>
                <c:pt idx="2447">
                  <c:v>41608</c:v>
                </c:pt>
                <c:pt idx="2448">
                  <c:v>41615</c:v>
                </c:pt>
                <c:pt idx="2449">
                  <c:v>41622</c:v>
                </c:pt>
                <c:pt idx="2450">
                  <c:v>41629</c:v>
                </c:pt>
                <c:pt idx="2451">
                  <c:v>41636</c:v>
                </c:pt>
                <c:pt idx="2452">
                  <c:v>41643</c:v>
                </c:pt>
                <c:pt idx="2453">
                  <c:v>41650</c:v>
                </c:pt>
                <c:pt idx="2454">
                  <c:v>41657</c:v>
                </c:pt>
                <c:pt idx="2455">
                  <c:v>41664</c:v>
                </c:pt>
                <c:pt idx="2456">
                  <c:v>41671</c:v>
                </c:pt>
                <c:pt idx="2457">
                  <c:v>41678</c:v>
                </c:pt>
                <c:pt idx="2458">
                  <c:v>41685</c:v>
                </c:pt>
                <c:pt idx="2459">
                  <c:v>41692</c:v>
                </c:pt>
                <c:pt idx="2460">
                  <c:v>41699</c:v>
                </c:pt>
                <c:pt idx="2461">
                  <c:v>41706</c:v>
                </c:pt>
                <c:pt idx="2462">
                  <c:v>41713</c:v>
                </c:pt>
                <c:pt idx="2463">
                  <c:v>41720</c:v>
                </c:pt>
                <c:pt idx="2464">
                  <c:v>41727</c:v>
                </c:pt>
                <c:pt idx="2465">
                  <c:v>41734</c:v>
                </c:pt>
                <c:pt idx="2466">
                  <c:v>41741</c:v>
                </c:pt>
                <c:pt idx="2467">
                  <c:v>41748</c:v>
                </c:pt>
                <c:pt idx="2468">
                  <c:v>41755</c:v>
                </c:pt>
                <c:pt idx="2469">
                  <c:v>41762</c:v>
                </c:pt>
                <c:pt idx="2470">
                  <c:v>41769</c:v>
                </c:pt>
                <c:pt idx="2471">
                  <c:v>41776</c:v>
                </c:pt>
                <c:pt idx="2472">
                  <c:v>41783</c:v>
                </c:pt>
                <c:pt idx="2473">
                  <c:v>41790</c:v>
                </c:pt>
                <c:pt idx="2474">
                  <c:v>41797</c:v>
                </c:pt>
                <c:pt idx="2475">
                  <c:v>41804</c:v>
                </c:pt>
                <c:pt idx="2476">
                  <c:v>41811</c:v>
                </c:pt>
                <c:pt idx="2477">
                  <c:v>41818</c:v>
                </c:pt>
                <c:pt idx="2478">
                  <c:v>41825</c:v>
                </c:pt>
                <c:pt idx="2479">
                  <c:v>41832</c:v>
                </c:pt>
                <c:pt idx="2480">
                  <c:v>41839</c:v>
                </c:pt>
                <c:pt idx="2481">
                  <c:v>41846</c:v>
                </c:pt>
                <c:pt idx="2482">
                  <c:v>41853</c:v>
                </c:pt>
                <c:pt idx="2483">
                  <c:v>41860</c:v>
                </c:pt>
                <c:pt idx="2484">
                  <c:v>41867</c:v>
                </c:pt>
                <c:pt idx="2485">
                  <c:v>41874</c:v>
                </c:pt>
                <c:pt idx="2486">
                  <c:v>41881</c:v>
                </c:pt>
                <c:pt idx="2487">
                  <c:v>41888</c:v>
                </c:pt>
                <c:pt idx="2488">
                  <c:v>41895</c:v>
                </c:pt>
                <c:pt idx="2489">
                  <c:v>41902</c:v>
                </c:pt>
                <c:pt idx="2490">
                  <c:v>41909</c:v>
                </c:pt>
                <c:pt idx="2491">
                  <c:v>41916</c:v>
                </c:pt>
                <c:pt idx="2492">
                  <c:v>41923</c:v>
                </c:pt>
                <c:pt idx="2493">
                  <c:v>41930</c:v>
                </c:pt>
                <c:pt idx="2494">
                  <c:v>41937</c:v>
                </c:pt>
                <c:pt idx="2495">
                  <c:v>41944</c:v>
                </c:pt>
                <c:pt idx="2496">
                  <c:v>41951</c:v>
                </c:pt>
                <c:pt idx="2497">
                  <c:v>41958</c:v>
                </c:pt>
                <c:pt idx="2498">
                  <c:v>41965</c:v>
                </c:pt>
                <c:pt idx="2499">
                  <c:v>41972</c:v>
                </c:pt>
                <c:pt idx="2500">
                  <c:v>41979</c:v>
                </c:pt>
                <c:pt idx="2501">
                  <c:v>41986</c:v>
                </c:pt>
                <c:pt idx="2502">
                  <c:v>41993</c:v>
                </c:pt>
                <c:pt idx="2503">
                  <c:v>42000</c:v>
                </c:pt>
                <c:pt idx="2504">
                  <c:v>42007</c:v>
                </c:pt>
                <c:pt idx="2505">
                  <c:v>42014</c:v>
                </c:pt>
                <c:pt idx="2506">
                  <c:v>42021</c:v>
                </c:pt>
                <c:pt idx="2507">
                  <c:v>42028</c:v>
                </c:pt>
                <c:pt idx="2508">
                  <c:v>42035</c:v>
                </c:pt>
                <c:pt idx="2509">
                  <c:v>42042</c:v>
                </c:pt>
                <c:pt idx="2510">
                  <c:v>42049</c:v>
                </c:pt>
                <c:pt idx="2511">
                  <c:v>42056</c:v>
                </c:pt>
                <c:pt idx="2512">
                  <c:v>42063</c:v>
                </c:pt>
                <c:pt idx="2513">
                  <c:v>42070</c:v>
                </c:pt>
                <c:pt idx="2514">
                  <c:v>42077</c:v>
                </c:pt>
                <c:pt idx="2515">
                  <c:v>42084</c:v>
                </c:pt>
                <c:pt idx="2516">
                  <c:v>42091</c:v>
                </c:pt>
                <c:pt idx="2517">
                  <c:v>42098</c:v>
                </c:pt>
                <c:pt idx="2518">
                  <c:v>42105</c:v>
                </c:pt>
                <c:pt idx="2519">
                  <c:v>42112</c:v>
                </c:pt>
                <c:pt idx="2520">
                  <c:v>42119</c:v>
                </c:pt>
                <c:pt idx="2521">
                  <c:v>42126</c:v>
                </c:pt>
                <c:pt idx="2522">
                  <c:v>42133</c:v>
                </c:pt>
                <c:pt idx="2523">
                  <c:v>42140</c:v>
                </c:pt>
                <c:pt idx="2524">
                  <c:v>42147</c:v>
                </c:pt>
                <c:pt idx="2525">
                  <c:v>42154</c:v>
                </c:pt>
                <c:pt idx="2526">
                  <c:v>42161</c:v>
                </c:pt>
                <c:pt idx="2527">
                  <c:v>42168</c:v>
                </c:pt>
                <c:pt idx="2528">
                  <c:v>42175</c:v>
                </c:pt>
                <c:pt idx="2529">
                  <c:v>42182</c:v>
                </c:pt>
                <c:pt idx="2530">
                  <c:v>42189</c:v>
                </c:pt>
                <c:pt idx="2531">
                  <c:v>42196</c:v>
                </c:pt>
                <c:pt idx="2532">
                  <c:v>42203</c:v>
                </c:pt>
                <c:pt idx="2533">
                  <c:v>42210</c:v>
                </c:pt>
                <c:pt idx="2534">
                  <c:v>42217</c:v>
                </c:pt>
                <c:pt idx="2535">
                  <c:v>42224</c:v>
                </c:pt>
                <c:pt idx="2536">
                  <c:v>42231</c:v>
                </c:pt>
                <c:pt idx="2537">
                  <c:v>42238</c:v>
                </c:pt>
                <c:pt idx="2538">
                  <c:v>42245</c:v>
                </c:pt>
                <c:pt idx="2539">
                  <c:v>42252</c:v>
                </c:pt>
                <c:pt idx="2540">
                  <c:v>42259</c:v>
                </c:pt>
                <c:pt idx="2541">
                  <c:v>42266</c:v>
                </c:pt>
                <c:pt idx="2542">
                  <c:v>42273</c:v>
                </c:pt>
                <c:pt idx="2543">
                  <c:v>42280</c:v>
                </c:pt>
                <c:pt idx="2544">
                  <c:v>42287</c:v>
                </c:pt>
                <c:pt idx="2545">
                  <c:v>42294</c:v>
                </c:pt>
                <c:pt idx="2546">
                  <c:v>42301</c:v>
                </c:pt>
                <c:pt idx="2547">
                  <c:v>42308</c:v>
                </c:pt>
                <c:pt idx="2548">
                  <c:v>42315</c:v>
                </c:pt>
                <c:pt idx="2549">
                  <c:v>42322</c:v>
                </c:pt>
                <c:pt idx="2550">
                  <c:v>42329</c:v>
                </c:pt>
                <c:pt idx="2551">
                  <c:v>42336</c:v>
                </c:pt>
                <c:pt idx="2552">
                  <c:v>42343</c:v>
                </c:pt>
                <c:pt idx="2553">
                  <c:v>42350</c:v>
                </c:pt>
                <c:pt idx="2554">
                  <c:v>42357</c:v>
                </c:pt>
                <c:pt idx="2555">
                  <c:v>42364</c:v>
                </c:pt>
                <c:pt idx="2556">
                  <c:v>42371</c:v>
                </c:pt>
                <c:pt idx="2557">
                  <c:v>42378</c:v>
                </c:pt>
                <c:pt idx="2558">
                  <c:v>42385</c:v>
                </c:pt>
                <c:pt idx="2559">
                  <c:v>42392</c:v>
                </c:pt>
                <c:pt idx="2560">
                  <c:v>42399</c:v>
                </c:pt>
                <c:pt idx="2561">
                  <c:v>42406</c:v>
                </c:pt>
                <c:pt idx="2562">
                  <c:v>42413</c:v>
                </c:pt>
                <c:pt idx="2563">
                  <c:v>42420</c:v>
                </c:pt>
                <c:pt idx="2564">
                  <c:v>42427</c:v>
                </c:pt>
                <c:pt idx="2565">
                  <c:v>42434</c:v>
                </c:pt>
                <c:pt idx="2566">
                  <c:v>42441</c:v>
                </c:pt>
                <c:pt idx="2567">
                  <c:v>42448</c:v>
                </c:pt>
                <c:pt idx="2568">
                  <c:v>42455</c:v>
                </c:pt>
                <c:pt idx="2569">
                  <c:v>42462</c:v>
                </c:pt>
                <c:pt idx="2570">
                  <c:v>42469</c:v>
                </c:pt>
                <c:pt idx="2571">
                  <c:v>42476</c:v>
                </c:pt>
                <c:pt idx="2572">
                  <c:v>42483</c:v>
                </c:pt>
                <c:pt idx="2573">
                  <c:v>42490</c:v>
                </c:pt>
                <c:pt idx="2574">
                  <c:v>42497</c:v>
                </c:pt>
                <c:pt idx="2575">
                  <c:v>42504</c:v>
                </c:pt>
                <c:pt idx="2576">
                  <c:v>42511</c:v>
                </c:pt>
                <c:pt idx="2577">
                  <c:v>42518</c:v>
                </c:pt>
                <c:pt idx="2578">
                  <c:v>42525</c:v>
                </c:pt>
                <c:pt idx="2579">
                  <c:v>42532</c:v>
                </c:pt>
                <c:pt idx="2580">
                  <c:v>42539</c:v>
                </c:pt>
                <c:pt idx="2581">
                  <c:v>42546</c:v>
                </c:pt>
                <c:pt idx="2582">
                  <c:v>42553</c:v>
                </c:pt>
                <c:pt idx="2583">
                  <c:v>42560</c:v>
                </c:pt>
                <c:pt idx="2584">
                  <c:v>42567</c:v>
                </c:pt>
                <c:pt idx="2585">
                  <c:v>42574</c:v>
                </c:pt>
                <c:pt idx="2586">
                  <c:v>42581</c:v>
                </c:pt>
                <c:pt idx="2587">
                  <c:v>42588</c:v>
                </c:pt>
                <c:pt idx="2588">
                  <c:v>42595</c:v>
                </c:pt>
                <c:pt idx="2589">
                  <c:v>42602</c:v>
                </c:pt>
                <c:pt idx="2590">
                  <c:v>42609</c:v>
                </c:pt>
                <c:pt idx="2591">
                  <c:v>42616</c:v>
                </c:pt>
                <c:pt idx="2592">
                  <c:v>42623</c:v>
                </c:pt>
                <c:pt idx="2593">
                  <c:v>42630</c:v>
                </c:pt>
                <c:pt idx="2594">
                  <c:v>42637</c:v>
                </c:pt>
                <c:pt idx="2595">
                  <c:v>42644</c:v>
                </c:pt>
                <c:pt idx="2596">
                  <c:v>42651</c:v>
                </c:pt>
                <c:pt idx="2597">
                  <c:v>42658</c:v>
                </c:pt>
                <c:pt idx="2598">
                  <c:v>42665</c:v>
                </c:pt>
                <c:pt idx="2599">
                  <c:v>42672</c:v>
                </c:pt>
                <c:pt idx="2600">
                  <c:v>42679</c:v>
                </c:pt>
                <c:pt idx="2601">
                  <c:v>42686</c:v>
                </c:pt>
                <c:pt idx="2602">
                  <c:v>42693</c:v>
                </c:pt>
                <c:pt idx="2603">
                  <c:v>42700</c:v>
                </c:pt>
                <c:pt idx="2604">
                  <c:v>42707</c:v>
                </c:pt>
                <c:pt idx="2605">
                  <c:v>42714</c:v>
                </c:pt>
                <c:pt idx="2606">
                  <c:v>42721</c:v>
                </c:pt>
                <c:pt idx="2607">
                  <c:v>42728</c:v>
                </c:pt>
                <c:pt idx="2608">
                  <c:v>42735</c:v>
                </c:pt>
                <c:pt idx="2609">
                  <c:v>42742</c:v>
                </c:pt>
                <c:pt idx="2610">
                  <c:v>42749</c:v>
                </c:pt>
                <c:pt idx="2611">
                  <c:v>42756</c:v>
                </c:pt>
                <c:pt idx="2612">
                  <c:v>42763</c:v>
                </c:pt>
                <c:pt idx="2613">
                  <c:v>42770</c:v>
                </c:pt>
                <c:pt idx="2614">
                  <c:v>42777</c:v>
                </c:pt>
                <c:pt idx="2615">
                  <c:v>42784</c:v>
                </c:pt>
                <c:pt idx="2616">
                  <c:v>42791</c:v>
                </c:pt>
                <c:pt idx="2617">
                  <c:v>42798</c:v>
                </c:pt>
                <c:pt idx="2618">
                  <c:v>42805</c:v>
                </c:pt>
                <c:pt idx="2619">
                  <c:v>42812</c:v>
                </c:pt>
                <c:pt idx="2620">
                  <c:v>42819</c:v>
                </c:pt>
                <c:pt idx="2621">
                  <c:v>42826</c:v>
                </c:pt>
                <c:pt idx="2622">
                  <c:v>42833</c:v>
                </c:pt>
                <c:pt idx="2623">
                  <c:v>42840</c:v>
                </c:pt>
                <c:pt idx="2624">
                  <c:v>42847</c:v>
                </c:pt>
                <c:pt idx="2625">
                  <c:v>42854</c:v>
                </c:pt>
                <c:pt idx="2626">
                  <c:v>42861</c:v>
                </c:pt>
                <c:pt idx="2627">
                  <c:v>42868</c:v>
                </c:pt>
                <c:pt idx="2628">
                  <c:v>42875</c:v>
                </c:pt>
                <c:pt idx="2629">
                  <c:v>42882</c:v>
                </c:pt>
                <c:pt idx="2630">
                  <c:v>42889</c:v>
                </c:pt>
                <c:pt idx="2631">
                  <c:v>42896</c:v>
                </c:pt>
                <c:pt idx="2632">
                  <c:v>42903</c:v>
                </c:pt>
                <c:pt idx="2633">
                  <c:v>42910</c:v>
                </c:pt>
                <c:pt idx="2634">
                  <c:v>42917</c:v>
                </c:pt>
                <c:pt idx="2635">
                  <c:v>42924</c:v>
                </c:pt>
                <c:pt idx="2636">
                  <c:v>42931</c:v>
                </c:pt>
                <c:pt idx="2637">
                  <c:v>42938</c:v>
                </c:pt>
                <c:pt idx="2638">
                  <c:v>42945</c:v>
                </c:pt>
                <c:pt idx="2639">
                  <c:v>42952</c:v>
                </c:pt>
                <c:pt idx="2640">
                  <c:v>42959</c:v>
                </c:pt>
                <c:pt idx="2641">
                  <c:v>42966</c:v>
                </c:pt>
                <c:pt idx="2642">
                  <c:v>42973</c:v>
                </c:pt>
                <c:pt idx="2643">
                  <c:v>42980</c:v>
                </c:pt>
                <c:pt idx="2644">
                  <c:v>42987</c:v>
                </c:pt>
                <c:pt idx="2645">
                  <c:v>42994</c:v>
                </c:pt>
                <c:pt idx="2646">
                  <c:v>43001</c:v>
                </c:pt>
                <c:pt idx="2647">
                  <c:v>43008</c:v>
                </c:pt>
                <c:pt idx="2648">
                  <c:v>43015</c:v>
                </c:pt>
                <c:pt idx="2649">
                  <c:v>43022</c:v>
                </c:pt>
                <c:pt idx="2650">
                  <c:v>43029</c:v>
                </c:pt>
                <c:pt idx="2651">
                  <c:v>43036</c:v>
                </c:pt>
                <c:pt idx="2652">
                  <c:v>43043</c:v>
                </c:pt>
                <c:pt idx="2653">
                  <c:v>43050</c:v>
                </c:pt>
                <c:pt idx="2654">
                  <c:v>43057</c:v>
                </c:pt>
                <c:pt idx="2655">
                  <c:v>43064</c:v>
                </c:pt>
                <c:pt idx="2656">
                  <c:v>43071</c:v>
                </c:pt>
                <c:pt idx="2657">
                  <c:v>43078</c:v>
                </c:pt>
                <c:pt idx="2658">
                  <c:v>43085</c:v>
                </c:pt>
                <c:pt idx="2659">
                  <c:v>43092</c:v>
                </c:pt>
                <c:pt idx="2660">
                  <c:v>43099</c:v>
                </c:pt>
                <c:pt idx="2661">
                  <c:v>43106</c:v>
                </c:pt>
                <c:pt idx="2662">
                  <c:v>43113</c:v>
                </c:pt>
                <c:pt idx="2663">
                  <c:v>43120</c:v>
                </c:pt>
                <c:pt idx="2664">
                  <c:v>43127</c:v>
                </c:pt>
                <c:pt idx="2665">
                  <c:v>43134</c:v>
                </c:pt>
                <c:pt idx="2666">
                  <c:v>43141</c:v>
                </c:pt>
                <c:pt idx="2667">
                  <c:v>43148</c:v>
                </c:pt>
                <c:pt idx="2668">
                  <c:v>43155</c:v>
                </c:pt>
                <c:pt idx="2669">
                  <c:v>43162</c:v>
                </c:pt>
                <c:pt idx="2670">
                  <c:v>43169</c:v>
                </c:pt>
                <c:pt idx="2671">
                  <c:v>43176</c:v>
                </c:pt>
                <c:pt idx="2672">
                  <c:v>43183</c:v>
                </c:pt>
                <c:pt idx="2673">
                  <c:v>43190</c:v>
                </c:pt>
                <c:pt idx="2674">
                  <c:v>43197</c:v>
                </c:pt>
                <c:pt idx="2675">
                  <c:v>43204</c:v>
                </c:pt>
                <c:pt idx="2676">
                  <c:v>43211</c:v>
                </c:pt>
                <c:pt idx="2677">
                  <c:v>43218</c:v>
                </c:pt>
                <c:pt idx="2678">
                  <c:v>43225</c:v>
                </c:pt>
                <c:pt idx="2679">
                  <c:v>43232</c:v>
                </c:pt>
                <c:pt idx="2680">
                  <c:v>43239</c:v>
                </c:pt>
                <c:pt idx="2681">
                  <c:v>43246</c:v>
                </c:pt>
                <c:pt idx="2682">
                  <c:v>43253</c:v>
                </c:pt>
                <c:pt idx="2683">
                  <c:v>43260</c:v>
                </c:pt>
                <c:pt idx="2684">
                  <c:v>43267</c:v>
                </c:pt>
                <c:pt idx="2685">
                  <c:v>43274</c:v>
                </c:pt>
                <c:pt idx="2686">
                  <c:v>43281</c:v>
                </c:pt>
                <c:pt idx="2687">
                  <c:v>43288</c:v>
                </c:pt>
                <c:pt idx="2688">
                  <c:v>43295</c:v>
                </c:pt>
                <c:pt idx="2689">
                  <c:v>43302</c:v>
                </c:pt>
                <c:pt idx="2690">
                  <c:v>43309</c:v>
                </c:pt>
                <c:pt idx="2691">
                  <c:v>43316</c:v>
                </c:pt>
                <c:pt idx="2692">
                  <c:v>43323</c:v>
                </c:pt>
                <c:pt idx="2693">
                  <c:v>43330</c:v>
                </c:pt>
                <c:pt idx="2694">
                  <c:v>43337</c:v>
                </c:pt>
                <c:pt idx="2695">
                  <c:v>43344</c:v>
                </c:pt>
                <c:pt idx="2696">
                  <c:v>43351</c:v>
                </c:pt>
                <c:pt idx="2697">
                  <c:v>43358</c:v>
                </c:pt>
                <c:pt idx="2698">
                  <c:v>43365</c:v>
                </c:pt>
                <c:pt idx="2699">
                  <c:v>43372</c:v>
                </c:pt>
                <c:pt idx="2700">
                  <c:v>43379</c:v>
                </c:pt>
                <c:pt idx="2701">
                  <c:v>43386</c:v>
                </c:pt>
                <c:pt idx="2702">
                  <c:v>43393</c:v>
                </c:pt>
                <c:pt idx="2703">
                  <c:v>43400</c:v>
                </c:pt>
                <c:pt idx="2704">
                  <c:v>43407</c:v>
                </c:pt>
                <c:pt idx="2705">
                  <c:v>43414</c:v>
                </c:pt>
                <c:pt idx="2706">
                  <c:v>43421</c:v>
                </c:pt>
                <c:pt idx="2707">
                  <c:v>43428</c:v>
                </c:pt>
                <c:pt idx="2708">
                  <c:v>43435</c:v>
                </c:pt>
                <c:pt idx="2709">
                  <c:v>43442</c:v>
                </c:pt>
                <c:pt idx="2710">
                  <c:v>43449</c:v>
                </c:pt>
                <c:pt idx="2711">
                  <c:v>43456</c:v>
                </c:pt>
                <c:pt idx="2712">
                  <c:v>43463</c:v>
                </c:pt>
                <c:pt idx="2713">
                  <c:v>43470</c:v>
                </c:pt>
                <c:pt idx="2714">
                  <c:v>43477</c:v>
                </c:pt>
                <c:pt idx="2715">
                  <c:v>43484</c:v>
                </c:pt>
                <c:pt idx="2716">
                  <c:v>43491</c:v>
                </c:pt>
                <c:pt idx="2717">
                  <c:v>43498</c:v>
                </c:pt>
                <c:pt idx="2718">
                  <c:v>43505</c:v>
                </c:pt>
                <c:pt idx="2719">
                  <c:v>43512</c:v>
                </c:pt>
                <c:pt idx="2720">
                  <c:v>43519</c:v>
                </c:pt>
                <c:pt idx="2721">
                  <c:v>43526</c:v>
                </c:pt>
                <c:pt idx="2722">
                  <c:v>43533</c:v>
                </c:pt>
                <c:pt idx="2723">
                  <c:v>43540</c:v>
                </c:pt>
                <c:pt idx="2724">
                  <c:v>43547</c:v>
                </c:pt>
                <c:pt idx="2725">
                  <c:v>43554</c:v>
                </c:pt>
                <c:pt idx="2726">
                  <c:v>43561</c:v>
                </c:pt>
                <c:pt idx="2727">
                  <c:v>43568</c:v>
                </c:pt>
                <c:pt idx="2728">
                  <c:v>43575</c:v>
                </c:pt>
                <c:pt idx="2729">
                  <c:v>43582</c:v>
                </c:pt>
                <c:pt idx="2730">
                  <c:v>43589</c:v>
                </c:pt>
                <c:pt idx="2731">
                  <c:v>43596</c:v>
                </c:pt>
                <c:pt idx="2732">
                  <c:v>43603</c:v>
                </c:pt>
                <c:pt idx="2733">
                  <c:v>43610</c:v>
                </c:pt>
                <c:pt idx="2734">
                  <c:v>43617</c:v>
                </c:pt>
                <c:pt idx="2735">
                  <c:v>43624</c:v>
                </c:pt>
                <c:pt idx="2736">
                  <c:v>43631</c:v>
                </c:pt>
                <c:pt idx="2737">
                  <c:v>43638</c:v>
                </c:pt>
                <c:pt idx="2738">
                  <c:v>43645</c:v>
                </c:pt>
                <c:pt idx="2739">
                  <c:v>43652</c:v>
                </c:pt>
                <c:pt idx="2740">
                  <c:v>43659</c:v>
                </c:pt>
                <c:pt idx="2741">
                  <c:v>43666</c:v>
                </c:pt>
                <c:pt idx="2742">
                  <c:v>43673</c:v>
                </c:pt>
                <c:pt idx="2743">
                  <c:v>43680</c:v>
                </c:pt>
                <c:pt idx="2744">
                  <c:v>43687</c:v>
                </c:pt>
                <c:pt idx="2745">
                  <c:v>43694</c:v>
                </c:pt>
                <c:pt idx="2746">
                  <c:v>43701</c:v>
                </c:pt>
                <c:pt idx="2747">
                  <c:v>43708</c:v>
                </c:pt>
                <c:pt idx="2748">
                  <c:v>43715</c:v>
                </c:pt>
                <c:pt idx="2749">
                  <c:v>43722</c:v>
                </c:pt>
                <c:pt idx="2750">
                  <c:v>43729</c:v>
                </c:pt>
                <c:pt idx="2751">
                  <c:v>43736</c:v>
                </c:pt>
                <c:pt idx="2752">
                  <c:v>43743</c:v>
                </c:pt>
                <c:pt idx="2753">
                  <c:v>43750</c:v>
                </c:pt>
                <c:pt idx="2754">
                  <c:v>43757</c:v>
                </c:pt>
                <c:pt idx="2755">
                  <c:v>43764</c:v>
                </c:pt>
                <c:pt idx="2756">
                  <c:v>43771</c:v>
                </c:pt>
                <c:pt idx="2757">
                  <c:v>43778</c:v>
                </c:pt>
                <c:pt idx="2758">
                  <c:v>43785</c:v>
                </c:pt>
                <c:pt idx="2759">
                  <c:v>43792</c:v>
                </c:pt>
                <c:pt idx="2760">
                  <c:v>43799</c:v>
                </c:pt>
                <c:pt idx="2761">
                  <c:v>43806</c:v>
                </c:pt>
                <c:pt idx="2762">
                  <c:v>43813</c:v>
                </c:pt>
                <c:pt idx="2763">
                  <c:v>43820</c:v>
                </c:pt>
                <c:pt idx="2764">
                  <c:v>43827</c:v>
                </c:pt>
                <c:pt idx="2765">
                  <c:v>43834</c:v>
                </c:pt>
                <c:pt idx="2766">
                  <c:v>43841</c:v>
                </c:pt>
                <c:pt idx="2767">
                  <c:v>43848</c:v>
                </c:pt>
                <c:pt idx="2768">
                  <c:v>43855</c:v>
                </c:pt>
                <c:pt idx="2769">
                  <c:v>43862</c:v>
                </c:pt>
                <c:pt idx="2770">
                  <c:v>43869</c:v>
                </c:pt>
                <c:pt idx="2771">
                  <c:v>43876</c:v>
                </c:pt>
                <c:pt idx="2772">
                  <c:v>43883</c:v>
                </c:pt>
                <c:pt idx="2773">
                  <c:v>43890</c:v>
                </c:pt>
                <c:pt idx="2774">
                  <c:v>43897</c:v>
                </c:pt>
                <c:pt idx="2775">
                  <c:v>43904</c:v>
                </c:pt>
                <c:pt idx="2776">
                  <c:v>43911</c:v>
                </c:pt>
                <c:pt idx="2777">
                  <c:v>43918</c:v>
                </c:pt>
                <c:pt idx="2778">
                  <c:v>43925</c:v>
                </c:pt>
                <c:pt idx="2779">
                  <c:v>43932</c:v>
                </c:pt>
                <c:pt idx="2780">
                  <c:v>43939</c:v>
                </c:pt>
                <c:pt idx="2781">
                  <c:v>43946</c:v>
                </c:pt>
                <c:pt idx="2782">
                  <c:v>43953</c:v>
                </c:pt>
                <c:pt idx="2783">
                  <c:v>43960</c:v>
                </c:pt>
                <c:pt idx="2784">
                  <c:v>43967</c:v>
                </c:pt>
                <c:pt idx="2785">
                  <c:v>43974</c:v>
                </c:pt>
                <c:pt idx="2786">
                  <c:v>43981</c:v>
                </c:pt>
                <c:pt idx="2787">
                  <c:v>43988</c:v>
                </c:pt>
                <c:pt idx="2788">
                  <c:v>43995</c:v>
                </c:pt>
                <c:pt idx="2789">
                  <c:v>44002</c:v>
                </c:pt>
                <c:pt idx="2790">
                  <c:v>44009</c:v>
                </c:pt>
              </c:numCache>
            </c:numRef>
          </c:cat>
          <c:val>
            <c:numRef>
              <c:f>Claims!$B$5:$B$2795</c:f>
              <c:numCache>
                <c:formatCode>#,##0</c:formatCode>
                <c:ptCount val="2791"/>
                <c:pt idx="0">
                  <c:v>208000</c:v>
                </c:pt>
                <c:pt idx="1">
                  <c:v>207000</c:v>
                </c:pt>
                <c:pt idx="2">
                  <c:v>217000</c:v>
                </c:pt>
                <c:pt idx="3">
                  <c:v>204000</c:v>
                </c:pt>
                <c:pt idx="4">
                  <c:v>216000</c:v>
                </c:pt>
                <c:pt idx="5">
                  <c:v>229000</c:v>
                </c:pt>
                <c:pt idx="6">
                  <c:v>229000</c:v>
                </c:pt>
                <c:pt idx="7">
                  <c:v>242000</c:v>
                </c:pt>
                <c:pt idx="8">
                  <c:v>310000</c:v>
                </c:pt>
                <c:pt idx="9">
                  <c:v>241000</c:v>
                </c:pt>
                <c:pt idx="10">
                  <c:v>245000</c:v>
                </c:pt>
                <c:pt idx="11">
                  <c:v>247000</c:v>
                </c:pt>
                <c:pt idx="12">
                  <c:v>259000</c:v>
                </c:pt>
                <c:pt idx="13">
                  <c:v>257000</c:v>
                </c:pt>
                <c:pt idx="14">
                  <c:v>299000</c:v>
                </c:pt>
                <c:pt idx="15">
                  <c:v>245000</c:v>
                </c:pt>
                <c:pt idx="16">
                  <c:v>255000</c:v>
                </c:pt>
                <c:pt idx="17">
                  <c:v>254000</c:v>
                </c:pt>
                <c:pt idx="18">
                  <c:v>231000</c:v>
                </c:pt>
                <c:pt idx="19">
                  <c:v>230000</c:v>
                </c:pt>
                <c:pt idx="20">
                  <c:v>228000</c:v>
                </c:pt>
                <c:pt idx="21">
                  <c:v>248000</c:v>
                </c:pt>
                <c:pt idx="22">
                  <c:v>238000</c:v>
                </c:pt>
                <c:pt idx="23">
                  <c:v>224000</c:v>
                </c:pt>
                <c:pt idx="24">
                  <c:v>218000</c:v>
                </c:pt>
                <c:pt idx="25">
                  <c:v>209000</c:v>
                </c:pt>
                <c:pt idx="26">
                  <c:v>240000</c:v>
                </c:pt>
                <c:pt idx="27">
                  <c:v>241000</c:v>
                </c:pt>
                <c:pt idx="28">
                  <c:v>240000</c:v>
                </c:pt>
                <c:pt idx="29">
                  <c:v>209000</c:v>
                </c:pt>
                <c:pt idx="30">
                  <c:v>221000</c:v>
                </c:pt>
                <c:pt idx="31">
                  <c:v>202000</c:v>
                </c:pt>
                <c:pt idx="32">
                  <c:v>215000</c:v>
                </c:pt>
                <c:pt idx="33">
                  <c:v>213000</c:v>
                </c:pt>
                <c:pt idx="34">
                  <c:v>218000</c:v>
                </c:pt>
                <c:pt idx="35">
                  <c:v>231000</c:v>
                </c:pt>
                <c:pt idx="36">
                  <c:v>220000</c:v>
                </c:pt>
                <c:pt idx="37">
                  <c:v>209000</c:v>
                </c:pt>
                <c:pt idx="38">
                  <c:v>204000</c:v>
                </c:pt>
                <c:pt idx="39">
                  <c:v>231000</c:v>
                </c:pt>
                <c:pt idx="40">
                  <c:v>206000</c:v>
                </c:pt>
                <c:pt idx="41">
                  <c:v>223000</c:v>
                </c:pt>
                <c:pt idx="42">
                  <c:v>207000</c:v>
                </c:pt>
                <c:pt idx="43">
                  <c:v>222000</c:v>
                </c:pt>
                <c:pt idx="44">
                  <c:v>214000</c:v>
                </c:pt>
                <c:pt idx="45">
                  <c:v>198000</c:v>
                </c:pt>
                <c:pt idx="46">
                  <c:v>191000</c:v>
                </c:pt>
                <c:pt idx="47">
                  <c:v>196000</c:v>
                </c:pt>
                <c:pt idx="48">
                  <c:v>221000</c:v>
                </c:pt>
                <c:pt idx="49">
                  <c:v>204000</c:v>
                </c:pt>
                <c:pt idx="50">
                  <c:v>219000</c:v>
                </c:pt>
                <c:pt idx="51">
                  <c:v>216000</c:v>
                </c:pt>
                <c:pt idx="52">
                  <c:v>222000</c:v>
                </c:pt>
                <c:pt idx="53">
                  <c:v>222000</c:v>
                </c:pt>
                <c:pt idx="54">
                  <c:v>221000</c:v>
                </c:pt>
                <c:pt idx="55">
                  <c:v>198000</c:v>
                </c:pt>
                <c:pt idx="56">
                  <c:v>244000</c:v>
                </c:pt>
                <c:pt idx="57">
                  <c:v>210000</c:v>
                </c:pt>
                <c:pt idx="58">
                  <c:v>196000</c:v>
                </c:pt>
                <c:pt idx="59">
                  <c:v>193000</c:v>
                </c:pt>
                <c:pt idx="60">
                  <c:v>190000</c:v>
                </c:pt>
                <c:pt idx="61">
                  <c:v>204000</c:v>
                </c:pt>
                <c:pt idx="62">
                  <c:v>190000</c:v>
                </c:pt>
                <c:pt idx="63">
                  <c:v>200000</c:v>
                </c:pt>
                <c:pt idx="64">
                  <c:v>192000</c:v>
                </c:pt>
                <c:pt idx="65">
                  <c:v>191000</c:v>
                </c:pt>
                <c:pt idx="66">
                  <c:v>171000</c:v>
                </c:pt>
                <c:pt idx="67">
                  <c:v>183000</c:v>
                </c:pt>
                <c:pt idx="68">
                  <c:v>251000</c:v>
                </c:pt>
                <c:pt idx="69">
                  <c:v>209000</c:v>
                </c:pt>
                <c:pt idx="70">
                  <c:v>194000</c:v>
                </c:pt>
                <c:pt idx="71">
                  <c:v>199000</c:v>
                </c:pt>
                <c:pt idx="72">
                  <c:v>194000</c:v>
                </c:pt>
                <c:pt idx="73">
                  <c:v>199000</c:v>
                </c:pt>
                <c:pt idx="74">
                  <c:v>192000</c:v>
                </c:pt>
                <c:pt idx="75">
                  <c:v>194000</c:v>
                </c:pt>
                <c:pt idx="76">
                  <c:v>189000</c:v>
                </c:pt>
                <c:pt idx="77">
                  <c:v>194000</c:v>
                </c:pt>
                <c:pt idx="78">
                  <c:v>214000</c:v>
                </c:pt>
                <c:pt idx="79">
                  <c:v>186000</c:v>
                </c:pt>
                <c:pt idx="80">
                  <c:v>180000</c:v>
                </c:pt>
                <c:pt idx="81">
                  <c:v>205000</c:v>
                </c:pt>
                <c:pt idx="82">
                  <c:v>206000</c:v>
                </c:pt>
                <c:pt idx="83">
                  <c:v>218000</c:v>
                </c:pt>
                <c:pt idx="84">
                  <c:v>192000</c:v>
                </c:pt>
                <c:pt idx="85">
                  <c:v>193000</c:v>
                </c:pt>
                <c:pt idx="86">
                  <c:v>188000</c:v>
                </c:pt>
                <c:pt idx="87">
                  <c:v>189000</c:v>
                </c:pt>
                <c:pt idx="88">
                  <c:v>195000</c:v>
                </c:pt>
                <c:pt idx="89">
                  <c:v>191000</c:v>
                </c:pt>
                <c:pt idx="90">
                  <c:v>189000</c:v>
                </c:pt>
                <c:pt idx="91">
                  <c:v>185000</c:v>
                </c:pt>
                <c:pt idx="92">
                  <c:v>186000</c:v>
                </c:pt>
                <c:pt idx="93">
                  <c:v>191000</c:v>
                </c:pt>
                <c:pt idx="94">
                  <c:v>182000</c:v>
                </c:pt>
                <c:pt idx="95">
                  <c:v>181000</c:v>
                </c:pt>
                <c:pt idx="96">
                  <c:v>183000</c:v>
                </c:pt>
                <c:pt idx="97">
                  <c:v>192000</c:v>
                </c:pt>
                <c:pt idx="98">
                  <c:v>199000</c:v>
                </c:pt>
                <c:pt idx="99">
                  <c:v>162000</c:v>
                </c:pt>
                <c:pt idx="100">
                  <c:v>188000</c:v>
                </c:pt>
                <c:pt idx="101">
                  <c:v>195000</c:v>
                </c:pt>
                <c:pt idx="102">
                  <c:v>192000</c:v>
                </c:pt>
                <c:pt idx="103">
                  <c:v>223000</c:v>
                </c:pt>
                <c:pt idx="104">
                  <c:v>190000</c:v>
                </c:pt>
                <c:pt idx="105">
                  <c:v>191000</c:v>
                </c:pt>
                <c:pt idx="106">
                  <c:v>192000</c:v>
                </c:pt>
                <c:pt idx="107">
                  <c:v>193000</c:v>
                </c:pt>
                <c:pt idx="108">
                  <c:v>203000</c:v>
                </c:pt>
                <c:pt idx="109">
                  <c:v>197000</c:v>
                </c:pt>
                <c:pt idx="110">
                  <c:v>192000</c:v>
                </c:pt>
                <c:pt idx="111">
                  <c:v>192000</c:v>
                </c:pt>
                <c:pt idx="112">
                  <c:v>201000</c:v>
                </c:pt>
                <c:pt idx="113">
                  <c:v>191000</c:v>
                </c:pt>
                <c:pt idx="114">
                  <c:v>189000</c:v>
                </c:pt>
                <c:pt idx="115">
                  <c:v>181000</c:v>
                </c:pt>
                <c:pt idx="116">
                  <c:v>183000</c:v>
                </c:pt>
                <c:pt idx="117">
                  <c:v>182000</c:v>
                </c:pt>
                <c:pt idx="118">
                  <c:v>190000</c:v>
                </c:pt>
                <c:pt idx="119">
                  <c:v>187000</c:v>
                </c:pt>
                <c:pt idx="120">
                  <c:v>177000</c:v>
                </c:pt>
                <c:pt idx="121">
                  <c:v>177000</c:v>
                </c:pt>
                <c:pt idx="122">
                  <c:v>183000</c:v>
                </c:pt>
                <c:pt idx="123">
                  <c:v>179000</c:v>
                </c:pt>
                <c:pt idx="124">
                  <c:v>180000</c:v>
                </c:pt>
                <c:pt idx="125">
                  <c:v>187000</c:v>
                </c:pt>
                <c:pt idx="126">
                  <c:v>192000</c:v>
                </c:pt>
                <c:pt idx="127">
                  <c:v>182000</c:v>
                </c:pt>
                <c:pt idx="128">
                  <c:v>191000</c:v>
                </c:pt>
                <c:pt idx="129">
                  <c:v>203000</c:v>
                </c:pt>
                <c:pt idx="130">
                  <c:v>227000</c:v>
                </c:pt>
                <c:pt idx="131">
                  <c:v>210000</c:v>
                </c:pt>
                <c:pt idx="132">
                  <c:v>206000</c:v>
                </c:pt>
                <c:pt idx="133">
                  <c:v>192000</c:v>
                </c:pt>
                <c:pt idx="134">
                  <c:v>196000</c:v>
                </c:pt>
                <c:pt idx="135">
                  <c:v>203000</c:v>
                </c:pt>
                <c:pt idx="136">
                  <c:v>199000</c:v>
                </c:pt>
                <c:pt idx="137">
                  <c:v>199000</c:v>
                </c:pt>
                <c:pt idx="138">
                  <c:v>195000</c:v>
                </c:pt>
                <c:pt idx="139">
                  <c:v>182000</c:v>
                </c:pt>
                <c:pt idx="140">
                  <c:v>209000</c:v>
                </c:pt>
                <c:pt idx="141">
                  <c:v>195000</c:v>
                </c:pt>
                <c:pt idx="142">
                  <c:v>193000</c:v>
                </c:pt>
                <c:pt idx="143">
                  <c:v>193000</c:v>
                </c:pt>
                <c:pt idx="144">
                  <c:v>200000</c:v>
                </c:pt>
                <c:pt idx="145">
                  <c:v>199000</c:v>
                </c:pt>
                <c:pt idx="146">
                  <c:v>205000</c:v>
                </c:pt>
                <c:pt idx="147">
                  <c:v>198000</c:v>
                </c:pt>
                <c:pt idx="148">
                  <c:v>211000</c:v>
                </c:pt>
                <c:pt idx="149">
                  <c:v>197000</c:v>
                </c:pt>
                <c:pt idx="150">
                  <c:v>217000</c:v>
                </c:pt>
                <c:pt idx="151">
                  <c:v>202000</c:v>
                </c:pt>
                <c:pt idx="152">
                  <c:v>202000</c:v>
                </c:pt>
                <c:pt idx="153">
                  <c:v>222000</c:v>
                </c:pt>
                <c:pt idx="154">
                  <c:v>232000</c:v>
                </c:pt>
                <c:pt idx="155">
                  <c:v>223000</c:v>
                </c:pt>
                <c:pt idx="156">
                  <c:v>230000</c:v>
                </c:pt>
                <c:pt idx="157">
                  <c:v>242000</c:v>
                </c:pt>
                <c:pt idx="158">
                  <c:v>268000</c:v>
                </c:pt>
                <c:pt idx="159">
                  <c:v>256000</c:v>
                </c:pt>
                <c:pt idx="160">
                  <c:v>239000</c:v>
                </c:pt>
                <c:pt idx="161">
                  <c:v>256000</c:v>
                </c:pt>
                <c:pt idx="162">
                  <c:v>265000</c:v>
                </c:pt>
                <c:pt idx="163">
                  <c:v>271000</c:v>
                </c:pt>
                <c:pt idx="164">
                  <c:v>242000</c:v>
                </c:pt>
                <c:pt idx="165">
                  <c:v>262000</c:v>
                </c:pt>
                <c:pt idx="166">
                  <c:v>271000</c:v>
                </c:pt>
                <c:pt idx="167">
                  <c:v>264000</c:v>
                </c:pt>
                <c:pt idx="168">
                  <c:v>276000</c:v>
                </c:pt>
                <c:pt idx="169">
                  <c:v>273000</c:v>
                </c:pt>
                <c:pt idx="170">
                  <c:v>305000</c:v>
                </c:pt>
                <c:pt idx="171">
                  <c:v>374000</c:v>
                </c:pt>
                <c:pt idx="172">
                  <c:v>349000</c:v>
                </c:pt>
                <c:pt idx="173">
                  <c:v>334000</c:v>
                </c:pt>
                <c:pt idx="174">
                  <c:v>318000</c:v>
                </c:pt>
                <c:pt idx="175">
                  <c:v>303000</c:v>
                </c:pt>
                <c:pt idx="176">
                  <c:v>296000</c:v>
                </c:pt>
                <c:pt idx="177">
                  <c:v>301000</c:v>
                </c:pt>
                <c:pt idx="178">
                  <c:v>301000</c:v>
                </c:pt>
                <c:pt idx="179">
                  <c:v>298000</c:v>
                </c:pt>
                <c:pt idx="180">
                  <c:v>296000</c:v>
                </c:pt>
                <c:pt idx="181">
                  <c:v>291000</c:v>
                </c:pt>
                <c:pt idx="182">
                  <c:v>277000</c:v>
                </c:pt>
                <c:pt idx="183">
                  <c:v>288000</c:v>
                </c:pt>
                <c:pt idx="184">
                  <c:v>294000</c:v>
                </c:pt>
                <c:pt idx="185">
                  <c:v>287000</c:v>
                </c:pt>
                <c:pt idx="186">
                  <c:v>261000</c:v>
                </c:pt>
                <c:pt idx="187">
                  <c:v>266000</c:v>
                </c:pt>
                <c:pt idx="188">
                  <c:v>300000</c:v>
                </c:pt>
                <c:pt idx="189">
                  <c:v>303000</c:v>
                </c:pt>
                <c:pt idx="190">
                  <c:v>297000</c:v>
                </c:pt>
                <c:pt idx="191">
                  <c:v>324000</c:v>
                </c:pt>
                <c:pt idx="192">
                  <c:v>292000</c:v>
                </c:pt>
                <c:pt idx="193">
                  <c:v>325000</c:v>
                </c:pt>
                <c:pt idx="194">
                  <c:v>333000</c:v>
                </c:pt>
                <c:pt idx="195">
                  <c:v>350000</c:v>
                </c:pt>
                <c:pt idx="196">
                  <c:v>327000</c:v>
                </c:pt>
                <c:pt idx="197">
                  <c:v>334000</c:v>
                </c:pt>
                <c:pt idx="198">
                  <c:v>330000</c:v>
                </c:pt>
                <c:pt idx="199">
                  <c:v>327000</c:v>
                </c:pt>
                <c:pt idx="200">
                  <c:v>336000</c:v>
                </c:pt>
                <c:pt idx="201">
                  <c:v>314000</c:v>
                </c:pt>
                <c:pt idx="202">
                  <c:v>314000</c:v>
                </c:pt>
                <c:pt idx="203">
                  <c:v>337000</c:v>
                </c:pt>
                <c:pt idx="204">
                  <c:v>308000</c:v>
                </c:pt>
                <c:pt idx="205">
                  <c:v>306000</c:v>
                </c:pt>
                <c:pt idx="206">
                  <c:v>289000</c:v>
                </c:pt>
                <c:pt idx="207">
                  <c:v>321000</c:v>
                </c:pt>
                <c:pt idx="208">
                  <c:v>303000</c:v>
                </c:pt>
                <c:pt idx="209">
                  <c:v>288000</c:v>
                </c:pt>
                <c:pt idx="210">
                  <c:v>299000</c:v>
                </c:pt>
                <c:pt idx="211">
                  <c:v>312000</c:v>
                </c:pt>
                <c:pt idx="212">
                  <c:v>292000</c:v>
                </c:pt>
                <c:pt idx="213">
                  <c:v>296000</c:v>
                </c:pt>
                <c:pt idx="214">
                  <c:v>282000</c:v>
                </c:pt>
                <c:pt idx="215">
                  <c:v>268000</c:v>
                </c:pt>
                <c:pt idx="216">
                  <c:v>290000</c:v>
                </c:pt>
                <c:pt idx="217">
                  <c:v>297000</c:v>
                </c:pt>
                <c:pt idx="218">
                  <c:v>287000</c:v>
                </c:pt>
                <c:pt idx="219">
                  <c:v>291000</c:v>
                </c:pt>
                <c:pt idx="220">
                  <c:v>300000</c:v>
                </c:pt>
                <c:pt idx="221">
                  <c:v>299000</c:v>
                </c:pt>
                <c:pt idx="222">
                  <c:v>279000</c:v>
                </c:pt>
                <c:pt idx="223">
                  <c:v>284000</c:v>
                </c:pt>
                <c:pt idx="224">
                  <c:v>288000</c:v>
                </c:pt>
                <c:pt idx="225">
                  <c:v>290000</c:v>
                </c:pt>
                <c:pt idx="226">
                  <c:v>293000</c:v>
                </c:pt>
                <c:pt idx="227">
                  <c:v>284000</c:v>
                </c:pt>
                <c:pt idx="228">
                  <c:v>295000</c:v>
                </c:pt>
                <c:pt idx="229">
                  <c:v>299000</c:v>
                </c:pt>
                <c:pt idx="230">
                  <c:v>301000</c:v>
                </c:pt>
                <c:pt idx="231">
                  <c:v>295000</c:v>
                </c:pt>
                <c:pt idx="232">
                  <c:v>299000</c:v>
                </c:pt>
                <c:pt idx="233">
                  <c:v>291000</c:v>
                </c:pt>
                <c:pt idx="234">
                  <c:v>277000</c:v>
                </c:pt>
                <c:pt idx="235">
                  <c:v>264000</c:v>
                </c:pt>
                <c:pt idx="236">
                  <c:v>313000</c:v>
                </c:pt>
                <c:pt idx="237">
                  <c:v>304000</c:v>
                </c:pt>
                <c:pt idx="238">
                  <c:v>308000</c:v>
                </c:pt>
                <c:pt idx="239">
                  <c:v>349000</c:v>
                </c:pt>
                <c:pt idx="240">
                  <c:v>325000</c:v>
                </c:pt>
                <c:pt idx="241">
                  <c:v>320000</c:v>
                </c:pt>
                <c:pt idx="242">
                  <c:v>307000</c:v>
                </c:pt>
                <c:pt idx="243">
                  <c:v>359000</c:v>
                </c:pt>
                <c:pt idx="244">
                  <c:v>312000</c:v>
                </c:pt>
                <c:pt idx="245">
                  <c:v>302000</c:v>
                </c:pt>
                <c:pt idx="246">
                  <c:v>308000</c:v>
                </c:pt>
                <c:pt idx="247">
                  <c:v>299000</c:v>
                </c:pt>
                <c:pt idx="248">
                  <c:v>313000</c:v>
                </c:pt>
                <c:pt idx="249">
                  <c:v>299000</c:v>
                </c:pt>
                <c:pt idx="250">
                  <c:v>294000</c:v>
                </c:pt>
                <c:pt idx="251">
                  <c:v>283000</c:v>
                </c:pt>
                <c:pt idx="252">
                  <c:v>301000</c:v>
                </c:pt>
                <c:pt idx="253">
                  <c:v>295000</c:v>
                </c:pt>
                <c:pt idx="254">
                  <c:v>274000</c:v>
                </c:pt>
                <c:pt idx="255">
                  <c:v>278000</c:v>
                </c:pt>
                <c:pt idx="256">
                  <c:v>299000</c:v>
                </c:pt>
                <c:pt idx="257">
                  <c:v>280000</c:v>
                </c:pt>
                <c:pt idx="258">
                  <c:v>269000</c:v>
                </c:pt>
                <c:pt idx="259">
                  <c:v>244000</c:v>
                </c:pt>
                <c:pt idx="260">
                  <c:v>279000</c:v>
                </c:pt>
                <c:pt idx="261">
                  <c:v>295000</c:v>
                </c:pt>
                <c:pt idx="262">
                  <c:v>250000</c:v>
                </c:pt>
                <c:pt idx="263">
                  <c:v>263000</c:v>
                </c:pt>
                <c:pt idx="264">
                  <c:v>269000</c:v>
                </c:pt>
                <c:pt idx="265">
                  <c:v>276000</c:v>
                </c:pt>
                <c:pt idx="266">
                  <c:v>266000</c:v>
                </c:pt>
                <c:pt idx="267">
                  <c:v>258000</c:v>
                </c:pt>
                <c:pt idx="268">
                  <c:v>254000</c:v>
                </c:pt>
                <c:pt idx="269">
                  <c:v>257000</c:v>
                </c:pt>
                <c:pt idx="270">
                  <c:v>264000</c:v>
                </c:pt>
                <c:pt idx="271">
                  <c:v>266000</c:v>
                </c:pt>
                <c:pt idx="272">
                  <c:v>264000</c:v>
                </c:pt>
                <c:pt idx="273">
                  <c:v>258000</c:v>
                </c:pt>
                <c:pt idx="274">
                  <c:v>274000</c:v>
                </c:pt>
                <c:pt idx="275">
                  <c:v>259000</c:v>
                </c:pt>
                <c:pt idx="276">
                  <c:v>259000</c:v>
                </c:pt>
                <c:pt idx="277">
                  <c:v>265000</c:v>
                </c:pt>
                <c:pt idx="278">
                  <c:v>271000</c:v>
                </c:pt>
                <c:pt idx="279">
                  <c:v>266000</c:v>
                </c:pt>
                <c:pt idx="280">
                  <c:v>267000</c:v>
                </c:pt>
                <c:pt idx="281">
                  <c:v>267000</c:v>
                </c:pt>
                <c:pt idx="282">
                  <c:v>264000</c:v>
                </c:pt>
                <c:pt idx="283">
                  <c:v>268000</c:v>
                </c:pt>
                <c:pt idx="284">
                  <c:v>275000</c:v>
                </c:pt>
                <c:pt idx="285">
                  <c:v>286000</c:v>
                </c:pt>
                <c:pt idx="286">
                  <c:v>350000</c:v>
                </c:pt>
                <c:pt idx="287">
                  <c:v>297000</c:v>
                </c:pt>
                <c:pt idx="288">
                  <c:v>318000</c:v>
                </c:pt>
                <c:pt idx="289">
                  <c:v>276000</c:v>
                </c:pt>
                <c:pt idx="290">
                  <c:v>247000</c:v>
                </c:pt>
                <c:pt idx="291">
                  <c:v>250000</c:v>
                </c:pt>
                <c:pt idx="292">
                  <c:v>246000</c:v>
                </c:pt>
                <c:pt idx="293">
                  <c:v>256000</c:v>
                </c:pt>
                <c:pt idx="294">
                  <c:v>262000</c:v>
                </c:pt>
                <c:pt idx="295">
                  <c:v>258000</c:v>
                </c:pt>
                <c:pt idx="296">
                  <c:v>259000</c:v>
                </c:pt>
                <c:pt idx="297">
                  <c:v>258000</c:v>
                </c:pt>
                <c:pt idx="298">
                  <c:v>255000</c:v>
                </c:pt>
                <c:pt idx="299">
                  <c:v>251000</c:v>
                </c:pt>
                <c:pt idx="300">
                  <c:v>263000</c:v>
                </c:pt>
                <c:pt idx="301">
                  <c:v>250000</c:v>
                </c:pt>
                <c:pt idx="302">
                  <c:v>257000</c:v>
                </c:pt>
                <c:pt idx="303">
                  <c:v>234000</c:v>
                </c:pt>
                <c:pt idx="304">
                  <c:v>255000</c:v>
                </c:pt>
                <c:pt idx="305">
                  <c:v>242000</c:v>
                </c:pt>
                <c:pt idx="306">
                  <c:v>271000</c:v>
                </c:pt>
                <c:pt idx="307">
                  <c:v>235000</c:v>
                </c:pt>
                <c:pt idx="308">
                  <c:v>226000</c:v>
                </c:pt>
                <c:pt idx="309">
                  <c:v>252000</c:v>
                </c:pt>
                <c:pt idx="310">
                  <c:v>263000</c:v>
                </c:pt>
                <c:pt idx="311">
                  <c:v>246000</c:v>
                </c:pt>
                <c:pt idx="312">
                  <c:v>225000</c:v>
                </c:pt>
                <c:pt idx="313">
                  <c:v>226000</c:v>
                </c:pt>
                <c:pt idx="314">
                  <c:v>245000</c:v>
                </c:pt>
                <c:pt idx="315">
                  <c:v>229000</c:v>
                </c:pt>
                <c:pt idx="316">
                  <c:v>214000</c:v>
                </c:pt>
                <c:pt idx="317">
                  <c:v>228000</c:v>
                </c:pt>
                <c:pt idx="318">
                  <c:v>226000</c:v>
                </c:pt>
                <c:pt idx="319">
                  <c:v>216000</c:v>
                </c:pt>
                <c:pt idx="320">
                  <c:v>218000</c:v>
                </c:pt>
                <c:pt idx="321">
                  <c:v>225000</c:v>
                </c:pt>
                <c:pt idx="322">
                  <c:v>229000</c:v>
                </c:pt>
                <c:pt idx="323">
                  <c:v>228000</c:v>
                </c:pt>
                <c:pt idx="324">
                  <c:v>232000</c:v>
                </c:pt>
                <c:pt idx="325">
                  <c:v>222000</c:v>
                </c:pt>
                <c:pt idx="326">
                  <c:v>247000</c:v>
                </c:pt>
                <c:pt idx="327">
                  <c:v>230000</c:v>
                </c:pt>
                <c:pt idx="328">
                  <c:v>243000</c:v>
                </c:pt>
                <c:pt idx="329">
                  <c:v>236000</c:v>
                </c:pt>
                <c:pt idx="330">
                  <c:v>248000</c:v>
                </c:pt>
                <c:pt idx="331">
                  <c:v>238000</c:v>
                </c:pt>
                <c:pt idx="332">
                  <c:v>237000</c:v>
                </c:pt>
                <c:pt idx="333">
                  <c:v>238000</c:v>
                </c:pt>
                <c:pt idx="334">
                  <c:v>232000</c:v>
                </c:pt>
                <c:pt idx="335">
                  <c:v>246000</c:v>
                </c:pt>
                <c:pt idx="336">
                  <c:v>237000</c:v>
                </c:pt>
                <c:pt idx="337">
                  <c:v>242000</c:v>
                </c:pt>
                <c:pt idx="338">
                  <c:v>237000</c:v>
                </c:pt>
                <c:pt idx="339">
                  <c:v>248000</c:v>
                </c:pt>
                <c:pt idx="340">
                  <c:v>232000</c:v>
                </c:pt>
                <c:pt idx="341">
                  <c:v>241000</c:v>
                </c:pt>
                <c:pt idx="342">
                  <c:v>250000</c:v>
                </c:pt>
                <c:pt idx="343">
                  <c:v>256000</c:v>
                </c:pt>
                <c:pt idx="344">
                  <c:v>265000</c:v>
                </c:pt>
                <c:pt idx="345">
                  <c:v>258000</c:v>
                </c:pt>
                <c:pt idx="346">
                  <c:v>254000</c:v>
                </c:pt>
                <c:pt idx="347">
                  <c:v>242000</c:v>
                </c:pt>
                <c:pt idx="348">
                  <c:v>252000</c:v>
                </c:pt>
                <c:pt idx="349">
                  <c:v>245000</c:v>
                </c:pt>
                <c:pt idx="350">
                  <c:v>246000</c:v>
                </c:pt>
                <c:pt idx="351">
                  <c:v>249000</c:v>
                </c:pt>
                <c:pt idx="352">
                  <c:v>236000</c:v>
                </c:pt>
                <c:pt idx="353">
                  <c:v>246000</c:v>
                </c:pt>
                <c:pt idx="354">
                  <c:v>249000</c:v>
                </c:pt>
                <c:pt idx="355">
                  <c:v>235000</c:v>
                </c:pt>
                <c:pt idx="356">
                  <c:v>246000</c:v>
                </c:pt>
                <c:pt idx="357">
                  <c:v>282000</c:v>
                </c:pt>
                <c:pt idx="358">
                  <c:v>254000</c:v>
                </c:pt>
                <c:pt idx="359">
                  <c:v>233000</c:v>
                </c:pt>
                <c:pt idx="360">
                  <c:v>256000</c:v>
                </c:pt>
                <c:pt idx="361">
                  <c:v>266000</c:v>
                </c:pt>
                <c:pt idx="362">
                  <c:v>272000</c:v>
                </c:pt>
                <c:pt idx="363">
                  <c:v>326000</c:v>
                </c:pt>
                <c:pt idx="364">
                  <c:v>300000</c:v>
                </c:pt>
                <c:pt idx="365">
                  <c:v>269000</c:v>
                </c:pt>
                <c:pt idx="366">
                  <c:v>340000</c:v>
                </c:pt>
                <c:pt idx="367">
                  <c:v>321000</c:v>
                </c:pt>
                <c:pt idx="368">
                  <c:v>291000</c:v>
                </c:pt>
                <c:pt idx="369">
                  <c:v>302000</c:v>
                </c:pt>
                <c:pt idx="370">
                  <c:v>369000</c:v>
                </c:pt>
                <c:pt idx="371">
                  <c:v>311000</c:v>
                </c:pt>
                <c:pt idx="372">
                  <c:v>292000</c:v>
                </c:pt>
                <c:pt idx="373">
                  <c:v>301000</c:v>
                </c:pt>
                <c:pt idx="374">
                  <c:v>305000</c:v>
                </c:pt>
                <c:pt idx="375">
                  <c:v>315000</c:v>
                </c:pt>
                <c:pt idx="376">
                  <c:v>314000</c:v>
                </c:pt>
                <c:pt idx="377">
                  <c:v>323000</c:v>
                </c:pt>
                <c:pt idx="378">
                  <c:v>296000</c:v>
                </c:pt>
                <c:pt idx="379">
                  <c:v>297000</c:v>
                </c:pt>
                <c:pt idx="380">
                  <c:v>296000</c:v>
                </c:pt>
                <c:pt idx="381">
                  <c:v>283000</c:v>
                </c:pt>
                <c:pt idx="382">
                  <c:v>287000</c:v>
                </c:pt>
                <c:pt idx="383">
                  <c:v>296000</c:v>
                </c:pt>
                <c:pt idx="384">
                  <c:v>298000</c:v>
                </c:pt>
                <c:pt idx="385">
                  <c:v>309000</c:v>
                </c:pt>
                <c:pt idx="386">
                  <c:v>278000</c:v>
                </c:pt>
                <c:pt idx="387">
                  <c:v>314000</c:v>
                </c:pt>
                <c:pt idx="388">
                  <c:v>303000</c:v>
                </c:pt>
                <c:pt idx="389">
                  <c:v>308000</c:v>
                </c:pt>
                <c:pt idx="390">
                  <c:v>325000</c:v>
                </c:pt>
                <c:pt idx="391">
                  <c:v>311000</c:v>
                </c:pt>
                <c:pt idx="392">
                  <c:v>304000</c:v>
                </c:pt>
                <c:pt idx="393">
                  <c:v>303000</c:v>
                </c:pt>
                <c:pt idx="394">
                  <c:v>320000</c:v>
                </c:pt>
                <c:pt idx="395">
                  <c:v>335000</c:v>
                </c:pt>
                <c:pt idx="396">
                  <c:v>347000</c:v>
                </c:pt>
                <c:pt idx="397">
                  <c:v>332000</c:v>
                </c:pt>
                <c:pt idx="398">
                  <c:v>343000</c:v>
                </c:pt>
                <c:pt idx="399">
                  <c:v>350000</c:v>
                </c:pt>
                <c:pt idx="400">
                  <c:v>350000</c:v>
                </c:pt>
                <c:pt idx="401">
                  <c:v>357000</c:v>
                </c:pt>
                <c:pt idx="402">
                  <c:v>370000</c:v>
                </c:pt>
                <c:pt idx="403">
                  <c:v>366000</c:v>
                </c:pt>
                <c:pt idx="404">
                  <c:v>371000</c:v>
                </c:pt>
                <c:pt idx="405">
                  <c:v>413000</c:v>
                </c:pt>
                <c:pt idx="406">
                  <c:v>389000</c:v>
                </c:pt>
                <c:pt idx="407">
                  <c:v>414000</c:v>
                </c:pt>
                <c:pt idx="408">
                  <c:v>406000</c:v>
                </c:pt>
                <c:pt idx="409">
                  <c:v>441000</c:v>
                </c:pt>
                <c:pt idx="410">
                  <c:v>449000</c:v>
                </c:pt>
                <c:pt idx="411">
                  <c:v>518000</c:v>
                </c:pt>
                <c:pt idx="412">
                  <c:v>474000</c:v>
                </c:pt>
                <c:pt idx="413">
                  <c:v>528000</c:v>
                </c:pt>
                <c:pt idx="414">
                  <c:v>510000</c:v>
                </c:pt>
                <c:pt idx="415">
                  <c:v>521000</c:v>
                </c:pt>
                <c:pt idx="416">
                  <c:v>537000</c:v>
                </c:pt>
                <c:pt idx="417">
                  <c:v>456000</c:v>
                </c:pt>
                <c:pt idx="418">
                  <c:v>554000</c:v>
                </c:pt>
                <c:pt idx="419">
                  <c:v>575000</c:v>
                </c:pt>
                <c:pt idx="420">
                  <c:v>555000</c:v>
                </c:pt>
                <c:pt idx="421">
                  <c:v>559000</c:v>
                </c:pt>
                <c:pt idx="422">
                  <c:v>545000</c:v>
                </c:pt>
                <c:pt idx="423">
                  <c:v>530000</c:v>
                </c:pt>
                <c:pt idx="424">
                  <c:v>544000</c:v>
                </c:pt>
                <c:pt idx="425">
                  <c:v>546000</c:v>
                </c:pt>
                <c:pt idx="426">
                  <c:v>551000</c:v>
                </c:pt>
                <c:pt idx="427">
                  <c:v>531000</c:v>
                </c:pt>
                <c:pt idx="428">
                  <c:v>550000</c:v>
                </c:pt>
                <c:pt idx="429">
                  <c:v>555000</c:v>
                </c:pt>
                <c:pt idx="430">
                  <c:v>537000</c:v>
                </c:pt>
                <c:pt idx="431">
                  <c:v>520000</c:v>
                </c:pt>
                <c:pt idx="432">
                  <c:v>531000</c:v>
                </c:pt>
                <c:pt idx="433">
                  <c:v>513000</c:v>
                </c:pt>
                <c:pt idx="434">
                  <c:v>505000</c:v>
                </c:pt>
                <c:pt idx="435">
                  <c:v>507000</c:v>
                </c:pt>
                <c:pt idx="436">
                  <c:v>514000</c:v>
                </c:pt>
                <c:pt idx="437">
                  <c:v>493000</c:v>
                </c:pt>
                <c:pt idx="438">
                  <c:v>475000</c:v>
                </c:pt>
                <c:pt idx="439">
                  <c:v>529000</c:v>
                </c:pt>
                <c:pt idx="440">
                  <c:v>497000</c:v>
                </c:pt>
                <c:pt idx="441">
                  <c:v>497000</c:v>
                </c:pt>
                <c:pt idx="442">
                  <c:v>459000</c:v>
                </c:pt>
                <c:pt idx="443">
                  <c:v>423000</c:v>
                </c:pt>
                <c:pt idx="444">
                  <c:v>446000</c:v>
                </c:pt>
                <c:pt idx="445">
                  <c:v>445000</c:v>
                </c:pt>
                <c:pt idx="446">
                  <c:v>454000</c:v>
                </c:pt>
                <c:pt idx="447">
                  <c:v>454000</c:v>
                </c:pt>
                <c:pt idx="448">
                  <c:v>459000</c:v>
                </c:pt>
                <c:pt idx="449">
                  <c:v>444000</c:v>
                </c:pt>
                <c:pt idx="450">
                  <c:v>457000</c:v>
                </c:pt>
                <c:pt idx="451">
                  <c:v>446000</c:v>
                </c:pt>
                <c:pt idx="452">
                  <c:v>447000</c:v>
                </c:pt>
                <c:pt idx="453">
                  <c:v>456000</c:v>
                </c:pt>
                <c:pt idx="454">
                  <c:v>433000</c:v>
                </c:pt>
                <c:pt idx="455">
                  <c:v>445000</c:v>
                </c:pt>
                <c:pt idx="456">
                  <c:v>426000</c:v>
                </c:pt>
                <c:pt idx="457">
                  <c:v>429000</c:v>
                </c:pt>
                <c:pt idx="458">
                  <c:v>404000</c:v>
                </c:pt>
                <c:pt idx="459">
                  <c:v>426000</c:v>
                </c:pt>
                <c:pt idx="460">
                  <c:v>414000</c:v>
                </c:pt>
                <c:pt idx="461">
                  <c:v>415000</c:v>
                </c:pt>
                <c:pt idx="462">
                  <c:v>386000</c:v>
                </c:pt>
                <c:pt idx="463">
                  <c:v>401000</c:v>
                </c:pt>
                <c:pt idx="464">
                  <c:v>387000</c:v>
                </c:pt>
                <c:pt idx="465">
                  <c:v>373000</c:v>
                </c:pt>
                <c:pt idx="466">
                  <c:v>368000</c:v>
                </c:pt>
                <c:pt idx="467">
                  <c:v>365000</c:v>
                </c:pt>
                <c:pt idx="468">
                  <c:v>391000</c:v>
                </c:pt>
                <c:pt idx="469">
                  <c:v>362000</c:v>
                </c:pt>
                <c:pt idx="470">
                  <c:v>402000</c:v>
                </c:pt>
                <c:pt idx="471">
                  <c:v>370000</c:v>
                </c:pt>
                <c:pt idx="472">
                  <c:v>363000</c:v>
                </c:pt>
                <c:pt idx="473">
                  <c:v>359000</c:v>
                </c:pt>
                <c:pt idx="474">
                  <c:v>353000</c:v>
                </c:pt>
                <c:pt idx="475">
                  <c:v>344000</c:v>
                </c:pt>
                <c:pt idx="476">
                  <c:v>347000</c:v>
                </c:pt>
                <c:pt idx="477">
                  <c:v>349000</c:v>
                </c:pt>
                <c:pt idx="478">
                  <c:v>348000</c:v>
                </c:pt>
                <c:pt idx="479">
                  <c:v>360000</c:v>
                </c:pt>
                <c:pt idx="480">
                  <c:v>368000</c:v>
                </c:pt>
                <c:pt idx="481">
                  <c:v>366000</c:v>
                </c:pt>
                <c:pt idx="482">
                  <c:v>380000</c:v>
                </c:pt>
                <c:pt idx="483">
                  <c:v>373000</c:v>
                </c:pt>
                <c:pt idx="484">
                  <c:v>361000</c:v>
                </c:pt>
                <c:pt idx="485">
                  <c:v>367000</c:v>
                </c:pt>
                <c:pt idx="486">
                  <c:v>385000</c:v>
                </c:pt>
                <c:pt idx="487">
                  <c:v>395000</c:v>
                </c:pt>
                <c:pt idx="488">
                  <c:v>382000</c:v>
                </c:pt>
                <c:pt idx="489">
                  <c:v>394000</c:v>
                </c:pt>
                <c:pt idx="490">
                  <c:v>402000</c:v>
                </c:pt>
                <c:pt idx="491">
                  <c:v>382000</c:v>
                </c:pt>
                <c:pt idx="492">
                  <c:v>407000</c:v>
                </c:pt>
                <c:pt idx="493">
                  <c:v>399000</c:v>
                </c:pt>
                <c:pt idx="494">
                  <c:v>387000</c:v>
                </c:pt>
                <c:pt idx="495">
                  <c:v>394000</c:v>
                </c:pt>
                <c:pt idx="496">
                  <c:v>372000</c:v>
                </c:pt>
                <c:pt idx="497">
                  <c:v>406000</c:v>
                </c:pt>
                <c:pt idx="498">
                  <c:v>394000</c:v>
                </c:pt>
                <c:pt idx="499">
                  <c:v>388000</c:v>
                </c:pt>
                <c:pt idx="500">
                  <c:v>378000</c:v>
                </c:pt>
                <c:pt idx="501">
                  <c:v>382000</c:v>
                </c:pt>
                <c:pt idx="502">
                  <c:v>400000</c:v>
                </c:pt>
                <c:pt idx="503">
                  <c:v>394000</c:v>
                </c:pt>
                <c:pt idx="504">
                  <c:v>421000</c:v>
                </c:pt>
                <c:pt idx="505">
                  <c:v>383000</c:v>
                </c:pt>
                <c:pt idx="506">
                  <c:v>403000</c:v>
                </c:pt>
                <c:pt idx="507">
                  <c:v>423000</c:v>
                </c:pt>
                <c:pt idx="508">
                  <c:v>408000</c:v>
                </c:pt>
                <c:pt idx="509">
                  <c:v>411000</c:v>
                </c:pt>
                <c:pt idx="510">
                  <c:v>403000</c:v>
                </c:pt>
                <c:pt idx="511">
                  <c:v>409000</c:v>
                </c:pt>
                <c:pt idx="512">
                  <c:v>414000</c:v>
                </c:pt>
                <c:pt idx="513">
                  <c:v>390000</c:v>
                </c:pt>
                <c:pt idx="514">
                  <c:v>383000</c:v>
                </c:pt>
                <c:pt idx="515">
                  <c:v>408000</c:v>
                </c:pt>
                <c:pt idx="516">
                  <c:v>377000</c:v>
                </c:pt>
                <c:pt idx="517">
                  <c:v>402000</c:v>
                </c:pt>
                <c:pt idx="518">
                  <c:v>395000</c:v>
                </c:pt>
                <c:pt idx="519">
                  <c:v>365000</c:v>
                </c:pt>
                <c:pt idx="520">
                  <c:v>333000</c:v>
                </c:pt>
                <c:pt idx="521">
                  <c:v>380000</c:v>
                </c:pt>
                <c:pt idx="522">
                  <c:v>416000</c:v>
                </c:pt>
                <c:pt idx="523">
                  <c:v>368000</c:v>
                </c:pt>
                <c:pt idx="524">
                  <c:v>423000</c:v>
                </c:pt>
                <c:pt idx="525">
                  <c:v>422000</c:v>
                </c:pt>
                <c:pt idx="526">
                  <c:v>565000</c:v>
                </c:pt>
                <c:pt idx="527">
                  <c:v>477000</c:v>
                </c:pt>
                <c:pt idx="528">
                  <c:v>399000</c:v>
                </c:pt>
                <c:pt idx="529">
                  <c:v>362000</c:v>
                </c:pt>
                <c:pt idx="530">
                  <c:v>361000</c:v>
                </c:pt>
                <c:pt idx="531">
                  <c:v>355000</c:v>
                </c:pt>
                <c:pt idx="532">
                  <c:v>369000</c:v>
                </c:pt>
                <c:pt idx="533">
                  <c:v>356000</c:v>
                </c:pt>
                <c:pt idx="534">
                  <c:v>350000</c:v>
                </c:pt>
                <c:pt idx="535">
                  <c:v>376000</c:v>
                </c:pt>
                <c:pt idx="536">
                  <c:v>361000</c:v>
                </c:pt>
                <c:pt idx="537">
                  <c:v>375000</c:v>
                </c:pt>
                <c:pt idx="538">
                  <c:v>375000</c:v>
                </c:pt>
                <c:pt idx="539">
                  <c:v>384000</c:v>
                </c:pt>
                <c:pt idx="540">
                  <c:v>381000</c:v>
                </c:pt>
                <c:pt idx="541">
                  <c:v>375000</c:v>
                </c:pt>
                <c:pt idx="542">
                  <c:v>381000</c:v>
                </c:pt>
                <c:pt idx="543">
                  <c:v>363000</c:v>
                </c:pt>
                <c:pt idx="544">
                  <c:v>358000</c:v>
                </c:pt>
                <c:pt idx="545">
                  <c:v>359000</c:v>
                </c:pt>
                <c:pt idx="546">
                  <c:v>365000</c:v>
                </c:pt>
                <c:pt idx="547">
                  <c:v>350000</c:v>
                </c:pt>
                <c:pt idx="548">
                  <c:v>361000</c:v>
                </c:pt>
                <c:pt idx="549">
                  <c:v>366000</c:v>
                </c:pt>
                <c:pt idx="550">
                  <c:v>365000</c:v>
                </c:pt>
                <c:pt idx="551">
                  <c:v>365000</c:v>
                </c:pt>
                <c:pt idx="552">
                  <c:v>378000</c:v>
                </c:pt>
                <c:pt idx="553">
                  <c:v>359000</c:v>
                </c:pt>
                <c:pt idx="554">
                  <c:v>367000</c:v>
                </c:pt>
                <c:pt idx="555">
                  <c:v>365000</c:v>
                </c:pt>
                <c:pt idx="556">
                  <c:v>374000</c:v>
                </c:pt>
                <c:pt idx="557">
                  <c:v>359000</c:v>
                </c:pt>
                <c:pt idx="558">
                  <c:v>362000</c:v>
                </c:pt>
                <c:pt idx="559">
                  <c:v>380000</c:v>
                </c:pt>
                <c:pt idx="560">
                  <c:v>348000</c:v>
                </c:pt>
                <c:pt idx="561">
                  <c:v>365000</c:v>
                </c:pt>
                <c:pt idx="562">
                  <c:v>358000</c:v>
                </c:pt>
                <c:pt idx="563">
                  <c:v>375000</c:v>
                </c:pt>
                <c:pt idx="564">
                  <c:v>349000</c:v>
                </c:pt>
                <c:pt idx="565">
                  <c:v>366000</c:v>
                </c:pt>
                <c:pt idx="566">
                  <c:v>334000</c:v>
                </c:pt>
                <c:pt idx="567">
                  <c:v>360000</c:v>
                </c:pt>
                <c:pt idx="568">
                  <c:v>354000</c:v>
                </c:pt>
                <c:pt idx="569">
                  <c:v>367000</c:v>
                </c:pt>
                <c:pt idx="570">
                  <c:v>364000</c:v>
                </c:pt>
                <c:pt idx="571">
                  <c:v>359000</c:v>
                </c:pt>
                <c:pt idx="572">
                  <c:v>344000</c:v>
                </c:pt>
                <c:pt idx="573">
                  <c:v>364000</c:v>
                </c:pt>
                <c:pt idx="574">
                  <c:v>346000</c:v>
                </c:pt>
                <c:pt idx="575">
                  <c:v>343000</c:v>
                </c:pt>
                <c:pt idx="576">
                  <c:v>352000</c:v>
                </c:pt>
                <c:pt idx="577">
                  <c:v>363000</c:v>
                </c:pt>
                <c:pt idx="578">
                  <c:v>360000</c:v>
                </c:pt>
                <c:pt idx="579">
                  <c:v>373000</c:v>
                </c:pt>
                <c:pt idx="580">
                  <c:v>429000</c:v>
                </c:pt>
                <c:pt idx="581">
                  <c:v>371000</c:v>
                </c:pt>
                <c:pt idx="582">
                  <c:v>355000</c:v>
                </c:pt>
                <c:pt idx="583">
                  <c:v>359000</c:v>
                </c:pt>
                <c:pt idx="584">
                  <c:v>347000</c:v>
                </c:pt>
                <c:pt idx="585">
                  <c:v>335000</c:v>
                </c:pt>
                <c:pt idx="586">
                  <c:v>333000</c:v>
                </c:pt>
                <c:pt idx="587">
                  <c:v>345000</c:v>
                </c:pt>
                <c:pt idx="588">
                  <c:v>309000</c:v>
                </c:pt>
                <c:pt idx="589">
                  <c:v>319000</c:v>
                </c:pt>
                <c:pt idx="590">
                  <c:v>324000</c:v>
                </c:pt>
                <c:pt idx="591">
                  <c:v>334000</c:v>
                </c:pt>
                <c:pt idx="592">
                  <c:v>322000</c:v>
                </c:pt>
                <c:pt idx="593">
                  <c:v>334000</c:v>
                </c:pt>
                <c:pt idx="594">
                  <c:v>318000</c:v>
                </c:pt>
                <c:pt idx="595">
                  <c:v>310000</c:v>
                </c:pt>
                <c:pt idx="596">
                  <c:v>331000</c:v>
                </c:pt>
                <c:pt idx="597">
                  <c:v>326000</c:v>
                </c:pt>
                <c:pt idx="598">
                  <c:v>330000</c:v>
                </c:pt>
                <c:pt idx="599">
                  <c:v>348000</c:v>
                </c:pt>
                <c:pt idx="600">
                  <c:v>356000</c:v>
                </c:pt>
                <c:pt idx="601">
                  <c:v>352000</c:v>
                </c:pt>
                <c:pt idx="602">
                  <c:v>349000</c:v>
                </c:pt>
                <c:pt idx="603">
                  <c:v>346000</c:v>
                </c:pt>
                <c:pt idx="604">
                  <c:v>365000</c:v>
                </c:pt>
                <c:pt idx="605">
                  <c:v>354000</c:v>
                </c:pt>
                <c:pt idx="606">
                  <c:v>343000</c:v>
                </c:pt>
                <c:pt idx="607">
                  <c:v>333000</c:v>
                </c:pt>
                <c:pt idx="608">
                  <c:v>313000</c:v>
                </c:pt>
                <c:pt idx="609">
                  <c:v>337000</c:v>
                </c:pt>
                <c:pt idx="610">
                  <c:v>322000</c:v>
                </c:pt>
                <c:pt idx="611">
                  <c:v>323000</c:v>
                </c:pt>
                <c:pt idx="612">
                  <c:v>318000</c:v>
                </c:pt>
                <c:pt idx="613">
                  <c:v>343000</c:v>
                </c:pt>
                <c:pt idx="614">
                  <c:v>316000</c:v>
                </c:pt>
                <c:pt idx="615">
                  <c:v>338000</c:v>
                </c:pt>
                <c:pt idx="616">
                  <c:v>316000</c:v>
                </c:pt>
                <c:pt idx="617">
                  <c:v>317000</c:v>
                </c:pt>
                <c:pt idx="618">
                  <c:v>304000</c:v>
                </c:pt>
                <c:pt idx="619">
                  <c:v>342000</c:v>
                </c:pt>
                <c:pt idx="620">
                  <c:v>359000</c:v>
                </c:pt>
                <c:pt idx="621">
                  <c:v>377000</c:v>
                </c:pt>
                <c:pt idx="622">
                  <c:v>344000</c:v>
                </c:pt>
                <c:pt idx="623">
                  <c:v>347000</c:v>
                </c:pt>
                <c:pt idx="624">
                  <c:v>352000</c:v>
                </c:pt>
                <c:pt idx="625">
                  <c:v>358000</c:v>
                </c:pt>
                <c:pt idx="626">
                  <c:v>359000</c:v>
                </c:pt>
                <c:pt idx="627">
                  <c:v>392000</c:v>
                </c:pt>
                <c:pt idx="628">
                  <c:v>337000</c:v>
                </c:pt>
                <c:pt idx="629">
                  <c:v>342000</c:v>
                </c:pt>
                <c:pt idx="630">
                  <c:v>348000</c:v>
                </c:pt>
                <c:pt idx="631">
                  <c:v>359000</c:v>
                </c:pt>
                <c:pt idx="632">
                  <c:v>367000</c:v>
                </c:pt>
                <c:pt idx="633">
                  <c:v>360000</c:v>
                </c:pt>
                <c:pt idx="634">
                  <c:v>355000</c:v>
                </c:pt>
                <c:pt idx="635">
                  <c:v>363000</c:v>
                </c:pt>
                <c:pt idx="636">
                  <c:v>359000</c:v>
                </c:pt>
                <c:pt idx="637">
                  <c:v>353000</c:v>
                </c:pt>
                <c:pt idx="638">
                  <c:v>360000</c:v>
                </c:pt>
                <c:pt idx="639">
                  <c:v>465000</c:v>
                </c:pt>
                <c:pt idx="640">
                  <c:v>457000</c:v>
                </c:pt>
                <c:pt idx="641">
                  <c:v>383000</c:v>
                </c:pt>
                <c:pt idx="642">
                  <c:v>357000</c:v>
                </c:pt>
                <c:pt idx="643">
                  <c:v>353000</c:v>
                </c:pt>
                <c:pt idx="644">
                  <c:v>344000</c:v>
                </c:pt>
                <c:pt idx="645">
                  <c:v>346000</c:v>
                </c:pt>
                <c:pt idx="646">
                  <c:v>349000</c:v>
                </c:pt>
                <c:pt idx="647">
                  <c:v>336000</c:v>
                </c:pt>
                <c:pt idx="648">
                  <c:v>365000</c:v>
                </c:pt>
                <c:pt idx="649">
                  <c:v>351000</c:v>
                </c:pt>
                <c:pt idx="650">
                  <c:v>379000</c:v>
                </c:pt>
                <c:pt idx="651">
                  <c:v>369000</c:v>
                </c:pt>
                <c:pt idx="652">
                  <c:v>368000</c:v>
                </c:pt>
                <c:pt idx="653">
                  <c:v>368000</c:v>
                </c:pt>
                <c:pt idx="654">
                  <c:v>395000</c:v>
                </c:pt>
                <c:pt idx="655">
                  <c:v>386000</c:v>
                </c:pt>
                <c:pt idx="656">
                  <c:v>412000</c:v>
                </c:pt>
                <c:pt idx="657">
                  <c:v>386000</c:v>
                </c:pt>
                <c:pt idx="658">
                  <c:v>387000</c:v>
                </c:pt>
                <c:pt idx="659">
                  <c:v>390000</c:v>
                </c:pt>
                <c:pt idx="660">
                  <c:v>389000</c:v>
                </c:pt>
                <c:pt idx="661">
                  <c:v>378000</c:v>
                </c:pt>
                <c:pt idx="662">
                  <c:v>384000</c:v>
                </c:pt>
                <c:pt idx="663">
                  <c:v>388000</c:v>
                </c:pt>
                <c:pt idx="664">
                  <c:v>390000</c:v>
                </c:pt>
                <c:pt idx="665">
                  <c:v>412000</c:v>
                </c:pt>
                <c:pt idx="666">
                  <c:v>393000</c:v>
                </c:pt>
                <c:pt idx="667">
                  <c:v>406000</c:v>
                </c:pt>
                <c:pt idx="668">
                  <c:v>398000</c:v>
                </c:pt>
                <c:pt idx="669">
                  <c:v>395000</c:v>
                </c:pt>
                <c:pt idx="670">
                  <c:v>414000</c:v>
                </c:pt>
                <c:pt idx="671">
                  <c:v>430000</c:v>
                </c:pt>
                <c:pt idx="672">
                  <c:v>414000</c:v>
                </c:pt>
                <c:pt idx="673">
                  <c:v>416000</c:v>
                </c:pt>
                <c:pt idx="674">
                  <c:v>415000</c:v>
                </c:pt>
                <c:pt idx="675">
                  <c:v>411000</c:v>
                </c:pt>
                <c:pt idx="676">
                  <c:v>471000</c:v>
                </c:pt>
                <c:pt idx="677">
                  <c:v>428000</c:v>
                </c:pt>
                <c:pt idx="678">
                  <c:v>394000</c:v>
                </c:pt>
                <c:pt idx="679">
                  <c:v>405000</c:v>
                </c:pt>
                <c:pt idx="680">
                  <c:v>446000</c:v>
                </c:pt>
                <c:pt idx="681">
                  <c:v>412000</c:v>
                </c:pt>
                <c:pt idx="682">
                  <c:v>404000</c:v>
                </c:pt>
                <c:pt idx="683">
                  <c:v>425000</c:v>
                </c:pt>
                <c:pt idx="684">
                  <c:v>415000</c:v>
                </c:pt>
                <c:pt idx="685">
                  <c:v>428000</c:v>
                </c:pt>
                <c:pt idx="686">
                  <c:v>409000</c:v>
                </c:pt>
                <c:pt idx="687">
                  <c:v>418000</c:v>
                </c:pt>
                <c:pt idx="688">
                  <c:v>432000</c:v>
                </c:pt>
                <c:pt idx="689">
                  <c:v>435000</c:v>
                </c:pt>
                <c:pt idx="690">
                  <c:v>475000</c:v>
                </c:pt>
                <c:pt idx="691">
                  <c:v>464000</c:v>
                </c:pt>
                <c:pt idx="692">
                  <c:v>544000</c:v>
                </c:pt>
                <c:pt idx="693">
                  <c:v>548000</c:v>
                </c:pt>
                <c:pt idx="694">
                  <c:v>563000</c:v>
                </c:pt>
                <c:pt idx="695">
                  <c:v>572000</c:v>
                </c:pt>
                <c:pt idx="696">
                  <c:v>601000</c:v>
                </c:pt>
                <c:pt idx="697">
                  <c:v>642000</c:v>
                </c:pt>
                <c:pt idx="698">
                  <c:v>627000</c:v>
                </c:pt>
                <c:pt idx="699">
                  <c:v>637000</c:v>
                </c:pt>
                <c:pt idx="700">
                  <c:v>610000</c:v>
                </c:pt>
                <c:pt idx="701">
                  <c:v>592000</c:v>
                </c:pt>
                <c:pt idx="702">
                  <c:v>599000</c:v>
                </c:pt>
                <c:pt idx="703">
                  <c:v>627000</c:v>
                </c:pt>
                <c:pt idx="704">
                  <c:v>579000</c:v>
                </c:pt>
                <c:pt idx="705">
                  <c:v>533000</c:v>
                </c:pt>
                <c:pt idx="706">
                  <c:v>567000</c:v>
                </c:pt>
                <c:pt idx="707">
                  <c:v>558000</c:v>
                </c:pt>
                <c:pt idx="708">
                  <c:v>569000</c:v>
                </c:pt>
                <c:pt idx="709">
                  <c:v>533000</c:v>
                </c:pt>
                <c:pt idx="710">
                  <c:v>525000</c:v>
                </c:pt>
                <c:pt idx="711">
                  <c:v>512000</c:v>
                </c:pt>
                <c:pt idx="712">
                  <c:v>502000</c:v>
                </c:pt>
                <c:pt idx="713">
                  <c:v>511000</c:v>
                </c:pt>
                <c:pt idx="714">
                  <c:v>492000</c:v>
                </c:pt>
                <c:pt idx="715">
                  <c:v>465000</c:v>
                </c:pt>
                <c:pt idx="716">
                  <c:v>463000</c:v>
                </c:pt>
                <c:pt idx="717">
                  <c:v>462000</c:v>
                </c:pt>
                <c:pt idx="718">
                  <c:v>447000</c:v>
                </c:pt>
                <c:pt idx="719">
                  <c:v>425000</c:v>
                </c:pt>
                <c:pt idx="720">
                  <c:v>418000</c:v>
                </c:pt>
                <c:pt idx="721">
                  <c:v>419000</c:v>
                </c:pt>
                <c:pt idx="722">
                  <c:v>407000</c:v>
                </c:pt>
                <c:pt idx="723">
                  <c:v>427000</c:v>
                </c:pt>
                <c:pt idx="724">
                  <c:v>398000</c:v>
                </c:pt>
                <c:pt idx="725">
                  <c:v>412000</c:v>
                </c:pt>
                <c:pt idx="726">
                  <c:v>416000</c:v>
                </c:pt>
                <c:pt idx="727">
                  <c:v>413000</c:v>
                </c:pt>
                <c:pt idx="728">
                  <c:v>412000</c:v>
                </c:pt>
                <c:pt idx="729">
                  <c:v>399000</c:v>
                </c:pt>
                <c:pt idx="730">
                  <c:v>410000</c:v>
                </c:pt>
                <c:pt idx="731">
                  <c:v>419000</c:v>
                </c:pt>
                <c:pt idx="732">
                  <c:v>421000</c:v>
                </c:pt>
                <c:pt idx="733">
                  <c:v>396000</c:v>
                </c:pt>
                <c:pt idx="734">
                  <c:v>419000</c:v>
                </c:pt>
                <c:pt idx="735">
                  <c:v>420000</c:v>
                </c:pt>
                <c:pt idx="736">
                  <c:v>423000</c:v>
                </c:pt>
                <c:pt idx="737">
                  <c:v>438000</c:v>
                </c:pt>
                <c:pt idx="738">
                  <c:v>434000</c:v>
                </c:pt>
                <c:pt idx="739">
                  <c:v>409000</c:v>
                </c:pt>
                <c:pt idx="740">
                  <c:v>408000</c:v>
                </c:pt>
                <c:pt idx="741">
                  <c:v>401000</c:v>
                </c:pt>
                <c:pt idx="742">
                  <c:v>412000</c:v>
                </c:pt>
                <c:pt idx="743">
                  <c:v>417000</c:v>
                </c:pt>
                <c:pt idx="744">
                  <c:v>396000</c:v>
                </c:pt>
                <c:pt idx="745">
                  <c:v>392000</c:v>
                </c:pt>
                <c:pt idx="746">
                  <c:v>436000</c:v>
                </c:pt>
                <c:pt idx="747">
                  <c:v>413000</c:v>
                </c:pt>
                <c:pt idx="748">
                  <c:v>423000</c:v>
                </c:pt>
                <c:pt idx="749">
                  <c:v>414000</c:v>
                </c:pt>
                <c:pt idx="750">
                  <c:v>415000</c:v>
                </c:pt>
                <c:pt idx="751">
                  <c:v>417000</c:v>
                </c:pt>
                <c:pt idx="752">
                  <c:v>428000</c:v>
                </c:pt>
                <c:pt idx="753">
                  <c:v>425000</c:v>
                </c:pt>
                <c:pt idx="754">
                  <c:v>435000</c:v>
                </c:pt>
                <c:pt idx="755">
                  <c:v>444000</c:v>
                </c:pt>
                <c:pt idx="756">
                  <c:v>460000</c:v>
                </c:pt>
                <c:pt idx="757">
                  <c:v>426000</c:v>
                </c:pt>
                <c:pt idx="758">
                  <c:v>430000</c:v>
                </c:pt>
                <c:pt idx="759">
                  <c:v>407000</c:v>
                </c:pt>
                <c:pt idx="760">
                  <c:v>476000</c:v>
                </c:pt>
                <c:pt idx="761">
                  <c:v>448000</c:v>
                </c:pt>
                <c:pt idx="762">
                  <c:v>442000</c:v>
                </c:pt>
                <c:pt idx="763">
                  <c:v>434000</c:v>
                </c:pt>
                <c:pt idx="764">
                  <c:v>451000</c:v>
                </c:pt>
                <c:pt idx="765">
                  <c:v>473000</c:v>
                </c:pt>
                <c:pt idx="766">
                  <c:v>454000</c:v>
                </c:pt>
                <c:pt idx="767">
                  <c:v>475000</c:v>
                </c:pt>
                <c:pt idx="768">
                  <c:v>491000</c:v>
                </c:pt>
                <c:pt idx="769">
                  <c:v>489000</c:v>
                </c:pt>
                <c:pt idx="770">
                  <c:v>491000</c:v>
                </c:pt>
                <c:pt idx="771">
                  <c:v>487000</c:v>
                </c:pt>
                <c:pt idx="772">
                  <c:v>483000</c:v>
                </c:pt>
                <c:pt idx="773">
                  <c:v>514000</c:v>
                </c:pt>
                <c:pt idx="774">
                  <c:v>514000</c:v>
                </c:pt>
                <c:pt idx="775">
                  <c:v>517000</c:v>
                </c:pt>
                <c:pt idx="776">
                  <c:v>464000</c:v>
                </c:pt>
                <c:pt idx="777">
                  <c:v>552000</c:v>
                </c:pt>
                <c:pt idx="778">
                  <c:v>558000</c:v>
                </c:pt>
                <c:pt idx="779">
                  <c:v>551000</c:v>
                </c:pt>
                <c:pt idx="780">
                  <c:v>539000</c:v>
                </c:pt>
                <c:pt idx="781">
                  <c:v>556000</c:v>
                </c:pt>
                <c:pt idx="782">
                  <c:v>495000</c:v>
                </c:pt>
                <c:pt idx="783">
                  <c:v>545000</c:v>
                </c:pt>
                <c:pt idx="784">
                  <c:v>489000</c:v>
                </c:pt>
                <c:pt idx="785">
                  <c:v>564000</c:v>
                </c:pt>
                <c:pt idx="786">
                  <c:v>583000</c:v>
                </c:pt>
                <c:pt idx="787">
                  <c:v>556000</c:v>
                </c:pt>
                <c:pt idx="788">
                  <c:v>507000</c:v>
                </c:pt>
                <c:pt idx="789">
                  <c:v>544000</c:v>
                </c:pt>
                <c:pt idx="790">
                  <c:v>528000</c:v>
                </c:pt>
                <c:pt idx="791">
                  <c:v>556000</c:v>
                </c:pt>
                <c:pt idx="792">
                  <c:v>539000</c:v>
                </c:pt>
                <c:pt idx="793">
                  <c:v>557000</c:v>
                </c:pt>
                <c:pt idx="794">
                  <c:v>574000</c:v>
                </c:pt>
                <c:pt idx="795">
                  <c:v>578000</c:v>
                </c:pt>
                <c:pt idx="796">
                  <c:v>585000</c:v>
                </c:pt>
                <c:pt idx="797">
                  <c:v>597000</c:v>
                </c:pt>
                <c:pt idx="798">
                  <c:v>588000</c:v>
                </c:pt>
                <c:pt idx="799">
                  <c:v>576000</c:v>
                </c:pt>
                <c:pt idx="800">
                  <c:v>584000</c:v>
                </c:pt>
                <c:pt idx="801">
                  <c:v>585000</c:v>
                </c:pt>
                <c:pt idx="802">
                  <c:v>586000</c:v>
                </c:pt>
                <c:pt idx="803">
                  <c:v>588000</c:v>
                </c:pt>
                <c:pt idx="804">
                  <c:v>611000</c:v>
                </c:pt>
                <c:pt idx="805">
                  <c:v>614000</c:v>
                </c:pt>
                <c:pt idx="806">
                  <c:v>591000</c:v>
                </c:pt>
                <c:pt idx="807">
                  <c:v>582000</c:v>
                </c:pt>
                <c:pt idx="808">
                  <c:v>600000</c:v>
                </c:pt>
                <c:pt idx="809">
                  <c:v>572000</c:v>
                </c:pt>
                <c:pt idx="810">
                  <c:v>567000</c:v>
                </c:pt>
                <c:pt idx="811">
                  <c:v>536000</c:v>
                </c:pt>
                <c:pt idx="812">
                  <c:v>605000</c:v>
                </c:pt>
                <c:pt idx="813">
                  <c:v>606000</c:v>
                </c:pt>
                <c:pt idx="814">
                  <c:v>637000</c:v>
                </c:pt>
                <c:pt idx="815">
                  <c:v>628000</c:v>
                </c:pt>
                <c:pt idx="816">
                  <c:v>647000</c:v>
                </c:pt>
                <c:pt idx="817">
                  <c:v>651000</c:v>
                </c:pt>
                <c:pt idx="818">
                  <c:v>641000</c:v>
                </c:pt>
                <c:pt idx="819">
                  <c:v>680000</c:v>
                </c:pt>
                <c:pt idx="820">
                  <c:v>671000</c:v>
                </c:pt>
                <c:pt idx="821">
                  <c:v>695000</c:v>
                </c:pt>
                <c:pt idx="822">
                  <c:v>651000</c:v>
                </c:pt>
                <c:pt idx="823">
                  <c:v>656000</c:v>
                </c:pt>
                <c:pt idx="824">
                  <c:v>623000</c:v>
                </c:pt>
                <c:pt idx="825">
                  <c:v>637000</c:v>
                </c:pt>
                <c:pt idx="826">
                  <c:v>589000</c:v>
                </c:pt>
                <c:pt idx="827">
                  <c:v>599000</c:v>
                </c:pt>
                <c:pt idx="828">
                  <c:v>577000</c:v>
                </c:pt>
                <c:pt idx="829">
                  <c:v>612000</c:v>
                </c:pt>
                <c:pt idx="830">
                  <c:v>557000</c:v>
                </c:pt>
                <c:pt idx="831">
                  <c:v>533000</c:v>
                </c:pt>
                <c:pt idx="832">
                  <c:v>516000</c:v>
                </c:pt>
                <c:pt idx="833">
                  <c:v>489000</c:v>
                </c:pt>
                <c:pt idx="834">
                  <c:v>534000</c:v>
                </c:pt>
                <c:pt idx="835">
                  <c:v>510000</c:v>
                </c:pt>
                <c:pt idx="836">
                  <c:v>479000</c:v>
                </c:pt>
                <c:pt idx="837">
                  <c:v>479000</c:v>
                </c:pt>
                <c:pt idx="838">
                  <c:v>503000</c:v>
                </c:pt>
                <c:pt idx="839">
                  <c:v>501000</c:v>
                </c:pt>
                <c:pt idx="840">
                  <c:v>486000</c:v>
                </c:pt>
                <c:pt idx="841">
                  <c:v>487000</c:v>
                </c:pt>
                <c:pt idx="842">
                  <c:v>481000</c:v>
                </c:pt>
                <c:pt idx="843">
                  <c:v>495000</c:v>
                </c:pt>
                <c:pt idx="844">
                  <c:v>475000</c:v>
                </c:pt>
                <c:pt idx="845">
                  <c:v>470000</c:v>
                </c:pt>
                <c:pt idx="846">
                  <c:v>481000</c:v>
                </c:pt>
                <c:pt idx="847">
                  <c:v>491000</c:v>
                </c:pt>
                <c:pt idx="848">
                  <c:v>496000</c:v>
                </c:pt>
                <c:pt idx="849">
                  <c:v>515000</c:v>
                </c:pt>
                <c:pt idx="850">
                  <c:v>488000</c:v>
                </c:pt>
                <c:pt idx="851">
                  <c:v>490000</c:v>
                </c:pt>
                <c:pt idx="852">
                  <c:v>494000</c:v>
                </c:pt>
                <c:pt idx="853">
                  <c:v>464000</c:v>
                </c:pt>
                <c:pt idx="854">
                  <c:v>460000</c:v>
                </c:pt>
                <c:pt idx="855">
                  <c:v>454000</c:v>
                </c:pt>
                <c:pt idx="856">
                  <c:v>459000</c:v>
                </c:pt>
                <c:pt idx="857">
                  <c:v>442000</c:v>
                </c:pt>
                <c:pt idx="858">
                  <c:v>434000</c:v>
                </c:pt>
                <c:pt idx="859">
                  <c:v>442000</c:v>
                </c:pt>
                <c:pt idx="860">
                  <c:v>422000</c:v>
                </c:pt>
                <c:pt idx="861">
                  <c:v>412000</c:v>
                </c:pt>
                <c:pt idx="862">
                  <c:v>396000</c:v>
                </c:pt>
                <c:pt idx="863">
                  <c:v>395000</c:v>
                </c:pt>
                <c:pt idx="864">
                  <c:v>415000</c:v>
                </c:pt>
                <c:pt idx="865">
                  <c:v>415000</c:v>
                </c:pt>
                <c:pt idx="866">
                  <c:v>457000</c:v>
                </c:pt>
                <c:pt idx="867">
                  <c:v>445000</c:v>
                </c:pt>
                <c:pt idx="868">
                  <c:v>426000</c:v>
                </c:pt>
                <c:pt idx="869">
                  <c:v>411000</c:v>
                </c:pt>
                <c:pt idx="870">
                  <c:v>403000</c:v>
                </c:pt>
                <c:pt idx="871">
                  <c:v>405000</c:v>
                </c:pt>
                <c:pt idx="872">
                  <c:v>416000</c:v>
                </c:pt>
                <c:pt idx="873">
                  <c:v>413000</c:v>
                </c:pt>
                <c:pt idx="874">
                  <c:v>406000</c:v>
                </c:pt>
                <c:pt idx="875">
                  <c:v>394000</c:v>
                </c:pt>
                <c:pt idx="876">
                  <c:v>394000</c:v>
                </c:pt>
                <c:pt idx="877">
                  <c:v>404000</c:v>
                </c:pt>
                <c:pt idx="878">
                  <c:v>395000</c:v>
                </c:pt>
                <c:pt idx="879">
                  <c:v>390000</c:v>
                </c:pt>
                <c:pt idx="880">
                  <c:v>387000</c:v>
                </c:pt>
                <c:pt idx="881">
                  <c:v>398000</c:v>
                </c:pt>
                <c:pt idx="882">
                  <c:v>365000</c:v>
                </c:pt>
                <c:pt idx="883">
                  <c:v>368000</c:v>
                </c:pt>
                <c:pt idx="884">
                  <c:v>362000</c:v>
                </c:pt>
                <c:pt idx="885">
                  <c:v>377000</c:v>
                </c:pt>
                <c:pt idx="886">
                  <c:v>372000</c:v>
                </c:pt>
                <c:pt idx="887">
                  <c:v>356000</c:v>
                </c:pt>
                <c:pt idx="888">
                  <c:v>351000</c:v>
                </c:pt>
                <c:pt idx="889">
                  <c:v>333000</c:v>
                </c:pt>
                <c:pt idx="890">
                  <c:v>364000</c:v>
                </c:pt>
                <c:pt idx="891">
                  <c:v>342000</c:v>
                </c:pt>
                <c:pt idx="892">
                  <c:v>338000</c:v>
                </c:pt>
                <c:pt idx="893">
                  <c:v>334000</c:v>
                </c:pt>
                <c:pt idx="894">
                  <c:v>343000</c:v>
                </c:pt>
                <c:pt idx="895">
                  <c:v>347000</c:v>
                </c:pt>
                <c:pt idx="896">
                  <c:v>346000</c:v>
                </c:pt>
                <c:pt idx="897">
                  <c:v>349000</c:v>
                </c:pt>
                <c:pt idx="898">
                  <c:v>346000</c:v>
                </c:pt>
                <c:pt idx="899">
                  <c:v>341000</c:v>
                </c:pt>
                <c:pt idx="900">
                  <c:v>381000</c:v>
                </c:pt>
                <c:pt idx="901">
                  <c:v>357000</c:v>
                </c:pt>
                <c:pt idx="902">
                  <c:v>364000</c:v>
                </c:pt>
                <c:pt idx="903">
                  <c:v>375000</c:v>
                </c:pt>
                <c:pt idx="904">
                  <c:v>365000</c:v>
                </c:pt>
                <c:pt idx="905">
                  <c:v>368000</c:v>
                </c:pt>
                <c:pt idx="906">
                  <c:v>354000</c:v>
                </c:pt>
                <c:pt idx="907">
                  <c:v>354000</c:v>
                </c:pt>
                <c:pt idx="908">
                  <c:v>355000</c:v>
                </c:pt>
                <c:pt idx="909">
                  <c:v>369000</c:v>
                </c:pt>
                <c:pt idx="910">
                  <c:v>361000</c:v>
                </c:pt>
                <c:pt idx="911">
                  <c:v>362000</c:v>
                </c:pt>
                <c:pt idx="912">
                  <c:v>360000</c:v>
                </c:pt>
                <c:pt idx="913">
                  <c:v>366000</c:v>
                </c:pt>
                <c:pt idx="914">
                  <c:v>360000</c:v>
                </c:pt>
                <c:pt idx="915">
                  <c:v>357000</c:v>
                </c:pt>
                <c:pt idx="916">
                  <c:v>359000</c:v>
                </c:pt>
                <c:pt idx="917">
                  <c:v>382000</c:v>
                </c:pt>
                <c:pt idx="918">
                  <c:v>380000</c:v>
                </c:pt>
                <c:pt idx="919">
                  <c:v>401000</c:v>
                </c:pt>
                <c:pt idx="920">
                  <c:v>395000</c:v>
                </c:pt>
                <c:pt idx="921">
                  <c:v>385000</c:v>
                </c:pt>
                <c:pt idx="922">
                  <c:v>402000</c:v>
                </c:pt>
                <c:pt idx="923">
                  <c:v>393000</c:v>
                </c:pt>
                <c:pt idx="924">
                  <c:v>395000</c:v>
                </c:pt>
                <c:pt idx="925">
                  <c:v>402000</c:v>
                </c:pt>
                <c:pt idx="926">
                  <c:v>403000</c:v>
                </c:pt>
                <c:pt idx="927">
                  <c:v>410000</c:v>
                </c:pt>
                <c:pt idx="928">
                  <c:v>439000</c:v>
                </c:pt>
                <c:pt idx="929">
                  <c:v>425000</c:v>
                </c:pt>
                <c:pt idx="930">
                  <c:v>423000</c:v>
                </c:pt>
                <c:pt idx="931">
                  <c:v>393000</c:v>
                </c:pt>
                <c:pt idx="932">
                  <c:v>383000</c:v>
                </c:pt>
                <c:pt idx="933">
                  <c:v>429000</c:v>
                </c:pt>
                <c:pt idx="934">
                  <c:v>401000</c:v>
                </c:pt>
                <c:pt idx="935">
                  <c:v>383000</c:v>
                </c:pt>
                <c:pt idx="936">
                  <c:v>386000</c:v>
                </c:pt>
                <c:pt idx="937">
                  <c:v>379000</c:v>
                </c:pt>
                <c:pt idx="938">
                  <c:v>379000</c:v>
                </c:pt>
                <c:pt idx="939">
                  <c:v>369000</c:v>
                </c:pt>
                <c:pt idx="940">
                  <c:v>387000</c:v>
                </c:pt>
                <c:pt idx="941">
                  <c:v>359000</c:v>
                </c:pt>
                <c:pt idx="942">
                  <c:v>368000</c:v>
                </c:pt>
                <c:pt idx="943">
                  <c:v>386000</c:v>
                </c:pt>
                <c:pt idx="944">
                  <c:v>401000</c:v>
                </c:pt>
                <c:pt idx="945">
                  <c:v>390000</c:v>
                </c:pt>
                <c:pt idx="946">
                  <c:v>390000</c:v>
                </c:pt>
                <c:pt idx="947">
                  <c:v>374000</c:v>
                </c:pt>
                <c:pt idx="948">
                  <c:v>385000</c:v>
                </c:pt>
                <c:pt idx="949">
                  <c:v>386000</c:v>
                </c:pt>
                <c:pt idx="950">
                  <c:v>373000</c:v>
                </c:pt>
                <c:pt idx="951">
                  <c:v>386000</c:v>
                </c:pt>
                <c:pt idx="952">
                  <c:v>405000</c:v>
                </c:pt>
                <c:pt idx="953">
                  <c:v>411000</c:v>
                </c:pt>
                <c:pt idx="954">
                  <c:v>391000</c:v>
                </c:pt>
                <c:pt idx="955">
                  <c:v>386000</c:v>
                </c:pt>
                <c:pt idx="956">
                  <c:v>390000</c:v>
                </c:pt>
                <c:pt idx="957">
                  <c:v>394000</c:v>
                </c:pt>
                <c:pt idx="958">
                  <c:v>391000</c:v>
                </c:pt>
                <c:pt idx="959">
                  <c:v>396000</c:v>
                </c:pt>
                <c:pt idx="960">
                  <c:v>393000</c:v>
                </c:pt>
                <c:pt idx="961">
                  <c:v>403000</c:v>
                </c:pt>
                <c:pt idx="962">
                  <c:v>390000</c:v>
                </c:pt>
                <c:pt idx="963">
                  <c:v>386000</c:v>
                </c:pt>
                <c:pt idx="964">
                  <c:v>390000</c:v>
                </c:pt>
                <c:pt idx="965">
                  <c:v>395000</c:v>
                </c:pt>
                <c:pt idx="966">
                  <c:v>386000</c:v>
                </c:pt>
                <c:pt idx="967">
                  <c:v>370000</c:v>
                </c:pt>
                <c:pt idx="968">
                  <c:v>362000</c:v>
                </c:pt>
                <c:pt idx="969">
                  <c:v>407000</c:v>
                </c:pt>
                <c:pt idx="970">
                  <c:v>402000</c:v>
                </c:pt>
                <c:pt idx="971">
                  <c:v>399000</c:v>
                </c:pt>
                <c:pt idx="972">
                  <c:v>405000</c:v>
                </c:pt>
                <c:pt idx="973">
                  <c:v>409000</c:v>
                </c:pt>
                <c:pt idx="974">
                  <c:v>426000</c:v>
                </c:pt>
                <c:pt idx="975">
                  <c:v>408000</c:v>
                </c:pt>
                <c:pt idx="976">
                  <c:v>401000</c:v>
                </c:pt>
                <c:pt idx="977">
                  <c:v>399000</c:v>
                </c:pt>
                <c:pt idx="978">
                  <c:v>405000</c:v>
                </c:pt>
                <c:pt idx="979">
                  <c:v>400000</c:v>
                </c:pt>
                <c:pt idx="980">
                  <c:v>400000</c:v>
                </c:pt>
                <c:pt idx="981">
                  <c:v>418000</c:v>
                </c:pt>
                <c:pt idx="982">
                  <c:v>398000</c:v>
                </c:pt>
                <c:pt idx="983">
                  <c:v>397000</c:v>
                </c:pt>
                <c:pt idx="984">
                  <c:v>397000</c:v>
                </c:pt>
                <c:pt idx="985">
                  <c:v>382000</c:v>
                </c:pt>
                <c:pt idx="986">
                  <c:v>393000</c:v>
                </c:pt>
                <c:pt idx="987">
                  <c:v>399000</c:v>
                </c:pt>
                <c:pt idx="988">
                  <c:v>382000</c:v>
                </c:pt>
                <c:pt idx="989">
                  <c:v>370000</c:v>
                </c:pt>
                <c:pt idx="990">
                  <c:v>390000</c:v>
                </c:pt>
                <c:pt idx="991">
                  <c:v>362000</c:v>
                </c:pt>
                <c:pt idx="992">
                  <c:v>397000</c:v>
                </c:pt>
                <c:pt idx="993">
                  <c:v>364000</c:v>
                </c:pt>
                <c:pt idx="994">
                  <c:v>344000</c:v>
                </c:pt>
                <c:pt idx="995">
                  <c:v>364000</c:v>
                </c:pt>
                <c:pt idx="996">
                  <c:v>366000</c:v>
                </c:pt>
                <c:pt idx="997">
                  <c:v>358000</c:v>
                </c:pt>
                <c:pt idx="998">
                  <c:v>390000</c:v>
                </c:pt>
                <c:pt idx="999">
                  <c:v>375000</c:v>
                </c:pt>
                <c:pt idx="1000">
                  <c:v>366000</c:v>
                </c:pt>
                <c:pt idx="1001">
                  <c:v>382000</c:v>
                </c:pt>
                <c:pt idx="1002">
                  <c:v>387000</c:v>
                </c:pt>
                <c:pt idx="1003">
                  <c:v>396000</c:v>
                </c:pt>
                <c:pt idx="1004">
                  <c:v>381000</c:v>
                </c:pt>
                <c:pt idx="1005">
                  <c:v>388000</c:v>
                </c:pt>
                <c:pt idx="1006">
                  <c:v>383000</c:v>
                </c:pt>
                <c:pt idx="1007">
                  <c:v>391000</c:v>
                </c:pt>
                <c:pt idx="1008">
                  <c:v>392000</c:v>
                </c:pt>
                <c:pt idx="1009">
                  <c:v>395000</c:v>
                </c:pt>
                <c:pt idx="1010">
                  <c:v>384000</c:v>
                </c:pt>
                <c:pt idx="1011">
                  <c:v>386000</c:v>
                </c:pt>
                <c:pt idx="1012">
                  <c:v>373000</c:v>
                </c:pt>
                <c:pt idx="1013">
                  <c:v>375000</c:v>
                </c:pt>
                <c:pt idx="1014">
                  <c:v>369000</c:v>
                </c:pt>
                <c:pt idx="1015">
                  <c:v>367000</c:v>
                </c:pt>
                <c:pt idx="1016">
                  <c:v>371000</c:v>
                </c:pt>
                <c:pt idx="1017">
                  <c:v>371000</c:v>
                </c:pt>
                <c:pt idx="1018">
                  <c:v>361000</c:v>
                </c:pt>
                <c:pt idx="1019">
                  <c:v>354000</c:v>
                </c:pt>
                <c:pt idx="1020">
                  <c:v>362000</c:v>
                </c:pt>
                <c:pt idx="1021">
                  <c:v>416000</c:v>
                </c:pt>
                <c:pt idx="1022">
                  <c:v>416000</c:v>
                </c:pt>
                <c:pt idx="1023">
                  <c:v>407000</c:v>
                </c:pt>
                <c:pt idx="1024">
                  <c:v>397000</c:v>
                </c:pt>
                <c:pt idx="1025">
                  <c:v>401000</c:v>
                </c:pt>
                <c:pt idx="1026">
                  <c:v>400000</c:v>
                </c:pt>
                <c:pt idx="1027">
                  <c:v>394000</c:v>
                </c:pt>
                <c:pt idx="1028">
                  <c:v>399000</c:v>
                </c:pt>
                <c:pt idx="1029">
                  <c:v>389000</c:v>
                </c:pt>
                <c:pt idx="1030">
                  <c:v>391000</c:v>
                </c:pt>
                <c:pt idx="1031">
                  <c:v>387000</c:v>
                </c:pt>
                <c:pt idx="1032">
                  <c:v>385000</c:v>
                </c:pt>
                <c:pt idx="1033">
                  <c:v>370000</c:v>
                </c:pt>
                <c:pt idx="1034">
                  <c:v>364000</c:v>
                </c:pt>
                <c:pt idx="1035">
                  <c:v>349000</c:v>
                </c:pt>
                <c:pt idx="1036">
                  <c:v>368000</c:v>
                </c:pt>
                <c:pt idx="1037">
                  <c:v>369000</c:v>
                </c:pt>
                <c:pt idx="1038">
                  <c:v>366000</c:v>
                </c:pt>
                <c:pt idx="1039">
                  <c:v>363000</c:v>
                </c:pt>
                <c:pt idx="1040">
                  <c:v>375000</c:v>
                </c:pt>
                <c:pt idx="1041">
                  <c:v>350000</c:v>
                </c:pt>
                <c:pt idx="1042">
                  <c:v>345000</c:v>
                </c:pt>
                <c:pt idx="1043">
                  <c:v>323000</c:v>
                </c:pt>
                <c:pt idx="1044">
                  <c:v>348000</c:v>
                </c:pt>
                <c:pt idx="1045">
                  <c:v>341000</c:v>
                </c:pt>
                <c:pt idx="1046">
                  <c:v>346000</c:v>
                </c:pt>
                <c:pt idx="1047">
                  <c:v>370000</c:v>
                </c:pt>
                <c:pt idx="1048">
                  <c:v>368000</c:v>
                </c:pt>
                <c:pt idx="1049">
                  <c:v>338000</c:v>
                </c:pt>
                <c:pt idx="1050">
                  <c:v>341000</c:v>
                </c:pt>
                <c:pt idx="1051">
                  <c:v>348000</c:v>
                </c:pt>
                <c:pt idx="1052">
                  <c:v>337000</c:v>
                </c:pt>
                <c:pt idx="1053">
                  <c:v>335000</c:v>
                </c:pt>
                <c:pt idx="1054">
                  <c:v>335000</c:v>
                </c:pt>
                <c:pt idx="1055">
                  <c:v>326000</c:v>
                </c:pt>
                <c:pt idx="1056">
                  <c:v>330000</c:v>
                </c:pt>
                <c:pt idx="1057">
                  <c:v>338000</c:v>
                </c:pt>
                <c:pt idx="1058">
                  <c:v>349000</c:v>
                </c:pt>
                <c:pt idx="1059">
                  <c:v>328000</c:v>
                </c:pt>
                <c:pt idx="1060">
                  <c:v>330000</c:v>
                </c:pt>
                <c:pt idx="1061">
                  <c:v>315000</c:v>
                </c:pt>
                <c:pt idx="1062">
                  <c:v>341000</c:v>
                </c:pt>
                <c:pt idx="1063">
                  <c:v>343000</c:v>
                </c:pt>
                <c:pt idx="1064">
                  <c:v>326000</c:v>
                </c:pt>
                <c:pt idx="1065">
                  <c:v>328000</c:v>
                </c:pt>
                <c:pt idx="1066">
                  <c:v>316000</c:v>
                </c:pt>
                <c:pt idx="1067">
                  <c:v>319000</c:v>
                </c:pt>
                <c:pt idx="1068">
                  <c:v>326000</c:v>
                </c:pt>
                <c:pt idx="1069">
                  <c:v>326000</c:v>
                </c:pt>
                <c:pt idx="1070">
                  <c:v>317000</c:v>
                </c:pt>
                <c:pt idx="1071">
                  <c:v>310000</c:v>
                </c:pt>
                <c:pt idx="1072">
                  <c:v>324000</c:v>
                </c:pt>
                <c:pt idx="1073">
                  <c:v>348000</c:v>
                </c:pt>
                <c:pt idx="1074">
                  <c:v>327000</c:v>
                </c:pt>
                <c:pt idx="1075">
                  <c:v>319000</c:v>
                </c:pt>
                <c:pt idx="1076">
                  <c:v>312000</c:v>
                </c:pt>
                <c:pt idx="1077">
                  <c:v>322000</c:v>
                </c:pt>
                <c:pt idx="1078">
                  <c:v>316000</c:v>
                </c:pt>
                <c:pt idx="1079">
                  <c:v>297000</c:v>
                </c:pt>
                <c:pt idx="1080">
                  <c:v>309000</c:v>
                </c:pt>
                <c:pt idx="1081">
                  <c:v>317000</c:v>
                </c:pt>
                <c:pt idx="1082">
                  <c:v>301000</c:v>
                </c:pt>
                <c:pt idx="1083">
                  <c:v>308000</c:v>
                </c:pt>
                <c:pt idx="1084">
                  <c:v>301000</c:v>
                </c:pt>
                <c:pt idx="1085">
                  <c:v>301000</c:v>
                </c:pt>
                <c:pt idx="1086">
                  <c:v>289000</c:v>
                </c:pt>
                <c:pt idx="1087">
                  <c:v>297000</c:v>
                </c:pt>
                <c:pt idx="1088">
                  <c:v>307000</c:v>
                </c:pt>
                <c:pt idx="1089">
                  <c:v>317000</c:v>
                </c:pt>
                <c:pt idx="1090">
                  <c:v>306000</c:v>
                </c:pt>
                <c:pt idx="1091">
                  <c:v>319000</c:v>
                </c:pt>
                <c:pt idx="1092">
                  <c:v>317000</c:v>
                </c:pt>
                <c:pt idx="1093">
                  <c:v>323000</c:v>
                </c:pt>
                <c:pt idx="1094">
                  <c:v>316000</c:v>
                </c:pt>
                <c:pt idx="1095">
                  <c:v>315000</c:v>
                </c:pt>
                <c:pt idx="1096">
                  <c:v>325000</c:v>
                </c:pt>
                <c:pt idx="1097">
                  <c:v>361000</c:v>
                </c:pt>
                <c:pt idx="1098">
                  <c:v>335000</c:v>
                </c:pt>
                <c:pt idx="1099">
                  <c:v>342000</c:v>
                </c:pt>
                <c:pt idx="1100">
                  <c:v>318000</c:v>
                </c:pt>
                <c:pt idx="1101">
                  <c:v>311000</c:v>
                </c:pt>
                <c:pt idx="1102">
                  <c:v>327000</c:v>
                </c:pt>
                <c:pt idx="1103">
                  <c:v>319000</c:v>
                </c:pt>
                <c:pt idx="1104">
                  <c:v>307000</c:v>
                </c:pt>
                <c:pt idx="1105">
                  <c:v>304000</c:v>
                </c:pt>
                <c:pt idx="1106">
                  <c:v>307000</c:v>
                </c:pt>
                <c:pt idx="1107">
                  <c:v>304000</c:v>
                </c:pt>
                <c:pt idx="1108">
                  <c:v>309000</c:v>
                </c:pt>
                <c:pt idx="1109">
                  <c:v>313000</c:v>
                </c:pt>
                <c:pt idx="1110">
                  <c:v>314000</c:v>
                </c:pt>
                <c:pt idx="1111">
                  <c:v>312000</c:v>
                </c:pt>
                <c:pt idx="1112">
                  <c:v>313000</c:v>
                </c:pt>
                <c:pt idx="1113">
                  <c:v>309000</c:v>
                </c:pt>
                <c:pt idx="1114">
                  <c:v>314000</c:v>
                </c:pt>
                <c:pt idx="1115">
                  <c:v>319000</c:v>
                </c:pt>
                <c:pt idx="1116">
                  <c:v>313000</c:v>
                </c:pt>
                <c:pt idx="1117">
                  <c:v>310000</c:v>
                </c:pt>
                <c:pt idx="1118">
                  <c:v>305000</c:v>
                </c:pt>
                <c:pt idx="1119">
                  <c:v>311000</c:v>
                </c:pt>
                <c:pt idx="1120">
                  <c:v>307000</c:v>
                </c:pt>
                <c:pt idx="1121">
                  <c:v>305000</c:v>
                </c:pt>
                <c:pt idx="1122">
                  <c:v>303000</c:v>
                </c:pt>
                <c:pt idx="1123">
                  <c:v>315000</c:v>
                </c:pt>
                <c:pt idx="1124">
                  <c:v>354000</c:v>
                </c:pt>
                <c:pt idx="1125">
                  <c:v>331000</c:v>
                </c:pt>
                <c:pt idx="1126">
                  <c:v>316000</c:v>
                </c:pt>
                <c:pt idx="1127">
                  <c:v>312000</c:v>
                </c:pt>
                <c:pt idx="1128">
                  <c:v>316000</c:v>
                </c:pt>
                <c:pt idx="1129">
                  <c:v>315000</c:v>
                </c:pt>
                <c:pt idx="1130">
                  <c:v>306000</c:v>
                </c:pt>
                <c:pt idx="1131">
                  <c:v>305000</c:v>
                </c:pt>
                <c:pt idx="1132">
                  <c:v>306000</c:v>
                </c:pt>
                <c:pt idx="1133">
                  <c:v>301000</c:v>
                </c:pt>
                <c:pt idx="1134">
                  <c:v>292000</c:v>
                </c:pt>
                <c:pt idx="1135">
                  <c:v>292000</c:v>
                </c:pt>
                <c:pt idx="1136">
                  <c:v>293000</c:v>
                </c:pt>
                <c:pt idx="1137">
                  <c:v>286000</c:v>
                </c:pt>
                <c:pt idx="1138">
                  <c:v>294000</c:v>
                </c:pt>
                <c:pt idx="1139">
                  <c:v>285000</c:v>
                </c:pt>
                <c:pt idx="1140">
                  <c:v>284000</c:v>
                </c:pt>
                <c:pt idx="1141">
                  <c:v>294000</c:v>
                </c:pt>
                <c:pt idx="1142">
                  <c:v>299000</c:v>
                </c:pt>
                <c:pt idx="1143">
                  <c:v>298000</c:v>
                </c:pt>
                <c:pt idx="1144">
                  <c:v>285000</c:v>
                </c:pt>
                <c:pt idx="1145">
                  <c:v>293000</c:v>
                </c:pt>
                <c:pt idx="1146">
                  <c:v>286000</c:v>
                </c:pt>
                <c:pt idx="1147">
                  <c:v>304000</c:v>
                </c:pt>
                <c:pt idx="1148">
                  <c:v>299000</c:v>
                </c:pt>
                <c:pt idx="1149">
                  <c:v>283000</c:v>
                </c:pt>
                <c:pt idx="1150">
                  <c:v>282000</c:v>
                </c:pt>
                <c:pt idx="1151">
                  <c:v>295000</c:v>
                </c:pt>
                <c:pt idx="1152">
                  <c:v>288000</c:v>
                </c:pt>
                <c:pt idx="1153">
                  <c:v>322000</c:v>
                </c:pt>
                <c:pt idx="1154">
                  <c:v>305000</c:v>
                </c:pt>
                <c:pt idx="1155">
                  <c:v>300000</c:v>
                </c:pt>
                <c:pt idx="1156">
                  <c:v>325000</c:v>
                </c:pt>
                <c:pt idx="1157">
                  <c:v>325000</c:v>
                </c:pt>
                <c:pt idx="1158">
                  <c:v>319000</c:v>
                </c:pt>
                <c:pt idx="1159">
                  <c:v>319000</c:v>
                </c:pt>
                <c:pt idx="1160">
                  <c:v>323000</c:v>
                </c:pt>
                <c:pt idx="1161">
                  <c:v>314000</c:v>
                </c:pt>
                <c:pt idx="1162">
                  <c:v>307000</c:v>
                </c:pt>
                <c:pt idx="1163">
                  <c:v>304000</c:v>
                </c:pt>
                <c:pt idx="1164">
                  <c:v>311000</c:v>
                </c:pt>
                <c:pt idx="1165">
                  <c:v>320000</c:v>
                </c:pt>
                <c:pt idx="1166">
                  <c:v>332000</c:v>
                </c:pt>
                <c:pt idx="1167">
                  <c:v>321000</c:v>
                </c:pt>
                <c:pt idx="1168">
                  <c:v>325000</c:v>
                </c:pt>
                <c:pt idx="1169">
                  <c:v>325000</c:v>
                </c:pt>
                <c:pt idx="1170">
                  <c:v>332000</c:v>
                </c:pt>
                <c:pt idx="1171">
                  <c:v>337000</c:v>
                </c:pt>
                <c:pt idx="1172">
                  <c:v>338000</c:v>
                </c:pt>
                <c:pt idx="1173">
                  <c:v>349000</c:v>
                </c:pt>
                <c:pt idx="1174">
                  <c:v>341000</c:v>
                </c:pt>
                <c:pt idx="1175">
                  <c:v>349000</c:v>
                </c:pt>
                <c:pt idx="1176">
                  <c:v>332000</c:v>
                </c:pt>
                <c:pt idx="1177">
                  <c:v>337000</c:v>
                </c:pt>
                <c:pt idx="1178">
                  <c:v>338000</c:v>
                </c:pt>
                <c:pt idx="1179">
                  <c:v>341000</c:v>
                </c:pt>
                <c:pt idx="1180">
                  <c:v>327000</c:v>
                </c:pt>
                <c:pt idx="1181">
                  <c:v>332000</c:v>
                </c:pt>
                <c:pt idx="1182">
                  <c:v>329000</c:v>
                </c:pt>
                <c:pt idx="1183">
                  <c:v>336000</c:v>
                </c:pt>
                <c:pt idx="1184">
                  <c:v>334000</c:v>
                </c:pt>
                <c:pt idx="1185">
                  <c:v>334000</c:v>
                </c:pt>
                <c:pt idx="1186">
                  <c:v>347000</c:v>
                </c:pt>
                <c:pt idx="1187">
                  <c:v>407000</c:v>
                </c:pt>
                <c:pt idx="1188">
                  <c:v>345000</c:v>
                </c:pt>
                <c:pt idx="1189">
                  <c:v>347000</c:v>
                </c:pt>
                <c:pt idx="1190">
                  <c:v>354000</c:v>
                </c:pt>
                <c:pt idx="1191">
                  <c:v>333000</c:v>
                </c:pt>
                <c:pt idx="1192">
                  <c:v>336000</c:v>
                </c:pt>
                <c:pt idx="1193">
                  <c:v>336000</c:v>
                </c:pt>
                <c:pt idx="1194">
                  <c:v>342000</c:v>
                </c:pt>
                <c:pt idx="1195">
                  <c:v>344000</c:v>
                </c:pt>
                <c:pt idx="1196">
                  <c:v>338000</c:v>
                </c:pt>
                <c:pt idx="1197">
                  <c:v>355000</c:v>
                </c:pt>
                <c:pt idx="1198">
                  <c:v>381000</c:v>
                </c:pt>
                <c:pt idx="1199">
                  <c:v>358000</c:v>
                </c:pt>
                <c:pt idx="1200">
                  <c:v>355000</c:v>
                </c:pt>
                <c:pt idx="1201">
                  <c:v>369000</c:v>
                </c:pt>
                <c:pt idx="1202">
                  <c:v>375000</c:v>
                </c:pt>
                <c:pt idx="1203">
                  <c:v>345000</c:v>
                </c:pt>
                <c:pt idx="1204">
                  <c:v>368000</c:v>
                </c:pt>
                <c:pt idx="1205">
                  <c:v>367000</c:v>
                </c:pt>
                <c:pt idx="1206">
                  <c:v>348000</c:v>
                </c:pt>
                <c:pt idx="1207">
                  <c:v>350000</c:v>
                </c:pt>
                <c:pt idx="1208">
                  <c:v>351000</c:v>
                </c:pt>
                <c:pt idx="1209">
                  <c:v>349000</c:v>
                </c:pt>
                <c:pt idx="1210">
                  <c:v>349000</c:v>
                </c:pt>
                <c:pt idx="1211">
                  <c:v>331000</c:v>
                </c:pt>
                <c:pt idx="1212">
                  <c:v>346000</c:v>
                </c:pt>
                <c:pt idx="1213">
                  <c:v>367000</c:v>
                </c:pt>
                <c:pt idx="1214">
                  <c:v>357000</c:v>
                </c:pt>
                <c:pt idx="1215">
                  <c:v>360000</c:v>
                </c:pt>
                <c:pt idx="1216">
                  <c:v>363000</c:v>
                </c:pt>
                <c:pt idx="1217">
                  <c:v>354000</c:v>
                </c:pt>
                <c:pt idx="1218">
                  <c:v>355000</c:v>
                </c:pt>
                <c:pt idx="1219">
                  <c:v>353000</c:v>
                </c:pt>
                <c:pt idx="1220">
                  <c:v>359000</c:v>
                </c:pt>
                <c:pt idx="1221">
                  <c:v>368000</c:v>
                </c:pt>
                <c:pt idx="1222">
                  <c:v>359000</c:v>
                </c:pt>
                <c:pt idx="1223">
                  <c:v>359000</c:v>
                </c:pt>
                <c:pt idx="1224">
                  <c:v>362000</c:v>
                </c:pt>
                <c:pt idx="1225">
                  <c:v>364000</c:v>
                </c:pt>
                <c:pt idx="1226">
                  <c:v>362000</c:v>
                </c:pt>
                <c:pt idx="1227">
                  <c:v>367000</c:v>
                </c:pt>
                <c:pt idx="1228">
                  <c:v>370000</c:v>
                </c:pt>
                <c:pt idx="1229">
                  <c:v>369000</c:v>
                </c:pt>
                <c:pt idx="1230">
                  <c:v>369000</c:v>
                </c:pt>
                <c:pt idx="1231">
                  <c:v>381000</c:v>
                </c:pt>
                <c:pt idx="1232">
                  <c:v>393000</c:v>
                </c:pt>
                <c:pt idx="1233">
                  <c:v>394000</c:v>
                </c:pt>
                <c:pt idx="1234">
                  <c:v>392000</c:v>
                </c:pt>
                <c:pt idx="1235">
                  <c:v>390000</c:v>
                </c:pt>
                <c:pt idx="1236">
                  <c:v>395000</c:v>
                </c:pt>
                <c:pt idx="1237">
                  <c:v>389000</c:v>
                </c:pt>
                <c:pt idx="1238">
                  <c:v>404000</c:v>
                </c:pt>
                <c:pt idx="1239">
                  <c:v>404000</c:v>
                </c:pt>
                <c:pt idx="1240">
                  <c:v>422000</c:v>
                </c:pt>
                <c:pt idx="1241">
                  <c:v>435000</c:v>
                </c:pt>
                <c:pt idx="1242">
                  <c:v>440000</c:v>
                </c:pt>
                <c:pt idx="1243">
                  <c:v>430000</c:v>
                </c:pt>
                <c:pt idx="1244">
                  <c:v>448000</c:v>
                </c:pt>
                <c:pt idx="1245">
                  <c:v>447000</c:v>
                </c:pt>
                <c:pt idx="1246">
                  <c:v>462000</c:v>
                </c:pt>
                <c:pt idx="1247">
                  <c:v>451000</c:v>
                </c:pt>
                <c:pt idx="1248">
                  <c:v>449000</c:v>
                </c:pt>
                <c:pt idx="1249">
                  <c:v>447000</c:v>
                </c:pt>
                <c:pt idx="1250">
                  <c:v>474000</c:v>
                </c:pt>
                <c:pt idx="1251">
                  <c:v>454000</c:v>
                </c:pt>
                <c:pt idx="1252">
                  <c:v>415000</c:v>
                </c:pt>
                <c:pt idx="1253">
                  <c:v>437000</c:v>
                </c:pt>
                <c:pt idx="1254">
                  <c:v>445000</c:v>
                </c:pt>
                <c:pt idx="1255">
                  <c:v>462000</c:v>
                </c:pt>
                <c:pt idx="1256">
                  <c:v>483000</c:v>
                </c:pt>
                <c:pt idx="1257">
                  <c:v>480000</c:v>
                </c:pt>
                <c:pt idx="1258">
                  <c:v>474000</c:v>
                </c:pt>
                <c:pt idx="1259">
                  <c:v>499000</c:v>
                </c:pt>
                <c:pt idx="1260">
                  <c:v>488000</c:v>
                </c:pt>
                <c:pt idx="1261">
                  <c:v>499000</c:v>
                </c:pt>
                <c:pt idx="1262">
                  <c:v>498000</c:v>
                </c:pt>
                <c:pt idx="1263">
                  <c:v>509000</c:v>
                </c:pt>
                <c:pt idx="1264">
                  <c:v>499000</c:v>
                </c:pt>
                <c:pt idx="1265">
                  <c:v>452000</c:v>
                </c:pt>
                <c:pt idx="1266">
                  <c:v>477000</c:v>
                </c:pt>
                <c:pt idx="1267">
                  <c:v>478000</c:v>
                </c:pt>
                <c:pt idx="1268">
                  <c:v>462000</c:v>
                </c:pt>
                <c:pt idx="1269">
                  <c:v>451000</c:v>
                </c:pt>
                <c:pt idx="1270">
                  <c:v>446000</c:v>
                </c:pt>
                <c:pt idx="1271">
                  <c:v>448000</c:v>
                </c:pt>
                <c:pt idx="1272">
                  <c:v>443000</c:v>
                </c:pt>
                <c:pt idx="1273">
                  <c:v>432000</c:v>
                </c:pt>
                <c:pt idx="1274">
                  <c:v>441000</c:v>
                </c:pt>
                <c:pt idx="1275">
                  <c:v>429000</c:v>
                </c:pt>
                <c:pt idx="1276">
                  <c:v>423000</c:v>
                </c:pt>
                <c:pt idx="1277">
                  <c:v>418000</c:v>
                </c:pt>
                <c:pt idx="1278">
                  <c:v>422000</c:v>
                </c:pt>
                <c:pt idx="1279">
                  <c:v>420000</c:v>
                </c:pt>
                <c:pt idx="1280">
                  <c:v>408000</c:v>
                </c:pt>
                <c:pt idx="1281">
                  <c:v>423000</c:v>
                </c:pt>
                <c:pt idx="1282">
                  <c:v>438000</c:v>
                </c:pt>
                <c:pt idx="1283">
                  <c:v>437000</c:v>
                </c:pt>
                <c:pt idx="1284">
                  <c:v>433000</c:v>
                </c:pt>
                <c:pt idx="1285">
                  <c:v>425000</c:v>
                </c:pt>
                <c:pt idx="1286">
                  <c:v>425000</c:v>
                </c:pt>
                <c:pt idx="1287">
                  <c:v>424000</c:v>
                </c:pt>
                <c:pt idx="1288">
                  <c:v>418000</c:v>
                </c:pt>
                <c:pt idx="1289">
                  <c:v>419000</c:v>
                </c:pt>
                <c:pt idx="1290">
                  <c:v>437000</c:v>
                </c:pt>
                <c:pt idx="1291">
                  <c:v>424000</c:v>
                </c:pt>
                <c:pt idx="1292">
                  <c:v>425000</c:v>
                </c:pt>
                <c:pt idx="1293">
                  <c:v>419000</c:v>
                </c:pt>
                <c:pt idx="1294">
                  <c:v>423000</c:v>
                </c:pt>
                <c:pt idx="1295">
                  <c:v>447000</c:v>
                </c:pt>
                <c:pt idx="1296">
                  <c:v>453000</c:v>
                </c:pt>
                <c:pt idx="1297">
                  <c:v>439000</c:v>
                </c:pt>
                <c:pt idx="1298">
                  <c:v>444000</c:v>
                </c:pt>
                <c:pt idx="1299">
                  <c:v>444000</c:v>
                </c:pt>
                <c:pt idx="1300">
                  <c:v>475000</c:v>
                </c:pt>
                <c:pt idx="1301">
                  <c:v>475000</c:v>
                </c:pt>
                <c:pt idx="1302">
                  <c:v>436000</c:v>
                </c:pt>
                <c:pt idx="1303">
                  <c:v>441000</c:v>
                </c:pt>
                <c:pt idx="1304">
                  <c:v>432000</c:v>
                </c:pt>
                <c:pt idx="1305">
                  <c:v>440000</c:v>
                </c:pt>
                <c:pt idx="1306">
                  <c:v>443000</c:v>
                </c:pt>
                <c:pt idx="1307">
                  <c:v>441000</c:v>
                </c:pt>
                <c:pt idx="1308">
                  <c:v>440000</c:v>
                </c:pt>
                <c:pt idx="1309">
                  <c:v>445000</c:v>
                </c:pt>
                <c:pt idx="1310">
                  <c:v>446000</c:v>
                </c:pt>
                <c:pt idx="1311">
                  <c:v>436000</c:v>
                </c:pt>
                <c:pt idx="1312">
                  <c:v>444000</c:v>
                </c:pt>
                <c:pt idx="1313">
                  <c:v>421000</c:v>
                </c:pt>
                <c:pt idx="1314">
                  <c:v>437000</c:v>
                </c:pt>
                <c:pt idx="1315">
                  <c:v>440000</c:v>
                </c:pt>
                <c:pt idx="1316">
                  <c:v>420000</c:v>
                </c:pt>
                <c:pt idx="1317">
                  <c:v>412000</c:v>
                </c:pt>
                <c:pt idx="1318">
                  <c:v>413000</c:v>
                </c:pt>
                <c:pt idx="1319">
                  <c:v>424000</c:v>
                </c:pt>
                <c:pt idx="1320">
                  <c:v>424000</c:v>
                </c:pt>
                <c:pt idx="1321">
                  <c:v>431000</c:v>
                </c:pt>
                <c:pt idx="1322">
                  <c:v>417000</c:v>
                </c:pt>
                <c:pt idx="1323">
                  <c:v>414000</c:v>
                </c:pt>
                <c:pt idx="1324">
                  <c:v>414000</c:v>
                </c:pt>
                <c:pt idx="1325">
                  <c:v>411000</c:v>
                </c:pt>
                <c:pt idx="1326">
                  <c:v>416000</c:v>
                </c:pt>
                <c:pt idx="1327">
                  <c:v>420000</c:v>
                </c:pt>
                <c:pt idx="1328">
                  <c:v>419000</c:v>
                </c:pt>
                <c:pt idx="1329">
                  <c:v>420000</c:v>
                </c:pt>
                <c:pt idx="1330">
                  <c:v>407000</c:v>
                </c:pt>
                <c:pt idx="1331">
                  <c:v>408000</c:v>
                </c:pt>
                <c:pt idx="1332">
                  <c:v>392000</c:v>
                </c:pt>
                <c:pt idx="1333">
                  <c:v>564000</c:v>
                </c:pt>
                <c:pt idx="1334">
                  <c:v>423000</c:v>
                </c:pt>
                <c:pt idx="1335">
                  <c:v>406000</c:v>
                </c:pt>
                <c:pt idx="1336">
                  <c:v>401000</c:v>
                </c:pt>
                <c:pt idx="1337">
                  <c:v>398000</c:v>
                </c:pt>
                <c:pt idx="1338">
                  <c:v>408000</c:v>
                </c:pt>
                <c:pt idx="1339">
                  <c:v>416000</c:v>
                </c:pt>
                <c:pt idx="1340">
                  <c:v>416000</c:v>
                </c:pt>
                <c:pt idx="1341">
                  <c:v>427000</c:v>
                </c:pt>
                <c:pt idx="1342">
                  <c:v>409000</c:v>
                </c:pt>
                <c:pt idx="1343">
                  <c:v>398000</c:v>
                </c:pt>
                <c:pt idx="1344">
                  <c:v>374000</c:v>
                </c:pt>
                <c:pt idx="1345">
                  <c:v>385000</c:v>
                </c:pt>
                <c:pt idx="1346">
                  <c:v>367000</c:v>
                </c:pt>
                <c:pt idx="1347">
                  <c:v>365000</c:v>
                </c:pt>
                <c:pt idx="1348">
                  <c:v>374000</c:v>
                </c:pt>
                <c:pt idx="1349">
                  <c:v>377000</c:v>
                </c:pt>
                <c:pt idx="1350">
                  <c:v>357000</c:v>
                </c:pt>
                <c:pt idx="1351">
                  <c:v>341000</c:v>
                </c:pt>
                <c:pt idx="1352">
                  <c:v>350000</c:v>
                </c:pt>
                <c:pt idx="1353">
                  <c:v>359000</c:v>
                </c:pt>
                <c:pt idx="1354">
                  <c:v>334000</c:v>
                </c:pt>
                <c:pt idx="1355">
                  <c:v>313000</c:v>
                </c:pt>
                <c:pt idx="1356">
                  <c:v>341000</c:v>
                </c:pt>
                <c:pt idx="1357">
                  <c:v>354000</c:v>
                </c:pt>
                <c:pt idx="1358">
                  <c:v>352000</c:v>
                </c:pt>
                <c:pt idx="1359">
                  <c:v>341000</c:v>
                </c:pt>
                <c:pt idx="1360">
                  <c:v>340000</c:v>
                </c:pt>
                <c:pt idx="1361">
                  <c:v>319000</c:v>
                </c:pt>
                <c:pt idx="1362">
                  <c:v>321000</c:v>
                </c:pt>
                <c:pt idx="1363">
                  <c:v>351000</c:v>
                </c:pt>
                <c:pt idx="1364">
                  <c:v>362000</c:v>
                </c:pt>
                <c:pt idx="1365">
                  <c:v>354000</c:v>
                </c:pt>
                <c:pt idx="1366">
                  <c:v>346000</c:v>
                </c:pt>
                <c:pt idx="1367">
                  <c:v>338000</c:v>
                </c:pt>
                <c:pt idx="1368">
                  <c:v>366000</c:v>
                </c:pt>
                <c:pt idx="1369">
                  <c:v>365000</c:v>
                </c:pt>
                <c:pt idx="1370">
                  <c:v>353000</c:v>
                </c:pt>
                <c:pt idx="1371">
                  <c:v>351000</c:v>
                </c:pt>
                <c:pt idx="1372">
                  <c:v>350000</c:v>
                </c:pt>
                <c:pt idx="1373">
                  <c:v>343000</c:v>
                </c:pt>
                <c:pt idx="1374">
                  <c:v>339000</c:v>
                </c:pt>
                <c:pt idx="1375">
                  <c:v>345000</c:v>
                </c:pt>
                <c:pt idx="1376">
                  <c:v>342000</c:v>
                </c:pt>
                <c:pt idx="1377">
                  <c:v>349000</c:v>
                </c:pt>
                <c:pt idx="1378">
                  <c:v>343000</c:v>
                </c:pt>
                <c:pt idx="1379">
                  <c:v>343000</c:v>
                </c:pt>
                <c:pt idx="1380">
                  <c:v>345000</c:v>
                </c:pt>
                <c:pt idx="1381">
                  <c:v>340000</c:v>
                </c:pt>
                <c:pt idx="1382">
                  <c:v>334000</c:v>
                </c:pt>
                <c:pt idx="1383">
                  <c:v>314000</c:v>
                </c:pt>
                <c:pt idx="1384">
                  <c:v>335000</c:v>
                </c:pt>
                <c:pt idx="1385">
                  <c:v>415000</c:v>
                </c:pt>
                <c:pt idx="1386">
                  <c:v>356000</c:v>
                </c:pt>
                <c:pt idx="1387">
                  <c:v>346000</c:v>
                </c:pt>
                <c:pt idx="1388">
                  <c:v>339000</c:v>
                </c:pt>
                <c:pt idx="1389">
                  <c:v>342000</c:v>
                </c:pt>
                <c:pt idx="1390">
                  <c:v>337000</c:v>
                </c:pt>
                <c:pt idx="1391">
                  <c:v>334000</c:v>
                </c:pt>
                <c:pt idx="1392">
                  <c:v>333000</c:v>
                </c:pt>
                <c:pt idx="1393">
                  <c:v>346000</c:v>
                </c:pt>
                <c:pt idx="1394">
                  <c:v>343000</c:v>
                </c:pt>
                <c:pt idx="1395">
                  <c:v>333000</c:v>
                </c:pt>
                <c:pt idx="1396">
                  <c:v>355000</c:v>
                </c:pt>
                <c:pt idx="1397">
                  <c:v>359000</c:v>
                </c:pt>
                <c:pt idx="1398">
                  <c:v>354000</c:v>
                </c:pt>
                <c:pt idx="1399">
                  <c:v>348000</c:v>
                </c:pt>
                <c:pt idx="1400">
                  <c:v>350000</c:v>
                </c:pt>
                <c:pt idx="1401">
                  <c:v>341000</c:v>
                </c:pt>
                <c:pt idx="1402">
                  <c:v>336000</c:v>
                </c:pt>
                <c:pt idx="1403">
                  <c:v>337000</c:v>
                </c:pt>
                <c:pt idx="1404">
                  <c:v>337000</c:v>
                </c:pt>
                <c:pt idx="1405">
                  <c:v>334000</c:v>
                </c:pt>
                <c:pt idx="1406">
                  <c:v>331000</c:v>
                </c:pt>
                <c:pt idx="1407">
                  <c:v>290000</c:v>
                </c:pt>
                <c:pt idx="1408">
                  <c:v>341000</c:v>
                </c:pt>
                <c:pt idx="1409">
                  <c:v>343000</c:v>
                </c:pt>
                <c:pt idx="1410">
                  <c:v>355000</c:v>
                </c:pt>
                <c:pt idx="1411">
                  <c:v>351000</c:v>
                </c:pt>
                <c:pt idx="1412">
                  <c:v>406000</c:v>
                </c:pt>
                <c:pt idx="1413">
                  <c:v>361000</c:v>
                </c:pt>
                <c:pt idx="1414">
                  <c:v>354000</c:v>
                </c:pt>
                <c:pt idx="1415">
                  <c:v>352000</c:v>
                </c:pt>
                <c:pt idx="1416">
                  <c:v>327000</c:v>
                </c:pt>
                <c:pt idx="1417">
                  <c:v>348000</c:v>
                </c:pt>
                <c:pt idx="1418">
                  <c:v>341000</c:v>
                </c:pt>
                <c:pt idx="1419">
                  <c:v>332000</c:v>
                </c:pt>
                <c:pt idx="1420">
                  <c:v>322000</c:v>
                </c:pt>
                <c:pt idx="1421">
                  <c:v>342000</c:v>
                </c:pt>
                <c:pt idx="1422">
                  <c:v>349000</c:v>
                </c:pt>
                <c:pt idx="1423">
                  <c:v>354000</c:v>
                </c:pt>
                <c:pt idx="1424">
                  <c:v>331000</c:v>
                </c:pt>
                <c:pt idx="1425">
                  <c:v>344000</c:v>
                </c:pt>
                <c:pt idx="1426">
                  <c:v>371000</c:v>
                </c:pt>
                <c:pt idx="1427">
                  <c:v>360000</c:v>
                </c:pt>
                <c:pt idx="1428">
                  <c:v>357000</c:v>
                </c:pt>
                <c:pt idx="1429">
                  <c:v>348000</c:v>
                </c:pt>
                <c:pt idx="1430">
                  <c:v>345000</c:v>
                </c:pt>
                <c:pt idx="1431">
                  <c:v>338000</c:v>
                </c:pt>
                <c:pt idx="1432">
                  <c:v>336000</c:v>
                </c:pt>
                <c:pt idx="1433">
                  <c:v>341000</c:v>
                </c:pt>
                <c:pt idx="1434">
                  <c:v>334000</c:v>
                </c:pt>
                <c:pt idx="1435">
                  <c:v>341000</c:v>
                </c:pt>
                <c:pt idx="1436">
                  <c:v>359000</c:v>
                </c:pt>
                <c:pt idx="1437">
                  <c:v>345000</c:v>
                </c:pt>
                <c:pt idx="1438">
                  <c:v>332000</c:v>
                </c:pt>
                <c:pt idx="1439">
                  <c:v>338000</c:v>
                </c:pt>
                <c:pt idx="1440">
                  <c:v>335000</c:v>
                </c:pt>
                <c:pt idx="1441">
                  <c:v>331000</c:v>
                </c:pt>
                <c:pt idx="1442">
                  <c:v>341000</c:v>
                </c:pt>
                <c:pt idx="1443">
                  <c:v>339000</c:v>
                </c:pt>
                <c:pt idx="1444">
                  <c:v>331000</c:v>
                </c:pt>
                <c:pt idx="1445">
                  <c:v>326000</c:v>
                </c:pt>
                <c:pt idx="1446">
                  <c:v>325000</c:v>
                </c:pt>
                <c:pt idx="1447">
                  <c:v>330000</c:v>
                </c:pt>
                <c:pt idx="1448">
                  <c:v>341000</c:v>
                </c:pt>
                <c:pt idx="1449">
                  <c:v>335000</c:v>
                </c:pt>
                <c:pt idx="1450">
                  <c:v>330000</c:v>
                </c:pt>
                <c:pt idx="1451">
                  <c:v>331000</c:v>
                </c:pt>
                <c:pt idx="1452">
                  <c:v>328000</c:v>
                </c:pt>
                <c:pt idx="1453">
                  <c:v>329000</c:v>
                </c:pt>
                <c:pt idx="1454">
                  <c:v>326000</c:v>
                </c:pt>
                <c:pt idx="1455">
                  <c:v>329000</c:v>
                </c:pt>
                <c:pt idx="1456">
                  <c:v>324000</c:v>
                </c:pt>
                <c:pt idx="1457">
                  <c:v>329000</c:v>
                </c:pt>
                <c:pt idx="1458">
                  <c:v>330000</c:v>
                </c:pt>
                <c:pt idx="1459">
                  <c:v>314000</c:v>
                </c:pt>
                <c:pt idx="1460">
                  <c:v>319000</c:v>
                </c:pt>
                <c:pt idx="1461">
                  <c:v>338000</c:v>
                </c:pt>
                <c:pt idx="1462">
                  <c:v>347000</c:v>
                </c:pt>
                <c:pt idx="1463">
                  <c:v>325000</c:v>
                </c:pt>
                <c:pt idx="1464">
                  <c:v>324000</c:v>
                </c:pt>
                <c:pt idx="1465">
                  <c:v>324000</c:v>
                </c:pt>
                <c:pt idx="1466">
                  <c:v>348000</c:v>
                </c:pt>
                <c:pt idx="1467">
                  <c:v>343000</c:v>
                </c:pt>
                <c:pt idx="1468">
                  <c:v>336000</c:v>
                </c:pt>
                <c:pt idx="1469">
                  <c:v>339000</c:v>
                </c:pt>
                <c:pt idx="1470">
                  <c:v>347000</c:v>
                </c:pt>
                <c:pt idx="1471">
                  <c:v>343000</c:v>
                </c:pt>
                <c:pt idx="1472">
                  <c:v>332000</c:v>
                </c:pt>
                <c:pt idx="1473">
                  <c:v>335000</c:v>
                </c:pt>
                <c:pt idx="1474">
                  <c:v>347000</c:v>
                </c:pt>
                <c:pt idx="1475">
                  <c:v>355000</c:v>
                </c:pt>
                <c:pt idx="1476">
                  <c:v>349000</c:v>
                </c:pt>
                <c:pt idx="1477">
                  <c:v>365000</c:v>
                </c:pt>
                <c:pt idx="1478">
                  <c:v>364000</c:v>
                </c:pt>
                <c:pt idx="1479">
                  <c:v>366000</c:v>
                </c:pt>
                <c:pt idx="1480">
                  <c:v>377000</c:v>
                </c:pt>
                <c:pt idx="1481">
                  <c:v>374000</c:v>
                </c:pt>
                <c:pt idx="1482">
                  <c:v>362000</c:v>
                </c:pt>
                <c:pt idx="1483">
                  <c:v>367000</c:v>
                </c:pt>
                <c:pt idx="1484">
                  <c:v>378000</c:v>
                </c:pt>
                <c:pt idx="1485">
                  <c:v>358000</c:v>
                </c:pt>
                <c:pt idx="1486">
                  <c:v>355000</c:v>
                </c:pt>
                <c:pt idx="1487">
                  <c:v>372000</c:v>
                </c:pt>
                <c:pt idx="1488">
                  <c:v>389000</c:v>
                </c:pt>
                <c:pt idx="1489">
                  <c:v>390000</c:v>
                </c:pt>
                <c:pt idx="1490">
                  <c:v>351000</c:v>
                </c:pt>
                <c:pt idx="1491">
                  <c:v>351000</c:v>
                </c:pt>
                <c:pt idx="1492">
                  <c:v>353000</c:v>
                </c:pt>
                <c:pt idx="1493">
                  <c:v>362000</c:v>
                </c:pt>
                <c:pt idx="1494">
                  <c:v>359000</c:v>
                </c:pt>
                <c:pt idx="1495">
                  <c:v>355000</c:v>
                </c:pt>
                <c:pt idx="1496">
                  <c:v>371000</c:v>
                </c:pt>
                <c:pt idx="1497">
                  <c:v>376000</c:v>
                </c:pt>
                <c:pt idx="1498">
                  <c:v>353000</c:v>
                </c:pt>
                <c:pt idx="1499">
                  <c:v>355000</c:v>
                </c:pt>
                <c:pt idx="1500">
                  <c:v>374000</c:v>
                </c:pt>
                <c:pt idx="1501">
                  <c:v>369000</c:v>
                </c:pt>
                <c:pt idx="1502">
                  <c:v>366000</c:v>
                </c:pt>
                <c:pt idx="1503">
                  <c:v>377000</c:v>
                </c:pt>
                <c:pt idx="1504">
                  <c:v>380000</c:v>
                </c:pt>
                <c:pt idx="1505">
                  <c:v>370000</c:v>
                </c:pt>
                <c:pt idx="1506">
                  <c:v>379000</c:v>
                </c:pt>
                <c:pt idx="1507">
                  <c:v>379000</c:v>
                </c:pt>
                <c:pt idx="1508">
                  <c:v>373000</c:v>
                </c:pt>
                <c:pt idx="1509">
                  <c:v>346000</c:v>
                </c:pt>
                <c:pt idx="1510">
                  <c:v>373000</c:v>
                </c:pt>
                <c:pt idx="1511">
                  <c:v>374000</c:v>
                </c:pt>
                <c:pt idx="1512">
                  <c:v>359000</c:v>
                </c:pt>
                <c:pt idx="1513">
                  <c:v>361000</c:v>
                </c:pt>
                <c:pt idx="1514">
                  <c:v>333000</c:v>
                </c:pt>
                <c:pt idx="1515">
                  <c:v>415000</c:v>
                </c:pt>
                <c:pt idx="1516">
                  <c:v>387000</c:v>
                </c:pt>
                <c:pt idx="1517">
                  <c:v>374000</c:v>
                </c:pt>
                <c:pt idx="1518">
                  <c:v>387000</c:v>
                </c:pt>
                <c:pt idx="1519">
                  <c:v>383000</c:v>
                </c:pt>
                <c:pt idx="1520">
                  <c:v>365000</c:v>
                </c:pt>
                <c:pt idx="1521">
                  <c:v>368000</c:v>
                </c:pt>
                <c:pt idx="1522">
                  <c:v>361000</c:v>
                </c:pt>
                <c:pt idx="1523">
                  <c:v>384000</c:v>
                </c:pt>
                <c:pt idx="1524">
                  <c:v>426000</c:v>
                </c:pt>
                <c:pt idx="1525">
                  <c:v>393000</c:v>
                </c:pt>
                <c:pt idx="1526">
                  <c:v>369000</c:v>
                </c:pt>
                <c:pt idx="1527">
                  <c:v>357000</c:v>
                </c:pt>
                <c:pt idx="1528">
                  <c:v>368000</c:v>
                </c:pt>
                <c:pt idx="1529">
                  <c:v>343000</c:v>
                </c:pt>
                <c:pt idx="1530">
                  <c:v>338000</c:v>
                </c:pt>
                <c:pt idx="1531">
                  <c:v>352000</c:v>
                </c:pt>
                <c:pt idx="1532">
                  <c:v>345000</c:v>
                </c:pt>
                <c:pt idx="1533">
                  <c:v>343000</c:v>
                </c:pt>
                <c:pt idx="1534">
                  <c:v>340000</c:v>
                </c:pt>
                <c:pt idx="1535">
                  <c:v>351000</c:v>
                </c:pt>
                <c:pt idx="1536">
                  <c:v>342000</c:v>
                </c:pt>
                <c:pt idx="1537">
                  <c:v>341000</c:v>
                </c:pt>
                <c:pt idx="1538">
                  <c:v>337000</c:v>
                </c:pt>
                <c:pt idx="1539">
                  <c:v>342000</c:v>
                </c:pt>
                <c:pt idx="1540">
                  <c:v>347000</c:v>
                </c:pt>
                <c:pt idx="1541">
                  <c:v>332000</c:v>
                </c:pt>
                <c:pt idx="1542">
                  <c:v>327000</c:v>
                </c:pt>
                <c:pt idx="1543">
                  <c:v>326000</c:v>
                </c:pt>
                <c:pt idx="1544">
                  <c:v>331000</c:v>
                </c:pt>
                <c:pt idx="1545">
                  <c:v>336000</c:v>
                </c:pt>
                <c:pt idx="1546">
                  <c:v>337000</c:v>
                </c:pt>
                <c:pt idx="1547">
                  <c:v>329000</c:v>
                </c:pt>
                <c:pt idx="1548">
                  <c:v>333000</c:v>
                </c:pt>
                <c:pt idx="1549">
                  <c:v>338000</c:v>
                </c:pt>
                <c:pt idx="1550">
                  <c:v>352000</c:v>
                </c:pt>
                <c:pt idx="1551">
                  <c:v>348000</c:v>
                </c:pt>
                <c:pt idx="1552">
                  <c:v>335000</c:v>
                </c:pt>
                <c:pt idx="1553">
                  <c:v>334000</c:v>
                </c:pt>
                <c:pt idx="1554">
                  <c:v>335000</c:v>
                </c:pt>
                <c:pt idx="1555">
                  <c:v>352000</c:v>
                </c:pt>
                <c:pt idx="1556">
                  <c:v>334000</c:v>
                </c:pt>
                <c:pt idx="1557">
                  <c:v>327000</c:v>
                </c:pt>
                <c:pt idx="1558">
                  <c:v>342000</c:v>
                </c:pt>
                <c:pt idx="1559">
                  <c:v>347000</c:v>
                </c:pt>
                <c:pt idx="1560">
                  <c:v>332000</c:v>
                </c:pt>
                <c:pt idx="1561">
                  <c:v>355000</c:v>
                </c:pt>
                <c:pt idx="1562">
                  <c:v>352000</c:v>
                </c:pt>
                <c:pt idx="1563">
                  <c:v>350000</c:v>
                </c:pt>
                <c:pt idx="1564">
                  <c:v>357000</c:v>
                </c:pt>
                <c:pt idx="1565">
                  <c:v>347000</c:v>
                </c:pt>
                <c:pt idx="1566">
                  <c:v>324000</c:v>
                </c:pt>
                <c:pt idx="1567">
                  <c:v>345000</c:v>
                </c:pt>
                <c:pt idx="1568">
                  <c:v>340000</c:v>
                </c:pt>
                <c:pt idx="1569">
                  <c:v>333000</c:v>
                </c:pt>
                <c:pt idx="1570">
                  <c:v>315000</c:v>
                </c:pt>
                <c:pt idx="1571">
                  <c:v>313000</c:v>
                </c:pt>
                <c:pt idx="1572">
                  <c:v>322000</c:v>
                </c:pt>
                <c:pt idx="1573">
                  <c:v>321000</c:v>
                </c:pt>
                <c:pt idx="1574">
                  <c:v>317000</c:v>
                </c:pt>
                <c:pt idx="1575">
                  <c:v>319000</c:v>
                </c:pt>
                <c:pt idx="1576">
                  <c:v>315000</c:v>
                </c:pt>
                <c:pt idx="1577">
                  <c:v>325000</c:v>
                </c:pt>
                <c:pt idx="1578">
                  <c:v>325000</c:v>
                </c:pt>
                <c:pt idx="1579">
                  <c:v>330000</c:v>
                </c:pt>
                <c:pt idx="1580">
                  <c:v>316000</c:v>
                </c:pt>
                <c:pt idx="1581">
                  <c:v>337000</c:v>
                </c:pt>
                <c:pt idx="1582">
                  <c:v>342000</c:v>
                </c:pt>
                <c:pt idx="1583">
                  <c:v>318000</c:v>
                </c:pt>
                <c:pt idx="1584">
                  <c:v>322000</c:v>
                </c:pt>
                <c:pt idx="1585">
                  <c:v>316000</c:v>
                </c:pt>
                <c:pt idx="1586">
                  <c:v>321000</c:v>
                </c:pt>
                <c:pt idx="1587">
                  <c:v>329000</c:v>
                </c:pt>
                <c:pt idx="1588">
                  <c:v>335000</c:v>
                </c:pt>
                <c:pt idx="1589">
                  <c:v>316000</c:v>
                </c:pt>
                <c:pt idx="1590">
                  <c:v>322000</c:v>
                </c:pt>
                <c:pt idx="1591">
                  <c:v>346000</c:v>
                </c:pt>
                <c:pt idx="1592">
                  <c:v>328000</c:v>
                </c:pt>
                <c:pt idx="1593">
                  <c:v>301000</c:v>
                </c:pt>
                <c:pt idx="1594">
                  <c:v>306000</c:v>
                </c:pt>
                <c:pt idx="1595">
                  <c:v>320000</c:v>
                </c:pt>
                <c:pt idx="1596">
                  <c:v>329000</c:v>
                </c:pt>
                <c:pt idx="1597">
                  <c:v>343000</c:v>
                </c:pt>
                <c:pt idx="1598">
                  <c:v>327000</c:v>
                </c:pt>
                <c:pt idx="1599">
                  <c:v>332000</c:v>
                </c:pt>
                <c:pt idx="1600">
                  <c:v>313000</c:v>
                </c:pt>
                <c:pt idx="1601">
                  <c:v>314000</c:v>
                </c:pt>
                <c:pt idx="1602">
                  <c:v>317000</c:v>
                </c:pt>
                <c:pt idx="1603">
                  <c:v>317000</c:v>
                </c:pt>
                <c:pt idx="1604">
                  <c:v>311000</c:v>
                </c:pt>
                <c:pt idx="1605">
                  <c:v>305000</c:v>
                </c:pt>
                <c:pt idx="1606">
                  <c:v>318000</c:v>
                </c:pt>
                <c:pt idx="1607">
                  <c:v>306000</c:v>
                </c:pt>
                <c:pt idx="1608">
                  <c:v>313000</c:v>
                </c:pt>
                <c:pt idx="1609">
                  <c:v>308000</c:v>
                </c:pt>
                <c:pt idx="1610">
                  <c:v>325000</c:v>
                </c:pt>
                <c:pt idx="1611">
                  <c:v>309000</c:v>
                </c:pt>
                <c:pt idx="1612">
                  <c:v>318000</c:v>
                </c:pt>
                <c:pt idx="1613">
                  <c:v>317000</c:v>
                </c:pt>
                <c:pt idx="1614">
                  <c:v>323000</c:v>
                </c:pt>
                <c:pt idx="1615">
                  <c:v>310000</c:v>
                </c:pt>
                <c:pt idx="1616">
                  <c:v>303000</c:v>
                </c:pt>
                <c:pt idx="1617">
                  <c:v>312000</c:v>
                </c:pt>
                <c:pt idx="1618">
                  <c:v>331000</c:v>
                </c:pt>
                <c:pt idx="1619">
                  <c:v>341000</c:v>
                </c:pt>
                <c:pt idx="1620">
                  <c:v>307000</c:v>
                </c:pt>
                <c:pt idx="1621">
                  <c:v>315000</c:v>
                </c:pt>
                <c:pt idx="1622">
                  <c:v>311000</c:v>
                </c:pt>
                <c:pt idx="1623">
                  <c:v>321000</c:v>
                </c:pt>
                <c:pt idx="1624">
                  <c:v>327000</c:v>
                </c:pt>
                <c:pt idx="1625">
                  <c:v>317000</c:v>
                </c:pt>
                <c:pt idx="1626">
                  <c:v>308000</c:v>
                </c:pt>
                <c:pt idx="1627">
                  <c:v>319000</c:v>
                </c:pt>
                <c:pt idx="1628">
                  <c:v>321000</c:v>
                </c:pt>
                <c:pt idx="1629">
                  <c:v>312000</c:v>
                </c:pt>
                <c:pt idx="1630">
                  <c:v>312000</c:v>
                </c:pt>
                <c:pt idx="1631">
                  <c:v>304000</c:v>
                </c:pt>
                <c:pt idx="1632">
                  <c:v>317000</c:v>
                </c:pt>
                <c:pt idx="1633">
                  <c:v>311000</c:v>
                </c:pt>
                <c:pt idx="1634">
                  <c:v>304000</c:v>
                </c:pt>
                <c:pt idx="1635">
                  <c:v>306000</c:v>
                </c:pt>
                <c:pt idx="1636">
                  <c:v>315000</c:v>
                </c:pt>
                <c:pt idx="1637">
                  <c:v>309000</c:v>
                </c:pt>
                <c:pt idx="1638">
                  <c:v>322000</c:v>
                </c:pt>
                <c:pt idx="1639">
                  <c:v>306000</c:v>
                </c:pt>
                <c:pt idx="1640">
                  <c:v>321000</c:v>
                </c:pt>
                <c:pt idx="1641">
                  <c:v>349000</c:v>
                </c:pt>
                <c:pt idx="1642">
                  <c:v>376000</c:v>
                </c:pt>
                <c:pt idx="1643">
                  <c:v>362000</c:v>
                </c:pt>
                <c:pt idx="1644">
                  <c:v>320000</c:v>
                </c:pt>
                <c:pt idx="1645">
                  <c:v>315000</c:v>
                </c:pt>
                <c:pt idx="1646">
                  <c:v>335000</c:v>
                </c:pt>
                <c:pt idx="1647">
                  <c:v>327000</c:v>
                </c:pt>
                <c:pt idx="1648">
                  <c:v>316000</c:v>
                </c:pt>
                <c:pt idx="1649">
                  <c:v>308000</c:v>
                </c:pt>
                <c:pt idx="1650">
                  <c:v>302000</c:v>
                </c:pt>
                <c:pt idx="1651">
                  <c:v>310000</c:v>
                </c:pt>
                <c:pt idx="1652">
                  <c:v>313000</c:v>
                </c:pt>
                <c:pt idx="1653">
                  <c:v>304000</c:v>
                </c:pt>
                <c:pt idx="1654">
                  <c:v>305000</c:v>
                </c:pt>
                <c:pt idx="1655">
                  <c:v>294000</c:v>
                </c:pt>
                <c:pt idx="1656">
                  <c:v>302000</c:v>
                </c:pt>
                <c:pt idx="1657">
                  <c:v>316000</c:v>
                </c:pt>
                <c:pt idx="1658">
                  <c:v>318000</c:v>
                </c:pt>
                <c:pt idx="1659">
                  <c:v>309000</c:v>
                </c:pt>
                <c:pt idx="1660">
                  <c:v>308000</c:v>
                </c:pt>
                <c:pt idx="1661">
                  <c:v>316000</c:v>
                </c:pt>
                <c:pt idx="1662">
                  <c:v>334000</c:v>
                </c:pt>
                <c:pt idx="1663">
                  <c:v>304000</c:v>
                </c:pt>
                <c:pt idx="1664">
                  <c:v>310000</c:v>
                </c:pt>
                <c:pt idx="1665">
                  <c:v>326000</c:v>
                </c:pt>
                <c:pt idx="1666">
                  <c:v>305000</c:v>
                </c:pt>
                <c:pt idx="1667">
                  <c:v>297000</c:v>
                </c:pt>
                <c:pt idx="1668">
                  <c:v>336000</c:v>
                </c:pt>
                <c:pt idx="1669">
                  <c:v>331000</c:v>
                </c:pt>
                <c:pt idx="1670">
                  <c:v>345000</c:v>
                </c:pt>
                <c:pt idx="1671">
                  <c:v>339000</c:v>
                </c:pt>
                <c:pt idx="1672">
                  <c:v>311000</c:v>
                </c:pt>
                <c:pt idx="1673">
                  <c:v>305000</c:v>
                </c:pt>
                <c:pt idx="1674">
                  <c:v>291000</c:v>
                </c:pt>
                <c:pt idx="1675">
                  <c:v>312000</c:v>
                </c:pt>
                <c:pt idx="1676">
                  <c:v>302000</c:v>
                </c:pt>
                <c:pt idx="1677">
                  <c:v>301000</c:v>
                </c:pt>
                <c:pt idx="1678">
                  <c:v>300000</c:v>
                </c:pt>
                <c:pt idx="1679">
                  <c:v>308000</c:v>
                </c:pt>
                <c:pt idx="1680">
                  <c:v>305000</c:v>
                </c:pt>
                <c:pt idx="1681">
                  <c:v>298000</c:v>
                </c:pt>
                <c:pt idx="1682">
                  <c:v>310000</c:v>
                </c:pt>
                <c:pt idx="1683">
                  <c:v>319000</c:v>
                </c:pt>
                <c:pt idx="1684">
                  <c:v>314000</c:v>
                </c:pt>
                <c:pt idx="1685">
                  <c:v>291000</c:v>
                </c:pt>
                <c:pt idx="1686">
                  <c:v>296000</c:v>
                </c:pt>
                <c:pt idx="1687">
                  <c:v>310000</c:v>
                </c:pt>
                <c:pt idx="1688">
                  <c:v>301000</c:v>
                </c:pt>
                <c:pt idx="1689">
                  <c:v>298000</c:v>
                </c:pt>
                <c:pt idx="1690">
                  <c:v>303000</c:v>
                </c:pt>
                <c:pt idx="1691">
                  <c:v>303000</c:v>
                </c:pt>
                <c:pt idx="1692">
                  <c:v>290000</c:v>
                </c:pt>
                <c:pt idx="1693">
                  <c:v>292000</c:v>
                </c:pt>
                <c:pt idx="1694">
                  <c:v>291000</c:v>
                </c:pt>
                <c:pt idx="1695">
                  <c:v>287000</c:v>
                </c:pt>
                <c:pt idx="1696">
                  <c:v>288000</c:v>
                </c:pt>
                <c:pt idx="1697">
                  <c:v>309000</c:v>
                </c:pt>
                <c:pt idx="1698">
                  <c:v>306000</c:v>
                </c:pt>
                <c:pt idx="1699">
                  <c:v>300000</c:v>
                </c:pt>
                <c:pt idx="1700">
                  <c:v>295000</c:v>
                </c:pt>
                <c:pt idx="1701">
                  <c:v>292000</c:v>
                </c:pt>
                <c:pt idx="1702">
                  <c:v>286000</c:v>
                </c:pt>
                <c:pt idx="1703">
                  <c:v>290000</c:v>
                </c:pt>
                <c:pt idx="1704">
                  <c:v>290000</c:v>
                </c:pt>
                <c:pt idx="1705">
                  <c:v>281000</c:v>
                </c:pt>
                <c:pt idx="1706">
                  <c:v>281000</c:v>
                </c:pt>
                <c:pt idx="1707">
                  <c:v>306000</c:v>
                </c:pt>
                <c:pt idx="1708">
                  <c:v>309000</c:v>
                </c:pt>
                <c:pt idx="1709">
                  <c:v>291000</c:v>
                </c:pt>
                <c:pt idx="1710">
                  <c:v>287000</c:v>
                </c:pt>
                <c:pt idx="1711">
                  <c:v>280000</c:v>
                </c:pt>
                <c:pt idx="1712">
                  <c:v>285000</c:v>
                </c:pt>
                <c:pt idx="1713">
                  <c:v>282000</c:v>
                </c:pt>
                <c:pt idx="1714">
                  <c:v>281000</c:v>
                </c:pt>
                <c:pt idx="1715">
                  <c:v>276000</c:v>
                </c:pt>
                <c:pt idx="1716">
                  <c:v>288000</c:v>
                </c:pt>
                <c:pt idx="1717">
                  <c:v>287000</c:v>
                </c:pt>
                <c:pt idx="1718">
                  <c:v>272000</c:v>
                </c:pt>
                <c:pt idx="1719">
                  <c:v>287000</c:v>
                </c:pt>
                <c:pt idx="1720">
                  <c:v>268000</c:v>
                </c:pt>
                <c:pt idx="1721">
                  <c:v>286000</c:v>
                </c:pt>
                <c:pt idx="1722">
                  <c:v>298000</c:v>
                </c:pt>
                <c:pt idx="1723">
                  <c:v>289000</c:v>
                </c:pt>
                <c:pt idx="1724">
                  <c:v>284000</c:v>
                </c:pt>
                <c:pt idx="1725">
                  <c:v>285000</c:v>
                </c:pt>
                <c:pt idx="1726">
                  <c:v>312000</c:v>
                </c:pt>
                <c:pt idx="1727">
                  <c:v>300000</c:v>
                </c:pt>
                <c:pt idx="1728">
                  <c:v>283000</c:v>
                </c:pt>
                <c:pt idx="1729">
                  <c:v>280000</c:v>
                </c:pt>
                <c:pt idx="1730">
                  <c:v>286000</c:v>
                </c:pt>
                <c:pt idx="1731">
                  <c:v>270000</c:v>
                </c:pt>
                <c:pt idx="1732">
                  <c:v>271000</c:v>
                </c:pt>
                <c:pt idx="1733">
                  <c:v>272000</c:v>
                </c:pt>
                <c:pt idx="1734">
                  <c:v>266000</c:v>
                </c:pt>
                <c:pt idx="1735">
                  <c:v>268000</c:v>
                </c:pt>
                <c:pt idx="1736">
                  <c:v>259000</c:v>
                </c:pt>
                <c:pt idx="1737">
                  <c:v>274000</c:v>
                </c:pt>
                <c:pt idx="1738">
                  <c:v>291000</c:v>
                </c:pt>
                <c:pt idx="1739">
                  <c:v>293000</c:v>
                </c:pt>
                <c:pt idx="1740">
                  <c:v>276000</c:v>
                </c:pt>
                <c:pt idx="1741">
                  <c:v>280000</c:v>
                </c:pt>
                <c:pt idx="1742">
                  <c:v>280000</c:v>
                </c:pt>
                <c:pt idx="1743">
                  <c:v>290000</c:v>
                </c:pt>
                <c:pt idx="1744">
                  <c:v>284000</c:v>
                </c:pt>
                <c:pt idx="1745">
                  <c:v>294000</c:v>
                </c:pt>
                <c:pt idx="1746">
                  <c:v>296000</c:v>
                </c:pt>
                <c:pt idx="1747">
                  <c:v>281000</c:v>
                </c:pt>
                <c:pt idx="1748">
                  <c:v>293000</c:v>
                </c:pt>
                <c:pt idx="1749">
                  <c:v>303000</c:v>
                </c:pt>
                <c:pt idx="1750">
                  <c:v>300000</c:v>
                </c:pt>
                <c:pt idx="1751">
                  <c:v>298000</c:v>
                </c:pt>
                <c:pt idx="1752">
                  <c:v>306000</c:v>
                </c:pt>
                <c:pt idx="1753">
                  <c:v>315000</c:v>
                </c:pt>
                <c:pt idx="1754">
                  <c:v>318000</c:v>
                </c:pt>
                <c:pt idx="1755">
                  <c:v>312000</c:v>
                </c:pt>
                <c:pt idx="1756">
                  <c:v>301000</c:v>
                </c:pt>
                <c:pt idx="1757">
                  <c:v>309000</c:v>
                </c:pt>
                <c:pt idx="1758">
                  <c:v>311000</c:v>
                </c:pt>
                <c:pt idx="1759">
                  <c:v>288000</c:v>
                </c:pt>
                <c:pt idx="1760">
                  <c:v>292000</c:v>
                </c:pt>
                <c:pt idx="1761">
                  <c:v>309000</c:v>
                </c:pt>
                <c:pt idx="1762">
                  <c:v>299000</c:v>
                </c:pt>
                <c:pt idx="1763">
                  <c:v>295000</c:v>
                </c:pt>
                <c:pt idx="1764">
                  <c:v>301000</c:v>
                </c:pt>
                <c:pt idx="1765">
                  <c:v>331000</c:v>
                </c:pt>
                <c:pt idx="1766">
                  <c:v>318000</c:v>
                </c:pt>
                <c:pt idx="1767">
                  <c:v>332000</c:v>
                </c:pt>
                <c:pt idx="1768">
                  <c:v>356000</c:v>
                </c:pt>
                <c:pt idx="1769">
                  <c:v>338000</c:v>
                </c:pt>
                <c:pt idx="1770">
                  <c:v>321000</c:v>
                </c:pt>
                <c:pt idx="1771">
                  <c:v>354000</c:v>
                </c:pt>
                <c:pt idx="1772">
                  <c:v>364000</c:v>
                </c:pt>
                <c:pt idx="1773">
                  <c:v>353000</c:v>
                </c:pt>
                <c:pt idx="1774">
                  <c:v>337000</c:v>
                </c:pt>
                <c:pt idx="1775">
                  <c:v>318000</c:v>
                </c:pt>
                <c:pt idx="1776">
                  <c:v>343000</c:v>
                </c:pt>
                <c:pt idx="1777">
                  <c:v>362000</c:v>
                </c:pt>
                <c:pt idx="1778">
                  <c:v>376000</c:v>
                </c:pt>
                <c:pt idx="1779">
                  <c:v>365000</c:v>
                </c:pt>
                <c:pt idx="1780">
                  <c:v>358000</c:v>
                </c:pt>
                <c:pt idx="1781">
                  <c:v>386000</c:v>
                </c:pt>
                <c:pt idx="1782">
                  <c:v>384000</c:v>
                </c:pt>
                <c:pt idx="1783">
                  <c:v>393000</c:v>
                </c:pt>
                <c:pt idx="1784">
                  <c:v>393000</c:v>
                </c:pt>
                <c:pt idx="1785">
                  <c:v>378000</c:v>
                </c:pt>
                <c:pt idx="1786">
                  <c:v>388000</c:v>
                </c:pt>
                <c:pt idx="1787">
                  <c:v>398000</c:v>
                </c:pt>
                <c:pt idx="1788">
                  <c:v>383000</c:v>
                </c:pt>
                <c:pt idx="1789">
                  <c:v>400000</c:v>
                </c:pt>
                <c:pt idx="1790">
                  <c:v>406000</c:v>
                </c:pt>
                <c:pt idx="1791">
                  <c:v>381000</c:v>
                </c:pt>
                <c:pt idx="1792">
                  <c:v>390000</c:v>
                </c:pt>
                <c:pt idx="1793">
                  <c:v>402000</c:v>
                </c:pt>
                <c:pt idx="1794">
                  <c:v>405000</c:v>
                </c:pt>
                <c:pt idx="1795">
                  <c:v>406000</c:v>
                </c:pt>
                <c:pt idx="1796">
                  <c:v>411000</c:v>
                </c:pt>
                <c:pt idx="1797">
                  <c:v>394000</c:v>
                </c:pt>
                <c:pt idx="1798">
                  <c:v>381000</c:v>
                </c:pt>
                <c:pt idx="1799">
                  <c:v>394000</c:v>
                </c:pt>
                <c:pt idx="1800">
                  <c:v>401000</c:v>
                </c:pt>
                <c:pt idx="1801">
                  <c:v>405000</c:v>
                </c:pt>
                <c:pt idx="1802">
                  <c:v>398000</c:v>
                </c:pt>
                <c:pt idx="1803">
                  <c:v>388000</c:v>
                </c:pt>
                <c:pt idx="1804">
                  <c:v>401000</c:v>
                </c:pt>
                <c:pt idx="1805">
                  <c:v>394000</c:v>
                </c:pt>
                <c:pt idx="1806">
                  <c:v>402000</c:v>
                </c:pt>
                <c:pt idx="1807">
                  <c:v>395000</c:v>
                </c:pt>
                <c:pt idx="1808">
                  <c:v>402000</c:v>
                </c:pt>
                <c:pt idx="1809">
                  <c:v>408000</c:v>
                </c:pt>
                <c:pt idx="1810">
                  <c:v>395000</c:v>
                </c:pt>
                <c:pt idx="1811">
                  <c:v>453000</c:v>
                </c:pt>
                <c:pt idx="1812">
                  <c:v>517000</c:v>
                </c:pt>
                <c:pt idx="1813">
                  <c:v>476000</c:v>
                </c:pt>
                <c:pt idx="1814">
                  <c:v>482000</c:v>
                </c:pt>
                <c:pt idx="1815">
                  <c:v>482000</c:v>
                </c:pt>
                <c:pt idx="1816">
                  <c:v>483000</c:v>
                </c:pt>
                <c:pt idx="1817">
                  <c:v>440000</c:v>
                </c:pt>
                <c:pt idx="1818">
                  <c:v>428000</c:v>
                </c:pt>
                <c:pt idx="1819">
                  <c:v>431000</c:v>
                </c:pt>
                <c:pt idx="1820">
                  <c:v>491000</c:v>
                </c:pt>
                <c:pt idx="1821">
                  <c:v>465000</c:v>
                </c:pt>
                <c:pt idx="1822">
                  <c:v>393000</c:v>
                </c:pt>
                <c:pt idx="1823">
                  <c:v>389000</c:v>
                </c:pt>
                <c:pt idx="1824">
                  <c:v>416000</c:v>
                </c:pt>
                <c:pt idx="1825">
                  <c:v>421000</c:v>
                </c:pt>
                <c:pt idx="1826">
                  <c:v>397000</c:v>
                </c:pt>
                <c:pt idx="1827">
                  <c:v>418000</c:v>
                </c:pt>
                <c:pt idx="1828">
                  <c:v>405000</c:v>
                </c:pt>
                <c:pt idx="1829">
                  <c:v>414000</c:v>
                </c:pt>
                <c:pt idx="1830">
                  <c:v>404000</c:v>
                </c:pt>
                <c:pt idx="1831">
                  <c:v>397000</c:v>
                </c:pt>
                <c:pt idx="1832">
                  <c:v>397000</c:v>
                </c:pt>
                <c:pt idx="1833">
                  <c:v>398000</c:v>
                </c:pt>
                <c:pt idx="1834">
                  <c:v>392000</c:v>
                </c:pt>
                <c:pt idx="1835">
                  <c:v>399000</c:v>
                </c:pt>
                <c:pt idx="1836">
                  <c:v>392000</c:v>
                </c:pt>
                <c:pt idx="1837">
                  <c:v>415000</c:v>
                </c:pt>
                <c:pt idx="1838">
                  <c:v>479000</c:v>
                </c:pt>
                <c:pt idx="1839">
                  <c:v>445000</c:v>
                </c:pt>
                <c:pt idx="1840">
                  <c:v>442000</c:v>
                </c:pt>
                <c:pt idx="1841">
                  <c:v>416000</c:v>
                </c:pt>
                <c:pt idx="1842">
                  <c:v>414000</c:v>
                </c:pt>
                <c:pt idx="1843">
                  <c:v>409000</c:v>
                </c:pt>
                <c:pt idx="1844">
                  <c:v>413000</c:v>
                </c:pt>
                <c:pt idx="1845">
                  <c:v>411000</c:v>
                </c:pt>
                <c:pt idx="1846">
                  <c:v>403000</c:v>
                </c:pt>
                <c:pt idx="1847">
                  <c:v>378000</c:v>
                </c:pt>
                <c:pt idx="1848">
                  <c:v>388000</c:v>
                </c:pt>
                <c:pt idx="1849">
                  <c:v>396000</c:v>
                </c:pt>
                <c:pt idx="1850">
                  <c:v>388000</c:v>
                </c:pt>
                <c:pt idx="1851">
                  <c:v>386000</c:v>
                </c:pt>
                <c:pt idx="1852">
                  <c:v>391000</c:v>
                </c:pt>
                <c:pt idx="1853">
                  <c:v>384000</c:v>
                </c:pt>
                <c:pt idx="1854">
                  <c:v>379000</c:v>
                </c:pt>
                <c:pt idx="1855">
                  <c:v>390000</c:v>
                </c:pt>
                <c:pt idx="1856">
                  <c:v>388000</c:v>
                </c:pt>
                <c:pt idx="1857">
                  <c:v>389000</c:v>
                </c:pt>
                <c:pt idx="1858">
                  <c:v>399000</c:v>
                </c:pt>
                <c:pt idx="1859">
                  <c:v>398000</c:v>
                </c:pt>
                <c:pt idx="1860">
                  <c:v>394000</c:v>
                </c:pt>
                <c:pt idx="1861">
                  <c:v>416000</c:v>
                </c:pt>
                <c:pt idx="1862">
                  <c:v>412000</c:v>
                </c:pt>
                <c:pt idx="1863">
                  <c:v>401000</c:v>
                </c:pt>
                <c:pt idx="1864">
                  <c:v>409000</c:v>
                </c:pt>
                <c:pt idx="1865">
                  <c:v>404000</c:v>
                </c:pt>
                <c:pt idx="1866">
                  <c:v>405000</c:v>
                </c:pt>
                <c:pt idx="1867">
                  <c:v>412000</c:v>
                </c:pt>
                <c:pt idx="1868">
                  <c:v>409000</c:v>
                </c:pt>
                <c:pt idx="1869">
                  <c:v>405000</c:v>
                </c:pt>
                <c:pt idx="1870">
                  <c:v>400000</c:v>
                </c:pt>
                <c:pt idx="1871">
                  <c:v>389000</c:v>
                </c:pt>
                <c:pt idx="1872">
                  <c:v>390000</c:v>
                </c:pt>
                <c:pt idx="1873">
                  <c:v>377000</c:v>
                </c:pt>
                <c:pt idx="1874">
                  <c:v>425000</c:v>
                </c:pt>
                <c:pt idx="1875">
                  <c:v>429000</c:v>
                </c:pt>
                <c:pt idx="1876">
                  <c:v>394000</c:v>
                </c:pt>
                <c:pt idx="1877">
                  <c:v>409000</c:v>
                </c:pt>
                <c:pt idx="1878">
                  <c:v>393000</c:v>
                </c:pt>
                <c:pt idx="1879">
                  <c:v>378000</c:v>
                </c:pt>
                <c:pt idx="1880">
                  <c:v>402000</c:v>
                </c:pt>
                <c:pt idx="1881">
                  <c:v>407000</c:v>
                </c:pt>
                <c:pt idx="1882">
                  <c:v>413000</c:v>
                </c:pt>
                <c:pt idx="1883">
                  <c:v>390000</c:v>
                </c:pt>
                <c:pt idx="1884">
                  <c:v>420000</c:v>
                </c:pt>
                <c:pt idx="1885">
                  <c:v>421000</c:v>
                </c:pt>
                <c:pt idx="1886">
                  <c:v>436000</c:v>
                </c:pt>
                <c:pt idx="1887">
                  <c:v>424000</c:v>
                </c:pt>
                <c:pt idx="1888">
                  <c:v>430000</c:v>
                </c:pt>
                <c:pt idx="1889">
                  <c:v>411000</c:v>
                </c:pt>
                <c:pt idx="1890">
                  <c:v>436000</c:v>
                </c:pt>
                <c:pt idx="1891">
                  <c:v>417000</c:v>
                </c:pt>
                <c:pt idx="1892">
                  <c:v>434000</c:v>
                </c:pt>
                <c:pt idx="1893">
                  <c:v>450000</c:v>
                </c:pt>
                <c:pt idx="1894">
                  <c:v>444000</c:v>
                </c:pt>
                <c:pt idx="1895">
                  <c:v>428000</c:v>
                </c:pt>
                <c:pt idx="1896">
                  <c:v>417000</c:v>
                </c:pt>
                <c:pt idx="1897">
                  <c:v>425000</c:v>
                </c:pt>
                <c:pt idx="1898">
                  <c:v>419000</c:v>
                </c:pt>
                <c:pt idx="1899">
                  <c:v>431000</c:v>
                </c:pt>
                <c:pt idx="1900">
                  <c:v>429000</c:v>
                </c:pt>
                <c:pt idx="1901">
                  <c:v>421000</c:v>
                </c:pt>
                <c:pt idx="1902">
                  <c:v>408000</c:v>
                </c:pt>
                <c:pt idx="1903">
                  <c:v>429000</c:v>
                </c:pt>
                <c:pt idx="1904">
                  <c:v>433000</c:v>
                </c:pt>
                <c:pt idx="1905">
                  <c:v>412000</c:v>
                </c:pt>
                <c:pt idx="1906">
                  <c:v>403000</c:v>
                </c:pt>
                <c:pt idx="1907">
                  <c:v>398000</c:v>
                </c:pt>
                <c:pt idx="1908">
                  <c:v>401000</c:v>
                </c:pt>
                <c:pt idx="1909">
                  <c:v>404000</c:v>
                </c:pt>
                <c:pt idx="1910">
                  <c:v>398000</c:v>
                </c:pt>
                <c:pt idx="1911">
                  <c:v>391000</c:v>
                </c:pt>
                <c:pt idx="1912">
                  <c:v>407000</c:v>
                </c:pt>
                <c:pt idx="1913">
                  <c:v>422000</c:v>
                </c:pt>
                <c:pt idx="1914">
                  <c:v>394000</c:v>
                </c:pt>
                <c:pt idx="1915">
                  <c:v>379000</c:v>
                </c:pt>
                <c:pt idx="1916">
                  <c:v>387000</c:v>
                </c:pt>
                <c:pt idx="1917">
                  <c:v>386000</c:v>
                </c:pt>
                <c:pt idx="1918">
                  <c:v>376000</c:v>
                </c:pt>
                <c:pt idx="1919">
                  <c:v>387000</c:v>
                </c:pt>
                <c:pt idx="1920">
                  <c:v>379000</c:v>
                </c:pt>
                <c:pt idx="1921">
                  <c:v>363000</c:v>
                </c:pt>
                <c:pt idx="1922">
                  <c:v>371000</c:v>
                </c:pt>
                <c:pt idx="1923">
                  <c:v>370000</c:v>
                </c:pt>
                <c:pt idx="1924">
                  <c:v>354000</c:v>
                </c:pt>
                <c:pt idx="1925">
                  <c:v>357000</c:v>
                </c:pt>
                <c:pt idx="1926">
                  <c:v>367000</c:v>
                </c:pt>
                <c:pt idx="1927">
                  <c:v>363000</c:v>
                </c:pt>
                <c:pt idx="1928">
                  <c:v>354000</c:v>
                </c:pt>
                <c:pt idx="1929">
                  <c:v>349000</c:v>
                </c:pt>
                <c:pt idx="1930">
                  <c:v>356000</c:v>
                </c:pt>
                <c:pt idx="1931">
                  <c:v>354000</c:v>
                </c:pt>
                <c:pt idx="1932">
                  <c:v>362000</c:v>
                </c:pt>
                <c:pt idx="1933">
                  <c:v>353000</c:v>
                </c:pt>
                <c:pt idx="1934">
                  <c:v>376000</c:v>
                </c:pt>
                <c:pt idx="1935">
                  <c:v>380000</c:v>
                </c:pt>
                <c:pt idx="1936">
                  <c:v>356000</c:v>
                </c:pt>
                <c:pt idx="1937">
                  <c:v>359000</c:v>
                </c:pt>
                <c:pt idx="1938">
                  <c:v>348000</c:v>
                </c:pt>
                <c:pt idx="1939">
                  <c:v>344000</c:v>
                </c:pt>
                <c:pt idx="1940">
                  <c:v>338000</c:v>
                </c:pt>
                <c:pt idx="1941">
                  <c:v>346000</c:v>
                </c:pt>
                <c:pt idx="1942">
                  <c:v>340000</c:v>
                </c:pt>
                <c:pt idx="1943">
                  <c:v>335000</c:v>
                </c:pt>
                <c:pt idx="1944">
                  <c:v>355000</c:v>
                </c:pt>
                <c:pt idx="1945">
                  <c:v>364000</c:v>
                </c:pt>
                <c:pt idx="1946">
                  <c:v>339000</c:v>
                </c:pt>
                <c:pt idx="1947">
                  <c:v>324000</c:v>
                </c:pt>
                <c:pt idx="1948">
                  <c:v>329000</c:v>
                </c:pt>
                <c:pt idx="1949">
                  <c:v>349000</c:v>
                </c:pt>
                <c:pt idx="1950">
                  <c:v>342000</c:v>
                </c:pt>
                <c:pt idx="1951">
                  <c:v>337000</c:v>
                </c:pt>
                <c:pt idx="1952">
                  <c:v>355000</c:v>
                </c:pt>
                <c:pt idx="1953">
                  <c:v>339000</c:v>
                </c:pt>
                <c:pt idx="1954">
                  <c:v>354000</c:v>
                </c:pt>
                <c:pt idx="1955">
                  <c:v>348000</c:v>
                </c:pt>
                <c:pt idx="1956">
                  <c:v>326000</c:v>
                </c:pt>
                <c:pt idx="1957">
                  <c:v>345000</c:v>
                </c:pt>
                <c:pt idx="1958">
                  <c:v>355000</c:v>
                </c:pt>
                <c:pt idx="1959">
                  <c:v>348000</c:v>
                </c:pt>
                <c:pt idx="1960">
                  <c:v>341000</c:v>
                </c:pt>
                <c:pt idx="1961">
                  <c:v>336000</c:v>
                </c:pt>
                <c:pt idx="1962">
                  <c:v>332000</c:v>
                </c:pt>
                <c:pt idx="1963">
                  <c:v>343000</c:v>
                </c:pt>
                <c:pt idx="1964">
                  <c:v>352000</c:v>
                </c:pt>
                <c:pt idx="1965">
                  <c:v>326000</c:v>
                </c:pt>
                <c:pt idx="1966">
                  <c:v>331000</c:v>
                </c:pt>
                <c:pt idx="1967">
                  <c:v>341000</c:v>
                </c:pt>
                <c:pt idx="1968">
                  <c:v>351000</c:v>
                </c:pt>
                <c:pt idx="1969">
                  <c:v>335000</c:v>
                </c:pt>
                <c:pt idx="1970">
                  <c:v>338000</c:v>
                </c:pt>
                <c:pt idx="1971">
                  <c:v>327000</c:v>
                </c:pt>
                <c:pt idx="1972">
                  <c:v>338000</c:v>
                </c:pt>
                <c:pt idx="1973">
                  <c:v>332000</c:v>
                </c:pt>
                <c:pt idx="1974">
                  <c:v>330000</c:v>
                </c:pt>
                <c:pt idx="1975">
                  <c:v>337000</c:v>
                </c:pt>
                <c:pt idx="1976">
                  <c:v>313000</c:v>
                </c:pt>
                <c:pt idx="1977">
                  <c:v>335000</c:v>
                </c:pt>
                <c:pt idx="1978">
                  <c:v>343000</c:v>
                </c:pt>
                <c:pt idx="1979">
                  <c:v>316000</c:v>
                </c:pt>
                <c:pt idx="1980">
                  <c:v>322000</c:v>
                </c:pt>
                <c:pt idx="1981">
                  <c:v>320000</c:v>
                </c:pt>
                <c:pt idx="1982">
                  <c:v>356000</c:v>
                </c:pt>
                <c:pt idx="1983">
                  <c:v>369000</c:v>
                </c:pt>
                <c:pt idx="1984">
                  <c:v>332000</c:v>
                </c:pt>
                <c:pt idx="1985">
                  <c:v>329000</c:v>
                </c:pt>
                <c:pt idx="1986">
                  <c:v>331000</c:v>
                </c:pt>
                <c:pt idx="1987">
                  <c:v>307000</c:v>
                </c:pt>
                <c:pt idx="1988">
                  <c:v>308000</c:v>
                </c:pt>
                <c:pt idx="1989">
                  <c:v>318000</c:v>
                </c:pt>
                <c:pt idx="1990">
                  <c:v>314000</c:v>
                </c:pt>
                <c:pt idx="1991">
                  <c:v>333000</c:v>
                </c:pt>
                <c:pt idx="1992">
                  <c:v>324000</c:v>
                </c:pt>
                <c:pt idx="1993">
                  <c:v>329000</c:v>
                </c:pt>
                <c:pt idx="1994">
                  <c:v>342000</c:v>
                </c:pt>
                <c:pt idx="1995">
                  <c:v>335000</c:v>
                </c:pt>
                <c:pt idx="1996">
                  <c:v>323000</c:v>
                </c:pt>
                <c:pt idx="1997">
                  <c:v>307000</c:v>
                </c:pt>
                <c:pt idx="1998">
                  <c:v>317000</c:v>
                </c:pt>
                <c:pt idx="1999">
                  <c:v>334000</c:v>
                </c:pt>
                <c:pt idx="2000">
                  <c:v>327000</c:v>
                </c:pt>
                <c:pt idx="2001">
                  <c:v>321000</c:v>
                </c:pt>
                <c:pt idx="2002">
                  <c:v>320000</c:v>
                </c:pt>
                <c:pt idx="2003">
                  <c:v>340000</c:v>
                </c:pt>
                <c:pt idx="2004">
                  <c:v>338000</c:v>
                </c:pt>
                <c:pt idx="2005">
                  <c:v>333000</c:v>
                </c:pt>
                <c:pt idx="2006">
                  <c:v>321000</c:v>
                </c:pt>
                <c:pt idx="2007">
                  <c:v>311000</c:v>
                </c:pt>
                <c:pt idx="2008">
                  <c:v>327000</c:v>
                </c:pt>
                <c:pt idx="2009">
                  <c:v>338000</c:v>
                </c:pt>
                <c:pt idx="2010">
                  <c:v>323000</c:v>
                </c:pt>
                <c:pt idx="2011">
                  <c:v>318000</c:v>
                </c:pt>
                <c:pt idx="2012">
                  <c:v>316000</c:v>
                </c:pt>
                <c:pt idx="2013">
                  <c:v>311000</c:v>
                </c:pt>
                <c:pt idx="2014">
                  <c:v>319000</c:v>
                </c:pt>
                <c:pt idx="2015">
                  <c:v>315000</c:v>
                </c:pt>
                <c:pt idx="2016">
                  <c:v>318000</c:v>
                </c:pt>
                <c:pt idx="2017">
                  <c:v>326000</c:v>
                </c:pt>
                <c:pt idx="2018">
                  <c:v>422000</c:v>
                </c:pt>
                <c:pt idx="2019">
                  <c:v>424000</c:v>
                </c:pt>
                <c:pt idx="2020">
                  <c:v>359000</c:v>
                </c:pt>
                <c:pt idx="2021">
                  <c:v>384000</c:v>
                </c:pt>
                <c:pt idx="2022">
                  <c:v>383000</c:v>
                </c:pt>
                <c:pt idx="2023">
                  <c:v>348000</c:v>
                </c:pt>
                <c:pt idx="2024">
                  <c:v>324000</c:v>
                </c:pt>
                <c:pt idx="2025">
                  <c:v>322000</c:v>
                </c:pt>
                <c:pt idx="2026">
                  <c:v>325000</c:v>
                </c:pt>
                <c:pt idx="2027">
                  <c:v>309000</c:v>
                </c:pt>
                <c:pt idx="2028">
                  <c:v>324000</c:v>
                </c:pt>
                <c:pt idx="2029">
                  <c:v>311000</c:v>
                </c:pt>
                <c:pt idx="2030">
                  <c:v>321000</c:v>
                </c:pt>
                <c:pt idx="2031">
                  <c:v>327000</c:v>
                </c:pt>
                <c:pt idx="2032">
                  <c:v>312000</c:v>
                </c:pt>
                <c:pt idx="2033">
                  <c:v>320000</c:v>
                </c:pt>
                <c:pt idx="2034">
                  <c:v>302000</c:v>
                </c:pt>
                <c:pt idx="2035">
                  <c:v>326000</c:v>
                </c:pt>
                <c:pt idx="2036">
                  <c:v>285000</c:v>
                </c:pt>
                <c:pt idx="2037">
                  <c:v>290000</c:v>
                </c:pt>
                <c:pt idx="2038">
                  <c:v>282000</c:v>
                </c:pt>
                <c:pt idx="2039">
                  <c:v>289000</c:v>
                </c:pt>
                <c:pt idx="2040">
                  <c:v>298000</c:v>
                </c:pt>
                <c:pt idx="2041">
                  <c:v>283000</c:v>
                </c:pt>
                <c:pt idx="2042">
                  <c:v>293000</c:v>
                </c:pt>
                <c:pt idx="2043">
                  <c:v>302000</c:v>
                </c:pt>
                <c:pt idx="2044">
                  <c:v>307000</c:v>
                </c:pt>
                <c:pt idx="2045">
                  <c:v>303000</c:v>
                </c:pt>
                <c:pt idx="2046">
                  <c:v>295000</c:v>
                </c:pt>
                <c:pt idx="2047">
                  <c:v>291000</c:v>
                </c:pt>
                <c:pt idx="2048">
                  <c:v>299000</c:v>
                </c:pt>
                <c:pt idx="2049">
                  <c:v>299000</c:v>
                </c:pt>
                <c:pt idx="2050">
                  <c:v>308000</c:v>
                </c:pt>
                <c:pt idx="2051">
                  <c:v>321000</c:v>
                </c:pt>
                <c:pt idx="2052">
                  <c:v>347000</c:v>
                </c:pt>
                <c:pt idx="2053">
                  <c:v>335000</c:v>
                </c:pt>
                <c:pt idx="2054">
                  <c:v>319000</c:v>
                </c:pt>
                <c:pt idx="2055">
                  <c:v>330000</c:v>
                </c:pt>
                <c:pt idx="2056">
                  <c:v>307000</c:v>
                </c:pt>
                <c:pt idx="2057">
                  <c:v>298000</c:v>
                </c:pt>
                <c:pt idx="2058">
                  <c:v>308000</c:v>
                </c:pt>
                <c:pt idx="2059">
                  <c:v>309000</c:v>
                </c:pt>
                <c:pt idx="2060">
                  <c:v>316000</c:v>
                </c:pt>
                <c:pt idx="2061">
                  <c:v>343000</c:v>
                </c:pt>
                <c:pt idx="2062">
                  <c:v>318000</c:v>
                </c:pt>
                <c:pt idx="2063">
                  <c:v>306000</c:v>
                </c:pt>
                <c:pt idx="2064">
                  <c:v>311000</c:v>
                </c:pt>
                <c:pt idx="2065">
                  <c:v>318000</c:v>
                </c:pt>
                <c:pt idx="2066">
                  <c:v>310000</c:v>
                </c:pt>
                <c:pt idx="2067">
                  <c:v>315000</c:v>
                </c:pt>
                <c:pt idx="2068">
                  <c:v>314000</c:v>
                </c:pt>
                <c:pt idx="2069">
                  <c:v>315000</c:v>
                </c:pt>
                <c:pt idx="2070">
                  <c:v>314000</c:v>
                </c:pt>
                <c:pt idx="2071">
                  <c:v>324000</c:v>
                </c:pt>
                <c:pt idx="2072">
                  <c:v>319000</c:v>
                </c:pt>
                <c:pt idx="2073">
                  <c:v>309000</c:v>
                </c:pt>
                <c:pt idx="2074">
                  <c:v>316000</c:v>
                </c:pt>
                <c:pt idx="2075">
                  <c:v>305000</c:v>
                </c:pt>
                <c:pt idx="2076">
                  <c:v>313000</c:v>
                </c:pt>
                <c:pt idx="2077">
                  <c:v>328000</c:v>
                </c:pt>
                <c:pt idx="2078">
                  <c:v>319000</c:v>
                </c:pt>
                <c:pt idx="2079">
                  <c:v>311000</c:v>
                </c:pt>
                <c:pt idx="2080">
                  <c:v>326000</c:v>
                </c:pt>
                <c:pt idx="2081">
                  <c:v>349000</c:v>
                </c:pt>
                <c:pt idx="2082">
                  <c:v>327000</c:v>
                </c:pt>
                <c:pt idx="2083">
                  <c:v>311000</c:v>
                </c:pt>
                <c:pt idx="2084">
                  <c:v>318000</c:v>
                </c:pt>
                <c:pt idx="2085">
                  <c:v>323000</c:v>
                </c:pt>
                <c:pt idx="2086">
                  <c:v>341000</c:v>
                </c:pt>
                <c:pt idx="2087">
                  <c:v>330000</c:v>
                </c:pt>
                <c:pt idx="2088">
                  <c:v>296000</c:v>
                </c:pt>
                <c:pt idx="2089">
                  <c:v>335000</c:v>
                </c:pt>
                <c:pt idx="2090">
                  <c:v>308000</c:v>
                </c:pt>
                <c:pt idx="2091">
                  <c:v>310000</c:v>
                </c:pt>
                <c:pt idx="2092">
                  <c:v>338000</c:v>
                </c:pt>
                <c:pt idx="2093">
                  <c:v>321000</c:v>
                </c:pt>
                <c:pt idx="2094">
                  <c:v>322000</c:v>
                </c:pt>
                <c:pt idx="2095">
                  <c:v>320000</c:v>
                </c:pt>
                <c:pt idx="2096">
                  <c:v>308000</c:v>
                </c:pt>
                <c:pt idx="2097">
                  <c:v>309000</c:v>
                </c:pt>
                <c:pt idx="2098">
                  <c:v>303000</c:v>
                </c:pt>
                <c:pt idx="2099">
                  <c:v>307000</c:v>
                </c:pt>
                <c:pt idx="2100">
                  <c:v>332000</c:v>
                </c:pt>
                <c:pt idx="2101">
                  <c:v>327000</c:v>
                </c:pt>
                <c:pt idx="2102">
                  <c:v>321000</c:v>
                </c:pt>
                <c:pt idx="2103">
                  <c:v>301000</c:v>
                </c:pt>
                <c:pt idx="2104">
                  <c:v>300000</c:v>
                </c:pt>
                <c:pt idx="2105">
                  <c:v>297000</c:v>
                </c:pt>
                <c:pt idx="2106">
                  <c:v>310000</c:v>
                </c:pt>
                <c:pt idx="2107">
                  <c:v>310000</c:v>
                </c:pt>
                <c:pt idx="2108">
                  <c:v>313000</c:v>
                </c:pt>
                <c:pt idx="2109">
                  <c:v>313000</c:v>
                </c:pt>
                <c:pt idx="2110">
                  <c:v>320000</c:v>
                </c:pt>
                <c:pt idx="2111">
                  <c:v>313000</c:v>
                </c:pt>
                <c:pt idx="2112">
                  <c:v>317000</c:v>
                </c:pt>
                <c:pt idx="2113">
                  <c:v>321000</c:v>
                </c:pt>
                <c:pt idx="2114">
                  <c:v>317000</c:v>
                </c:pt>
                <c:pt idx="2115">
                  <c:v>310000</c:v>
                </c:pt>
                <c:pt idx="2116">
                  <c:v>305000</c:v>
                </c:pt>
                <c:pt idx="2117">
                  <c:v>314000</c:v>
                </c:pt>
                <c:pt idx="2118">
                  <c:v>316000</c:v>
                </c:pt>
                <c:pt idx="2119">
                  <c:v>321000</c:v>
                </c:pt>
                <c:pt idx="2120">
                  <c:v>329000</c:v>
                </c:pt>
                <c:pt idx="2121">
                  <c:v>314000</c:v>
                </c:pt>
                <c:pt idx="2122">
                  <c:v>321000</c:v>
                </c:pt>
                <c:pt idx="2123">
                  <c:v>313000</c:v>
                </c:pt>
                <c:pt idx="2124">
                  <c:v>302000</c:v>
                </c:pt>
                <c:pt idx="2125">
                  <c:v>317000</c:v>
                </c:pt>
                <c:pt idx="2126">
                  <c:v>316000</c:v>
                </c:pt>
                <c:pt idx="2127">
                  <c:v>335000</c:v>
                </c:pt>
                <c:pt idx="2128">
                  <c:v>334000</c:v>
                </c:pt>
                <c:pt idx="2129">
                  <c:v>328000</c:v>
                </c:pt>
                <c:pt idx="2130">
                  <c:v>327000</c:v>
                </c:pt>
                <c:pt idx="2131">
                  <c:v>333000</c:v>
                </c:pt>
                <c:pt idx="2132">
                  <c:v>332000</c:v>
                </c:pt>
                <c:pt idx="2133">
                  <c:v>352000</c:v>
                </c:pt>
                <c:pt idx="2134">
                  <c:v>344000</c:v>
                </c:pt>
                <c:pt idx="2135">
                  <c:v>332000</c:v>
                </c:pt>
                <c:pt idx="2136">
                  <c:v>350000</c:v>
                </c:pt>
                <c:pt idx="2137">
                  <c:v>355000</c:v>
                </c:pt>
                <c:pt idx="2138">
                  <c:v>360000</c:v>
                </c:pt>
                <c:pt idx="2139">
                  <c:v>346000</c:v>
                </c:pt>
                <c:pt idx="2140">
                  <c:v>322000</c:v>
                </c:pt>
                <c:pt idx="2141">
                  <c:v>321000</c:v>
                </c:pt>
                <c:pt idx="2142">
                  <c:v>366000</c:v>
                </c:pt>
                <c:pt idx="2143">
                  <c:v>350000</c:v>
                </c:pt>
                <c:pt idx="2144">
                  <c:v>344000</c:v>
                </c:pt>
                <c:pt idx="2145">
                  <c:v>339000</c:v>
                </c:pt>
                <c:pt idx="2146">
                  <c:v>354000</c:v>
                </c:pt>
                <c:pt idx="2147">
                  <c:v>345000</c:v>
                </c:pt>
                <c:pt idx="2148">
                  <c:v>348000</c:v>
                </c:pt>
                <c:pt idx="2149">
                  <c:v>369000</c:v>
                </c:pt>
                <c:pt idx="2150">
                  <c:v>368000</c:v>
                </c:pt>
                <c:pt idx="2151">
                  <c:v>387000</c:v>
                </c:pt>
                <c:pt idx="2152">
                  <c:v>354000</c:v>
                </c:pt>
                <c:pt idx="2153">
                  <c:v>365000</c:v>
                </c:pt>
                <c:pt idx="2154">
                  <c:v>349000</c:v>
                </c:pt>
                <c:pt idx="2155">
                  <c:v>370000</c:v>
                </c:pt>
                <c:pt idx="2156">
                  <c:v>370000</c:v>
                </c:pt>
                <c:pt idx="2157">
                  <c:v>366000</c:v>
                </c:pt>
                <c:pt idx="2158">
                  <c:v>367000</c:v>
                </c:pt>
                <c:pt idx="2159">
                  <c:v>369000</c:v>
                </c:pt>
                <c:pt idx="2160">
                  <c:v>362000</c:v>
                </c:pt>
                <c:pt idx="2161">
                  <c:v>382000</c:v>
                </c:pt>
                <c:pt idx="2162">
                  <c:v>378000</c:v>
                </c:pt>
                <c:pt idx="2163">
                  <c:v>381000</c:v>
                </c:pt>
                <c:pt idx="2164">
                  <c:v>392000</c:v>
                </c:pt>
                <c:pt idx="2165">
                  <c:v>371000</c:v>
                </c:pt>
                <c:pt idx="2166">
                  <c:v>385000</c:v>
                </c:pt>
                <c:pt idx="2167">
                  <c:v>402000</c:v>
                </c:pt>
                <c:pt idx="2168">
                  <c:v>434000</c:v>
                </c:pt>
                <c:pt idx="2169">
                  <c:v>448000</c:v>
                </c:pt>
                <c:pt idx="2170">
                  <c:v>430000</c:v>
                </c:pt>
                <c:pt idx="2171">
                  <c:v>424000</c:v>
                </c:pt>
                <c:pt idx="2172">
                  <c:v>421000</c:v>
                </c:pt>
                <c:pt idx="2173">
                  <c:v>442000</c:v>
                </c:pt>
                <c:pt idx="2174">
                  <c:v>441000</c:v>
                </c:pt>
                <c:pt idx="2175">
                  <c:v>449000</c:v>
                </c:pt>
                <c:pt idx="2176">
                  <c:v>483000</c:v>
                </c:pt>
                <c:pt idx="2177">
                  <c:v>483000</c:v>
                </c:pt>
                <c:pt idx="2178">
                  <c:v>482000</c:v>
                </c:pt>
                <c:pt idx="2179">
                  <c:v>461000</c:v>
                </c:pt>
                <c:pt idx="2180">
                  <c:v>478000</c:v>
                </c:pt>
                <c:pt idx="2181">
                  <c:v>480000</c:v>
                </c:pt>
                <c:pt idx="2182">
                  <c:v>490000</c:v>
                </c:pt>
                <c:pt idx="2183">
                  <c:v>512000</c:v>
                </c:pt>
                <c:pt idx="2184">
                  <c:v>536000</c:v>
                </c:pt>
                <c:pt idx="2185">
                  <c:v>532000</c:v>
                </c:pt>
                <c:pt idx="2186">
                  <c:v>529000</c:v>
                </c:pt>
                <c:pt idx="2187">
                  <c:v>570000</c:v>
                </c:pt>
                <c:pt idx="2188">
                  <c:v>566000</c:v>
                </c:pt>
                <c:pt idx="2189">
                  <c:v>587000</c:v>
                </c:pt>
                <c:pt idx="2190">
                  <c:v>533000</c:v>
                </c:pt>
                <c:pt idx="2191">
                  <c:v>503000</c:v>
                </c:pt>
                <c:pt idx="2192">
                  <c:v>551000</c:v>
                </c:pt>
                <c:pt idx="2193">
                  <c:v>591000</c:v>
                </c:pt>
                <c:pt idx="2194">
                  <c:v>586000</c:v>
                </c:pt>
                <c:pt idx="2195">
                  <c:v>629000</c:v>
                </c:pt>
                <c:pt idx="2196">
                  <c:v>637000</c:v>
                </c:pt>
                <c:pt idx="2197">
                  <c:v>632000</c:v>
                </c:pt>
                <c:pt idx="2198">
                  <c:v>655000</c:v>
                </c:pt>
                <c:pt idx="2199">
                  <c:v>652000</c:v>
                </c:pt>
                <c:pt idx="2200">
                  <c:v>660000</c:v>
                </c:pt>
                <c:pt idx="2201">
                  <c:v>651000</c:v>
                </c:pt>
                <c:pt idx="2202">
                  <c:v>661000</c:v>
                </c:pt>
                <c:pt idx="2203">
                  <c:v>665000</c:v>
                </c:pt>
                <c:pt idx="2204">
                  <c:v>653000</c:v>
                </c:pt>
                <c:pt idx="2205">
                  <c:v>599000</c:v>
                </c:pt>
                <c:pt idx="2206">
                  <c:v>639000</c:v>
                </c:pt>
                <c:pt idx="2207">
                  <c:v>620000</c:v>
                </c:pt>
                <c:pt idx="2208">
                  <c:v>602000</c:v>
                </c:pt>
                <c:pt idx="2209">
                  <c:v>625000</c:v>
                </c:pt>
                <c:pt idx="2210">
                  <c:v>620000</c:v>
                </c:pt>
                <c:pt idx="2211">
                  <c:v>606000</c:v>
                </c:pt>
                <c:pt idx="2212">
                  <c:v>607000</c:v>
                </c:pt>
                <c:pt idx="2213">
                  <c:v>596000</c:v>
                </c:pt>
                <c:pt idx="2214">
                  <c:v>595000</c:v>
                </c:pt>
                <c:pt idx="2215">
                  <c:v>608000</c:v>
                </c:pt>
                <c:pt idx="2216">
                  <c:v>594000</c:v>
                </c:pt>
                <c:pt idx="2217">
                  <c:v>573000</c:v>
                </c:pt>
                <c:pt idx="2218">
                  <c:v>546000</c:v>
                </c:pt>
                <c:pt idx="2219">
                  <c:v>560000</c:v>
                </c:pt>
                <c:pt idx="2220">
                  <c:v>587000</c:v>
                </c:pt>
                <c:pt idx="2221">
                  <c:v>555000</c:v>
                </c:pt>
                <c:pt idx="2222">
                  <c:v>555000</c:v>
                </c:pt>
                <c:pt idx="2223">
                  <c:v>562000</c:v>
                </c:pt>
                <c:pt idx="2224">
                  <c:v>560000</c:v>
                </c:pt>
                <c:pt idx="2225">
                  <c:v>564000</c:v>
                </c:pt>
                <c:pt idx="2226">
                  <c:v>558000</c:v>
                </c:pt>
                <c:pt idx="2227">
                  <c:v>542000</c:v>
                </c:pt>
                <c:pt idx="2228">
                  <c:v>536000</c:v>
                </c:pt>
                <c:pt idx="2229">
                  <c:v>554000</c:v>
                </c:pt>
                <c:pt idx="2230">
                  <c:v>533000</c:v>
                </c:pt>
                <c:pt idx="2231">
                  <c:v>511000</c:v>
                </c:pt>
                <c:pt idx="2232">
                  <c:v>531000</c:v>
                </c:pt>
                <c:pt idx="2233">
                  <c:v>530000</c:v>
                </c:pt>
                <c:pt idx="2234">
                  <c:v>522000</c:v>
                </c:pt>
                <c:pt idx="2235">
                  <c:v>512000</c:v>
                </c:pt>
                <c:pt idx="2236">
                  <c:v>507000</c:v>
                </c:pt>
                <c:pt idx="2237">
                  <c:v>482000</c:v>
                </c:pt>
                <c:pt idx="2238">
                  <c:v>475000</c:v>
                </c:pt>
                <c:pt idx="2239">
                  <c:v>497000</c:v>
                </c:pt>
                <c:pt idx="2240">
                  <c:v>498000</c:v>
                </c:pt>
                <c:pt idx="2241">
                  <c:v>479000</c:v>
                </c:pt>
                <c:pt idx="2242">
                  <c:v>468000</c:v>
                </c:pt>
                <c:pt idx="2243">
                  <c:v>456000</c:v>
                </c:pt>
                <c:pt idx="2244">
                  <c:v>469000</c:v>
                </c:pt>
                <c:pt idx="2245">
                  <c:v>507000</c:v>
                </c:pt>
                <c:pt idx="2246">
                  <c:v>471000</c:v>
                </c:pt>
                <c:pt idx="2247">
                  <c:v>496000</c:v>
                </c:pt>
                <c:pt idx="2248">
                  <c:v>466000</c:v>
                </c:pt>
                <c:pt idx="2249">
                  <c:v>489000</c:v>
                </c:pt>
                <c:pt idx="2250">
                  <c:v>500000</c:v>
                </c:pt>
                <c:pt idx="2251">
                  <c:v>488000</c:v>
                </c:pt>
                <c:pt idx="2252">
                  <c:v>472000</c:v>
                </c:pt>
                <c:pt idx="2253">
                  <c:v>478000</c:v>
                </c:pt>
                <c:pt idx="2254">
                  <c:v>472000</c:v>
                </c:pt>
                <c:pt idx="2255">
                  <c:v>459000</c:v>
                </c:pt>
                <c:pt idx="2256">
                  <c:v>479000</c:v>
                </c:pt>
                <c:pt idx="2257">
                  <c:v>479000</c:v>
                </c:pt>
                <c:pt idx="2258">
                  <c:v>469000</c:v>
                </c:pt>
                <c:pt idx="2259">
                  <c:v>449000</c:v>
                </c:pt>
                <c:pt idx="2260">
                  <c:v>451000</c:v>
                </c:pt>
                <c:pt idx="2261">
                  <c:v>451000</c:v>
                </c:pt>
                <c:pt idx="2262">
                  <c:v>474000</c:v>
                </c:pt>
                <c:pt idx="2263">
                  <c:v>463000</c:v>
                </c:pt>
                <c:pt idx="2264">
                  <c:v>458000</c:v>
                </c:pt>
                <c:pt idx="2265">
                  <c:v>459000</c:v>
                </c:pt>
                <c:pt idx="2266">
                  <c:v>467000</c:v>
                </c:pt>
                <c:pt idx="2267">
                  <c:v>452000</c:v>
                </c:pt>
                <c:pt idx="2268">
                  <c:v>464000</c:v>
                </c:pt>
                <c:pt idx="2269">
                  <c:v>454000</c:v>
                </c:pt>
                <c:pt idx="2270">
                  <c:v>439000</c:v>
                </c:pt>
                <c:pt idx="2271">
                  <c:v>462000</c:v>
                </c:pt>
                <c:pt idx="2272">
                  <c:v>465000</c:v>
                </c:pt>
                <c:pt idx="2273">
                  <c:v>476000</c:v>
                </c:pt>
                <c:pt idx="2274">
                  <c:v>483000</c:v>
                </c:pt>
                <c:pt idx="2275">
                  <c:v>486000</c:v>
                </c:pt>
                <c:pt idx="2276">
                  <c:v>464000</c:v>
                </c:pt>
                <c:pt idx="2277">
                  <c:v>467000</c:v>
                </c:pt>
                <c:pt idx="2278">
                  <c:v>452000</c:v>
                </c:pt>
                <c:pt idx="2279">
                  <c:v>444000</c:v>
                </c:pt>
                <c:pt idx="2280">
                  <c:v>459000</c:v>
                </c:pt>
                <c:pt idx="2281">
                  <c:v>459000</c:v>
                </c:pt>
                <c:pt idx="2282">
                  <c:v>446000</c:v>
                </c:pt>
                <c:pt idx="2283">
                  <c:v>459000</c:v>
                </c:pt>
                <c:pt idx="2284">
                  <c:v>444000</c:v>
                </c:pt>
                <c:pt idx="2285">
                  <c:v>432000</c:v>
                </c:pt>
                <c:pt idx="2286">
                  <c:v>453000</c:v>
                </c:pt>
                <c:pt idx="2287">
                  <c:v>434000</c:v>
                </c:pt>
                <c:pt idx="2288">
                  <c:v>432000</c:v>
                </c:pt>
                <c:pt idx="2289">
                  <c:v>407000</c:v>
                </c:pt>
                <c:pt idx="2290">
                  <c:v>432000</c:v>
                </c:pt>
                <c:pt idx="2291">
                  <c:v>428000</c:v>
                </c:pt>
                <c:pt idx="2292">
                  <c:v>425000</c:v>
                </c:pt>
                <c:pt idx="2293">
                  <c:v>424000</c:v>
                </c:pt>
                <c:pt idx="2294">
                  <c:v>404000</c:v>
                </c:pt>
                <c:pt idx="2295">
                  <c:v>413000</c:v>
                </c:pt>
                <c:pt idx="2296">
                  <c:v>434000</c:v>
                </c:pt>
                <c:pt idx="2297">
                  <c:v>421000</c:v>
                </c:pt>
                <c:pt idx="2298">
                  <c:v>446000</c:v>
                </c:pt>
                <c:pt idx="2299">
                  <c:v>420000</c:v>
                </c:pt>
                <c:pt idx="2300">
                  <c:v>402000</c:v>
                </c:pt>
                <c:pt idx="2301">
                  <c:v>425000</c:v>
                </c:pt>
                <c:pt idx="2302">
                  <c:v>394000</c:v>
                </c:pt>
                <c:pt idx="2303">
                  <c:v>385000</c:v>
                </c:pt>
                <c:pt idx="2304">
                  <c:v>414000</c:v>
                </c:pt>
                <c:pt idx="2305">
                  <c:v>404000</c:v>
                </c:pt>
                <c:pt idx="2306">
                  <c:v>407000</c:v>
                </c:pt>
                <c:pt idx="2307">
                  <c:v>399000</c:v>
                </c:pt>
                <c:pt idx="2308">
                  <c:v>395000</c:v>
                </c:pt>
                <c:pt idx="2309">
                  <c:v>416000</c:v>
                </c:pt>
                <c:pt idx="2310">
                  <c:v>402000</c:v>
                </c:pt>
                <c:pt idx="2311">
                  <c:v>422000</c:v>
                </c:pt>
                <c:pt idx="2312">
                  <c:v>468000</c:v>
                </c:pt>
                <c:pt idx="2313">
                  <c:v>435000</c:v>
                </c:pt>
                <c:pt idx="2314">
                  <c:v>414000</c:v>
                </c:pt>
                <c:pt idx="2315">
                  <c:v>423000</c:v>
                </c:pt>
                <c:pt idx="2316">
                  <c:v>418000</c:v>
                </c:pt>
                <c:pt idx="2317">
                  <c:v>423000</c:v>
                </c:pt>
                <c:pt idx="2318">
                  <c:v>413000</c:v>
                </c:pt>
                <c:pt idx="2319">
                  <c:v>416000</c:v>
                </c:pt>
                <c:pt idx="2320">
                  <c:v>421000</c:v>
                </c:pt>
                <c:pt idx="2321">
                  <c:v>418000</c:v>
                </c:pt>
                <c:pt idx="2322">
                  <c:v>408000</c:v>
                </c:pt>
                <c:pt idx="2323">
                  <c:v>420000</c:v>
                </c:pt>
                <c:pt idx="2324">
                  <c:v>411000</c:v>
                </c:pt>
                <c:pt idx="2325">
                  <c:v>406000</c:v>
                </c:pt>
                <c:pt idx="2326">
                  <c:v>405000</c:v>
                </c:pt>
                <c:pt idx="2327">
                  <c:v>409000</c:v>
                </c:pt>
                <c:pt idx="2328">
                  <c:v>415000</c:v>
                </c:pt>
                <c:pt idx="2329">
                  <c:v>409000</c:v>
                </c:pt>
                <c:pt idx="2330">
                  <c:v>414000</c:v>
                </c:pt>
                <c:pt idx="2331">
                  <c:v>429000</c:v>
                </c:pt>
                <c:pt idx="2332">
                  <c:v>422000</c:v>
                </c:pt>
                <c:pt idx="2333">
                  <c:v>406000</c:v>
                </c:pt>
                <c:pt idx="2334">
                  <c:v>405000</c:v>
                </c:pt>
                <c:pt idx="2335">
                  <c:v>410000</c:v>
                </c:pt>
                <c:pt idx="2336">
                  <c:v>395000</c:v>
                </c:pt>
                <c:pt idx="2337">
                  <c:v>403000</c:v>
                </c:pt>
                <c:pt idx="2338">
                  <c:v>399000</c:v>
                </c:pt>
                <c:pt idx="2339">
                  <c:v>392000</c:v>
                </c:pt>
                <c:pt idx="2340">
                  <c:v>383000</c:v>
                </c:pt>
                <c:pt idx="2341">
                  <c:v>385000</c:v>
                </c:pt>
                <c:pt idx="2342">
                  <c:v>397000</c:v>
                </c:pt>
                <c:pt idx="2343">
                  <c:v>387000</c:v>
                </c:pt>
                <c:pt idx="2344">
                  <c:v>368000</c:v>
                </c:pt>
                <c:pt idx="2345">
                  <c:v>368000</c:v>
                </c:pt>
                <c:pt idx="2346">
                  <c:v>386000</c:v>
                </c:pt>
                <c:pt idx="2347">
                  <c:v>376000</c:v>
                </c:pt>
                <c:pt idx="2348">
                  <c:v>391000</c:v>
                </c:pt>
                <c:pt idx="2349">
                  <c:v>367000</c:v>
                </c:pt>
                <c:pt idx="2350">
                  <c:v>381000</c:v>
                </c:pt>
                <c:pt idx="2351">
                  <c:v>372000</c:v>
                </c:pt>
                <c:pt idx="2352">
                  <c:v>368000</c:v>
                </c:pt>
                <c:pt idx="2353">
                  <c:v>361000</c:v>
                </c:pt>
                <c:pt idx="2354">
                  <c:v>359000</c:v>
                </c:pt>
                <c:pt idx="2355">
                  <c:v>365000</c:v>
                </c:pt>
                <c:pt idx="2356">
                  <c:v>375000</c:v>
                </c:pt>
                <c:pt idx="2357">
                  <c:v>369000</c:v>
                </c:pt>
                <c:pt idx="2358">
                  <c:v>368000</c:v>
                </c:pt>
                <c:pt idx="2359">
                  <c:v>363000</c:v>
                </c:pt>
                <c:pt idx="2360">
                  <c:v>358000</c:v>
                </c:pt>
                <c:pt idx="2361">
                  <c:v>387000</c:v>
                </c:pt>
                <c:pt idx="2362">
                  <c:v>381000</c:v>
                </c:pt>
                <c:pt idx="2363">
                  <c:v>387000</c:v>
                </c:pt>
                <c:pt idx="2364">
                  <c:v>372000</c:v>
                </c:pt>
                <c:pt idx="2365">
                  <c:v>373000</c:v>
                </c:pt>
                <c:pt idx="2366">
                  <c:v>369000</c:v>
                </c:pt>
                <c:pt idx="2367">
                  <c:v>371000</c:v>
                </c:pt>
                <c:pt idx="2368">
                  <c:v>381000</c:v>
                </c:pt>
                <c:pt idx="2369">
                  <c:v>377000</c:v>
                </c:pt>
                <c:pt idx="2370">
                  <c:v>383000</c:v>
                </c:pt>
                <c:pt idx="2371">
                  <c:v>384000</c:v>
                </c:pt>
                <c:pt idx="2372">
                  <c:v>380000</c:v>
                </c:pt>
                <c:pt idx="2373">
                  <c:v>372000</c:v>
                </c:pt>
                <c:pt idx="2374">
                  <c:v>360000</c:v>
                </c:pt>
                <c:pt idx="2375">
                  <c:v>390000</c:v>
                </c:pt>
                <c:pt idx="2376">
                  <c:v>368000</c:v>
                </c:pt>
                <c:pt idx="2377">
                  <c:v>372000</c:v>
                </c:pt>
                <c:pt idx="2378">
                  <c:v>371000</c:v>
                </c:pt>
                <c:pt idx="2379">
                  <c:v>369000</c:v>
                </c:pt>
                <c:pt idx="2380">
                  <c:v>376000</c:v>
                </c:pt>
                <c:pt idx="2381">
                  <c:v>377000</c:v>
                </c:pt>
                <c:pt idx="2382">
                  <c:v>371000</c:v>
                </c:pt>
                <c:pt idx="2383">
                  <c:v>393000</c:v>
                </c:pt>
                <c:pt idx="2384">
                  <c:v>392000</c:v>
                </c:pt>
                <c:pt idx="2385">
                  <c:v>377000</c:v>
                </c:pt>
                <c:pt idx="2386">
                  <c:v>376000</c:v>
                </c:pt>
                <c:pt idx="2387">
                  <c:v>350000</c:v>
                </c:pt>
                <c:pt idx="2388">
                  <c:v>386000</c:v>
                </c:pt>
                <c:pt idx="2389">
                  <c:v>374000</c:v>
                </c:pt>
                <c:pt idx="2390">
                  <c:v>364000</c:v>
                </c:pt>
                <c:pt idx="2391">
                  <c:v>365000</c:v>
                </c:pt>
                <c:pt idx="2392">
                  <c:v>446000</c:v>
                </c:pt>
                <c:pt idx="2393">
                  <c:v>406000</c:v>
                </c:pt>
                <c:pt idx="2394">
                  <c:v>388000</c:v>
                </c:pt>
                <c:pt idx="2395">
                  <c:v>375000</c:v>
                </c:pt>
                <c:pt idx="2396">
                  <c:v>340000</c:v>
                </c:pt>
                <c:pt idx="2397">
                  <c:v>356000</c:v>
                </c:pt>
                <c:pt idx="2398">
                  <c:v>362000</c:v>
                </c:pt>
                <c:pt idx="2399">
                  <c:v>362000</c:v>
                </c:pt>
                <c:pt idx="2400">
                  <c:v>363000</c:v>
                </c:pt>
                <c:pt idx="2401">
                  <c:v>344000</c:v>
                </c:pt>
                <c:pt idx="2402">
                  <c:v>339000</c:v>
                </c:pt>
                <c:pt idx="2403">
                  <c:v>366000</c:v>
                </c:pt>
                <c:pt idx="2404">
                  <c:v>361000</c:v>
                </c:pt>
                <c:pt idx="2405">
                  <c:v>347000</c:v>
                </c:pt>
                <c:pt idx="2406">
                  <c:v>362000</c:v>
                </c:pt>
                <c:pt idx="2407">
                  <c:v>342000</c:v>
                </c:pt>
                <c:pt idx="2408">
                  <c:v>340000</c:v>
                </c:pt>
                <c:pt idx="2409">
                  <c:v>343000</c:v>
                </c:pt>
                <c:pt idx="2410">
                  <c:v>343000</c:v>
                </c:pt>
                <c:pt idx="2411">
                  <c:v>358000</c:v>
                </c:pt>
                <c:pt idx="2412">
                  <c:v>375000</c:v>
                </c:pt>
                <c:pt idx="2413">
                  <c:v>359000</c:v>
                </c:pt>
                <c:pt idx="2414">
                  <c:v>356000</c:v>
                </c:pt>
                <c:pt idx="2415">
                  <c:v>343000</c:v>
                </c:pt>
                <c:pt idx="2416">
                  <c:v>331000</c:v>
                </c:pt>
                <c:pt idx="2417">
                  <c:v>335000</c:v>
                </c:pt>
                <c:pt idx="2418">
                  <c:v>360000</c:v>
                </c:pt>
                <c:pt idx="2419">
                  <c:v>343000</c:v>
                </c:pt>
                <c:pt idx="2420">
                  <c:v>353000</c:v>
                </c:pt>
                <c:pt idx="2421">
                  <c:v>346000</c:v>
                </c:pt>
                <c:pt idx="2422">
                  <c:v>337000</c:v>
                </c:pt>
                <c:pt idx="2423">
                  <c:v>353000</c:v>
                </c:pt>
                <c:pt idx="2424">
                  <c:v>347000</c:v>
                </c:pt>
                <c:pt idx="2425">
                  <c:v>340000</c:v>
                </c:pt>
                <c:pt idx="2426">
                  <c:v>351000</c:v>
                </c:pt>
                <c:pt idx="2427">
                  <c:v>344000</c:v>
                </c:pt>
                <c:pt idx="2428">
                  <c:v>355000</c:v>
                </c:pt>
                <c:pt idx="2429">
                  <c:v>334000</c:v>
                </c:pt>
                <c:pt idx="2430">
                  <c:v>339000</c:v>
                </c:pt>
                <c:pt idx="2431">
                  <c:v>327000</c:v>
                </c:pt>
                <c:pt idx="2432">
                  <c:v>340000</c:v>
                </c:pt>
                <c:pt idx="2433">
                  <c:v>336000</c:v>
                </c:pt>
                <c:pt idx="2434">
                  <c:v>325000</c:v>
                </c:pt>
                <c:pt idx="2435">
                  <c:v>300000</c:v>
                </c:pt>
                <c:pt idx="2436">
                  <c:v>323000</c:v>
                </c:pt>
                <c:pt idx="2437">
                  <c:v>314000</c:v>
                </c:pt>
                <c:pt idx="2438">
                  <c:v>319000</c:v>
                </c:pt>
                <c:pt idx="2439">
                  <c:v>368000</c:v>
                </c:pt>
                <c:pt idx="2440">
                  <c:v>368000</c:v>
                </c:pt>
                <c:pt idx="2441">
                  <c:v>351000</c:v>
                </c:pt>
                <c:pt idx="2442">
                  <c:v>347000</c:v>
                </c:pt>
                <c:pt idx="2443">
                  <c:v>342000</c:v>
                </c:pt>
                <c:pt idx="2444">
                  <c:v>340000</c:v>
                </c:pt>
                <c:pt idx="2445">
                  <c:v>331000</c:v>
                </c:pt>
                <c:pt idx="2446">
                  <c:v>316000</c:v>
                </c:pt>
                <c:pt idx="2447">
                  <c:v>312000</c:v>
                </c:pt>
                <c:pt idx="2448">
                  <c:v>354000</c:v>
                </c:pt>
                <c:pt idx="2449">
                  <c:v>364000</c:v>
                </c:pt>
                <c:pt idx="2450">
                  <c:v>334000</c:v>
                </c:pt>
                <c:pt idx="2451">
                  <c:v>332000</c:v>
                </c:pt>
                <c:pt idx="2452">
                  <c:v>322000</c:v>
                </c:pt>
                <c:pt idx="2453">
                  <c:v>318000</c:v>
                </c:pt>
                <c:pt idx="2454">
                  <c:v>327000</c:v>
                </c:pt>
                <c:pt idx="2455">
                  <c:v>340000</c:v>
                </c:pt>
                <c:pt idx="2456">
                  <c:v>331000</c:v>
                </c:pt>
                <c:pt idx="2457">
                  <c:v>337000</c:v>
                </c:pt>
                <c:pt idx="2458">
                  <c:v>332000</c:v>
                </c:pt>
                <c:pt idx="2459">
                  <c:v>341000</c:v>
                </c:pt>
                <c:pt idx="2460">
                  <c:v>319000</c:v>
                </c:pt>
                <c:pt idx="2461">
                  <c:v>322000</c:v>
                </c:pt>
                <c:pt idx="2462">
                  <c:v>321000</c:v>
                </c:pt>
                <c:pt idx="2463">
                  <c:v>313000</c:v>
                </c:pt>
                <c:pt idx="2464">
                  <c:v>330000</c:v>
                </c:pt>
                <c:pt idx="2465">
                  <c:v>311000</c:v>
                </c:pt>
                <c:pt idx="2466">
                  <c:v>308000</c:v>
                </c:pt>
                <c:pt idx="2467">
                  <c:v>327000</c:v>
                </c:pt>
                <c:pt idx="2468">
                  <c:v>345000</c:v>
                </c:pt>
                <c:pt idx="2469">
                  <c:v>325000</c:v>
                </c:pt>
                <c:pt idx="2470">
                  <c:v>303000</c:v>
                </c:pt>
                <c:pt idx="2471">
                  <c:v>324000</c:v>
                </c:pt>
                <c:pt idx="2472">
                  <c:v>305000</c:v>
                </c:pt>
                <c:pt idx="2473">
                  <c:v>312000</c:v>
                </c:pt>
                <c:pt idx="2474">
                  <c:v>317000</c:v>
                </c:pt>
                <c:pt idx="2475">
                  <c:v>314000</c:v>
                </c:pt>
                <c:pt idx="2476">
                  <c:v>315000</c:v>
                </c:pt>
                <c:pt idx="2477">
                  <c:v>308000</c:v>
                </c:pt>
                <c:pt idx="2478">
                  <c:v>302000</c:v>
                </c:pt>
                <c:pt idx="2479">
                  <c:v>308000</c:v>
                </c:pt>
                <c:pt idx="2480">
                  <c:v>294000</c:v>
                </c:pt>
                <c:pt idx="2481">
                  <c:v>303000</c:v>
                </c:pt>
                <c:pt idx="2482">
                  <c:v>295000</c:v>
                </c:pt>
                <c:pt idx="2483">
                  <c:v>309000</c:v>
                </c:pt>
                <c:pt idx="2484">
                  <c:v>303000</c:v>
                </c:pt>
                <c:pt idx="2485">
                  <c:v>300000</c:v>
                </c:pt>
                <c:pt idx="2486">
                  <c:v>303000</c:v>
                </c:pt>
                <c:pt idx="2487">
                  <c:v>307000</c:v>
                </c:pt>
                <c:pt idx="2488">
                  <c:v>288000</c:v>
                </c:pt>
                <c:pt idx="2489">
                  <c:v>295000</c:v>
                </c:pt>
                <c:pt idx="2490">
                  <c:v>290000</c:v>
                </c:pt>
                <c:pt idx="2491">
                  <c:v>293000</c:v>
                </c:pt>
                <c:pt idx="2492">
                  <c:v>281000</c:v>
                </c:pt>
                <c:pt idx="2493">
                  <c:v>290000</c:v>
                </c:pt>
                <c:pt idx="2494">
                  <c:v>291000</c:v>
                </c:pt>
                <c:pt idx="2495">
                  <c:v>280000</c:v>
                </c:pt>
                <c:pt idx="2496">
                  <c:v>291000</c:v>
                </c:pt>
                <c:pt idx="2497">
                  <c:v>293000</c:v>
                </c:pt>
                <c:pt idx="2498">
                  <c:v>303000</c:v>
                </c:pt>
                <c:pt idx="2499">
                  <c:v>291000</c:v>
                </c:pt>
                <c:pt idx="2500">
                  <c:v>291000</c:v>
                </c:pt>
                <c:pt idx="2501">
                  <c:v>286000</c:v>
                </c:pt>
                <c:pt idx="2502">
                  <c:v>276000</c:v>
                </c:pt>
                <c:pt idx="2503">
                  <c:v>285000</c:v>
                </c:pt>
                <c:pt idx="2504">
                  <c:v>294000</c:v>
                </c:pt>
                <c:pt idx="2505">
                  <c:v>304000</c:v>
                </c:pt>
                <c:pt idx="2506">
                  <c:v>298000</c:v>
                </c:pt>
                <c:pt idx="2507">
                  <c:v>261000</c:v>
                </c:pt>
                <c:pt idx="2508">
                  <c:v>281000</c:v>
                </c:pt>
                <c:pt idx="2509">
                  <c:v>298000</c:v>
                </c:pt>
                <c:pt idx="2510">
                  <c:v>285000</c:v>
                </c:pt>
                <c:pt idx="2511">
                  <c:v>305000</c:v>
                </c:pt>
                <c:pt idx="2512">
                  <c:v>317000</c:v>
                </c:pt>
                <c:pt idx="2513">
                  <c:v>293000</c:v>
                </c:pt>
                <c:pt idx="2514">
                  <c:v>290000</c:v>
                </c:pt>
                <c:pt idx="2515">
                  <c:v>284000</c:v>
                </c:pt>
                <c:pt idx="2516">
                  <c:v>269000</c:v>
                </c:pt>
                <c:pt idx="2517">
                  <c:v>282000</c:v>
                </c:pt>
                <c:pt idx="2518">
                  <c:v>298000</c:v>
                </c:pt>
                <c:pt idx="2519">
                  <c:v>295000</c:v>
                </c:pt>
                <c:pt idx="2520">
                  <c:v>269000</c:v>
                </c:pt>
                <c:pt idx="2521">
                  <c:v>267000</c:v>
                </c:pt>
                <c:pt idx="2522">
                  <c:v>271000</c:v>
                </c:pt>
                <c:pt idx="2523">
                  <c:v>276000</c:v>
                </c:pt>
                <c:pt idx="2524">
                  <c:v>281000</c:v>
                </c:pt>
                <c:pt idx="2525">
                  <c:v>275000</c:v>
                </c:pt>
                <c:pt idx="2526">
                  <c:v>278000</c:v>
                </c:pt>
                <c:pt idx="2527">
                  <c:v>269000</c:v>
                </c:pt>
                <c:pt idx="2528">
                  <c:v>273000</c:v>
                </c:pt>
                <c:pt idx="2529">
                  <c:v>275000</c:v>
                </c:pt>
                <c:pt idx="2530">
                  <c:v>292000</c:v>
                </c:pt>
                <c:pt idx="2531">
                  <c:v>285000</c:v>
                </c:pt>
                <c:pt idx="2532">
                  <c:v>265000</c:v>
                </c:pt>
                <c:pt idx="2533">
                  <c:v>269000</c:v>
                </c:pt>
                <c:pt idx="2534">
                  <c:v>270000</c:v>
                </c:pt>
                <c:pt idx="2535">
                  <c:v>274000</c:v>
                </c:pt>
                <c:pt idx="2536">
                  <c:v>279000</c:v>
                </c:pt>
                <c:pt idx="2537">
                  <c:v>274000</c:v>
                </c:pt>
                <c:pt idx="2538">
                  <c:v>279000</c:v>
                </c:pt>
                <c:pt idx="2539">
                  <c:v>273000</c:v>
                </c:pt>
                <c:pt idx="2540">
                  <c:v>264000</c:v>
                </c:pt>
                <c:pt idx="2541">
                  <c:v>269000</c:v>
                </c:pt>
                <c:pt idx="2542">
                  <c:v>272000</c:v>
                </c:pt>
                <c:pt idx="2543">
                  <c:v>267000</c:v>
                </c:pt>
                <c:pt idx="2544">
                  <c:v>265000</c:v>
                </c:pt>
                <c:pt idx="2545">
                  <c:v>264000</c:v>
                </c:pt>
                <c:pt idx="2546">
                  <c:v>264000</c:v>
                </c:pt>
                <c:pt idx="2547">
                  <c:v>275000</c:v>
                </c:pt>
                <c:pt idx="2548">
                  <c:v>276000</c:v>
                </c:pt>
                <c:pt idx="2549">
                  <c:v>272000</c:v>
                </c:pt>
                <c:pt idx="2550">
                  <c:v>261000</c:v>
                </c:pt>
                <c:pt idx="2551">
                  <c:v>265000</c:v>
                </c:pt>
                <c:pt idx="2552">
                  <c:v>280000</c:v>
                </c:pt>
                <c:pt idx="2553">
                  <c:v>268000</c:v>
                </c:pt>
                <c:pt idx="2554">
                  <c:v>260000</c:v>
                </c:pt>
                <c:pt idx="2555">
                  <c:v>276000</c:v>
                </c:pt>
                <c:pt idx="2556">
                  <c:v>273000</c:v>
                </c:pt>
                <c:pt idx="2557">
                  <c:v>284000</c:v>
                </c:pt>
                <c:pt idx="2558">
                  <c:v>290000</c:v>
                </c:pt>
                <c:pt idx="2559">
                  <c:v>269000</c:v>
                </c:pt>
                <c:pt idx="2560">
                  <c:v>282000</c:v>
                </c:pt>
                <c:pt idx="2561">
                  <c:v>266000</c:v>
                </c:pt>
                <c:pt idx="2562">
                  <c:v>262000</c:v>
                </c:pt>
                <c:pt idx="2563">
                  <c:v>270000</c:v>
                </c:pt>
                <c:pt idx="2564">
                  <c:v>269000</c:v>
                </c:pt>
                <c:pt idx="2565">
                  <c:v>255000</c:v>
                </c:pt>
                <c:pt idx="2566">
                  <c:v>263000</c:v>
                </c:pt>
                <c:pt idx="2567">
                  <c:v>264000</c:v>
                </c:pt>
                <c:pt idx="2568">
                  <c:v>271000</c:v>
                </c:pt>
                <c:pt idx="2569">
                  <c:v>273000</c:v>
                </c:pt>
                <c:pt idx="2570">
                  <c:v>263000</c:v>
                </c:pt>
                <c:pt idx="2571">
                  <c:v>257000</c:v>
                </c:pt>
                <c:pt idx="2572">
                  <c:v>259000</c:v>
                </c:pt>
                <c:pt idx="2573">
                  <c:v>278000</c:v>
                </c:pt>
                <c:pt idx="2574">
                  <c:v>289000</c:v>
                </c:pt>
                <c:pt idx="2575">
                  <c:v>279000</c:v>
                </c:pt>
                <c:pt idx="2576">
                  <c:v>267000</c:v>
                </c:pt>
                <c:pt idx="2577">
                  <c:v>263000</c:v>
                </c:pt>
                <c:pt idx="2578">
                  <c:v>265000</c:v>
                </c:pt>
                <c:pt idx="2579">
                  <c:v>273000</c:v>
                </c:pt>
                <c:pt idx="2580">
                  <c:v>261000</c:v>
                </c:pt>
                <c:pt idx="2581">
                  <c:v>262000</c:v>
                </c:pt>
                <c:pt idx="2582">
                  <c:v>255000</c:v>
                </c:pt>
                <c:pt idx="2583">
                  <c:v>252000</c:v>
                </c:pt>
                <c:pt idx="2584">
                  <c:v>260000</c:v>
                </c:pt>
                <c:pt idx="2585">
                  <c:v>264000</c:v>
                </c:pt>
                <c:pt idx="2586">
                  <c:v>266000</c:v>
                </c:pt>
                <c:pt idx="2587">
                  <c:v>265000</c:v>
                </c:pt>
                <c:pt idx="2588">
                  <c:v>264000</c:v>
                </c:pt>
                <c:pt idx="2589">
                  <c:v>264000</c:v>
                </c:pt>
                <c:pt idx="2590">
                  <c:v>261000</c:v>
                </c:pt>
                <c:pt idx="2591">
                  <c:v>257000</c:v>
                </c:pt>
                <c:pt idx="2592">
                  <c:v>252000</c:v>
                </c:pt>
                <c:pt idx="2593">
                  <c:v>250000</c:v>
                </c:pt>
                <c:pt idx="2594">
                  <c:v>247000</c:v>
                </c:pt>
                <c:pt idx="2595">
                  <c:v>245000</c:v>
                </c:pt>
                <c:pt idx="2596">
                  <c:v>250000</c:v>
                </c:pt>
                <c:pt idx="2597">
                  <c:v>263000</c:v>
                </c:pt>
                <c:pt idx="2598">
                  <c:v>256000</c:v>
                </c:pt>
                <c:pt idx="2599">
                  <c:v>265000</c:v>
                </c:pt>
                <c:pt idx="2600">
                  <c:v>250000</c:v>
                </c:pt>
                <c:pt idx="2601">
                  <c:v>232000</c:v>
                </c:pt>
                <c:pt idx="2602">
                  <c:v>246000</c:v>
                </c:pt>
                <c:pt idx="2603">
                  <c:v>255000</c:v>
                </c:pt>
                <c:pt idx="2604">
                  <c:v>248000</c:v>
                </c:pt>
                <c:pt idx="2605">
                  <c:v>252000</c:v>
                </c:pt>
                <c:pt idx="2606">
                  <c:v>260000</c:v>
                </c:pt>
                <c:pt idx="2607">
                  <c:v>257000</c:v>
                </c:pt>
                <c:pt idx="2608">
                  <c:v>244000</c:v>
                </c:pt>
                <c:pt idx="2609">
                  <c:v>243000</c:v>
                </c:pt>
                <c:pt idx="2610">
                  <c:v>244000</c:v>
                </c:pt>
                <c:pt idx="2611">
                  <c:v>254000</c:v>
                </c:pt>
                <c:pt idx="2612">
                  <c:v>245000</c:v>
                </c:pt>
                <c:pt idx="2613">
                  <c:v>237000</c:v>
                </c:pt>
                <c:pt idx="2614">
                  <c:v>243000</c:v>
                </c:pt>
                <c:pt idx="2615">
                  <c:v>248000</c:v>
                </c:pt>
                <c:pt idx="2616">
                  <c:v>231000</c:v>
                </c:pt>
                <c:pt idx="2617">
                  <c:v>246000</c:v>
                </c:pt>
                <c:pt idx="2618">
                  <c:v>244000</c:v>
                </c:pt>
                <c:pt idx="2619">
                  <c:v>255000</c:v>
                </c:pt>
                <c:pt idx="2620">
                  <c:v>256000</c:v>
                </c:pt>
                <c:pt idx="2621">
                  <c:v>237000</c:v>
                </c:pt>
                <c:pt idx="2622">
                  <c:v>238000</c:v>
                </c:pt>
                <c:pt idx="2623">
                  <c:v>242000</c:v>
                </c:pt>
                <c:pt idx="2624">
                  <c:v>252000</c:v>
                </c:pt>
                <c:pt idx="2625">
                  <c:v>241000</c:v>
                </c:pt>
                <c:pt idx="2626">
                  <c:v>237000</c:v>
                </c:pt>
                <c:pt idx="2627">
                  <c:v>237000</c:v>
                </c:pt>
                <c:pt idx="2628">
                  <c:v>234000</c:v>
                </c:pt>
                <c:pt idx="2629">
                  <c:v>251000</c:v>
                </c:pt>
                <c:pt idx="2630">
                  <c:v>244000</c:v>
                </c:pt>
                <c:pt idx="2631">
                  <c:v>237000</c:v>
                </c:pt>
                <c:pt idx="2632">
                  <c:v>243000</c:v>
                </c:pt>
                <c:pt idx="2633">
                  <c:v>237000</c:v>
                </c:pt>
                <c:pt idx="2634">
                  <c:v>247000</c:v>
                </c:pt>
                <c:pt idx="2635">
                  <c:v>243000</c:v>
                </c:pt>
                <c:pt idx="2636">
                  <c:v>241000</c:v>
                </c:pt>
                <c:pt idx="2637">
                  <c:v>245000</c:v>
                </c:pt>
                <c:pt idx="2638">
                  <c:v>242000</c:v>
                </c:pt>
                <c:pt idx="2639">
                  <c:v>245000</c:v>
                </c:pt>
                <c:pt idx="2640">
                  <c:v>236000</c:v>
                </c:pt>
                <c:pt idx="2641">
                  <c:v>240000</c:v>
                </c:pt>
                <c:pt idx="2642">
                  <c:v>238000</c:v>
                </c:pt>
                <c:pt idx="2643">
                  <c:v>298000</c:v>
                </c:pt>
                <c:pt idx="2644">
                  <c:v>274000</c:v>
                </c:pt>
                <c:pt idx="2645">
                  <c:v>259000</c:v>
                </c:pt>
                <c:pt idx="2646">
                  <c:v>262000</c:v>
                </c:pt>
                <c:pt idx="2647">
                  <c:v>254000</c:v>
                </c:pt>
                <c:pt idx="2648">
                  <c:v>245000</c:v>
                </c:pt>
                <c:pt idx="2649">
                  <c:v>230000</c:v>
                </c:pt>
                <c:pt idx="2650">
                  <c:v>235000</c:v>
                </c:pt>
                <c:pt idx="2651">
                  <c:v>235000</c:v>
                </c:pt>
                <c:pt idx="2652">
                  <c:v>239000</c:v>
                </c:pt>
                <c:pt idx="2653">
                  <c:v>247000</c:v>
                </c:pt>
                <c:pt idx="2654">
                  <c:v>235000</c:v>
                </c:pt>
                <c:pt idx="2655">
                  <c:v>233000</c:v>
                </c:pt>
                <c:pt idx="2656">
                  <c:v>230000</c:v>
                </c:pt>
                <c:pt idx="2657">
                  <c:v>226000</c:v>
                </c:pt>
                <c:pt idx="2658">
                  <c:v>239000</c:v>
                </c:pt>
                <c:pt idx="2659">
                  <c:v>243000</c:v>
                </c:pt>
                <c:pt idx="2660">
                  <c:v>241000</c:v>
                </c:pt>
                <c:pt idx="2661">
                  <c:v>249000</c:v>
                </c:pt>
                <c:pt idx="2662">
                  <c:v>228000</c:v>
                </c:pt>
                <c:pt idx="2663">
                  <c:v>233000</c:v>
                </c:pt>
                <c:pt idx="2664">
                  <c:v>227000</c:v>
                </c:pt>
                <c:pt idx="2665">
                  <c:v>224000</c:v>
                </c:pt>
                <c:pt idx="2666">
                  <c:v>227000</c:v>
                </c:pt>
                <c:pt idx="2667">
                  <c:v>220000</c:v>
                </c:pt>
                <c:pt idx="2668">
                  <c:v>215000</c:v>
                </c:pt>
                <c:pt idx="2669">
                  <c:v>226000</c:v>
                </c:pt>
                <c:pt idx="2670">
                  <c:v>223000</c:v>
                </c:pt>
                <c:pt idx="2671">
                  <c:v>224000</c:v>
                </c:pt>
                <c:pt idx="2672">
                  <c:v>220000</c:v>
                </c:pt>
                <c:pt idx="2673">
                  <c:v>235000</c:v>
                </c:pt>
                <c:pt idx="2674">
                  <c:v>235000</c:v>
                </c:pt>
                <c:pt idx="2675">
                  <c:v>235000</c:v>
                </c:pt>
                <c:pt idx="2676">
                  <c:v>208000</c:v>
                </c:pt>
                <c:pt idx="2677">
                  <c:v>212000</c:v>
                </c:pt>
                <c:pt idx="2678">
                  <c:v>210000</c:v>
                </c:pt>
                <c:pt idx="2679">
                  <c:v>224000</c:v>
                </c:pt>
                <c:pt idx="2680">
                  <c:v>230000</c:v>
                </c:pt>
                <c:pt idx="2681">
                  <c:v>221000</c:v>
                </c:pt>
                <c:pt idx="2682">
                  <c:v>221000</c:v>
                </c:pt>
                <c:pt idx="2683">
                  <c:v>218000</c:v>
                </c:pt>
                <c:pt idx="2684">
                  <c:v>220000</c:v>
                </c:pt>
                <c:pt idx="2685">
                  <c:v>220000</c:v>
                </c:pt>
                <c:pt idx="2686">
                  <c:v>229000</c:v>
                </c:pt>
                <c:pt idx="2687">
                  <c:v>229000</c:v>
                </c:pt>
                <c:pt idx="2688">
                  <c:v>212000</c:v>
                </c:pt>
                <c:pt idx="2689">
                  <c:v>220000</c:v>
                </c:pt>
                <c:pt idx="2690">
                  <c:v>218000</c:v>
                </c:pt>
                <c:pt idx="2691">
                  <c:v>217000</c:v>
                </c:pt>
                <c:pt idx="2692">
                  <c:v>212000</c:v>
                </c:pt>
                <c:pt idx="2693">
                  <c:v>215000</c:v>
                </c:pt>
                <c:pt idx="2694">
                  <c:v>214000</c:v>
                </c:pt>
                <c:pt idx="2695">
                  <c:v>209000</c:v>
                </c:pt>
                <c:pt idx="2696">
                  <c:v>210000</c:v>
                </c:pt>
                <c:pt idx="2697">
                  <c:v>212000</c:v>
                </c:pt>
                <c:pt idx="2698">
                  <c:v>212000</c:v>
                </c:pt>
                <c:pt idx="2699">
                  <c:v>216000</c:v>
                </c:pt>
                <c:pt idx="2700">
                  <c:v>212000</c:v>
                </c:pt>
                <c:pt idx="2701">
                  <c:v>212000</c:v>
                </c:pt>
                <c:pt idx="2702">
                  <c:v>219000</c:v>
                </c:pt>
                <c:pt idx="2703">
                  <c:v>216000</c:v>
                </c:pt>
                <c:pt idx="2704">
                  <c:v>216000</c:v>
                </c:pt>
                <c:pt idx="2705">
                  <c:v>217000</c:v>
                </c:pt>
                <c:pt idx="2706">
                  <c:v>220000</c:v>
                </c:pt>
                <c:pt idx="2707">
                  <c:v>230000</c:v>
                </c:pt>
                <c:pt idx="2708">
                  <c:v>225000</c:v>
                </c:pt>
                <c:pt idx="2709">
                  <c:v>203000</c:v>
                </c:pt>
                <c:pt idx="2710">
                  <c:v>214000</c:v>
                </c:pt>
                <c:pt idx="2711">
                  <c:v>220000</c:v>
                </c:pt>
                <c:pt idx="2712">
                  <c:v>226000</c:v>
                </c:pt>
                <c:pt idx="2713">
                  <c:v>218000</c:v>
                </c:pt>
                <c:pt idx="2714">
                  <c:v>215000</c:v>
                </c:pt>
                <c:pt idx="2715">
                  <c:v>211000</c:v>
                </c:pt>
                <c:pt idx="2716">
                  <c:v>236000</c:v>
                </c:pt>
                <c:pt idx="2717">
                  <c:v>233000</c:v>
                </c:pt>
                <c:pt idx="2718">
                  <c:v>232000</c:v>
                </c:pt>
                <c:pt idx="2719">
                  <c:v>218000</c:v>
                </c:pt>
                <c:pt idx="2720">
                  <c:v>223000</c:v>
                </c:pt>
                <c:pt idx="2721">
                  <c:v>220000</c:v>
                </c:pt>
                <c:pt idx="2722">
                  <c:v>225000</c:v>
                </c:pt>
                <c:pt idx="2723">
                  <c:v>218000</c:v>
                </c:pt>
                <c:pt idx="2724">
                  <c:v>215000</c:v>
                </c:pt>
                <c:pt idx="2725">
                  <c:v>211000</c:v>
                </c:pt>
                <c:pt idx="2726">
                  <c:v>203000</c:v>
                </c:pt>
                <c:pt idx="2727">
                  <c:v>203000</c:v>
                </c:pt>
                <c:pt idx="2728">
                  <c:v>224000</c:v>
                </c:pt>
                <c:pt idx="2729">
                  <c:v>230000</c:v>
                </c:pt>
                <c:pt idx="2730">
                  <c:v>225000</c:v>
                </c:pt>
                <c:pt idx="2731">
                  <c:v>216000</c:v>
                </c:pt>
                <c:pt idx="2732">
                  <c:v>213000</c:v>
                </c:pt>
                <c:pt idx="2733">
                  <c:v>218000</c:v>
                </c:pt>
                <c:pt idx="2734">
                  <c:v>220000</c:v>
                </c:pt>
                <c:pt idx="2735">
                  <c:v>220000</c:v>
                </c:pt>
                <c:pt idx="2736">
                  <c:v>219000</c:v>
                </c:pt>
                <c:pt idx="2737">
                  <c:v>224000</c:v>
                </c:pt>
                <c:pt idx="2738">
                  <c:v>223000</c:v>
                </c:pt>
                <c:pt idx="2739">
                  <c:v>205000</c:v>
                </c:pt>
                <c:pt idx="2740">
                  <c:v>217000</c:v>
                </c:pt>
                <c:pt idx="2741">
                  <c:v>210000</c:v>
                </c:pt>
                <c:pt idx="2742">
                  <c:v>216000</c:v>
                </c:pt>
                <c:pt idx="2743">
                  <c:v>214000</c:v>
                </c:pt>
                <c:pt idx="2744">
                  <c:v>218000</c:v>
                </c:pt>
                <c:pt idx="2745">
                  <c:v>214000</c:v>
                </c:pt>
                <c:pt idx="2746">
                  <c:v>215000</c:v>
                </c:pt>
                <c:pt idx="2747">
                  <c:v>218000</c:v>
                </c:pt>
                <c:pt idx="2748">
                  <c:v>208000</c:v>
                </c:pt>
                <c:pt idx="2749">
                  <c:v>211000</c:v>
                </c:pt>
                <c:pt idx="2750">
                  <c:v>215000</c:v>
                </c:pt>
                <c:pt idx="2751">
                  <c:v>217000</c:v>
                </c:pt>
                <c:pt idx="2752">
                  <c:v>212000</c:v>
                </c:pt>
                <c:pt idx="2753">
                  <c:v>217000</c:v>
                </c:pt>
                <c:pt idx="2754">
                  <c:v>212000</c:v>
                </c:pt>
                <c:pt idx="2755">
                  <c:v>216000</c:v>
                </c:pt>
                <c:pt idx="2756">
                  <c:v>211000</c:v>
                </c:pt>
                <c:pt idx="2757">
                  <c:v>222000</c:v>
                </c:pt>
                <c:pt idx="2758">
                  <c:v>221000</c:v>
                </c:pt>
                <c:pt idx="2759">
                  <c:v>215000</c:v>
                </c:pt>
                <c:pt idx="2760">
                  <c:v>219000</c:v>
                </c:pt>
                <c:pt idx="2761">
                  <c:v>238000</c:v>
                </c:pt>
                <c:pt idx="2762">
                  <c:v>227000</c:v>
                </c:pt>
                <c:pt idx="2763">
                  <c:v>218000</c:v>
                </c:pt>
                <c:pt idx="2764">
                  <c:v>218000</c:v>
                </c:pt>
                <c:pt idx="2765">
                  <c:v>210000</c:v>
                </c:pt>
                <c:pt idx="2766">
                  <c:v>206000</c:v>
                </c:pt>
                <c:pt idx="2767">
                  <c:v>219000</c:v>
                </c:pt>
                <c:pt idx="2768">
                  <c:v>210000</c:v>
                </c:pt>
                <c:pt idx="2769">
                  <c:v>205000</c:v>
                </c:pt>
                <c:pt idx="2770">
                  <c:v>207000</c:v>
                </c:pt>
                <c:pt idx="2771">
                  <c:v>215000</c:v>
                </c:pt>
                <c:pt idx="2772">
                  <c:v>218000</c:v>
                </c:pt>
                <c:pt idx="2773">
                  <c:v>216000</c:v>
                </c:pt>
                <c:pt idx="2774">
                  <c:v>212000</c:v>
                </c:pt>
                <c:pt idx="2775">
                  <c:v>256000</c:v>
                </c:pt>
                <c:pt idx="2776">
                  <c:v>2923000</c:v>
                </c:pt>
                <c:pt idx="2777">
                  <c:v>5985000</c:v>
                </c:pt>
                <c:pt idx="2778">
                  <c:v>6149000</c:v>
                </c:pt>
                <c:pt idx="2779">
                  <c:v>4869000</c:v>
                </c:pt>
                <c:pt idx="2780">
                  <c:v>4202000</c:v>
                </c:pt>
                <c:pt idx="2781">
                  <c:v>3451000</c:v>
                </c:pt>
                <c:pt idx="2782">
                  <c:v>2784000</c:v>
                </c:pt>
                <c:pt idx="2783">
                  <c:v>2315000</c:v>
                </c:pt>
                <c:pt idx="2784">
                  <c:v>2149000</c:v>
                </c:pt>
                <c:pt idx="2785">
                  <c:v>1887000</c:v>
                </c:pt>
                <c:pt idx="2786">
                  <c:v>1605000</c:v>
                </c:pt>
                <c:pt idx="2787">
                  <c:v>1537000</c:v>
                </c:pt>
                <c:pt idx="2788">
                  <c:v>1472000</c:v>
                </c:pt>
                <c:pt idx="2789">
                  <c:v>1460000</c:v>
                </c:pt>
                <c:pt idx="2790">
                  <c:v>1436000</c:v>
                </c:pt>
              </c:numCache>
            </c:numRef>
          </c:val>
          <c:smooth val="0"/>
          <c:extLst>
            <c:ext xmlns:c16="http://schemas.microsoft.com/office/drawing/2014/chart" uri="{C3380CC4-5D6E-409C-BE32-E72D297353CC}">
              <c16:uniqueId val="{00000000-DBF6-3B40-8308-EC9036D87D7E}"/>
            </c:ext>
          </c:extLst>
        </c:ser>
        <c:dLbls>
          <c:showLegendKey val="0"/>
          <c:showVal val="0"/>
          <c:showCatName val="0"/>
          <c:showSerName val="0"/>
          <c:showPercent val="0"/>
          <c:showBubbleSize val="0"/>
        </c:dLbls>
        <c:smooth val="0"/>
        <c:axId val="1717239216"/>
        <c:axId val="1717239544"/>
      </c:lineChart>
      <c:dateAx>
        <c:axId val="1717239216"/>
        <c:scaling>
          <c:orientation val="minMax"/>
          <c:max val="43972"/>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544"/>
        <c:crosses val="autoZero"/>
        <c:auto val="0"/>
        <c:lblOffset val="100"/>
        <c:baseTimeUnit val="days"/>
      </c:dateAx>
      <c:valAx>
        <c:axId val="17172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216"/>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NFP!$A$300:$A$1021</c:f>
              <c:numCache>
                <c:formatCode>yyyy\-mm\-dd</c:formatCode>
                <c:ptCount val="722"/>
                <c:pt idx="0">
                  <c:v>23012</c:v>
                </c:pt>
                <c:pt idx="1">
                  <c:v>23043</c:v>
                </c:pt>
                <c:pt idx="2">
                  <c:v>23071</c:v>
                </c:pt>
                <c:pt idx="3">
                  <c:v>23102</c:v>
                </c:pt>
                <c:pt idx="4">
                  <c:v>23132</c:v>
                </c:pt>
                <c:pt idx="5">
                  <c:v>23163</c:v>
                </c:pt>
                <c:pt idx="6">
                  <c:v>23193</c:v>
                </c:pt>
                <c:pt idx="7">
                  <c:v>23224</c:v>
                </c:pt>
                <c:pt idx="8">
                  <c:v>23255</c:v>
                </c:pt>
                <c:pt idx="9">
                  <c:v>23285</c:v>
                </c:pt>
                <c:pt idx="10">
                  <c:v>23316</c:v>
                </c:pt>
                <c:pt idx="11">
                  <c:v>23346</c:v>
                </c:pt>
                <c:pt idx="12">
                  <c:v>23377</c:v>
                </c:pt>
                <c:pt idx="13">
                  <c:v>23408</c:v>
                </c:pt>
                <c:pt idx="14">
                  <c:v>23437</c:v>
                </c:pt>
                <c:pt idx="15">
                  <c:v>23468</c:v>
                </c:pt>
                <c:pt idx="16">
                  <c:v>23498</c:v>
                </c:pt>
                <c:pt idx="17">
                  <c:v>23529</c:v>
                </c:pt>
                <c:pt idx="18">
                  <c:v>23559</c:v>
                </c:pt>
                <c:pt idx="19">
                  <c:v>23590</c:v>
                </c:pt>
                <c:pt idx="20">
                  <c:v>23621</c:v>
                </c:pt>
                <c:pt idx="21">
                  <c:v>23651</c:v>
                </c:pt>
                <c:pt idx="22">
                  <c:v>23682</c:v>
                </c:pt>
                <c:pt idx="23">
                  <c:v>23712</c:v>
                </c:pt>
                <c:pt idx="24">
                  <c:v>23743</c:v>
                </c:pt>
                <c:pt idx="25">
                  <c:v>23774</c:v>
                </c:pt>
                <c:pt idx="26">
                  <c:v>23802</c:v>
                </c:pt>
                <c:pt idx="27">
                  <c:v>23833</c:v>
                </c:pt>
                <c:pt idx="28">
                  <c:v>23863</c:v>
                </c:pt>
                <c:pt idx="29">
                  <c:v>23894</c:v>
                </c:pt>
                <c:pt idx="30">
                  <c:v>23924</c:v>
                </c:pt>
                <c:pt idx="31">
                  <c:v>23955</c:v>
                </c:pt>
                <c:pt idx="32">
                  <c:v>23986</c:v>
                </c:pt>
                <c:pt idx="33">
                  <c:v>24016</c:v>
                </c:pt>
                <c:pt idx="34">
                  <c:v>24047</c:v>
                </c:pt>
                <c:pt idx="35">
                  <c:v>24077</c:v>
                </c:pt>
                <c:pt idx="36">
                  <c:v>24108</c:v>
                </c:pt>
                <c:pt idx="37">
                  <c:v>24139</c:v>
                </c:pt>
                <c:pt idx="38">
                  <c:v>24167</c:v>
                </c:pt>
                <c:pt idx="39">
                  <c:v>24198</c:v>
                </c:pt>
                <c:pt idx="40">
                  <c:v>24228</c:v>
                </c:pt>
                <c:pt idx="41">
                  <c:v>24259</c:v>
                </c:pt>
                <c:pt idx="42">
                  <c:v>24289</c:v>
                </c:pt>
                <c:pt idx="43">
                  <c:v>24320</c:v>
                </c:pt>
                <c:pt idx="44">
                  <c:v>24351</c:v>
                </c:pt>
                <c:pt idx="45">
                  <c:v>24381</c:v>
                </c:pt>
                <c:pt idx="46">
                  <c:v>24412</c:v>
                </c:pt>
                <c:pt idx="47">
                  <c:v>24442</c:v>
                </c:pt>
                <c:pt idx="48">
                  <c:v>24473</c:v>
                </c:pt>
                <c:pt idx="49">
                  <c:v>24504</c:v>
                </c:pt>
                <c:pt idx="50">
                  <c:v>24532</c:v>
                </c:pt>
                <c:pt idx="51">
                  <c:v>24563</c:v>
                </c:pt>
                <c:pt idx="52">
                  <c:v>24593</c:v>
                </c:pt>
                <c:pt idx="53">
                  <c:v>24624</c:v>
                </c:pt>
                <c:pt idx="54">
                  <c:v>24654</c:v>
                </c:pt>
                <c:pt idx="55">
                  <c:v>24685</c:v>
                </c:pt>
                <c:pt idx="56">
                  <c:v>24716</c:v>
                </c:pt>
                <c:pt idx="57">
                  <c:v>24746</c:v>
                </c:pt>
                <c:pt idx="58">
                  <c:v>24777</c:v>
                </c:pt>
                <c:pt idx="59">
                  <c:v>24807</c:v>
                </c:pt>
                <c:pt idx="60">
                  <c:v>24838</c:v>
                </c:pt>
                <c:pt idx="61">
                  <c:v>24869</c:v>
                </c:pt>
                <c:pt idx="62">
                  <c:v>24898</c:v>
                </c:pt>
                <c:pt idx="63">
                  <c:v>24929</c:v>
                </c:pt>
                <c:pt idx="64">
                  <c:v>24959</c:v>
                </c:pt>
                <c:pt idx="65">
                  <c:v>24990</c:v>
                </c:pt>
                <c:pt idx="66">
                  <c:v>25020</c:v>
                </c:pt>
                <c:pt idx="67">
                  <c:v>25051</c:v>
                </c:pt>
                <c:pt idx="68">
                  <c:v>25082</c:v>
                </c:pt>
                <c:pt idx="69">
                  <c:v>25112</c:v>
                </c:pt>
                <c:pt idx="70">
                  <c:v>25143</c:v>
                </c:pt>
                <c:pt idx="71">
                  <c:v>25173</c:v>
                </c:pt>
                <c:pt idx="72">
                  <c:v>25204</c:v>
                </c:pt>
                <c:pt idx="73">
                  <c:v>25235</c:v>
                </c:pt>
                <c:pt idx="74">
                  <c:v>25263</c:v>
                </c:pt>
                <c:pt idx="75">
                  <c:v>25294</c:v>
                </c:pt>
                <c:pt idx="76">
                  <c:v>25324</c:v>
                </c:pt>
                <c:pt idx="77">
                  <c:v>25355</c:v>
                </c:pt>
                <c:pt idx="78">
                  <c:v>25385</c:v>
                </c:pt>
                <c:pt idx="79">
                  <c:v>25416</c:v>
                </c:pt>
                <c:pt idx="80">
                  <c:v>25447</c:v>
                </c:pt>
                <c:pt idx="81">
                  <c:v>25477</c:v>
                </c:pt>
                <c:pt idx="82">
                  <c:v>25508</c:v>
                </c:pt>
                <c:pt idx="83">
                  <c:v>25538</c:v>
                </c:pt>
                <c:pt idx="84">
                  <c:v>25569</c:v>
                </c:pt>
                <c:pt idx="85">
                  <c:v>25600</c:v>
                </c:pt>
                <c:pt idx="86">
                  <c:v>25628</c:v>
                </c:pt>
                <c:pt idx="87">
                  <c:v>25659</c:v>
                </c:pt>
                <c:pt idx="88">
                  <c:v>25689</c:v>
                </c:pt>
                <c:pt idx="89">
                  <c:v>25720</c:v>
                </c:pt>
                <c:pt idx="90">
                  <c:v>25750</c:v>
                </c:pt>
                <c:pt idx="91">
                  <c:v>25781</c:v>
                </c:pt>
                <c:pt idx="92">
                  <c:v>25812</c:v>
                </c:pt>
                <c:pt idx="93">
                  <c:v>25842</c:v>
                </c:pt>
                <c:pt idx="94">
                  <c:v>25873</c:v>
                </c:pt>
                <c:pt idx="95">
                  <c:v>25903</c:v>
                </c:pt>
                <c:pt idx="96">
                  <c:v>25934</c:v>
                </c:pt>
                <c:pt idx="97">
                  <c:v>25965</c:v>
                </c:pt>
                <c:pt idx="98">
                  <c:v>25993</c:v>
                </c:pt>
                <c:pt idx="99">
                  <c:v>26024</c:v>
                </c:pt>
                <c:pt idx="100">
                  <c:v>26054</c:v>
                </c:pt>
                <c:pt idx="101">
                  <c:v>26085</c:v>
                </c:pt>
                <c:pt idx="102">
                  <c:v>26115</c:v>
                </c:pt>
                <c:pt idx="103">
                  <c:v>26146</c:v>
                </c:pt>
                <c:pt idx="104">
                  <c:v>26177</c:v>
                </c:pt>
                <c:pt idx="105">
                  <c:v>26207</c:v>
                </c:pt>
                <c:pt idx="106">
                  <c:v>26238</c:v>
                </c:pt>
                <c:pt idx="107">
                  <c:v>26268</c:v>
                </c:pt>
                <c:pt idx="108">
                  <c:v>26299</c:v>
                </c:pt>
                <c:pt idx="109">
                  <c:v>26330</c:v>
                </c:pt>
                <c:pt idx="110">
                  <c:v>26359</c:v>
                </c:pt>
                <c:pt idx="111">
                  <c:v>26390</c:v>
                </c:pt>
                <c:pt idx="112">
                  <c:v>26420</c:v>
                </c:pt>
                <c:pt idx="113">
                  <c:v>26451</c:v>
                </c:pt>
                <c:pt idx="114">
                  <c:v>26481</c:v>
                </c:pt>
                <c:pt idx="115">
                  <c:v>26512</c:v>
                </c:pt>
                <c:pt idx="116">
                  <c:v>26543</c:v>
                </c:pt>
                <c:pt idx="117">
                  <c:v>26573</c:v>
                </c:pt>
                <c:pt idx="118">
                  <c:v>26604</c:v>
                </c:pt>
                <c:pt idx="119">
                  <c:v>26634</c:v>
                </c:pt>
                <c:pt idx="120">
                  <c:v>26665</c:v>
                </c:pt>
                <c:pt idx="121">
                  <c:v>26696</c:v>
                </c:pt>
                <c:pt idx="122">
                  <c:v>26724</c:v>
                </c:pt>
                <c:pt idx="123">
                  <c:v>26755</c:v>
                </c:pt>
                <c:pt idx="124">
                  <c:v>26785</c:v>
                </c:pt>
                <c:pt idx="125">
                  <c:v>26816</c:v>
                </c:pt>
                <c:pt idx="126">
                  <c:v>26846</c:v>
                </c:pt>
                <c:pt idx="127">
                  <c:v>26877</c:v>
                </c:pt>
                <c:pt idx="128">
                  <c:v>26908</c:v>
                </c:pt>
                <c:pt idx="129">
                  <c:v>26938</c:v>
                </c:pt>
                <c:pt idx="130">
                  <c:v>26969</c:v>
                </c:pt>
                <c:pt idx="131">
                  <c:v>26999</c:v>
                </c:pt>
                <c:pt idx="132">
                  <c:v>27030</c:v>
                </c:pt>
                <c:pt idx="133">
                  <c:v>27061</c:v>
                </c:pt>
                <c:pt idx="134">
                  <c:v>27089</c:v>
                </c:pt>
                <c:pt idx="135">
                  <c:v>27120</c:v>
                </c:pt>
                <c:pt idx="136">
                  <c:v>27150</c:v>
                </c:pt>
                <c:pt idx="137">
                  <c:v>27181</c:v>
                </c:pt>
                <c:pt idx="138">
                  <c:v>27211</c:v>
                </c:pt>
                <c:pt idx="139">
                  <c:v>27242</c:v>
                </c:pt>
                <c:pt idx="140">
                  <c:v>27273</c:v>
                </c:pt>
                <c:pt idx="141">
                  <c:v>27303</c:v>
                </c:pt>
                <c:pt idx="142">
                  <c:v>27334</c:v>
                </c:pt>
                <c:pt idx="143">
                  <c:v>27364</c:v>
                </c:pt>
                <c:pt idx="144">
                  <c:v>27395</c:v>
                </c:pt>
                <c:pt idx="145">
                  <c:v>27426</c:v>
                </c:pt>
                <c:pt idx="146">
                  <c:v>27454</c:v>
                </c:pt>
                <c:pt idx="147">
                  <c:v>27485</c:v>
                </c:pt>
                <c:pt idx="148">
                  <c:v>27515</c:v>
                </c:pt>
                <c:pt idx="149">
                  <c:v>27546</c:v>
                </c:pt>
                <c:pt idx="150">
                  <c:v>27576</c:v>
                </c:pt>
                <c:pt idx="151">
                  <c:v>27607</c:v>
                </c:pt>
                <c:pt idx="152">
                  <c:v>27638</c:v>
                </c:pt>
                <c:pt idx="153">
                  <c:v>27668</c:v>
                </c:pt>
                <c:pt idx="154">
                  <c:v>27699</c:v>
                </c:pt>
                <c:pt idx="155">
                  <c:v>27729</c:v>
                </c:pt>
                <c:pt idx="156">
                  <c:v>27760</c:v>
                </c:pt>
                <c:pt idx="157">
                  <c:v>27791</c:v>
                </c:pt>
                <c:pt idx="158">
                  <c:v>27820</c:v>
                </c:pt>
                <c:pt idx="159">
                  <c:v>27851</c:v>
                </c:pt>
                <c:pt idx="160">
                  <c:v>27881</c:v>
                </c:pt>
                <c:pt idx="161">
                  <c:v>27912</c:v>
                </c:pt>
                <c:pt idx="162">
                  <c:v>27942</c:v>
                </c:pt>
                <c:pt idx="163">
                  <c:v>27973</c:v>
                </c:pt>
                <c:pt idx="164">
                  <c:v>28004</c:v>
                </c:pt>
                <c:pt idx="165">
                  <c:v>28034</c:v>
                </c:pt>
                <c:pt idx="166">
                  <c:v>28065</c:v>
                </c:pt>
                <c:pt idx="167">
                  <c:v>28095</c:v>
                </c:pt>
                <c:pt idx="168">
                  <c:v>28126</c:v>
                </c:pt>
                <c:pt idx="169">
                  <c:v>28157</c:v>
                </c:pt>
                <c:pt idx="170">
                  <c:v>28185</c:v>
                </c:pt>
                <c:pt idx="171">
                  <c:v>28216</c:v>
                </c:pt>
                <c:pt idx="172">
                  <c:v>28246</c:v>
                </c:pt>
                <c:pt idx="173">
                  <c:v>28277</c:v>
                </c:pt>
                <c:pt idx="174">
                  <c:v>28307</c:v>
                </c:pt>
                <c:pt idx="175">
                  <c:v>28338</c:v>
                </c:pt>
                <c:pt idx="176">
                  <c:v>28369</c:v>
                </c:pt>
                <c:pt idx="177">
                  <c:v>28399</c:v>
                </c:pt>
                <c:pt idx="178">
                  <c:v>28430</c:v>
                </c:pt>
                <c:pt idx="179">
                  <c:v>28460</c:v>
                </c:pt>
                <c:pt idx="180">
                  <c:v>28491</c:v>
                </c:pt>
                <c:pt idx="181">
                  <c:v>28522</c:v>
                </c:pt>
                <c:pt idx="182">
                  <c:v>28550</c:v>
                </c:pt>
                <c:pt idx="183">
                  <c:v>28581</c:v>
                </c:pt>
                <c:pt idx="184">
                  <c:v>28611</c:v>
                </c:pt>
                <c:pt idx="185">
                  <c:v>28642</c:v>
                </c:pt>
                <c:pt idx="186">
                  <c:v>28672</c:v>
                </c:pt>
                <c:pt idx="187">
                  <c:v>28703</c:v>
                </c:pt>
                <c:pt idx="188">
                  <c:v>28734</c:v>
                </c:pt>
                <c:pt idx="189">
                  <c:v>28764</c:v>
                </c:pt>
                <c:pt idx="190">
                  <c:v>28795</c:v>
                </c:pt>
                <c:pt idx="191">
                  <c:v>28825</c:v>
                </c:pt>
                <c:pt idx="192">
                  <c:v>28856</c:v>
                </c:pt>
                <c:pt idx="193">
                  <c:v>28887</c:v>
                </c:pt>
                <c:pt idx="194">
                  <c:v>28915</c:v>
                </c:pt>
                <c:pt idx="195">
                  <c:v>28946</c:v>
                </c:pt>
                <c:pt idx="196">
                  <c:v>28976</c:v>
                </c:pt>
                <c:pt idx="197">
                  <c:v>29007</c:v>
                </c:pt>
                <c:pt idx="198">
                  <c:v>29037</c:v>
                </c:pt>
                <c:pt idx="199">
                  <c:v>29068</c:v>
                </c:pt>
                <c:pt idx="200">
                  <c:v>29099</c:v>
                </c:pt>
                <c:pt idx="201">
                  <c:v>29129</c:v>
                </c:pt>
                <c:pt idx="202">
                  <c:v>29160</c:v>
                </c:pt>
                <c:pt idx="203">
                  <c:v>29190</c:v>
                </c:pt>
                <c:pt idx="204">
                  <c:v>29221</c:v>
                </c:pt>
                <c:pt idx="205">
                  <c:v>29252</c:v>
                </c:pt>
                <c:pt idx="206">
                  <c:v>29281</c:v>
                </c:pt>
                <c:pt idx="207">
                  <c:v>29312</c:v>
                </c:pt>
                <c:pt idx="208">
                  <c:v>29342</c:v>
                </c:pt>
                <c:pt idx="209">
                  <c:v>29373</c:v>
                </c:pt>
                <c:pt idx="210">
                  <c:v>29403</c:v>
                </c:pt>
                <c:pt idx="211">
                  <c:v>29434</c:v>
                </c:pt>
                <c:pt idx="212">
                  <c:v>29465</c:v>
                </c:pt>
                <c:pt idx="213">
                  <c:v>29495</c:v>
                </c:pt>
                <c:pt idx="214">
                  <c:v>29526</c:v>
                </c:pt>
                <c:pt idx="215">
                  <c:v>29556</c:v>
                </c:pt>
                <c:pt idx="216">
                  <c:v>29587</c:v>
                </c:pt>
                <c:pt idx="217">
                  <c:v>29618</c:v>
                </c:pt>
                <c:pt idx="218">
                  <c:v>29646</c:v>
                </c:pt>
                <c:pt idx="219">
                  <c:v>29677</c:v>
                </c:pt>
                <c:pt idx="220">
                  <c:v>29707</c:v>
                </c:pt>
                <c:pt idx="221">
                  <c:v>29738</c:v>
                </c:pt>
                <c:pt idx="222">
                  <c:v>29768</c:v>
                </c:pt>
                <c:pt idx="223">
                  <c:v>29799</c:v>
                </c:pt>
                <c:pt idx="224">
                  <c:v>29830</c:v>
                </c:pt>
                <c:pt idx="225">
                  <c:v>29860</c:v>
                </c:pt>
                <c:pt idx="226">
                  <c:v>29891</c:v>
                </c:pt>
                <c:pt idx="227">
                  <c:v>29921</c:v>
                </c:pt>
                <c:pt idx="228">
                  <c:v>29952</c:v>
                </c:pt>
                <c:pt idx="229">
                  <c:v>29983</c:v>
                </c:pt>
                <c:pt idx="230">
                  <c:v>30011</c:v>
                </c:pt>
                <c:pt idx="231">
                  <c:v>30042</c:v>
                </c:pt>
                <c:pt idx="232">
                  <c:v>30072</c:v>
                </c:pt>
                <c:pt idx="233">
                  <c:v>30103</c:v>
                </c:pt>
                <c:pt idx="234">
                  <c:v>30133</c:v>
                </c:pt>
                <c:pt idx="235">
                  <c:v>30164</c:v>
                </c:pt>
                <c:pt idx="236">
                  <c:v>30195</c:v>
                </c:pt>
                <c:pt idx="237">
                  <c:v>30225</c:v>
                </c:pt>
                <c:pt idx="238">
                  <c:v>30256</c:v>
                </c:pt>
                <c:pt idx="239">
                  <c:v>30286</c:v>
                </c:pt>
                <c:pt idx="240">
                  <c:v>30317</c:v>
                </c:pt>
                <c:pt idx="241">
                  <c:v>30348</c:v>
                </c:pt>
                <c:pt idx="242">
                  <c:v>30376</c:v>
                </c:pt>
                <c:pt idx="243">
                  <c:v>30407</c:v>
                </c:pt>
                <c:pt idx="244">
                  <c:v>30437</c:v>
                </c:pt>
                <c:pt idx="245">
                  <c:v>30468</c:v>
                </c:pt>
                <c:pt idx="246">
                  <c:v>30498</c:v>
                </c:pt>
                <c:pt idx="247">
                  <c:v>30529</c:v>
                </c:pt>
                <c:pt idx="248">
                  <c:v>30560</c:v>
                </c:pt>
                <c:pt idx="249">
                  <c:v>30590</c:v>
                </c:pt>
                <c:pt idx="250">
                  <c:v>30621</c:v>
                </c:pt>
                <c:pt idx="251">
                  <c:v>30651</c:v>
                </c:pt>
                <c:pt idx="252">
                  <c:v>30682</c:v>
                </c:pt>
                <c:pt idx="253">
                  <c:v>30713</c:v>
                </c:pt>
                <c:pt idx="254">
                  <c:v>30742</c:v>
                </c:pt>
                <c:pt idx="255">
                  <c:v>30773</c:v>
                </c:pt>
                <c:pt idx="256">
                  <c:v>30803</c:v>
                </c:pt>
                <c:pt idx="257">
                  <c:v>30834</c:v>
                </c:pt>
                <c:pt idx="258">
                  <c:v>30864</c:v>
                </c:pt>
                <c:pt idx="259">
                  <c:v>30895</c:v>
                </c:pt>
                <c:pt idx="260">
                  <c:v>30926</c:v>
                </c:pt>
                <c:pt idx="261">
                  <c:v>30956</c:v>
                </c:pt>
                <c:pt idx="262">
                  <c:v>30987</c:v>
                </c:pt>
                <c:pt idx="263">
                  <c:v>31017</c:v>
                </c:pt>
                <c:pt idx="264">
                  <c:v>31048</c:v>
                </c:pt>
                <c:pt idx="265">
                  <c:v>31079</c:v>
                </c:pt>
                <c:pt idx="266">
                  <c:v>31107</c:v>
                </c:pt>
                <c:pt idx="267">
                  <c:v>31138</c:v>
                </c:pt>
                <c:pt idx="268">
                  <c:v>31168</c:v>
                </c:pt>
                <c:pt idx="269">
                  <c:v>31199</c:v>
                </c:pt>
                <c:pt idx="270">
                  <c:v>31229</c:v>
                </c:pt>
                <c:pt idx="271">
                  <c:v>31260</c:v>
                </c:pt>
                <c:pt idx="272">
                  <c:v>31291</c:v>
                </c:pt>
                <c:pt idx="273">
                  <c:v>31321</c:v>
                </c:pt>
                <c:pt idx="274">
                  <c:v>31352</c:v>
                </c:pt>
                <c:pt idx="275">
                  <c:v>31382</c:v>
                </c:pt>
                <c:pt idx="276">
                  <c:v>31413</c:v>
                </c:pt>
                <c:pt idx="277">
                  <c:v>31444</c:v>
                </c:pt>
                <c:pt idx="278">
                  <c:v>31472</c:v>
                </c:pt>
                <c:pt idx="279">
                  <c:v>31503</c:v>
                </c:pt>
                <c:pt idx="280">
                  <c:v>31533</c:v>
                </c:pt>
                <c:pt idx="281">
                  <c:v>31564</c:v>
                </c:pt>
                <c:pt idx="282">
                  <c:v>31594</c:v>
                </c:pt>
                <c:pt idx="283">
                  <c:v>31625</c:v>
                </c:pt>
                <c:pt idx="284">
                  <c:v>31656</c:v>
                </c:pt>
                <c:pt idx="285">
                  <c:v>31686</c:v>
                </c:pt>
                <c:pt idx="286">
                  <c:v>31717</c:v>
                </c:pt>
                <c:pt idx="287">
                  <c:v>31747</c:v>
                </c:pt>
                <c:pt idx="288">
                  <c:v>31778</c:v>
                </c:pt>
                <c:pt idx="289">
                  <c:v>31809</c:v>
                </c:pt>
                <c:pt idx="290">
                  <c:v>31837</c:v>
                </c:pt>
                <c:pt idx="291">
                  <c:v>31868</c:v>
                </c:pt>
                <c:pt idx="292">
                  <c:v>31898</c:v>
                </c:pt>
                <c:pt idx="293">
                  <c:v>31929</c:v>
                </c:pt>
                <c:pt idx="294">
                  <c:v>31959</c:v>
                </c:pt>
                <c:pt idx="295">
                  <c:v>31990</c:v>
                </c:pt>
                <c:pt idx="296">
                  <c:v>32021</c:v>
                </c:pt>
                <c:pt idx="297">
                  <c:v>32051</c:v>
                </c:pt>
                <c:pt idx="298">
                  <c:v>32082</c:v>
                </c:pt>
                <c:pt idx="299">
                  <c:v>32112</c:v>
                </c:pt>
                <c:pt idx="300">
                  <c:v>32143</c:v>
                </c:pt>
                <c:pt idx="301">
                  <c:v>32174</c:v>
                </c:pt>
                <c:pt idx="302">
                  <c:v>32203</c:v>
                </c:pt>
                <c:pt idx="303">
                  <c:v>32234</c:v>
                </c:pt>
                <c:pt idx="304">
                  <c:v>32264</c:v>
                </c:pt>
                <c:pt idx="305">
                  <c:v>32295</c:v>
                </c:pt>
                <c:pt idx="306">
                  <c:v>32325</c:v>
                </c:pt>
                <c:pt idx="307">
                  <c:v>32356</c:v>
                </c:pt>
                <c:pt idx="308">
                  <c:v>32387</c:v>
                </c:pt>
                <c:pt idx="309">
                  <c:v>32417</c:v>
                </c:pt>
                <c:pt idx="310">
                  <c:v>32448</c:v>
                </c:pt>
                <c:pt idx="311">
                  <c:v>32478</c:v>
                </c:pt>
                <c:pt idx="312">
                  <c:v>32509</c:v>
                </c:pt>
                <c:pt idx="313">
                  <c:v>32540</c:v>
                </c:pt>
                <c:pt idx="314">
                  <c:v>32568</c:v>
                </c:pt>
                <c:pt idx="315">
                  <c:v>32599</c:v>
                </c:pt>
                <c:pt idx="316">
                  <c:v>32629</c:v>
                </c:pt>
                <c:pt idx="317">
                  <c:v>32660</c:v>
                </c:pt>
                <c:pt idx="318">
                  <c:v>32690</c:v>
                </c:pt>
                <c:pt idx="319">
                  <c:v>32721</c:v>
                </c:pt>
                <c:pt idx="320">
                  <c:v>32752</c:v>
                </c:pt>
                <c:pt idx="321">
                  <c:v>32782</c:v>
                </c:pt>
                <c:pt idx="322">
                  <c:v>32813</c:v>
                </c:pt>
                <c:pt idx="323">
                  <c:v>32843</c:v>
                </c:pt>
                <c:pt idx="324">
                  <c:v>32874</c:v>
                </c:pt>
                <c:pt idx="325">
                  <c:v>32905</c:v>
                </c:pt>
                <c:pt idx="326">
                  <c:v>32933</c:v>
                </c:pt>
                <c:pt idx="327">
                  <c:v>32964</c:v>
                </c:pt>
                <c:pt idx="328">
                  <c:v>32994</c:v>
                </c:pt>
                <c:pt idx="329">
                  <c:v>33025</c:v>
                </c:pt>
                <c:pt idx="330">
                  <c:v>33055</c:v>
                </c:pt>
                <c:pt idx="331">
                  <c:v>33086</c:v>
                </c:pt>
                <c:pt idx="332">
                  <c:v>33117</c:v>
                </c:pt>
                <c:pt idx="333">
                  <c:v>33147</c:v>
                </c:pt>
                <c:pt idx="334">
                  <c:v>33178</c:v>
                </c:pt>
                <c:pt idx="335">
                  <c:v>33208</c:v>
                </c:pt>
                <c:pt idx="336">
                  <c:v>33239</c:v>
                </c:pt>
                <c:pt idx="337">
                  <c:v>33270</c:v>
                </c:pt>
                <c:pt idx="338">
                  <c:v>33298</c:v>
                </c:pt>
                <c:pt idx="339">
                  <c:v>33329</c:v>
                </c:pt>
                <c:pt idx="340">
                  <c:v>33359</c:v>
                </c:pt>
                <c:pt idx="341">
                  <c:v>33390</c:v>
                </c:pt>
                <c:pt idx="342">
                  <c:v>33420</c:v>
                </c:pt>
                <c:pt idx="343">
                  <c:v>33451</c:v>
                </c:pt>
                <c:pt idx="344">
                  <c:v>33482</c:v>
                </c:pt>
                <c:pt idx="345">
                  <c:v>33512</c:v>
                </c:pt>
                <c:pt idx="346">
                  <c:v>33543</c:v>
                </c:pt>
                <c:pt idx="347">
                  <c:v>33573</c:v>
                </c:pt>
                <c:pt idx="348">
                  <c:v>33604</c:v>
                </c:pt>
                <c:pt idx="349">
                  <c:v>33635</c:v>
                </c:pt>
                <c:pt idx="350">
                  <c:v>33664</c:v>
                </c:pt>
                <c:pt idx="351">
                  <c:v>33695</c:v>
                </c:pt>
                <c:pt idx="352">
                  <c:v>33725</c:v>
                </c:pt>
                <c:pt idx="353">
                  <c:v>33756</c:v>
                </c:pt>
                <c:pt idx="354">
                  <c:v>33786</c:v>
                </c:pt>
                <c:pt idx="355">
                  <c:v>33817</c:v>
                </c:pt>
                <c:pt idx="356">
                  <c:v>33848</c:v>
                </c:pt>
                <c:pt idx="357">
                  <c:v>33878</c:v>
                </c:pt>
                <c:pt idx="358">
                  <c:v>33909</c:v>
                </c:pt>
                <c:pt idx="359">
                  <c:v>33939</c:v>
                </c:pt>
                <c:pt idx="360">
                  <c:v>33970</c:v>
                </c:pt>
                <c:pt idx="361">
                  <c:v>34001</c:v>
                </c:pt>
                <c:pt idx="362">
                  <c:v>34029</c:v>
                </c:pt>
                <c:pt idx="363">
                  <c:v>34060</c:v>
                </c:pt>
                <c:pt idx="364">
                  <c:v>34090</c:v>
                </c:pt>
                <c:pt idx="365">
                  <c:v>34121</c:v>
                </c:pt>
                <c:pt idx="366">
                  <c:v>34151</c:v>
                </c:pt>
                <c:pt idx="367">
                  <c:v>34182</c:v>
                </c:pt>
                <c:pt idx="368">
                  <c:v>34213</c:v>
                </c:pt>
                <c:pt idx="369">
                  <c:v>34243</c:v>
                </c:pt>
                <c:pt idx="370">
                  <c:v>34274</c:v>
                </c:pt>
                <c:pt idx="371">
                  <c:v>34304</c:v>
                </c:pt>
                <c:pt idx="372">
                  <c:v>34335</c:v>
                </c:pt>
                <c:pt idx="373">
                  <c:v>34366</c:v>
                </c:pt>
                <c:pt idx="374">
                  <c:v>34394</c:v>
                </c:pt>
                <c:pt idx="375">
                  <c:v>34425</c:v>
                </c:pt>
                <c:pt idx="376">
                  <c:v>34455</c:v>
                </c:pt>
                <c:pt idx="377">
                  <c:v>34486</c:v>
                </c:pt>
                <c:pt idx="378">
                  <c:v>34516</c:v>
                </c:pt>
                <c:pt idx="379">
                  <c:v>34547</c:v>
                </c:pt>
                <c:pt idx="380">
                  <c:v>34578</c:v>
                </c:pt>
                <c:pt idx="381">
                  <c:v>34608</c:v>
                </c:pt>
                <c:pt idx="382">
                  <c:v>34639</c:v>
                </c:pt>
                <c:pt idx="383">
                  <c:v>34669</c:v>
                </c:pt>
                <c:pt idx="384">
                  <c:v>34700</c:v>
                </c:pt>
                <c:pt idx="385">
                  <c:v>34731</c:v>
                </c:pt>
                <c:pt idx="386">
                  <c:v>34759</c:v>
                </c:pt>
                <c:pt idx="387">
                  <c:v>34790</c:v>
                </c:pt>
                <c:pt idx="388">
                  <c:v>34820</c:v>
                </c:pt>
                <c:pt idx="389">
                  <c:v>34851</c:v>
                </c:pt>
                <c:pt idx="390">
                  <c:v>34881</c:v>
                </c:pt>
                <c:pt idx="391">
                  <c:v>34912</c:v>
                </c:pt>
                <c:pt idx="392">
                  <c:v>34943</c:v>
                </c:pt>
                <c:pt idx="393">
                  <c:v>34973</c:v>
                </c:pt>
                <c:pt idx="394">
                  <c:v>35004</c:v>
                </c:pt>
                <c:pt idx="395">
                  <c:v>35034</c:v>
                </c:pt>
                <c:pt idx="396">
                  <c:v>35065</c:v>
                </c:pt>
                <c:pt idx="397">
                  <c:v>35096</c:v>
                </c:pt>
                <c:pt idx="398">
                  <c:v>35125</c:v>
                </c:pt>
                <c:pt idx="399">
                  <c:v>35156</c:v>
                </c:pt>
                <c:pt idx="400">
                  <c:v>35186</c:v>
                </c:pt>
                <c:pt idx="401">
                  <c:v>35217</c:v>
                </c:pt>
                <c:pt idx="402">
                  <c:v>35247</c:v>
                </c:pt>
                <c:pt idx="403">
                  <c:v>35278</c:v>
                </c:pt>
                <c:pt idx="404">
                  <c:v>35309</c:v>
                </c:pt>
                <c:pt idx="405">
                  <c:v>35339</c:v>
                </c:pt>
                <c:pt idx="406">
                  <c:v>35370</c:v>
                </c:pt>
                <c:pt idx="407">
                  <c:v>35400</c:v>
                </c:pt>
                <c:pt idx="408">
                  <c:v>35431</c:v>
                </c:pt>
                <c:pt idx="409">
                  <c:v>35462</c:v>
                </c:pt>
                <c:pt idx="410">
                  <c:v>35490</c:v>
                </c:pt>
                <c:pt idx="411">
                  <c:v>35521</c:v>
                </c:pt>
                <c:pt idx="412">
                  <c:v>35551</c:v>
                </c:pt>
                <c:pt idx="413">
                  <c:v>35582</c:v>
                </c:pt>
                <c:pt idx="414">
                  <c:v>35612</c:v>
                </c:pt>
                <c:pt idx="415">
                  <c:v>35643</c:v>
                </c:pt>
                <c:pt idx="416">
                  <c:v>35674</c:v>
                </c:pt>
                <c:pt idx="417">
                  <c:v>35704</c:v>
                </c:pt>
                <c:pt idx="418">
                  <c:v>35735</c:v>
                </c:pt>
                <c:pt idx="419">
                  <c:v>35765</c:v>
                </c:pt>
                <c:pt idx="420">
                  <c:v>35796</c:v>
                </c:pt>
                <c:pt idx="421">
                  <c:v>35827</c:v>
                </c:pt>
                <c:pt idx="422">
                  <c:v>35855</c:v>
                </c:pt>
                <c:pt idx="423">
                  <c:v>35886</c:v>
                </c:pt>
                <c:pt idx="424">
                  <c:v>35916</c:v>
                </c:pt>
                <c:pt idx="425">
                  <c:v>35947</c:v>
                </c:pt>
                <c:pt idx="426">
                  <c:v>35977</c:v>
                </c:pt>
                <c:pt idx="427">
                  <c:v>36008</c:v>
                </c:pt>
                <c:pt idx="428">
                  <c:v>36039</c:v>
                </c:pt>
                <c:pt idx="429">
                  <c:v>36069</c:v>
                </c:pt>
                <c:pt idx="430">
                  <c:v>36100</c:v>
                </c:pt>
                <c:pt idx="431">
                  <c:v>36130</c:v>
                </c:pt>
                <c:pt idx="432">
                  <c:v>36161</c:v>
                </c:pt>
                <c:pt idx="433">
                  <c:v>36192</c:v>
                </c:pt>
                <c:pt idx="434">
                  <c:v>36220</c:v>
                </c:pt>
                <c:pt idx="435">
                  <c:v>36251</c:v>
                </c:pt>
                <c:pt idx="436">
                  <c:v>36281</c:v>
                </c:pt>
                <c:pt idx="437">
                  <c:v>36312</c:v>
                </c:pt>
                <c:pt idx="438">
                  <c:v>36342</c:v>
                </c:pt>
                <c:pt idx="439">
                  <c:v>36373</c:v>
                </c:pt>
                <c:pt idx="440">
                  <c:v>36404</c:v>
                </c:pt>
                <c:pt idx="441">
                  <c:v>36434</c:v>
                </c:pt>
                <c:pt idx="442">
                  <c:v>36465</c:v>
                </c:pt>
                <c:pt idx="443">
                  <c:v>36495</c:v>
                </c:pt>
                <c:pt idx="444">
                  <c:v>36526</c:v>
                </c:pt>
                <c:pt idx="445">
                  <c:v>36557</c:v>
                </c:pt>
                <c:pt idx="446">
                  <c:v>36586</c:v>
                </c:pt>
                <c:pt idx="447">
                  <c:v>36617</c:v>
                </c:pt>
                <c:pt idx="448">
                  <c:v>36647</c:v>
                </c:pt>
                <c:pt idx="449">
                  <c:v>36678</c:v>
                </c:pt>
                <c:pt idx="450">
                  <c:v>36708</c:v>
                </c:pt>
                <c:pt idx="451">
                  <c:v>36739</c:v>
                </c:pt>
                <c:pt idx="452">
                  <c:v>36770</c:v>
                </c:pt>
                <c:pt idx="453">
                  <c:v>36800</c:v>
                </c:pt>
                <c:pt idx="454">
                  <c:v>36831</c:v>
                </c:pt>
                <c:pt idx="455">
                  <c:v>36861</c:v>
                </c:pt>
                <c:pt idx="456">
                  <c:v>36892</c:v>
                </c:pt>
                <c:pt idx="457">
                  <c:v>36923</c:v>
                </c:pt>
                <c:pt idx="458">
                  <c:v>36951</c:v>
                </c:pt>
                <c:pt idx="459">
                  <c:v>36982</c:v>
                </c:pt>
                <c:pt idx="460">
                  <c:v>37012</c:v>
                </c:pt>
                <c:pt idx="461">
                  <c:v>37043</c:v>
                </c:pt>
                <c:pt idx="462">
                  <c:v>37073</c:v>
                </c:pt>
                <c:pt idx="463">
                  <c:v>37104</c:v>
                </c:pt>
                <c:pt idx="464">
                  <c:v>37135</c:v>
                </c:pt>
                <c:pt idx="465">
                  <c:v>37165</c:v>
                </c:pt>
                <c:pt idx="466">
                  <c:v>37196</c:v>
                </c:pt>
                <c:pt idx="467">
                  <c:v>37226</c:v>
                </c:pt>
                <c:pt idx="468">
                  <c:v>37257</c:v>
                </c:pt>
                <c:pt idx="469">
                  <c:v>37288</c:v>
                </c:pt>
                <c:pt idx="470">
                  <c:v>37316</c:v>
                </c:pt>
                <c:pt idx="471">
                  <c:v>37347</c:v>
                </c:pt>
                <c:pt idx="472">
                  <c:v>37377</c:v>
                </c:pt>
                <c:pt idx="473">
                  <c:v>37408</c:v>
                </c:pt>
                <c:pt idx="474">
                  <c:v>37438</c:v>
                </c:pt>
                <c:pt idx="475">
                  <c:v>37469</c:v>
                </c:pt>
                <c:pt idx="476">
                  <c:v>37500</c:v>
                </c:pt>
                <c:pt idx="477">
                  <c:v>37530</c:v>
                </c:pt>
                <c:pt idx="478">
                  <c:v>37561</c:v>
                </c:pt>
                <c:pt idx="479">
                  <c:v>37591</c:v>
                </c:pt>
                <c:pt idx="480">
                  <c:v>37622</c:v>
                </c:pt>
                <c:pt idx="481">
                  <c:v>37653</c:v>
                </c:pt>
                <c:pt idx="482">
                  <c:v>37681</c:v>
                </c:pt>
                <c:pt idx="483">
                  <c:v>37712</c:v>
                </c:pt>
                <c:pt idx="484">
                  <c:v>37742</c:v>
                </c:pt>
                <c:pt idx="485">
                  <c:v>37773</c:v>
                </c:pt>
                <c:pt idx="486">
                  <c:v>37803</c:v>
                </c:pt>
                <c:pt idx="487">
                  <c:v>37834</c:v>
                </c:pt>
                <c:pt idx="488">
                  <c:v>37865</c:v>
                </c:pt>
                <c:pt idx="489">
                  <c:v>37895</c:v>
                </c:pt>
                <c:pt idx="490">
                  <c:v>37926</c:v>
                </c:pt>
                <c:pt idx="491">
                  <c:v>37956</c:v>
                </c:pt>
                <c:pt idx="492">
                  <c:v>37987</c:v>
                </c:pt>
                <c:pt idx="493">
                  <c:v>38018</c:v>
                </c:pt>
                <c:pt idx="494">
                  <c:v>38047</c:v>
                </c:pt>
                <c:pt idx="495">
                  <c:v>38078</c:v>
                </c:pt>
                <c:pt idx="496">
                  <c:v>38108</c:v>
                </c:pt>
                <c:pt idx="497">
                  <c:v>38139</c:v>
                </c:pt>
                <c:pt idx="498">
                  <c:v>38169</c:v>
                </c:pt>
                <c:pt idx="499">
                  <c:v>38200</c:v>
                </c:pt>
                <c:pt idx="500">
                  <c:v>38231</c:v>
                </c:pt>
                <c:pt idx="501">
                  <c:v>38261</c:v>
                </c:pt>
                <c:pt idx="502">
                  <c:v>38292</c:v>
                </c:pt>
                <c:pt idx="503">
                  <c:v>38322</c:v>
                </c:pt>
                <c:pt idx="504">
                  <c:v>38353</c:v>
                </c:pt>
                <c:pt idx="505">
                  <c:v>38384</c:v>
                </c:pt>
                <c:pt idx="506">
                  <c:v>38412</c:v>
                </c:pt>
                <c:pt idx="507">
                  <c:v>38443</c:v>
                </c:pt>
                <c:pt idx="508">
                  <c:v>38473</c:v>
                </c:pt>
                <c:pt idx="509">
                  <c:v>38504</c:v>
                </c:pt>
                <c:pt idx="510">
                  <c:v>38534</c:v>
                </c:pt>
                <c:pt idx="511">
                  <c:v>38565</c:v>
                </c:pt>
                <c:pt idx="512">
                  <c:v>38596</c:v>
                </c:pt>
                <c:pt idx="513">
                  <c:v>38626</c:v>
                </c:pt>
                <c:pt idx="514">
                  <c:v>38657</c:v>
                </c:pt>
                <c:pt idx="515">
                  <c:v>38687</c:v>
                </c:pt>
                <c:pt idx="516">
                  <c:v>38718</c:v>
                </c:pt>
                <c:pt idx="517">
                  <c:v>38749</c:v>
                </c:pt>
                <c:pt idx="518">
                  <c:v>38777</c:v>
                </c:pt>
                <c:pt idx="519">
                  <c:v>38808</c:v>
                </c:pt>
                <c:pt idx="520">
                  <c:v>38838</c:v>
                </c:pt>
                <c:pt idx="521">
                  <c:v>38869</c:v>
                </c:pt>
                <c:pt idx="522">
                  <c:v>38899</c:v>
                </c:pt>
                <c:pt idx="523">
                  <c:v>38930</c:v>
                </c:pt>
                <c:pt idx="524">
                  <c:v>38961</c:v>
                </c:pt>
                <c:pt idx="525">
                  <c:v>38991</c:v>
                </c:pt>
                <c:pt idx="526">
                  <c:v>39022</c:v>
                </c:pt>
                <c:pt idx="527">
                  <c:v>39052</c:v>
                </c:pt>
                <c:pt idx="528">
                  <c:v>39083</c:v>
                </c:pt>
                <c:pt idx="529">
                  <c:v>39114</c:v>
                </c:pt>
                <c:pt idx="530">
                  <c:v>39142</c:v>
                </c:pt>
                <c:pt idx="531">
                  <c:v>39173</c:v>
                </c:pt>
                <c:pt idx="532">
                  <c:v>39203</c:v>
                </c:pt>
                <c:pt idx="533">
                  <c:v>39234</c:v>
                </c:pt>
                <c:pt idx="534">
                  <c:v>39264</c:v>
                </c:pt>
                <c:pt idx="535">
                  <c:v>39295</c:v>
                </c:pt>
                <c:pt idx="536">
                  <c:v>39326</c:v>
                </c:pt>
                <c:pt idx="537">
                  <c:v>39356</c:v>
                </c:pt>
                <c:pt idx="538">
                  <c:v>39387</c:v>
                </c:pt>
                <c:pt idx="539">
                  <c:v>39417</c:v>
                </c:pt>
                <c:pt idx="540">
                  <c:v>39448</c:v>
                </c:pt>
                <c:pt idx="541">
                  <c:v>39479</c:v>
                </c:pt>
                <c:pt idx="542">
                  <c:v>39508</c:v>
                </c:pt>
                <c:pt idx="543">
                  <c:v>39539</c:v>
                </c:pt>
                <c:pt idx="544">
                  <c:v>39569</c:v>
                </c:pt>
                <c:pt idx="545">
                  <c:v>39600</c:v>
                </c:pt>
                <c:pt idx="546">
                  <c:v>39630</c:v>
                </c:pt>
                <c:pt idx="547">
                  <c:v>39661</c:v>
                </c:pt>
                <c:pt idx="548">
                  <c:v>39692</c:v>
                </c:pt>
                <c:pt idx="549">
                  <c:v>39722</c:v>
                </c:pt>
                <c:pt idx="550">
                  <c:v>39753</c:v>
                </c:pt>
                <c:pt idx="551">
                  <c:v>39783</c:v>
                </c:pt>
                <c:pt idx="552">
                  <c:v>39814</c:v>
                </c:pt>
                <c:pt idx="553">
                  <c:v>39845</c:v>
                </c:pt>
                <c:pt idx="554">
                  <c:v>39873</c:v>
                </c:pt>
                <c:pt idx="555">
                  <c:v>39904</c:v>
                </c:pt>
                <c:pt idx="556">
                  <c:v>39934</c:v>
                </c:pt>
                <c:pt idx="557">
                  <c:v>39965</c:v>
                </c:pt>
                <c:pt idx="558">
                  <c:v>39995</c:v>
                </c:pt>
                <c:pt idx="559">
                  <c:v>40026</c:v>
                </c:pt>
                <c:pt idx="560">
                  <c:v>40057</c:v>
                </c:pt>
                <c:pt idx="561">
                  <c:v>40087</c:v>
                </c:pt>
                <c:pt idx="562">
                  <c:v>40118</c:v>
                </c:pt>
                <c:pt idx="563">
                  <c:v>40148</c:v>
                </c:pt>
                <c:pt idx="564">
                  <c:v>40179</c:v>
                </c:pt>
                <c:pt idx="565">
                  <c:v>40210</c:v>
                </c:pt>
                <c:pt idx="566">
                  <c:v>40238</c:v>
                </c:pt>
                <c:pt idx="567">
                  <c:v>40269</c:v>
                </c:pt>
                <c:pt idx="568">
                  <c:v>40299</c:v>
                </c:pt>
                <c:pt idx="569">
                  <c:v>40330</c:v>
                </c:pt>
                <c:pt idx="570">
                  <c:v>40360</c:v>
                </c:pt>
                <c:pt idx="571">
                  <c:v>40391</c:v>
                </c:pt>
                <c:pt idx="572">
                  <c:v>40422</c:v>
                </c:pt>
                <c:pt idx="573">
                  <c:v>40452</c:v>
                </c:pt>
                <c:pt idx="574">
                  <c:v>40483</c:v>
                </c:pt>
                <c:pt idx="575">
                  <c:v>40513</c:v>
                </c:pt>
                <c:pt idx="576">
                  <c:v>40544</c:v>
                </c:pt>
                <c:pt idx="577">
                  <c:v>40575</c:v>
                </c:pt>
                <c:pt idx="578">
                  <c:v>40603</c:v>
                </c:pt>
                <c:pt idx="579">
                  <c:v>40634</c:v>
                </c:pt>
                <c:pt idx="580">
                  <c:v>40664</c:v>
                </c:pt>
                <c:pt idx="581">
                  <c:v>40695</c:v>
                </c:pt>
                <c:pt idx="582">
                  <c:v>40725</c:v>
                </c:pt>
                <c:pt idx="583">
                  <c:v>40756</c:v>
                </c:pt>
                <c:pt idx="584">
                  <c:v>40787</c:v>
                </c:pt>
                <c:pt idx="585">
                  <c:v>40817</c:v>
                </c:pt>
                <c:pt idx="586">
                  <c:v>40848</c:v>
                </c:pt>
                <c:pt idx="587">
                  <c:v>40878</c:v>
                </c:pt>
                <c:pt idx="588">
                  <c:v>40909</c:v>
                </c:pt>
                <c:pt idx="589">
                  <c:v>40940</c:v>
                </c:pt>
                <c:pt idx="590">
                  <c:v>40969</c:v>
                </c:pt>
                <c:pt idx="591">
                  <c:v>41000</c:v>
                </c:pt>
                <c:pt idx="592">
                  <c:v>41030</c:v>
                </c:pt>
                <c:pt idx="593">
                  <c:v>41061</c:v>
                </c:pt>
                <c:pt idx="594">
                  <c:v>41091</c:v>
                </c:pt>
                <c:pt idx="595">
                  <c:v>41122</c:v>
                </c:pt>
                <c:pt idx="596">
                  <c:v>41153</c:v>
                </c:pt>
                <c:pt idx="597">
                  <c:v>41183</c:v>
                </c:pt>
                <c:pt idx="598">
                  <c:v>41214</c:v>
                </c:pt>
                <c:pt idx="599">
                  <c:v>41244</c:v>
                </c:pt>
                <c:pt idx="600">
                  <c:v>41275</c:v>
                </c:pt>
                <c:pt idx="601">
                  <c:v>41306</c:v>
                </c:pt>
                <c:pt idx="602">
                  <c:v>41334</c:v>
                </c:pt>
                <c:pt idx="603">
                  <c:v>41365</c:v>
                </c:pt>
                <c:pt idx="604">
                  <c:v>41395</c:v>
                </c:pt>
                <c:pt idx="605">
                  <c:v>41426</c:v>
                </c:pt>
                <c:pt idx="606">
                  <c:v>41456</c:v>
                </c:pt>
                <c:pt idx="607">
                  <c:v>41487</c:v>
                </c:pt>
                <c:pt idx="608">
                  <c:v>41518</c:v>
                </c:pt>
                <c:pt idx="609">
                  <c:v>41548</c:v>
                </c:pt>
                <c:pt idx="610">
                  <c:v>41579</c:v>
                </c:pt>
                <c:pt idx="611">
                  <c:v>41609</c:v>
                </c:pt>
                <c:pt idx="612">
                  <c:v>41640</c:v>
                </c:pt>
                <c:pt idx="613">
                  <c:v>41671</c:v>
                </c:pt>
                <c:pt idx="614">
                  <c:v>41699</c:v>
                </c:pt>
                <c:pt idx="615">
                  <c:v>41730</c:v>
                </c:pt>
                <c:pt idx="616">
                  <c:v>41760</c:v>
                </c:pt>
                <c:pt idx="617">
                  <c:v>41791</c:v>
                </c:pt>
                <c:pt idx="618">
                  <c:v>41821</c:v>
                </c:pt>
                <c:pt idx="619">
                  <c:v>41852</c:v>
                </c:pt>
                <c:pt idx="620">
                  <c:v>41883</c:v>
                </c:pt>
                <c:pt idx="621">
                  <c:v>41913</c:v>
                </c:pt>
                <c:pt idx="622">
                  <c:v>41944</c:v>
                </c:pt>
                <c:pt idx="623">
                  <c:v>41974</c:v>
                </c:pt>
                <c:pt idx="624">
                  <c:v>42005</c:v>
                </c:pt>
                <c:pt idx="625">
                  <c:v>42036</c:v>
                </c:pt>
                <c:pt idx="626">
                  <c:v>42064</c:v>
                </c:pt>
                <c:pt idx="627">
                  <c:v>42095</c:v>
                </c:pt>
                <c:pt idx="628">
                  <c:v>42125</c:v>
                </c:pt>
                <c:pt idx="629">
                  <c:v>42156</c:v>
                </c:pt>
                <c:pt idx="630">
                  <c:v>42186</c:v>
                </c:pt>
                <c:pt idx="631">
                  <c:v>42217</c:v>
                </c:pt>
                <c:pt idx="632">
                  <c:v>42248</c:v>
                </c:pt>
                <c:pt idx="633">
                  <c:v>42278</c:v>
                </c:pt>
                <c:pt idx="634">
                  <c:v>42309</c:v>
                </c:pt>
                <c:pt idx="635">
                  <c:v>42339</c:v>
                </c:pt>
                <c:pt idx="636">
                  <c:v>42370</c:v>
                </c:pt>
                <c:pt idx="637">
                  <c:v>42401</c:v>
                </c:pt>
                <c:pt idx="638">
                  <c:v>42430</c:v>
                </c:pt>
                <c:pt idx="639">
                  <c:v>42461</c:v>
                </c:pt>
                <c:pt idx="640">
                  <c:v>42491</c:v>
                </c:pt>
                <c:pt idx="641">
                  <c:v>42522</c:v>
                </c:pt>
                <c:pt idx="642">
                  <c:v>42552</c:v>
                </c:pt>
                <c:pt idx="643">
                  <c:v>42583</c:v>
                </c:pt>
                <c:pt idx="644">
                  <c:v>42614</c:v>
                </c:pt>
                <c:pt idx="645">
                  <c:v>42644</c:v>
                </c:pt>
                <c:pt idx="646">
                  <c:v>42675</c:v>
                </c:pt>
                <c:pt idx="647">
                  <c:v>42705</c:v>
                </c:pt>
                <c:pt idx="648">
                  <c:v>42736</c:v>
                </c:pt>
                <c:pt idx="649">
                  <c:v>42767</c:v>
                </c:pt>
                <c:pt idx="650">
                  <c:v>42795</c:v>
                </c:pt>
                <c:pt idx="651">
                  <c:v>42826</c:v>
                </c:pt>
                <c:pt idx="652">
                  <c:v>42856</c:v>
                </c:pt>
                <c:pt idx="653">
                  <c:v>42887</c:v>
                </c:pt>
                <c:pt idx="654">
                  <c:v>42917</c:v>
                </c:pt>
                <c:pt idx="655">
                  <c:v>42948</c:v>
                </c:pt>
                <c:pt idx="656">
                  <c:v>42979</c:v>
                </c:pt>
                <c:pt idx="657">
                  <c:v>43009</c:v>
                </c:pt>
                <c:pt idx="658">
                  <c:v>43040</c:v>
                </c:pt>
                <c:pt idx="659">
                  <c:v>43070</c:v>
                </c:pt>
                <c:pt idx="660">
                  <c:v>43101</c:v>
                </c:pt>
                <c:pt idx="661">
                  <c:v>43132</c:v>
                </c:pt>
                <c:pt idx="662">
                  <c:v>43160</c:v>
                </c:pt>
                <c:pt idx="663">
                  <c:v>43191</c:v>
                </c:pt>
                <c:pt idx="664">
                  <c:v>43221</c:v>
                </c:pt>
                <c:pt idx="665">
                  <c:v>43252</c:v>
                </c:pt>
                <c:pt idx="666">
                  <c:v>43282</c:v>
                </c:pt>
                <c:pt idx="667">
                  <c:v>43313</c:v>
                </c:pt>
                <c:pt idx="668">
                  <c:v>43344</c:v>
                </c:pt>
                <c:pt idx="669">
                  <c:v>43374</c:v>
                </c:pt>
                <c:pt idx="670">
                  <c:v>43405</c:v>
                </c:pt>
                <c:pt idx="671">
                  <c:v>43435</c:v>
                </c:pt>
                <c:pt idx="672">
                  <c:v>43466</c:v>
                </c:pt>
                <c:pt idx="673">
                  <c:v>43497</c:v>
                </c:pt>
                <c:pt idx="674">
                  <c:v>43525</c:v>
                </c:pt>
                <c:pt idx="675">
                  <c:v>43556</c:v>
                </c:pt>
                <c:pt idx="676">
                  <c:v>43586</c:v>
                </c:pt>
                <c:pt idx="677">
                  <c:v>43617</c:v>
                </c:pt>
                <c:pt idx="678">
                  <c:v>43647</c:v>
                </c:pt>
                <c:pt idx="679">
                  <c:v>43678</c:v>
                </c:pt>
                <c:pt idx="680">
                  <c:v>43709</c:v>
                </c:pt>
                <c:pt idx="681">
                  <c:v>43739</c:v>
                </c:pt>
                <c:pt idx="682">
                  <c:v>43770</c:v>
                </c:pt>
                <c:pt idx="683">
                  <c:v>43800</c:v>
                </c:pt>
                <c:pt idx="684">
                  <c:v>43831</c:v>
                </c:pt>
                <c:pt idx="685">
                  <c:v>43862</c:v>
                </c:pt>
                <c:pt idx="686">
                  <c:v>43891</c:v>
                </c:pt>
                <c:pt idx="687">
                  <c:v>43922</c:v>
                </c:pt>
                <c:pt idx="688">
                  <c:v>43952</c:v>
                </c:pt>
                <c:pt idx="689">
                  <c:v>43983</c:v>
                </c:pt>
                <c:pt idx="690">
                  <c:v>44013</c:v>
                </c:pt>
                <c:pt idx="691">
                  <c:v>44044</c:v>
                </c:pt>
                <c:pt idx="692">
                  <c:v>44075</c:v>
                </c:pt>
                <c:pt idx="693">
                  <c:v>44105</c:v>
                </c:pt>
                <c:pt idx="694">
                  <c:v>44136</c:v>
                </c:pt>
                <c:pt idx="695">
                  <c:v>44166</c:v>
                </c:pt>
                <c:pt idx="696">
                  <c:v>44197</c:v>
                </c:pt>
                <c:pt idx="697">
                  <c:v>44228</c:v>
                </c:pt>
                <c:pt idx="698">
                  <c:v>44256</c:v>
                </c:pt>
                <c:pt idx="699">
                  <c:v>44287</c:v>
                </c:pt>
                <c:pt idx="700">
                  <c:v>44317</c:v>
                </c:pt>
                <c:pt idx="701">
                  <c:v>44348</c:v>
                </c:pt>
                <c:pt idx="702">
                  <c:v>44378</c:v>
                </c:pt>
                <c:pt idx="703">
                  <c:v>44409</c:v>
                </c:pt>
              </c:numCache>
            </c:numRef>
          </c:cat>
          <c:val>
            <c:numRef>
              <c:f>NFP!$C$300:$C$1021</c:f>
              <c:numCache>
                <c:formatCode>0</c:formatCode>
                <c:ptCount val="722"/>
                <c:pt idx="0">
                  <c:v>87</c:v>
                </c:pt>
                <c:pt idx="1">
                  <c:v>115</c:v>
                </c:pt>
                <c:pt idx="2">
                  <c:v>90</c:v>
                </c:pt>
                <c:pt idx="3">
                  <c:v>260</c:v>
                </c:pt>
                <c:pt idx="4">
                  <c:v>36</c:v>
                </c:pt>
                <c:pt idx="5">
                  <c:v>43</c:v>
                </c:pt>
                <c:pt idx="6">
                  <c:v>135</c:v>
                </c:pt>
                <c:pt idx="7">
                  <c:v>116</c:v>
                </c:pt>
                <c:pt idx="8">
                  <c:v>168</c:v>
                </c:pt>
                <c:pt idx="9">
                  <c:v>205</c:v>
                </c:pt>
                <c:pt idx="10">
                  <c:v>-28</c:v>
                </c:pt>
                <c:pt idx="11">
                  <c:v>106</c:v>
                </c:pt>
                <c:pt idx="12">
                  <c:v>126</c:v>
                </c:pt>
                <c:pt idx="13">
                  <c:v>266</c:v>
                </c:pt>
                <c:pt idx="14">
                  <c:v>144</c:v>
                </c:pt>
                <c:pt idx="15">
                  <c:v>25</c:v>
                </c:pt>
                <c:pt idx="16">
                  <c:v>167</c:v>
                </c:pt>
                <c:pt idx="17">
                  <c:v>130</c:v>
                </c:pt>
                <c:pt idx="18">
                  <c:v>193</c:v>
                </c:pt>
                <c:pt idx="19">
                  <c:v>207</c:v>
                </c:pt>
                <c:pt idx="20">
                  <c:v>284</c:v>
                </c:pt>
                <c:pt idx="21">
                  <c:v>-110</c:v>
                </c:pt>
                <c:pt idx="22">
                  <c:v>425</c:v>
                </c:pt>
                <c:pt idx="23">
                  <c:v>203</c:v>
                </c:pt>
                <c:pt idx="24">
                  <c:v>161</c:v>
                </c:pt>
                <c:pt idx="25">
                  <c:v>218</c:v>
                </c:pt>
                <c:pt idx="26">
                  <c:v>203</c:v>
                </c:pt>
                <c:pt idx="27">
                  <c:v>256</c:v>
                </c:pt>
                <c:pt idx="28">
                  <c:v>232</c:v>
                </c:pt>
                <c:pt idx="29">
                  <c:v>199</c:v>
                </c:pt>
                <c:pt idx="30">
                  <c:v>275</c:v>
                </c:pt>
                <c:pt idx="31">
                  <c:v>263</c:v>
                </c:pt>
                <c:pt idx="32">
                  <c:v>262</c:v>
                </c:pt>
                <c:pt idx="33">
                  <c:v>229</c:v>
                </c:pt>
                <c:pt idx="34">
                  <c:v>277</c:v>
                </c:pt>
                <c:pt idx="35">
                  <c:v>326</c:v>
                </c:pt>
                <c:pt idx="36">
                  <c:v>207</c:v>
                </c:pt>
                <c:pt idx="37">
                  <c:v>267</c:v>
                </c:pt>
                <c:pt idx="38">
                  <c:v>396</c:v>
                </c:pt>
                <c:pt idx="39">
                  <c:v>245</c:v>
                </c:pt>
                <c:pt idx="40">
                  <c:v>275</c:v>
                </c:pt>
                <c:pt idx="41">
                  <c:v>399</c:v>
                </c:pt>
                <c:pt idx="42">
                  <c:v>190</c:v>
                </c:pt>
                <c:pt idx="43">
                  <c:v>206</c:v>
                </c:pt>
                <c:pt idx="44">
                  <c:v>136</c:v>
                </c:pt>
                <c:pt idx="45">
                  <c:v>211</c:v>
                </c:pt>
                <c:pt idx="46">
                  <c:v>165</c:v>
                </c:pt>
                <c:pt idx="47">
                  <c:v>180</c:v>
                </c:pt>
                <c:pt idx="48">
                  <c:v>208</c:v>
                </c:pt>
                <c:pt idx="49">
                  <c:v>22</c:v>
                </c:pt>
                <c:pt idx="50">
                  <c:v>101</c:v>
                </c:pt>
                <c:pt idx="51">
                  <c:v>-64</c:v>
                </c:pt>
                <c:pt idx="52">
                  <c:v>154</c:v>
                </c:pt>
                <c:pt idx="53">
                  <c:v>130</c:v>
                </c:pt>
                <c:pt idx="54">
                  <c:v>138</c:v>
                </c:pt>
                <c:pt idx="55">
                  <c:v>255</c:v>
                </c:pt>
                <c:pt idx="56">
                  <c:v>21</c:v>
                </c:pt>
                <c:pt idx="57">
                  <c:v>61</c:v>
                </c:pt>
                <c:pt idx="58">
                  <c:v>478</c:v>
                </c:pt>
                <c:pt idx="59">
                  <c:v>197</c:v>
                </c:pt>
                <c:pt idx="60">
                  <c:v>-96</c:v>
                </c:pt>
                <c:pt idx="61">
                  <c:v>411</c:v>
                </c:pt>
                <c:pt idx="62">
                  <c:v>80</c:v>
                </c:pt>
                <c:pt idx="63">
                  <c:v>261</c:v>
                </c:pt>
                <c:pt idx="64">
                  <c:v>96</c:v>
                </c:pt>
                <c:pt idx="65">
                  <c:v>253</c:v>
                </c:pt>
                <c:pt idx="66">
                  <c:v>221</c:v>
                </c:pt>
                <c:pt idx="67">
                  <c:v>204</c:v>
                </c:pt>
                <c:pt idx="68">
                  <c:v>154</c:v>
                </c:pt>
                <c:pt idx="69">
                  <c:v>237</c:v>
                </c:pt>
                <c:pt idx="70">
                  <c:v>263</c:v>
                </c:pt>
                <c:pt idx="71">
                  <c:v>264</c:v>
                </c:pt>
                <c:pt idx="72">
                  <c:v>191</c:v>
                </c:pt>
                <c:pt idx="73">
                  <c:v>260</c:v>
                </c:pt>
                <c:pt idx="74">
                  <c:v>206</c:v>
                </c:pt>
                <c:pt idx="75">
                  <c:v>167</c:v>
                </c:pt>
                <c:pt idx="76">
                  <c:v>256</c:v>
                </c:pt>
                <c:pt idx="77">
                  <c:v>308</c:v>
                </c:pt>
                <c:pt idx="78">
                  <c:v>93</c:v>
                </c:pt>
                <c:pt idx="79">
                  <c:v>279</c:v>
                </c:pt>
                <c:pt idx="80">
                  <c:v>-94</c:v>
                </c:pt>
                <c:pt idx="81">
                  <c:v>207</c:v>
                </c:pt>
                <c:pt idx="82">
                  <c:v>-35</c:v>
                </c:pt>
                <c:pt idx="83">
                  <c:v>155</c:v>
                </c:pt>
                <c:pt idx="84">
                  <c:v>-65</c:v>
                </c:pt>
                <c:pt idx="85">
                  <c:v>129</c:v>
                </c:pt>
                <c:pt idx="86">
                  <c:v>146</c:v>
                </c:pt>
                <c:pt idx="87">
                  <c:v>-103</c:v>
                </c:pt>
                <c:pt idx="88">
                  <c:v>-224</c:v>
                </c:pt>
                <c:pt idx="89">
                  <c:v>-95</c:v>
                </c:pt>
                <c:pt idx="90">
                  <c:v>24</c:v>
                </c:pt>
                <c:pt idx="91">
                  <c:v>-116</c:v>
                </c:pt>
                <c:pt idx="92">
                  <c:v>7</c:v>
                </c:pt>
                <c:pt idx="93">
                  <c:v>-423</c:v>
                </c:pt>
                <c:pt idx="94">
                  <c:v>-112</c:v>
                </c:pt>
                <c:pt idx="95">
                  <c:v>383</c:v>
                </c:pt>
                <c:pt idx="96">
                  <c:v>73</c:v>
                </c:pt>
                <c:pt idx="97">
                  <c:v>-58</c:v>
                </c:pt>
                <c:pt idx="98">
                  <c:v>53</c:v>
                </c:pt>
                <c:pt idx="99">
                  <c:v>176</c:v>
                </c:pt>
                <c:pt idx="100">
                  <c:v>211</c:v>
                </c:pt>
                <c:pt idx="101">
                  <c:v>7</c:v>
                </c:pt>
                <c:pt idx="102">
                  <c:v>61</c:v>
                </c:pt>
                <c:pt idx="103">
                  <c:v>58</c:v>
                </c:pt>
                <c:pt idx="104">
                  <c:v>241</c:v>
                </c:pt>
                <c:pt idx="105">
                  <c:v>28</c:v>
                </c:pt>
                <c:pt idx="106">
                  <c:v>205</c:v>
                </c:pt>
                <c:pt idx="107">
                  <c:v>262</c:v>
                </c:pt>
                <c:pt idx="108">
                  <c:v>332</c:v>
                </c:pt>
                <c:pt idx="109">
                  <c:v>207</c:v>
                </c:pt>
                <c:pt idx="110">
                  <c:v>296</c:v>
                </c:pt>
                <c:pt idx="111">
                  <c:v>218</c:v>
                </c:pt>
                <c:pt idx="112">
                  <c:v>307</c:v>
                </c:pt>
                <c:pt idx="113">
                  <c:v>289</c:v>
                </c:pt>
                <c:pt idx="114">
                  <c:v>-49</c:v>
                </c:pt>
                <c:pt idx="115">
                  <c:v>432</c:v>
                </c:pt>
                <c:pt idx="116">
                  <c:v>123</c:v>
                </c:pt>
                <c:pt idx="117">
                  <c:v>410</c:v>
                </c:pt>
                <c:pt idx="118">
                  <c:v>299</c:v>
                </c:pt>
                <c:pt idx="119">
                  <c:v>295</c:v>
                </c:pt>
                <c:pt idx="120">
                  <c:v>349</c:v>
                </c:pt>
                <c:pt idx="121">
                  <c:v>397</c:v>
                </c:pt>
                <c:pt idx="122">
                  <c:v>270</c:v>
                </c:pt>
                <c:pt idx="123">
                  <c:v>171</c:v>
                </c:pt>
                <c:pt idx="124">
                  <c:v>193</c:v>
                </c:pt>
                <c:pt idx="125">
                  <c:v>239</c:v>
                </c:pt>
                <c:pt idx="126">
                  <c:v>26</c:v>
                </c:pt>
                <c:pt idx="127">
                  <c:v>255</c:v>
                </c:pt>
                <c:pt idx="128">
                  <c:v>108</c:v>
                </c:pt>
                <c:pt idx="129">
                  <c:v>331</c:v>
                </c:pt>
                <c:pt idx="130">
                  <c:v>313</c:v>
                </c:pt>
                <c:pt idx="131">
                  <c:v>111</c:v>
                </c:pt>
                <c:pt idx="132">
                  <c:v>69</c:v>
                </c:pt>
                <c:pt idx="133">
                  <c:v>154</c:v>
                </c:pt>
                <c:pt idx="134">
                  <c:v>42</c:v>
                </c:pt>
                <c:pt idx="135">
                  <c:v>86</c:v>
                </c:pt>
                <c:pt idx="136">
                  <c:v>167</c:v>
                </c:pt>
                <c:pt idx="137">
                  <c:v>55</c:v>
                </c:pt>
                <c:pt idx="138">
                  <c:v>32</c:v>
                </c:pt>
                <c:pt idx="139">
                  <c:v>-17</c:v>
                </c:pt>
                <c:pt idx="140">
                  <c:v>-9</c:v>
                </c:pt>
                <c:pt idx="141">
                  <c:v>20</c:v>
                </c:pt>
                <c:pt idx="142">
                  <c:v>-365</c:v>
                </c:pt>
                <c:pt idx="143">
                  <c:v>-613</c:v>
                </c:pt>
                <c:pt idx="144">
                  <c:v>-359</c:v>
                </c:pt>
                <c:pt idx="145">
                  <c:v>-375</c:v>
                </c:pt>
                <c:pt idx="146">
                  <c:v>-270</c:v>
                </c:pt>
                <c:pt idx="147">
                  <c:v>-188</c:v>
                </c:pt>
                <c:pt idx="148">
                  <c:v>164</c:v>
                </c:pt>
                <c:pt idx="149">
                  <c:v>-103</c:v>
                </c:pt>
                <c:pt idx="150">
                  <c:v>249</c:v>
                </c:pt>
                <c:pt idx="151">
                  <c:v>383</c:v>
                </c:pt>
                <c:pt idx="152">
                  <c:v>75</c:v>
                </c:pt>
                <c:pt idx="153">
                  <c:v>312</c:v>
                </c:pt>
                <c:pt idx="154">
                  <c:v>145</c:v>
                </c:pt>
                <c:pt idx="155">
                  <c:v>332</c:v>
                </c:pt>
                <c:pt idx="156">
                  <c:v>486</c:v>
                </c:pt>
                <c:pt idx="157">
                  <c:v>313</c:v>
                </c:pt>
                <c:pt idx="158">
                  <c:v>232</c:v>
                </c:pt>
                <c:pt idx="159">
                  <c:v>244</c:v>
                </c:pt>
                <c:pt idx="160">
                  <c:v>20</c:v>
                </c:pt>
                <c:pt idx="161">
                  <c:v>64</c:v>
                </c:pt>
                <c:pt idx="162">
                  <c:v>171</c:v>
                </c:pt>
                <c:pt idx="163">
                  <c:v>157</c:v>
                </c:pt>
                <c:pt idx="164">
                  <c:v>188</c:v>
                </c:pt>
                <c:pt idx="165">
                  <c:v>19</c:v>
                </c:pt>
                <c:pt idx="166">
                  <c:v>329</c:v>
                </c:pt>
                <c:pt idx="167">
                  <c:v>208</c:v>
                </c:pt>
                <c:pt idx="168">
                  <c:v>242</c:v>
                </c:pt>
                <c:pt idx="169">
                  <c:v>298</c:v>
                </c:pt>
                <c:pt idx="170">
                  <c:v>403</c:v>
                </c:pt>
                <c:pt idx="171">
                  <c:v>337</c:v>
                </c:pt>
                <c:pt idx="172">
                  <c:v>360</c:v>
                </c:pt>
                <c:pt idx="173">
                  <c:v>400</c:v>
                </c:pt>
                <c:pt idx="174">
                  <c:v>346</c:v>
                </c:pt>
                <c:pt idx="175">
                  <c:v>241</c:v>
                </c:pt>
                <c:pt idx="176">
                  <c:v>457</c:v>
                </c:pt>
                <c:pt idx="177">
                  <c:v>268</c:v>
                </c:pt>
                <c:pt idx="178">
                  <c:v>373</c:v>
                </c:pt>
                <c:pt idx="179">
                  <c:v>237</c:v>
                </c:pt>
                <c:pt idx="180">
                  <c:v>184</c:v>
                </c:pt>
                <c:pt idx="181">
                  <c:v>354</c:v>
                </c:pt>
                <c:pt idx="182">
                  <c:v>512</c:v>
                </c:pt>
                <c:pt idx="183">
                  <c:v>702</c:v>
                </c:pt>
                <c:pt idx="184">
                  <c:v>347</c:v>
                </c:pt>
                <c:pt idx="185">
                  <c:v>441</c:v>
                </c:pt>
                <c:pt idx="186">
                  <c:v>254</c:v>
                </c:pt>
                <c:pt idx="187">
                  <c:v>279</c:v>
                </c:pt>
                <c:pt idx="188">
                  <c:v>138</c:v>
                </c:pt>
                <c:pt idx="189">
                  <c:v>335</c:v>
                </c:pt>
                <c:pt idx="190">
                  <c:v>435</c:v>
                </c:pt>
                <c:pt idx="191">
                  <c:v>280</c:v>
                </c:pt>
                <c:pt idx="192">
                  <c:v>137</c:v>
                </c:pt>
                <c:pt idx="193">
                  <c:v>247</c:v>
                </c:pt>
                <c:pt idx="194">
                  <c:v>424</c:v>
                </c:pt>
                <c:pt idx="195">
                  <c:v>-62</c:v>
                </c:pt>
                <c:pt idx="196">
                  <c:v>372</c:v>
                </c:pt>
                <c:pt idx="197">
                  <c:v>319</c:v>
                </c:pt>
                <c:pt idx="198">
                  <c:v>109</c:v>
                </c:pt>
                <c:pt idx="199">
                  <c:v>83</c:v>
                </c:pt>
                <c:pt idx="200">
                  <c:v>27</c:v>
                </c:pt>
                <c:pt idx="201">
                  <c:v>154</c:v>
                </c:pt>
                <c:pt idx="202">
                  <c:v>92</c:v>
                </c:pt>
                <c:pt idx="203">
                  <c:v>99</c:v>
                </c:pt>
                <c:pt idx="204">
                  <c:v>128</c:v>
                </c:pt>
                <c:pt idx="205">
                  <c:v>83</c:v>
                </c:pt>
                <c:pt idx="206">
                  <c:v>111</c:v>
                </c:pt>
                <c:pt idx="207">
                  <c:v>-145</c:v>
                </c:pt>
                <c:pt idx="208">
                  <c:v>-429</c:v>
                </c:pt>
                <c:pt idx="209">
                  <c:v>-319</c:v>
                </c:pt>
                <c:pt idx="210">
                  <c:v>-261</c:v>
                </c:pt>
                <c:pt idx="211">
                  <c:v>259</c:v>
                </c:pt>
                <c:pt idx="212">
                  <c:v>114</c:v>
                </c:pt>
                <c:pt idx="213">
                  <c:v>277</c:v>
                </c:pt>
                <c:pt idx="214">
                  <c:v>257</c:v>
                </c:pt>
                <c:pt idx="215">
                  <c:v>196</c:v>
                </c:pt>
                <c:pt idx="216">
                  <c:v>90</c:v>
                </c:pt>
                <c:pt idx="217">
                  <c:v>72</c:v>
                </c:pt>
                <c:pt idx="218">
                  <c:v>105</c:v>
                </c:pt>
                <c:pt idx="219">
                  <c:v>73</c:v>
                </c:pt>
                <c:pt idx="220">
                  <c:v>13</c:v>
                </c:pt>
                <c:pt idx="221">
                  <c:v>194</c:v>
                </c:pt>
                <c:pt idx="222">
                  <c:v>111</c:v>
                </c:pt>
                <c:pt idx="223">
                  <c:v>-36</c:v>
                </c:pt>
                <c:pt idx="224">
                  <c:v>-88</c:v>
                </c:pt>
                <c:pt idx="225">
                  <c:v>-97</c:v>
                </c:pt>
                <c:pt idx="226">
                  <c:v>-209</c:v>
                </c:pt>
                <c:pt idx="227">
                  <c:v>-276</c:v>
                </c:pt>
                <c:pt idx="228">
                  <c:v>-330</c:v>
                </c:pt>
                <c:pt idx="229">
                  <c:v>-2</c:v>
                </c:pt>
                <c:pt idx="230">
                  <c:v>-129</c:v>
                </c:pt>
                <c:pt idx="231">
                  <c:v>-284</c:v>
                </c:pt>
                <c:pt idx="232">
                  <c:v>-43</c:v>
                </c:pt>
                <c:pt idx="233">
                  <c:v>-242</c:v>
                </c:pt>
                <c:pt idx="234">
                  <c:v>-344</c:v>
                </c:pt>
                <c:pt idx="235">
                  <c:v>-158</c:v>
                </c:pt>
                <c:pt idx="236">
                  <c:v>-180</c:v>
                </c:pt>
                <c:pt idx="237">
                  <c:v>-276</c:v>
                </c:pt>
                <c:pt idx="238">
                  <c:v>-121</c:v>
                </c:pt>
                <c:pt idx="239">
                  <c:v>-15</c:v>
                </c:pt>
                <c:pt idx="240">
                  <c:v>219</c:v>
                </c:pt>
                <c:pt idx="241">
                  <c:v>-73</c:v>
                </c:pt>
                <c:pt idx="242">
                  <c:v>173</c:v>
                </c:pt>
                <c:pt idx="243">
                  <c:v>274</c:v>
                </c:pt>
                <c:pt idx="244">
                  <c:v>280</c:v>
                </c:pt>
                <c:pt idx="245">
                  <c:v>377</c:v>
                </c:pt>
                <c:pt idx="246">
                  <c:v>416</c:v>
                </c:pt>
                <c:pt idx="247">
                  <c:v>-308</c:v>
                </c:pt>
                <c:pt idx="248">
                  <c:v>1118</c:v>
                </c:pt>
                <c:pt idx="249">
                  <c:v>273</c:v>
                </c:pt>
                <c:pt idx="250">
                  <c:v>355</c:v>
                </c:pt>
                <c:pt idx="251">
                  <c:v>355</c:v>
                </c:pt>
                <c:pt idx="252">
                  <c:v>443</c:v>
                </c:pt>
                <c:pt idx="253">
                  <c:v>484</c:v>
                </c:pt>
                <c:pt idx="254">
                  <c:v>272</c:v>
                </c:pt>
                <c:pt idx="255">
                  <c:v>363</c:v>
                </c:pt>
                <c:pt idx="256">
                  <c:v>306</c:v>
                </c:pt>
                <c:pt idx="257">
                  <c:v>381</c:v>
                </c:pt>
                <c:pt idx="258">
                  <c:v>310</c:v>
                </c:pt>
                <c:pt idx="259">
                  <c:v>243</c:v>
                </c:pt>
                <c:pt idx="260">
                  <c:v>312</c:v>
                </c:pt>
                <c:pt idx="261">
                  <c:v>285</c:v>
                </c:pt>
                <c:pt idx="262">
                  <c:v>353</c:v>
                </c:pt>
                <c:pt idx="263">
                  <c:v>125</c:v>
                </c:pt>
                <c:pt idx="264">
                  <c:v>265</c:v>
                </c:pt>
                <c:pt idx="265">
                  <c:v>131</c:v>
                </c:pt>
                <c:pt idx="266">
                  <c:v>339</c:v>
                </c:pt>
                <c:pt idx="267">
                  <c:v>196</c:v>
                </c:pt>
                <c:pt idx="268">
                  <c:v>274</c:v>
                </c:pt>
                <c:pt idx="269">
                  <c:v>147</c:v>
                </c:pt>
                <c:pt idx="270">
                  <c:v>189</c:v>
                </c:pt>
                <c:pt idx="271">
                  <c:v>192</c:v>
                </c:pt>
                <c:pt idx="272">
                  <c:v>205</c:v>
                </c:pt>
                <c:pt idx="273">
                  <c:v>188</c:v>
                </c:pt>
                <c:pt idx="274">
                  <c:v>210</c:v>
                </c:pt>
                <c:pt idx="275">
                  <c:v>166</c:v>
                </c:pt>
                <c:pt idx="276">
                  <c:v>123</c:v>
                </c:pt>
                <c:pt idx="277">
                  <c:v>115</c:v>
                </c:pt>
                <c:pt idx="278">
                  <c:v>87</c:v>
                </c:pt>
                <c:pt idx="279">
                  <c:v>187</c:v>
                </c:pt>
                <c:pt idx="280">
                  <c:v>127</c:v>
                </c:pt>
                <c:pt idx="281">
                  <c:v>-93</c:v>
                </c:pt>
                <c:pt idx="282">
                  <c:v>318</c:v>
                </c:pt>
                <c:pt idx="283">
                  <c:v>115</c:v>
                </c:pt>
                <c:pt idx="284">
                  <c:v>346</c:v>
                </c:pt>
                <c:pt idx="285">
                  <c:v>187</c:v>
                </c:pt>
                <c:pt idx="286">
                  <c:v>187</c:v>
                </c:pt>
                <c:pt idx="287">
                  <c:v>201</c:v>
                </c:pt>
                <c:pt idx="288">
                  <c:v>169</c:v>
                </c:pt>
                <c:pt idx="289">
                  <c:v>241</c:v>
                </c:pt>
                <c:pt idx="290">
                  <c:v>245</c:v>
                </c:pt>
                <c:pt idx="291">
                  <c:v>335</c:v>
                </c:pt>
                <c:pt idx="292">
                  <c:v>229</c:v>
                </c:pt>
                <c:pt idx="293">
                  <c:v>172</c:v>
                </c:pt>
                <c:pt idx="294">
                  <c:v>347</c:v>
                </c:pt>
                <c:pt idx="295">
                  <c:v>173</c:v>
                </c:pt>
                <c:pt idx="296">
                  <c:v>227</c:v>
                </c:pt>
                <c:pt idx="297">
                  <c:v>491</c:v>
                </c:pt>
                <c:pt idx="298">
                  <c:v>234</c:v>
                </c:pt>
                <c:pt idx="299">
                  <c:v>289</c:v>
                </c:pt>
                <c:pt idx="300">
                  <c:v>92</c:v>
                </c:pt>
                <c:pt idx="301">
                  <c:v>461</c:v>
                </c:pt>
                <c:pt idx="302">
                  <c:v>275</c:v>
                </c:pt>
                <c:pt idx="303">
                  <c:v>243</c:v>
                </c:pt>
                <c:pt idx="304">
                  <c:v>230</c:v>
                </c:pt>
                <c:pt idx="305">
                  <c:v>364</c:v>
                </c:pt>
                <c:pt idx="306">
                  <c:v>224</c:v>
                </c:pt>
                <c:pt idx="307">
                  <c:v>124</c:v>
                </c:pt>
                <c:pt idx="308">
                  <c:v>339</c:v>
                </c:pt>
                <c:pt idx="309">
                  <c:v>263</c:v>
                </c:pt>
                <c:pt idx="310">
                  <c:v>341</c:v>
                </c:pt>
                <c:pt idx="311">
                  <c:v>281</c:v>
                </c:pt>
                <c:pt idx="312">
                  <c:v>263</c:v>
                </c:pt>
                <c:pt idx="313">
                  <c:v>266</c:v>
                </c:pt>
                <c:pt idx="314">
                  <c:v>194</c:v>
                </c:pt>
                <c:pt idx="315">
                  <c:v>170</c:v>
                </c:pt>
                <c:pt idx="316">
                  <c:v>122</c:v>
                </c:pt>
                <c:pt idx="317">
                  <c:v>114</c:v>
                </c:pt>
                <c:pt idx="318">
                  <c:v>42</c:v>
                </c:pt>
                <c:pt idx="319">
                  <c:v>51</c:v>
                </c:pt>
                <c:pt idx="320">
                  <c:v>249</c:v>
                </c:pt>
                <c:pt idx="321">
                  <c:v>107</c:v>
                </c:pt>
                <c:pt idx="322">
                  <c:v>276</c:v>
                </c:pt>
                <c:pt idx="323">
                  <c:v>84</c:v>
                </c:pt>
                <c:pt idx="324">
                  <c:v>363</c:v>
                </c:pt>
                <c:pt idx="325">
                  <c:v>236</c:v>
                </c:pt>
                <c:pt idx="326">
                  <c:v>209</c:v>
                </c:pt>
                <c:pt idx="327">
                  <c:v>42</c:v>
                </c:pt>
                <c:pt idx="328">
                  <c:v>153</c:v>
                </c:pt>
                <c:pt idx="329">
                  <c:v>17</c:v>
                </c:pt>
                <c:pt idx="330">
                  <c:v>-32</c:v>
                </c:pt>
                <c:pt idx="331">
                  <c:v>-208</c:v>
                </c:pt>
                <c:pt idx="332">
                  <c:v>-98</c:v>
                </c:pt>
                <c:pt idx="333">
                  <c:v>-151</c:v>
                </c:pt>
                <c:pt idx="334">
                  <c:v>-153</c:v>
                </c:pt>
                <c:pt idx="335">
                  <c:v>-48</c:v>
                </c:pt>
                <c:pt idx="336">
                  <c:v>-111</c:v>
                </c:pt>
                <c:pt idx="337">
                  <c:v>-321</c:v>
                </c:pt>
                <c:pt idx="338">
                  <c:v>-160</c:v>
                </c:pt>
                <c:pt idx="339">
                  <c:v>-210</c:v>
                </c:pt>
                <c:pt idx="340">
                  <c:v>-115</c:v>
                </c:pt>
                <c:pt idx="341">
                  <c:v>85</c:v>
                </c:pt>
                <c:pt idx="342">
                  <c:v>-42</c:v>
                </c:pt>
                <c:pt idx="343">
                  <c:v>18</c:v>
                </c:pt>
                <c:pt idx="344">
                  <c:v>26</c:v>
                </c:pt>
                <c:pt idx="345">
                  <c:v>21</c:v>
                </c:pt>
                <c:pt idx="346">
                  <c:v>-61</c:v>
                </c:pt>
                <c:pt idx="347">
                  <c:v>32</c:v>
                </c:pt>
                <c:pt idx="348">
                  <c:v>41</c:v>
                </c:pt>
                <c:pt idx="349">
                  <c:v>-58</c:v>
                </c:pt>
                <c:pt idx="350">
                  <c:v>54</c:v>
                </c:pt>
                <c:pt idx="351">
                  <c:v>154</c:v>
                </c:pt>
                <c:pt idx="352">
                  <c:v>130</c:v>
                </c:pt>
                <c:pt idx="353">
                  <c:v>66</c:v>
                </c:pt>
                <c:pt idx="354">
                  <c:v>78</c:v>
                </c:pt>
                <c:pt idx="355">
                  <c:v>132</c:v>
                </c:pt>
                <c:pt idx="356">
                  <c:v>34</c:v>
                </c:pt>
                <c:pt idx="357">
                  <c:v>180</c:v>
                </c:pt>
                <c:pt idx="358">
                  <c:v>133</c:v>
                </c:pt>
                <c:pt idx="359">
                  <c:v>223</c:v>
                </c:pt>
                <c:pt idx="360">
                  <c:v>299</c:v>
                </c:pt>
                <c:pt idx="361">
                  <c:v>250</c:v>
                </c:pt>
                <c:pt idx="362">
                  <c:v>-50</c:v>
                </c:pt>
                <c:pt idx="363">
                  <c:v>302</c:v>
                </c:pt>
                <c:pt idx="364">
                  <c:v>272</c:v>
                </c:pt>
                <c:pt idx="365">
                  <c:v>181</c:v>
                </c:pt>
                <c:pt idx="366">
                  <c:v>306</c:v>
                </c:pt>
                <c:pt idx="367">
                  <c:v>151</c:v>
                </c:pt>
                <c:pt idx="368">
                  <c:v>242</c:v>
                </c:pt>
                <c:pt idx="369">
                  <c:v>285</c:v>
                </c:pt>
                <c:pt idx="370">
                  <c:v>251</c:v>
                </c:pt>
                <c:pt idx="371">
                  <c:v>330</c:v>
                </c:pt>
                <c:pt idx="372">
                  <c:v>281</c:v>
                </c:pt>
                <c:pt idx="373">
                  <c:v>186</c:v>
                </c:pt>
                <c:pt idx="374">
                  <c:v>461</c:v>
                </c:pt>
                <c:pt idx="375">
                  <c:v>344</c:v>
                </c:pt>
                <c:pt idx="376">
                  <c:v>335</c:v>
                </c:pt>
                <c:pt idx="377">
                  <c:v>317</c:v>
                </c:pt>
                <c:pt idx="378">
                  <c:v>372</c:v>
                </c:pt>
                <c:pt idx="379">
                  <c:v>286</c:v>
                </c:pt>
                <c:pt idx="380">
                  <c:v>351</c:v>
                </c:pt>
                <c:pt idx="381">
                  <c:v>211</c:v>
                </c:pt>
                <c:pt idx="382">
                  <c:v>411</c:v>
                </c:pt>
                <c:pt idx="383">
                  <c:v>296</c:v>
                </c:pt>
                <c:pt idx="384">
                  <c:v>336</c:v>
                </c:pt>
                <c:pt idx="385">
                  <c:v>196</c:v>
                </c:pt>
                <c:pt idx="386">
                  <c:v>210</c:v>
                </c:pt>
                <c:pt idx="387">
                  <c:v>162</c:v>
                </c:pt>
                <c:pt idx="388">
                  <c:v>-20</c:v>
                </c:pt>
                <c:pt idx="389">
                  <c:v>237</c:v>
                </c:pt>
                <c:pt idx="390">
                  <c:v>94</c:v>
                </c:pt>
                <c:pt idx="391">
                  <c:v>254</c:v>
                </c:pt>
                <c:pt idx="392">
                  <c:v>241</c:v>
                </c:pt>
                <c:pt idx="393">
                  <c:v>156</c:v>
                </c:pt>
                <c:pt idx="394">
                  <c:v>144</c:v>
                </c:pt>
                <c:pt idx="395">
                  <c:v>145</c:v>
                </c:pt>
                <c:pt idx="396">
                  <c:v>-4</c:v>
                </c:pt>
                <c:pt idx="397">
                  <c:v>423</c:v>
                </c:pt>
                <c:pt idx="398">
                  <c:v>254</c:v>
                </c:pt>
                <c:pt idx="399">
                  <c:v>165</c:v>
                </c:pt>
                <c:pt idx="400">
                  <c:v>328</c:v>
                </c:pt>
                <c:pt idx="401">
                  <c:v>283</c:v>
                </c:pt>
                <c:pt idx="402">
                  <c:v>246</c:v>
                </c:pt>
                <c:pt idx="403">
                  <c:v>184</c:v>
                </c:pt>
                <c:pt idx="404">
                  <c:v>211</c:v>
                </c:pt>
                <c:pt idx="405">
                  <c:v>255</c:v>
                </c:pt>
                <c:pt idx="406">
                  <c:v>296</c:v>
                </c:pt>
                <c:pt idx="407">
                  <c:v>182</c:v>
                </c:pt>
                <c:pt idx="408">
                  <c:v>220</c:v>
                </c:pt>
                <c:pt idx="409">
                  <c:v>312</c:v>
                </c:pt>
                <c:pt idx="410">
                  <c:v>315</c:v>
                </c:pt>
                <c:pt idx="411">
                  <c:v>296</c:v>
                </c:pt>
                <c:pt idx="412">
                  <c:v>260</c:v>
                </c:pt>
                <c:pt idx="413">
                  <c:v>268</c:v>
                </c:pt>
                <c:pt idx="414">
                  <c:v>297</c:v>
                </c:pt>
                <c:pt idx="415">
                  <c:v>-18</c:v>
                </c:pt>
                <c:pt idx="416">
                  <c:v>492</c:v>
                </c:pt>
                <c:pt idx="417">
                  <c:v>344</c:v>
                </c:pt>
                <c:pt idx="418">
                  <c:v>306</c:v>
                </c:pt>
                <c:pt idx="419">
                  <c:v>314</c:v>
                </c:pt>
                <c:pt idx="420">
                  <c:v>263</c:v>
                </c:pt>
                <c:pt idx="421">
                  <c:v>204</c:v>
                </c:pt>
                <c:pt idx="422">
                  <c:v>148</c:v>
                </c:pt>
                <c:pt idx="423">
                  <c:v>278</c:v>
                </c:pt>
                <c:pt idx="424">
                  <c:v>402</c:v>
                </c:pt>
                <c:pt idx="425">
                  <c:v>232</c:v>
                </c:pt>
                <c:pt idx="426">
                  <c:v>129</c:v>
                </c:pt>
                <c:pt idx="427">
                  <c:v>339</c:v>
                </c:pt>
                <c:pt idx="428">
                  <c:v>208</c:v>
                </c:pt>
                <c:pt idx="429">
                  <c:v>202</c:v>
                </c:pt>
                <c:pt idx="430">
                  <c:v>277</c:v>
                </c:pt>
                <c:pt idx="431">
                  <c:v>365</c:v>
                </c:pt>
                <c:pt idx="432">
                  <c:v>106</c:v>
                </c:pt>
                <c:pt idx="433">
                  <c:v>418</c:v>
                </c:pt>
                <c:pt idx="434">
                  <c:v>107</c:v>
                </c:pt>
                <c:pt idx="435">
                  <c:v>370</c:v>
                </c:pt>
                <c:pt idx="436">
                  <c:v>211</c:v>
                </c:pt>
                <c:pt idx="437">
                  <c:v>281</c:v>
                </c:pt>
                <c:pt idx="438">
                  <c:v>325</c:v>
                </c:pt>
                <c:pt idx="439">
                  <c:v>155</c:v>
                </c:pt>
                <c:pt idx="440">
                  <c:v>203</c:v>
                </c:pt>
                <c:pt idx="441">
                  <c:v>405</c:v>
                </c:pt>
                <c:pt idx="442">
                  <c:v>289</c:v>
                </c:pt>
                <c:pt idx="443">
                  <c:v>306</c:v>
                </c:pt>
                <c:pt idx="444">
                  <c:v>233</c:v>
                </c:pt>
                <c:pt idx="445">
                  <c:v>119</c:v>
                </c:pt>
                <c:pt idx="446">
                  <c:v>472</c:v>
                </c:pt>
                <c:pt idx="447">
                  <c:v>292</c:v>
                </c:pt>
                <c:pt idx="448">
                  <c:v>217</c:v>
                </c:pt>
                <c:pt idx="449">
                  <c:v>-44</c:v>
                </c:pt>
                <c:pt idx="450">
                  <c:v>175</c:v>
                </c:pt>
                <c:pt idx="451">
                  <c:v>-6</c:v>
                </c:pt>
                <c:pt idx="452">
                  <c:v>123</c:v>
                </c:pt>
                <c:pt idx="453">
                  <c:v>-2</c:v>
                </c:pt>
                <c:pt idx="454">
                  <c:v>205</c:v>
                </c:pt>
                <c:pt idx="455">
                  <c:v>153</c:v>
                </c:pt>
                <c:pt idx="456">
                  <c:v>-11</c:v>
                </c:pt>
                <c:pt idx="457">
                  <c:v>91</c:v>
                </c:pt>
                <c:pt idx="458">
                  <c:v>-42</c:v>
                </c:pt>
                <c:pt idx="459">
                  <c:v>-284</c:v>
                </c:pt>
                <c:pt idx="460">
                  <c:v>-53</c:v>
                </c:pt>
                <c:pt idx="461">
                  <c:v>-111</c:v>
                </c:pt>
                <c:pt idx="462">
                  <c:v>-122</c:v>
                </c:pt>
                <c:pt idx="463">
                  <c:v>-149</c:v>
                </c:pt>
                <c:pt idx="464">
                  <c:v>-257</c:v>
                </c:pt>
                <c:pt idx="465">
                  <c:v>-317</c:v>
                </c:pt>
                <c:pt idx="466">
                  <c:v>-312</c:v>
                </c:pt>
                <c:pt idx="467">
                  <c:v>-160</c:v>
                </c:pt>
                <c:pt idx="468">
                  <c:v>-130</c:v>
                </c:pt>
                <c:pt idx="469">
                  <c:v>-116</c:v>
                </c:pt>
                <c:pt idx="470">
                  <c:v>-19</c:v>
                </c:pt>
                <c:pt idx="471">
                  <c:v>-94</c:v>
                </c:pt>
                <c:pt idx="472">
                  <c:v>11</c:v>
                </c:pt>
                <c:pt idx="473">
                  <c:v>50</c:v>
                </c:pt>
                <c:pt idx="474">
                  <c:v>-94</c:v>
                </c:pt>
                <c:pt idx="475">
                  <c:v>-3</c:v>
                </c:pt>
                <c:pt idx="476">
                  <c:v>-86</c:v>
                </c:pt>
                <c:pt idx="477">
                  <c:v>127</c:v>
                </c:pt>
                <c:pt idx="478">
                  <c:v>-13</c:v>
                </c:pt>
                <c:pt idx="479">
                  <c:v>-143</c:v>
                </c:pt>
                <c:pt idx="480">
                  <c:v>108</c:v>
                </c:pt>
                <c:pt idx="481">
                  <c:v>-136</c:v>
                </c:pt>
                <c:pt idx="482">
                  <c:v>-212</c:v>
                </c:pt>
                <c:pt idx="483">
                  <c:v>-55</c:v>
                </c:pt>
                <c:pt idx="484">
                  <c:v>19</c:v>
                </c:pt>
                <c:pt idx="485">
                  <c:v>-2</c:v>
                </c:pt>
                <c:pt idx="486">
                  <c:v>-3</c:v>
                </c:pt>
                <c:pt idx="487">
                  <c:v>-42</c:v>
                </c:pt>
                <c:pt idx="488">
                  <c:v>105</c:v>
                </c:pt>
                <c:pt idx="489">
                  <c:v>200</c:v>
                </c:pt>
                <c:pt idx="490">
                  <c:v>20</c:v>
                </c:pt>
                <c:pt idx="491">
                  <c:v>114</c:v>
                </c:pt>
                <c:pt idx="492">
                  <c:v>181</c:v>
                </c:pt>
                <c:pt idx="493">
                  <c:v>56</c:v>
                </c:pt>
                <c:pt idx="494">
                  <c:v>317</c:v>
                </c:pt>
                <c:pt idx="495">
                  <c:v>269</c:v>
                </c:pt>
                <c:pt idx="496">
                  <c:v>283</c:v>
                </c:pt>
                <c:pt idx="497">
                  <c:v>99</c:v>
                </c:pt>
                <c:pt idx="498">
                  <c:v>55</c:v>
                </c:pt>
                <c:pt idx="499">
                  <c:v>89</c:v>
                </c:pt>
                <c:pt idx="500">
                  <c:v>156</c:v>
                </c:pt>
                <c:pt idx="501">
                  <c:v>354</c:v>
                </c:pt>
                <c:pt idx="502">
                  <c:v>56</c:v>
                </c:pt>
                <c:pt idx="503">
                  <c:v>121</c:v>
                </c:pt>
                <c:pt idx="504">
                  <c:v>150</c:v>
                </c:pt>
                <c:pt idx="505">
                  <c:v>258</c:v>
                </c:pt>
                <c:pt idx="506">
                  <c:v>124</c:v>
                </c:pt>
                <c:pt idx="507">
                  <c:v>362</c:v>
                </c:pt>
                <c:pt idx="508">
                  <c:v>172</c:v>
                </c:pt>
                <c:pt idx="509">
                  <c:v>252</c:v>
                </c:pt>
                <c:pt idx="510">
                  <c:v>354</c:v>
                </c:pt>
                <c:pt idx="511">
                  <c:v>202</c:v>
                </c:pt>
                <c:pt idx="512">
                  <c:v>68</c:v>
                </c:pt>
                <c:pt idx="513">
                  <c:v>89</c:v>
                </c:pt>
                <c:pt idx="514">
                  <c:v>338</c:v>
                </c:pt>
                <c:pt idx="515">
                  <c:v>156</c:v>
                </c:pt>
                <c:pt idx="516">
                  <c:v>280</c:v>
                </c:pt>
                <c:pt idx="517">
                  <c:v>308</c:v>
                </c:pt>
                <c:pt idx="518">
                  <c:v>310</c:v>
                </c:pt>
                <c:pt idx="519">
                  <c:v>158</c:v>
                </c:pt>
                <c:pt idx="520">
                  <c:v>39</c:v>
                </c:pt>
                <c:pt idx="521">
                  <c:v>81</c:v>
                </c:pt>
                <c:pt idx="522">
                  <c:v>195</c:v>
                </c:pt>
                <c:pt idx="523">
                  <c:v>174</c:v>
                </c:pt>
                <c:pt idx="524">
                  <c:v>149</c:v>
                </c:pt>
                <c:pt idx="525">
                  <c:v>9</c:v>
                </c:pt>
                <c:pt idx="526">
                  <c:v>211</c:v>
                </c:pt>
                <c:pt idx="527">
                  <c:v>186</c:v>
                </c:pt>
                <c:pt idx="528">
                  <c:v>228</c:v>
                </c:pt>
                <c:pt idx="529">
                  <c:v>81</c:v>
                </c:pt>
                <c:pt idx="530">
                  <c:v>235</c:v>
                </c:pt>
                <c:pt idx="531">
                  <c:v>49</c:v>
                </c:pt>
                <c:pt idx="532">
                  <c:v>151</c:v>
                </c:pt>
                <c:pt idx="533">
                  <c:v>76</c:v>
                </c:pt>
                <c:pt idx="534">
                  <c:v>-31</c:v>
                </c:pt>
                <c:pt idx="535">
                  <c:v>-23</c:v>
                </c:pt>
                <c:pt idx="536">
                  <c:v>80</c:v>
                </c:pt>
                <c:pt idx="537">
                  <c:v>79</c:v>
                </c:pt>
                <c:pt idx="538">
                  <c:v>110</c:v>
                </c:pt>
                <c:pt idx="539">
                  <c:v>108</c:v>
                </c:pt>
                <c:pt idx="540">
                  <c:v>11</c:v>
                </c:pt>
                <c:pt idx="541">
                  <c:v>-79</c:v>
                </c:pt>
                <c:pt idx="542">
                  <c:v>-49</c:v>
                </c:pt>
                <c:pt idx="543">
                  <c:v>-240</c:v>
                </c:pt>
                <c:pt idx="544">
                  <c:v>-177</c:v>
                </c:pt>
                <c:pt idx="545">
                  <c:v>-171</c:v>
                </c:pt>
                <c:pt idx="546">
                  <c:v>-196</c:v>
                </c:pt>
                <c:pt idx="547">
                  <c:v>-278</c:v>
                </c:pt>
                <c:pt idx="548">
                  <c:v>-460</c:v>
                </c:pt>
                <c:pt idx="549">
                  <c:v>-481</c:v>
                </c:pt>
                <c:pt idx="550">
                  <c:v>-727</c:v>
                </c:pt>
                <c:pt idx="551">
                  <c:v>-706</c:v>
                </c:pt>
                <c:pt idx="552">
                  <c:v>-784</c:v>
                </c:pt>
                <c:pt idx="553">
                  <c:v>-743</c:v>
                </c:pt>
                <c:pt idx="554">
                  <c:v>-800</c:v>
                </c:pt>
                <c:pt idx="555">
                  <c:v>-695</c:v>
                </c:pt>
                <c:pt idx="556">
                  <c:v>-342</c:v>
                </c:pt>
                <c:pt idx="557">
                  <c:v>-467</c:v>
                </c:pt>
                <c:pt idx="558">
                  <c:v>-340</c:v>
                </c:pt>
                <c:pt idx="559">
                  <c:v>-183</c:v>
                </c:pt>
                <c:pt idx="560">
                  <c:v>-241</c:v>
                </c:pt>
                <c:pt idx="561">
                  <c:v>-199</c:v>
                </c:pt>
                <c:pt idx="562">
                  <c:v>12</c:v>
                </c:pt>
                <c:pt idx="563">
                  <c:v>-269</c:v>
                </c:pt>
                <c:pt idx="564">
                  <c:v>2</c:v>
                </c:pt>
                <c:pt idx="565">
                  <c:v>-92</c:v>
                </c:pt>
                <c:pt idx="566">
                  <c:v>181</c:v>
                </c:pt>
                <c:pt idx="567">
                  <c:v>231</c:v>
                </c:pt>
                <c:pt idx="568">
                  <c:v>540</c:v>
                </c:pt>
                <c:pt idx="569">
                  <c:v>-139</c:v>
                </c:pt>
                <c:pt idx="570">
                  <c:v>-84</c:v>
                </c:pt>
                <c:pt idx="571">
                  <c:v>-5</c:v>
                </c:pt>
                <c:pt idx="572">
                  <c:v>-65</c:v>
                </c:pt>
                <c:pt idx="573">
                  <c:v>268</c:v>
                </c:pt>
                <c:pt idx="574">
                  <c:v>125</c:v>
                </c:pt>
                <c:pt idx="575">
                  <c:v>72</c:v>
                </c:pt>
                <c:pt idx="576">
                  <c:v>19</c:v>
                </c:pt>
                <c:pt idx="577">
                  <c:v>212</c:v>
                </c:pt>
                <c:pt idx="578">
                  <c:v>235</c:v>
                </c:pt>
                <c:pt idx="579">
                  <c:v>314</c:v>
                </c:pt>
                <c:pt idx="580">
                  <c:v>101</c:v>
                </c:pt>
                <c:pt idx="581">
                  <c:v>236</c:v>
                </c:pt>
                <c:pt idx="582">
                  <c:v>60</c:v>
                </c:pt>
                <c:pt idx="583">
                  <c:v>126</c:v>
                </c:pt>
                <c:pt idx="584">
                  <c:v>233</c:v>
                </c:pt>
                <c:pt idx="585">
                  <c:v>204</c:v>
                </c:pt>
                <c:pt idx="586">
                  <c:v>132</c:v>
                </c:pt>
                <c:pt idx="587">
                  <c:v>202</c:v>
                </c:pt>
                <c:pt idx="588">
                  <c:v>354</c:v>
                </c:pt>
                <c:pt idx="589">
                  <c:v>262</c:v>
                </c:pt>
                <c:pt idx="590">
                  <c:v>240</c:v>
                </c:pt>
                <c:pt idx="591">
                  <c:v>82</c:v>
                </c:pt>
                <c:pt idx="592">
                  <c:v>100</c:v>
                </c:pt>
                <c:pt idx="593">
                  <c:v>73</c:v>
                </c:pt>
                <c:pt idx="594">
                  <c:v>152</c:v>
                </c:pt>
                <c:pt idx="595">
                  <c:v>172</c:v>
                </c:pt>
                <c:pt idx="596">
                  <c:v>187</c:v>
                </c:pt>
                <c:pt idx="597">
                  <c:v>159</c:v>
                </c:pt>
                <c:pt idx="598">
                  <c:v>156</c:v>
                </c:pt>
                <c:pt idx="599">
                  <c:v>239</c:v>
                </c:pt>
                <c:pt idx="600">
                  <c:v>191</c:v>
                </c:pt>
                <c:pt idx="601">
                  <c:v>278</c:v>
                </c:pt>
                <c:pt idx="602">
                  <c:v>139</c:v>
                </c:pt>
                <c:pt idx="603">
                  <c:v>191</c:v>
                </c:pt>
                <c:pt idx="604">
                  <c:v>222</c:v>
                </c:pt>
                <c:pt idx="605">
                  <c:v>181</c:v>
                </c:pt>
                <c:pt idx="606">
                  <c:v>112</c:v>
                </c:pt>
                <c:pt idx="607">
                  <c:v>242</c:v>
                </c:pt>
                <c:pt idx="608">
                  <c:v>187</c:v>
                </c:pt>
                <c:pt idx="609">
                  <c:v>225</c:v>
                </c:pt>
                <c:pt idx="610">
                  <c:v>264</c:v>
                </c:pt>
                <c:pt idx="611">
                  <c:v>69</c:v>
                </c:pt>
                <c:pt idx="612">
                  <c:v>175</c:v>
                </c:pt>
                <c:pt idx="613">
                  <c:v>166</c:v>
                </c:pt>
                <c:pt idx="614">
                  <c:v>254</c:v>
                </c:pt>
                <c:pt idx="615">
                  <c:v>325</c:v>
                </c:pt>
                <c:pt idx="616">
                  <c:v>218</c:v>
                </c:pt>
                <c:pt idx="617">
                  <c:v>326</c:v>
                </c:pt>
                <c:pt idx="618">
                  <c:v>232</c:v>
                </c:pt>
                <c:pt idx="619">
                  <c:v>188</c:v>
                </c:pt>
                <c:pt idx="620">
                  <c:v>309</c:v>
                </c:pt>
                <c:pt idx="621">
                  <c:v>252</c:v>
                </c:pt>
                <c:pt idx="622">
                  <c:v>291</c:v>
                </c:pt>
                <c:pt idx="623">
                  <c:v>268</c:v>
                </c:pt>
                <c:pt idx="624">
                  <c:v>191</c:v>
                </c:pt>
                <c:pt idx="625">
                  <c:v>271</c:v>
                </c:pt>
                <c:pt idx="626">
                  <c:v>71</c:v>
                </c:pt>
                <c:pt idx="627">
                  <c:v>284</c:v>
                </c:pt>
                <c:pt idx="628">
                  <c:v>331</c:v>
                </c:pt>
                <c:pt idx="629">
                  <c:v>174</c:v>
                </c:pt>
                <c:pt idx="630">
                  <c:v>302</c:v>
                </c:pt>
                <c:pt idx="631">
                  <c:v>125</c:v>
                </c:pt>
                <c:pt idx="632">
                  <c:v>155</c:v>
                </c:pt>
                <c:pt idx="633">
                  <c:v>306</c:v>
                </c:pt>
                <c:pt idx="634">
                  <c:v>237</c:v>
                </c:pt>
                <c:pt idx="635">
                  <c:v>273</c:v>
                </c:pt>
                <c:pt idx="636">
                  <c:v>108</c:v>
                </c:pt>
                <c:pt idx="637">
                  <c:v>212</c:v>
                </c:pt>
                <c:pt idx="638">
                  <c:v>237</c:v>
                </c:pt>
                <c:pt idx="639">
                  <c:v>197</c:v>
                </c:pt>
                <c:pt idx="640">
                  <c:v>41</c:v>
                </c:pt>
                <c:pt idx="641">
                  <c:v>258</c:v>
                </c:pt>
                <c:pt idx="642">
                  <c:v>371</c:v>
                </c:pt>
                <c:pt idx="643">
                  <c:v>143</c:v>
                </c:pt>
                <c:pt idx="644">
                  <c:v>289</c:v>
                </c:pt>
                <c:pt idx="645">
                  <c:v>118</c:v>
                </c:pt>
                <c:pt idx="646">
                  <c:v>130</c:v>
                </c:pt>
                <c:pt idx="647">
                  <c:v>214</c:v>
                </c:pt>
                <c:pt idx="648">
                  <c:v>197</c:v>
                </c:pt>
                <c:pt idx="649">
                  <c:v>183</c:v>
                </c:pt>
                <c:pt idx="650">
                  <c:v>139</c:v>
                </c:pt>
                <c:pt idx="651">
                  <c:v>220</c:v>
                </c:pt>
                <c:pt idx="652">
                  <c:v>141</c:v>
                </c:pt>
                <c:pt idx="653">
                  <c:v>211</c:v>
                </c:pt>
                <c:pt idx="654">
                  <c:v>228</c:v>
                </c:pt>
                <c:pt idx="655">
                  <c:v>190</c:v>
                </c:pt>
                <c:pt idx="656">
                  <c:v>42</c:v>
                </c:pt>
                <c:pt idx="657">
                  <c:v>249</c:v>
                </c:pt>
                <c:pt idx="658">
                  <c:v>196</c:v>
                </c:pt>
                <c:pt idx="659">
                  <c:v>179</c:v>
                </c:pt>
                <c:pt idx="660">
                  <c:v>81</c:v>
                </c:pt>
                <c:pt idx="661">
                  <c:v>378</c:v>
                </c:pt>
                <c:pt idx="662">
                  <c:v>195</c:v>
                </c:pt>
                <c:pt idx="663">
                  <c:v>153</c:v>
                </c:pt>
                <c:pt idx="664">
                  <c:v>270</c:v>
                </c:pt>
                <c:pt idx="665">
                  <c:v>214</c:v>
                </c:pt>
                <c:pt idx="666">
                  <c:v>149</c:v>
                </c:pt>
                <c:pt idx="667">
                  <c:v>229</c:v>
                </c:pt>
                <c:pt idx="668">
                  <c:v>105</c:v>
                </c:pt>
                <c:pt idx="669">
                  <c:v>212</c:v>
                </c:pt>
                <c:pt idx="670">
                  <c:v>92</c:v>
                </c:pt>
                <c:pt idx="671">
                  <c:v>240</c:v>
                </c:pt>
                <c:pt idx="672">
                  <c:v>237</c:v>
                </c:pt>
                <c:pt idx="673">
                  <c:v>-50</c:v>
                </c:pt>
                <c:pt idx="674">
                  <c:v>168</c:v>
                </c:pt>
                <c:pt idx="675">
                  <c:v>219</c:v>
                </c:pt>
                <c:pt idx="676">
                  <c:v>63</c:v>
                </c:pt>
                <c:pt idx="677">
                  <c:v>175</c:v>
                </c:pt>
                <c:pt idx="678">
                  <c:v>193</c:v>
                </c:pt>
                <c:pt idx="679">
                  <c:v>195</c:v>
                </c:pt>
                <c:pt idx="680">
                  <c:v>221</c:v>
                </c:pt>
                <c:pt idx="681">
                  <c:v>195</c:v>
                </c:pt>
                <c:pt idx="682">
                  <c:v>234</c:v>
                </c:pt>
                <c:pt idx="683">
                  <c:v>161</c:v>
                </c:pt>
                <c:pt idx="684">
                  <c:v>315</c:v>
                </c:pt>
                <c:pt idx="685">
                  <c:v>289</c:v>
                </c:pt>
                <c:pt idx="686">
                  <c:v>-1683</c:v>
                </c:pt>
                <c:pt idx="687">
                  <c:v>-20679</c:v>
                </c:pt>
                <c:pt idx="688">
                  <c:v>2833</c:v>
                </c:pt>
                <c:pt idx="689">
                  <c:v>4846</c:v>
                </c:pt>
                <c:pt idx="690">
                  <c:v>1726</c:v>
                </c:pt>
                <c:pt idx="691">
                  <c:v>1583</c:v>
                </c:pt>
                <c:pt idx="692">
                  <c:v>716</c:v>
                </c:pt>
                <c:pt idx="693">
                  <c:v>680</c:v>
                </c:pt>
                <c:pt idx="694">
                  <c:v>264</c:v>
                </c:pt>
                <c:pt idx="695">
                  <c:v>-306</c:v>
                </c:pt>
                <c:pt idx="696">
                  <c:v>233</c:v>
                </c:pt>
                <c:pt idx="697">
                  <c:v>536</c:v>
                </c:pt>
                <c:pt idx="698">
                  <c:v>785</c:v>
                </c:pt>
                <c:pt idx="699">
                  <c:v>269</c:v>
                </c:pt>
                <c:pt idx="700">
                  <c:v>614</c:v>
                </c:pt>
                <c:pt idx="701">
                  <c:v>962</c:v>
                </c:pt>
                <c:pt idx="702">
                  <c:v>1091</c:v>
                </c:pt>
                <c:pt idx="703">
                  <c:v>483</c:v>
                </c:pt>
              </c:numCache>
            </c:numRef>
          </c:val>
          <c:smooth val="0"/>
          <c:extLst>
            <c:ext xmlns:c16="http://schemas.microsoft.com/office/drawing/2014/chart" uri="{C3380CC4-5D6E-409C-BE32-E72D297353CC}">
              <c16:uniqueId val="{00000000-EA9D-AC4E-834A-D798532ACCFB}"/>
            </c:ext>
          </c:extLst>
        </c:ser>
        <c:dLbls>
          <c:showLegendKey val="0"/>
          <c:showVal val="0"/>
          <c:showCatName val="0"/>
          <c:showSerName val="0"/>
          <c:showPercent val="0"/>
          <c:showBubbleSize val="0"/>
        </c:dLbls>
        <c:smooth val="0"/>
        <c:axId val="1034261896"/>
        <c:axId val="1034262288"/>
      </c:lineChart>
      <c:dateAx>
        <c:axId val="1034261896"/>
        <c:scaling>
          <c:orientation val="minMax"/>
          <c:min val="23012"/>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2288"/>
        <c:crosses val="autoZero"/>
        <c:auto val="0"/>
        <c:lblOffset val="100"/>
        <c:baseTimeUnit val="months"/>
      </c:dateAx>
      <c:valAx>
        <c:axId val="10342622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NFP!$A$800:$A$1021</c:f>
              <c:numCache>
                <c:formatCode>yyyy\-mm\-dd</c:formatCode>
                <c:ptCount val="222"/>
                <c:pt idx="0">
                  <c:v>38231</c:v>
                </c:pt>
                <c:pt idx="1">
                  <c:v>38261</c:v>
                </c:pt>
                <c:pt idx="2">
                  <c:v>38292</c:v>
                </c:pt>
                <c:pt idx="3">
                  <c:v>38322</c:v>
                </c:pt>
                <c:pt idx="4">
                  <c:v>38353</c:v>
                </c:pt>
                <c:pt idx="5">
                  <c:v>38384</c:v>
                </c:pt>
                <c:pt idx="6">
                  <c:v>38412</c:v>
                </c:pt>
                <c:pt idx="7">
                  <c:v>38443</c:v>
                </c:pt>
                <c:pt idx="8">
                  <c:v>38473</c:v>
                </c:pt>
                <c:pt idx="9">
                  <c:v>38504</c:v>
                </c:pt>
                <c:pt idx="10">
                  <c:v>38534</c:v>
                </c:pt>
                <c:pt idx="11">
                  <c:v>38565</c:v>
                </c:pt>
                <c:pt idx="12">
                  <c:v>38596</c:v>
                </c:pt>
                <c:pt idx="13">
                  <c:v>38626</c:v>
                </c:pt>
                <c:pt idx="14">
                  <c:v>38657</c:v>
                </c:pt>
                <c:pt idx="15">
                  <c:v>38687</c:v>
                </c:pt>
                <c:pt idx="16">
                  <c:v>38718</c:v>
                </c:pt>
                <c:pt idx="17">
                  <c:v>38749</c:v>
                </c:pt>
                <c:pt idx="18">
                  <c:v>38777</c:v>
                </c:pt>
                <c:pt idx="19">
                  <c:v>38808</c:v>
                </c:pt>
                <c:pt idx="20">
                  <c:v>38838</c:v>
                </c:pt>
                <c:pt idx="21">
                  <c:v>38869</c:v>
                </c:pt>
                <c:pt idx="22">
                  <c:v>38899</c:v>
                </c:pt>
                <c:pt idx="23">
                  <c:v>38930</c:v>
                </c:pt>
                <c:pt idx="24">
                  <c:v>38961</c:v>
                </c:pt>
                <c:pt idx="25">
                  <c:v>38991</c:v>
                </c:pt>
                <c:pt idx="26">
                  <c:v>39022</c:v>
                </c:pt>
                <c:pt idx="27">
                  <c:v>39052</c:v>
                </c:pt>
                <c:pt idx="28">
                  <c:v>39083</c:v>
                </c:pt>
                <c:pt idx="29">
                  <c:v>39114</c:v>
                </c:pt>
                <c:pt idx="30">
                  <c:v>39142</c:v>
                </c:pt>
                <c:pt idx="31">
                  <c:v>39173</c:v>
                </c:pt>
                <c:pt idx="32">
                  <c:v>39203</c:v>
                </c:pt>
                <c:pt idx="33">
                  <c:v>39234</c:v>
                </c:pt>
                <c:pt idx="34">
                  <c:v>39264</c:v>
                </c:pt>
                <c:pt idx="35">
                  <c:v>39295</c:v>
                </c:pt>
                <c:pt idx="36">
                  <c:v>39326</c:v>
                </c:pt>
                <c:pt idx="37">
                  <c:v>39356</c:v>
                </c:pt>
                <c:pt idx="38">
                  <c:v>39387</c:v>
                </c:pt>
                <c:pt idx="39">
                  <c:v>39417</c:v>
                </c:pt>
                <c:pt idx="40">
                  <c:v>39448</c:v>
                </c:pt>
                <c:pt idx="41">
                  <c:v>39479</c:v>
                </c:pt>
                <c:pt idx="42">
                  <c:v>39508</c:v>
                </c:pt>
                <c:pt idx="43">
                  <c:v>39539</c:v>
                </c:pt>
                <c:pt idx="44">
                  <c:v>39569</c:v>
                </c:pt>
                <c:pt idx="45">
                  <c:v>39600</c:v>
                </c:pt>
                <c:pt idx="46">
                  <c:v>39630</c:v>
                </c:pt>
                <c:pt idx="47">
                  <c:v>39661</c:v>
                </c:pt>
                <c:pt idx="48">
                  <c:v>39692</c:v>
                </c:pt>
                <c:pt idx="49">
                  <c:v>39722</c:v>
                </c:pt>
                <c:pt idx="50">
                  <c:v>39753</c:v>
                </c:pt>
                <c:pt idx="51">
                  <c:v>39783</c:v>
                </c:pt>
                <c:pt idx="52">
                  <c:v>39814</c:v>
                </c:pt>
                <c:pt idx="53">
                  <c:v>39845</c:v>
                </c:pt>
                <c:pt idx="54">
                  <c:v>39873</c:v>
                </c:pt>
                <c:pt idx="55">
                  <c:v>39904</c:v>
                </c:pt>
                <c:pt idx="56">
                  <c:v>39934</c:v>
                </c:pt>
                <c:pt idx="57">
                  <c:v>39965</c:v>
                </c:pt>
                <c:pt idx="58">
                  <c:v>39995</c:v>
                </c:pt>
                <c:pt idx="59">
                  <c:v>40026</c:v>
                </c:pt>
                <c:pt idx="60">
                  <c:v>40057</c:v>
                </c:pt>
                <c:pt idx="61">
                  <c:v>40087</c:v>
                </c:pt>
                <c:pt idx="62">
                  <c:v>40118</c:v>
                </c:pt>
                <c:pt idx="63">
                  <c:v>40148</c:v>
                </c:pt>
                <c:pt idx="64">
                  <c:v>40179</c:v>
                </c:pt>
                <c:pt idx="65">
                  <c:v>40210</c:v>
                </c:pt>
                <c:pt idx="66">
                  <c:v>40238</c:v>
                </c:pt>
                <c:pt idx="67">
                  <c:v>40269</c:v>
                </c:pt>
                <c:pt idx="68">
                  <c:v>40299</c:v>
                </c:pt>
                <c:pt idx="69">
                  <c:v>40330</c:v>
                </c:pt>
                <c:pt idx="70">
                  <c:v>40360</c:v>
                </c:pt>
                <c:pt idx="71">
                  <c:v>40391</c:v>
                </c:pt>
                <c:pt idx="72">
                  <c:v>40422</c:v>
                </c:pt>
                <c:pt idx="73">
                  <c:v>40452</c:v>
                </c:pt>
                <c:pt idx="74">
                  <c:v>40483</c:v>
                </c:pt>
                <c:pt idx="75">
                  <c:v>40513</c:v>
                </c:pt>
                <c:pt idx="76">
                  <c:v>40544</c:v>
                </c:pt>
                <c:pt idx="77">
                  <c:v>40575</c:v>
                </c:pt>
                <c:pt idx="78">
                  <c:v>40603</c:v>
                </c:pt>
                <c:pt idx="79">
                  <c:v>40634</c:v>
                </c:pt>
                <c:pt idx="80">
                  <c:v>40664</c:v>
                </c:pt>
                <c:pt idx="81">
                  <c:v>40695</c:v>
                </c:pt>
                <c:pt idx="82">
                  <c:v>40725</c:v>
                </c:pt>
                <c:pt idx="83">
                  <c:v>40756</c:v>
                </c:pt>
                <c:pt idx="84">
                  <c:v>40787</c:v>
                </c:pt>
                <c:pt idx="85">
                  <c:v>40817</c:v>
                </c:pt>
                <c:pt idx="86">
                  <c:v>40848</c:v>
                </c:pt>
                <c:pt idx="87">
                  <c:v>40878</c:v>
                </c:pt>
                <c:pt idx="88">
                  <c:v>40909</c:v>
                </c:pt>
                <c:pt idx="89">
                  <c:v>40940</c:v>
                </c:pt>
                <c:pt idx="90">
                  <c:v>40969</c:v>
                </c:pt>
                <c:pt idx="91">
                  <c:v>41000</c:v>
                </c:pt>
                <c:pt idx="92">
                  <c:v>41030</c:v>
                </c:pt>
                <c:pt idx="93">
                  <c:v>41061</c:v>
                </c:pt>
                <c:pt idx="94">
                  <c:v>41091</c:v>
                </c:pt>
                <c:pt idx="95">
                  <c:v>41122</c:v>
                </c:pt>
                <c:pt idx="96">
                  <c:v>41153</c:v>
                </c:pt>
                <c:pt idx="97">
                  <c:v>41183</c:v>
                </c:pt>
                <c:pt idx="98">
                  <c:v>41214</c:v>
                </c:pt>
                <c:pt idx="99">
                  <c:v>41244</c:v>
                </c:pt>
                <c:pt idx="100">
                  <c:v>41275</c:v>
                </c:pt>
                <c:pt idx="101">
                  <c:v>41306</c:v>
                </c:pt>
                <c:pt idx="102">
                  <c:v>41334</c:v>
                </c:pt>
                <c:pt idx="103">
                  <c:v>41365</c:v>
                </c:pt>
                <c:pt idx="104">
                  <c:v>41395</c:v>
                </c:pt>
                <c:pt idx="105">
                  <c:v>41426</c:v>
                </c:pt>
                <c:pt idx="106">
                  <c:v>41456</c:v>
                </c:pt>
                <c:pt idx="107">
                  <c:v>41487</c:v>
                </c:pt>
                <c:pt idx="108">
                  <c:v>41518</c:v>
                </c:pt>
                <c:pt idx="109">
                  <c:v>41548</c:v>
                </c:pt>
                <c:pt idx="110">
                  <c:v>41579</c:v>
                </c:pt>
                <c:pt idx="111">
                  <c:v>41609</c:v>
                </c:pt>
                <c:pt idx="112">
                  <c:v>41640</c:v>
                </c:pt>
                <c:pt idx="113">
                  <c:v>41671</c:v>
                </c:pt>
                <c:pt idx="114">
                  <c:v>41699</c:v>
                </c:pt>
                <c:pt idx="115">
                  <c:v>41730</c:v>
                </c:pt>
                <c:pt idx="116">
                  <c:v>41760</c:v>
                </c:pt>
                <c:pt idx="117">
                  <c:v>41791</c:v>
                </c:pt>
                <c:pt idx="118">
                  <c:v>41821</c:v>
                </c:pt>
                <c:pt idx="119">
                  <c:v>41852</c:v>
                </c:pt>
                <c:pt idx="120">
                  <c:v>41883</c:v>
                </c:pt>
                <c:pt idx="121">
                  <c:v>41913</c:v>
                </c:pt>
                <c:pt idx="122">
                  <c:v>41944</c:v>
                </c:pt>
                <c:pt idx="123">
                  <c:v>41974</c:v>
                </c:pt>
                <c:pt idx="124">
                  <c:v>42005</c:v>
                </c:pt>
                <c:pt idx="125">
                  <c:v>42036</c:v>
                </c:pt>
                <c:pt idx="126">
                  <c:v>42064</c:v>
                </c:pt>
                <c:pt idx="127">
                  <c:v>42095</c:v>
                </c:pt>
                <c:pt idx="128">
                  <c:v>42125</c:v>
                </c:pt>
                <c:pt idx="129">
                  <c:v>42156</c:v>
                </c:pt>
                <c:pt idx="130">
                  <c:v>42186</c:v>
                </c:pt>
                <c:pt idx="131">
                  <c:v>42217</c:v>
                </c:pt>
                <c:pt idx="132">
                  <c:v>42248</c:v>
                </c:pt>
                <c:pt idx="133">
                  <c:v>42278</c:v>
                </c:pt>
                <c:pt idx="134">
                  <c:v>42309</c:v>
                </c:pt>
                <c:pt idx="135">
                  <c:v>42339</c:v>
                </c:pt>
                <c:pt idx="136">
                  <c:v>42370</c:v>
                </c:pt>
                <c:pt idx="137">
                  <c:v>42401</c:v>
                </c:pt>
                <c:pt idx="138">
                  <c:v>42430</c:v>
                </c:pt>
                <c:pt idx="139">
                  <c:v>42461</c:v>
                </c:pt>
                <c:pt idx="140">
                  <c:v>42491</c:v>
                </c:pt>
                <c:pt idx="141">
                  <c:v>42522</c:v>
                </c:pt>
                <c:pt idx="142">
                  <c:v>42552</c:v>
                </c:pt>
                <c:pt idx="143">
                  <c:v>42583</c:v>
                </c:pt>
                <c:pt idx="144">
                  <c:v>42614</c:v>
                </c:pt>
                <c:pt idx="145">
                  <c:v>42644</c:v>
                </c:pt>
                <c:pt idx="146">
                  <c:v>42675</c:v>
                </c:pt>
                <c:pt idx="147">
                  <c:v>42705</c:v>
                </c:pt>
                <c:pt idx="148">
                  <c:v>42736</c:v>
                </c:pt>
                <c:pt idx="149">
                  <c:v>42767</c:v>
                </c:pt>
                <c:pt idx="150">
                  <c:v>42795</c:v>
                </c:pt>
                <c:pt idx="151">
                  <c:v>42826</c:v>
                </c:pt>
                <c:pt idx="152">
                  <c:v>42856</c:v>
                </c:pt>
                <c:pt idx="153">
                  <c:v>42887</c:v>
                </c:pt>
                <c:pt idx="154">
                  <c:v>42917</c:v>
                </c:pt>
                <c:pt idx="155">
                  <c:v>42948</c:v>
                </c:pt>
                <c:pt idx="156">
                  <c:v>42979</c:v>
                </c:pt>
                <c:pt idx="157">
                  <c:v>43009</c:v>
                </c:pt>
                <c:pt idx="158">
                  <c:v>43040</c:v>
                </c:pt>
                <c:pt idx="159">
                  <c:v>43070</c:v>
                </c:pt>
                <c:pt idx="160">
                  <c:v>43101</c:v>
                </c:pt>
                <c:pt idx="161">
                  <c:v>43132</c:v>
                </c:pt>
                <c:pt idx="162">
                  <c:v>43160</c:v>
                </c:pt>
                <c:pt idx="163">
                  <c:v>43191</c:v>
                </c:pt>
                <c:pt idx="164">
                  <c:v>43221</c:v>
                </c:pt>
                <c:pt idx="165">
                  <c:v>43252</c:v>
                </c:pt>
                <c:pt idx="166">
                  <c:v>43282</c:v>
                </c:pt>
                <c:pt idx="167">
                  <c:v>43313</c:v>
                </c:pt>
                <c:pt idx="168">
                  <c:v>43344</c:v>
                </c:pt>
                <c:pt idx="169">
                  <c:v>43374</c:v>
                </c:pt>
                <c:pt idx="170">
                  <c:v>43405</c:v>
                </c:pt>
                <c:pt idx="171">
                  <c:v>43435</c:v>
                </c:pt>
                <c:pt idx="172">
                  <c:v>43466</c:v>
                </c:pt>
                <c:pt idx="173">
                  <c:v>43497</c:v>
                </c:pt>
                <c:pt idx="174">
                  <c:v>43525</c:v>
                </c:pt>
                <c:pt idx="175">
                  <c:v>43556</c:v>
                </c:pt>
                <c:pt idx="176">
                  <c:v>43586</c:v>
                </c:pt>
                <c:pt idx="177">
                  <c:v>43617</c:v>
                </c:pt>
                <c:pt idx="178">
                  <c:v>43647</c:v>
                </c:pt>
                <c:pt idx="179">
                  <c:v>43678</c:v>
                </c:pt>
                <c:pt idx="180">
                  <c:v>43709</c:v>
                </c:pt>
                <c:pt idx="181">
                  <c:v>43739</c:v>
                </c:pt>
                <c:pt idx="182">
                  <c:v>43770</c:v>
                </c:pt>
                <c:pt idx="183">
                  <c:v>43800</c:v>
                </c:pt>
                <c:pt idx="184">
                  <c:v>43831</c:v>
                </c:pt>
                <c:pt idx="185">
                  <c:v>43862</c:v>
                </c:pt>
                <c:pt idx="186">
                  <c:v>43891</c:v>
                </c:pt>
                <c:pt idx="187">
                  <c:v>43922</c:v>
                </c:pt>
                <c:pt idx="188">
                  <c:v>43952</c:v>
                </c:pt>
                <c:pt idx="189">
                  <c:v>43983</c:v>
                </c:pt>
                <c:pt idx="190">
                  <c:v>44013</c:v>
                </c:pt>
                <c:pt idx="191">
                  <c:v>44044</c:v>
                </c:pt>
                <c:pt idx="192">
                  <c:v>44075</c:v>
                </c:pt>
                <c:pt idx="193">
                  <c:v>44105</c:v>
                </c:pt>
                <c:pt idx="194">
                  <c:v>44136</c:v>
                </c:pt>
                <c:pt idx="195">
                  <c:v>44166</c:v>
                </c:pt>
                <c:pt idx="196">
                  <c:v>44197</c:v>
                </c:pt>
                <c:pt idx="197">
                  <c:v>44228</c:v>
                </c:pt>
                <c:pt idx="198">
                  <c:v>44256</c:v>
                </c:pt>
                <c:pt idx="199">
                  <c:v>44287</c:v>
                </c:pt>
                <c:pt idx="200">
                  <c:v>44317</c:v>
                </c:pt>
                <c:pt idx="201">
                  <c:v>44348</c:v>
                </c:pt>
                <c:pt idx="202">
                  <c:v>44378</c:v>
                </c:pt>
                <c:pt idx="203">
                  <c:v>44409</c:v>
                </c:pt>
              </c:numCache>
            </c:numRef>
          </c:cat>
          <c:val>
            <c:numRef>
              <c:f>NFP!$C$800:$C$1021</c:f>
              <c:numCache>
                <c:formatCode>0</c:formatCode>
                <c:ptCount val="222"/>
                <c:pt idx="0">
                  <c:v>156</c:v>
                </c:pt>
                <c:pt idx="1">
                  <c:v>354</c:v>
                </c:pt>
                <c:pt idx="2">
                  <c:v>56</c:v>
                </c:pt>
                <c:pt idx="3">
                  <c:v>121</c:v>
                </c:pt>
                <c:pt idx="4">
                  <c:v>150</c:v>
                </c:pt>
                <c:pt idx="5">
                  <c:v>258</c:v>
                </c:pt>
                <c:pt idx="6">
                  <c:v>124</c:v>
                </c:pt>
                <c:pt idx="7">
                  <c:v>362</c:v>
                </c:pt>
                <c:pt idx="8">
                  <c:v>172</c:v>
                </c:pt>
                <c:pt idx="9">
                  <c:v>252</c:v>
                </c:pt>
                <c:pt idx="10">
                  <c:v>354</c:v>
                </c:pt>
                <c:pt idx="11">
                  <c:v>202</c:v>
                </c:pt>
                <c:pt idx="12">
                  <c:v>68</c:v>
                </c:pt>
                <c:pt idx="13">
                  <c:v>89</c:v>
                </c:pt>
                <c:pt idx="14">
                  <c:v>338</c:v>
                </c:pt>
                <c:pt idx="15">
                  <c:v>156</c:v>
                </c:pt>
                <c:pt idx="16">
                  <c:v>280</c:v>
                </c:pt>
                <c:pt idx="17">
                  <c:v>308</c:v>
                </c:pt>
                <c:pt idx="18">
                  <c:v>310</c:v>
                </c:pt>
                <c:pt idx="19">
                  <c:v>158</c:v>
                </c:pt>
                <c:pt idx="20">
                  <c:v>39</c:v>
                </c:pt>
                <c:pt idx="21">
                  <c:v>81</c:v>
                </c:pt>
                <c:pt idx="22">
                  <c:v>195</c:v>
                </c:pt>
                <c:pt idx="23">
                  <c:v>174</c:v>
                </c:pt>
                <c:pt idx="24">
                  <c:v>149</c:v>
                </c:pt>
                <c:pt idx="25">
                  <c:v>9</c:v>
                </c:pt>
                <c:pt idx="26">
                  <c:v>211</c:v>
                </c:pt>
                <c:pt idx="27">
                  <c:v>186</c:v>
                </c:pt>
                <c:pt idx="28">
                  <c:v>228</c:v>
                </c:pt>
                <c:pt idx="29">
                  <c:v>81</c:v>
                </c:pt>
                <c:pt idx="30">
                  <c:v>235</c:v>
                </c:pt>
                <c:pt idx="31">
                  <c:v>49</c:v>
                </c:pt>
                <c:pt idx="32">
                  <c:v>151</c:v>
                </c:pt>
                <c:pt idx="33">
                  <c:v>76</c:v>
                </c:pt>
                <c:pt idx="34">
                  <c:v>-31</c:v>
                </c:pt>
                <c:pt idx="35">
                  <c:v>-23</c:v>
                </c:pt>
                <c:pt idx="36">
                  <c:v>80</c:v>
                </c:pt>
                <c:pt idx="37">
                  <c:v>79</c:v>
                </c:pt>
                <c:pt idx="38">
                  <c:v>110</c:v>
                </c:pt>
                <c:pt idx="39">
                  <c:v>108</c:v>
                </c:pt>
                <c:pt idx="40">
                  <c:v>11</c:v>
                </c:pt>
                <c:pt idx="41">
                  <c:v>-79</c:v>
                </c:pt>
                <c:pt idx="42">
                  <c:v>-49</c:v>
                </c:pt>
                <c:pt idx="43">
                  <c:v>-240</c:v>
                </c:pt>
                <c:pt idx="44">
                  <c:v>-177</c:v>
                </c:pt>
                <c:pt idx="45">
                  <c:v>-171</c:v>
                </c:pt>
                <c:pt idx="46">
                  <c:v>-196</c:v>
                </c:pt>
                <c:pt idx="47">
                  <c:v>-278</c:v>
                </c:pt>
                <c:pt idx="48">
                  <c:v>-460</c:v>
                </c:pt>
                <c:pt idx="49">
                  <c:v>-481</c:v>
                </c:pt>
                <c:pt idx="50">
                  <c:v>-727</c:v>
                </c:pt>
                <c:pt idx="51">
                  <c:v>-706</c:v>
                </c:pt>
                <c:pt idx="52">
                  <c:v>-784</c:v>
                </c:pt>
                <c:pt idx="53">
                  <c:v>-743</c:v>
                </c:pt>
                <c:pt idx="54">
                  <c:v>-800</c:v>
                </c:pt>
                <c:pt idx="55">
                  <c:v>-695</c:v>
                </c:pt>
                <c:pt idx="56">
                  <c:v>-342</c:v>
                </c:pt>
                <c:pt idx="57">
                  <c:v>-467</c:v>
                </c:pt>
                <c:pt idx="58">
                  <c:v>-340</c:v>
                </c:pt>
                <c:pt idx="59">
                  <c:v>-183</c:v>
                </c:pt>
                <c:pt idx="60">
                  <c:v>-241</c:v>
                </c:pt>
                <c:pt idx="61">
                  <c:v>-199</c:v>
                </c:pt>
                <c:pt idx="62">
                  <c:v>12</c:v>
                </c:pt>
                <c:pt idx="63">
                  <c:v>-269</c:v>
                </c:pt>
                <c:pt idx="64">
                  <c:v>2</c:v>
                </c:pt>
                <c:pt idx="65">
                  <c:v>-92</c:v>
                </c:pt>
                <c:pt idx="66">
                  <c:v>181</c:v>
                </c:pt>
                <c:pt idx="67">
                  <c:v>231</c:v>
                </c:pt>
                <c:pt idx="68">
                  <c:v>540</c:v>
                </c:pt>
                <c:pt idx="69">
                  <c:v>-139</c:v>
                </c:pt>
                <c:pt idx="70">
                  <c:v>-84</c:v>
                </c:pt>
                <c:pt idx="71">
                  <c:v>-5</c:v>
                </c:pt>
                <c:pt idx="72">
                  <c:v>-65</c:v>
                </c:pt>
                <c:pt idx="73">
                  <c:v>268</c:v>
                </c:pt>
                <c:pt idx="74">
                  <c:v>125</c:v>
                </c:pt>
                <c:pt idx="75">
                  <c:v>72</c:v>
                </c:pt>
                <c:pt idx="76">
                  <c:v>19</c:v>
                </c:pt>
                <c:pt idx="77">
                  <c:v>212</c:v>
                </c:pt>
                <c:pt idx="78">
                  <c:v>235</c:v>
                </c:pt>
                <c:pt idx="79">
                  <c:v>314</c:v>
                </c:pt>
                <c:pt idx="80">
                  <c:v>101</c:v>
                </c:pt>
                <c:pt idx="81">
                  <c:v>236</c:v>
                </c:pt>
                <c:pt idx="82">
                  <c:v>60</c:v>
                </c:pt>
                <c:pt idx="83">
                  <c:v>126</c:v>
                </c:pt>
                <c:pt idx="84">
                  <c:v>233</c:v>
                </c:pt>
                <c:pt idx="85">
                  <c:v>204</c:v>
                </c:pt>
                <c:pt idx="86">
                  <c:v>132</c:v>
                </c:pt>
                <c:pt idx="87">
                  <c:v>202</c:v>
                </c:pt>
                <c:pt idx="88">
                  <c:v>354</c:v>
                </c:pt>
                <c:pt idx="89">
                  <c:v>262</c:v>
                </c:pt>
                <c:pt idx="90">
                  <c:v>240</c:v>
                </c:pt>
                <c:pt idx="91">
                  <c:v>82</c:v>
                </c:pt>
                <c:pt idx="92">
                  <c:v>100</c:v>
                </c:pt>
                <c:pt idx="93">
                  <c:v>73</c:v>
                </c:pt>
                <c:pt idx="94">
                  <c:v>152</c:v>
                </c:pt>
                <c:pt idx="95">
                  <c:v>172</c:v>
                </c:pt>
                <c:pt idx="96">
                  <c:v>187</c:v>
                </c:pt>
                <c:pt idx="97">
                  <c:v>159</c:v>
                </c:pt>
                <c:pt idx="98">
                  <c:v>156</c:v>
                </c:pt>
                <c:pt idx="99">
                  <c:v>239</c:v>
                </c:pt>
                <c:pt idx="100">
                  <c:v>191</c:v>
                </c:pt>
                <c:pt idx="101">
                  <c:v>278</c:v>
                </c:pt>
                <c:pt idx="102">
                  <c:v>139</c:v>
                </c:pt>
                <c:pt idx="103">
                  <c:v>191</c:v>
                </c:pt>
                <c:pt idx="104">
                  <c:v>222</c:v>
                </c:pt>
                <c:pt idx="105">
                  <c:v>181</c:v>
                </c:pt>
                <c:pt idx="106">
                  <c:v>112</c:v>
                </c:pt>
                <c:pt idx="107">
                  <c:v>242</c:v>
                </c:pt>
                <c:pt idx="108">
                  <c:v>187</c:v>
                </c:pt>
                <c:pt idx="109">
                  <c:v>225</c:v>
                </c:pt>
                <c:pt idx="110">
                  <c:v>264</c:v>
                </c:pt>
                <c:pt idx="111">
                  <c:v>69</c:v>
                </c:pt>
                <c:pt idx="112">
                  <c:v>175</c:v>
                </c:pt>
                <c:pt idx="113">
                  <c:v>166</c:v>
                </c:pt>
                <c:pt idx="114">
                  <c:v>254</c:v>
                </c:pt>
                <c:pt idx="115">
                  <c:v>325</c:v>
                </c:pt>
                <c:pt idx="116">
                  <c:v>218</c:v>
                </c:pt>
                <c:pt idx="117">
                  <c:v>326</c:v>
                </c:pt>
                <c:pt idx="118">
                  <c:v>232</c:v>
                </c:pt>
                <c:pt idx="119">
                  <c:v>188</c:v>
                </c:pt>
                <c:pt idx="120">
                  <c:v>309</c:v>
                </c:pt>
                <c:pt idx="121">
                  <c:v>252</c:v>
                </c:pt>
                <c:pt idx="122">
                  <c:v>291</c:v>
                </c:pt>
                <c:pt idx="123">
                  <c:v>268</c:v>
                </c:pt>
                <c:pt idx="124">
                  <c:v>191</c:v>
                </c:pt>
                <c:pt idx="125">
                  <c:v>271</c:v>
                </c:pt>
                <c:pt idx="126">
                  <c:v>71</c:v>
                </c:pt>
                <c:pt idx="127">
                  <c:v>284</c:v>
                </c:pt>
                <c:pt idx="128">
                  <c:v>331</c:v>
                </c:pt>
                <c:pt idx="129">
                  <c:v>174</c:v>
                </c:pt>
                <c:pt idx="130">
                  <c:v>302</c:v>
                </c:pt>
                <c:pt idx="131">
                  <c:v>125</c:v>
                </c:pt>
                <c:pt idx="132">
                  <c:v>155</c:v>
                </c:pt>
                <c:pt idx="133">
                  <c:v>306</c:v>
                </c:pt>
                <c:pt idx="134">
                  <c:v>237</c:v>
                </c:pt>
                <c:pt idx="135">
                  <c:v>273</c:v>
                </c:pt>
                <c:pt idx="136">
                  <c:v>108</c:v>
                </c:pt>
                <c:pt idx="137">
                  <c:v>212</c:v>
                </c:pt>
                <c:pt idx="138">
                  <c:v>237</c:v>
                </c:pt>
                <c:pt idx="139">
                  <c:v>197</c:v>
                </c:pt>
                <c:pt idx="140">
                  <c:v>41</c:v>
                </c:pt>
                <c:pt idx="141">
                  <c:v>258</c:v>
                </c:pt>
                <c:pt idx="142">
                  <c:v>371</c:v>
                </c:pt>
                <c:pt idx="143">
                  <c:v>143</c:v>
                </c:pt>
                <c:pt idx="144">
                  <c:v>289</c:v>
                </c:pt>
                <c:pt idx="145">
                  <c:v>118</c:v>
                </c:pt>
                <c:pt idx="146">
                  <c:v>130</c:v>
                </c:pt>
                <c:pt idx="147">
                  <c:v>214</c:v>
                </c:pt>
                <c:pt idx="148">
                  <c:v>197</c:v>
                </c:pt>
                <c:pt idx="149">
                  <c:v>183</c:v>
                </c:pt>
                <c:pt idx="150">
                  <c:v>139</c:v>
                </c:pt>
                <c:pt idx="151">
                  <c:v>220</c:v>
                </c:pt>
                <c:pt idx="152">
                  <c:v>141</c:v>
                </c:pt>
                <c:pt idx="153">
                  <c:v>211</c:v>
                </c:pt>
                <c:pt idx="154">
                  <c:v>228</c:v>
                </c:pt>
                <c:pt idx="155">
                  <c:v>190</c:v>
                </c:pt>
                <c:pt idx="156">
                  <c:v>42</c:v>
                </c:pt>
                <c:pt idx="157">
                  <c:v>249</c:v>
                </c:pt>
                <c:pt idx="158">
                  <c:v>196</c:v>
                </c:pt>
                <c:pt idx="159">
                  <c:v>179</c:v>
                </c:pt>
                <c:pt idx="160">
                  <c:v>81</c:v>
                </c:pt>
                <c:pt idx="161">
                  <c:v>378</c:v>
                </c:pt>
                <c:pt idx="162">
                  <c:v>195</c:v>
                </c:pt>
                <c:pt idx="163">
                  <c:v>153</c:v>
                </c:pt>
                <c:pt idx="164">
                  <c:v>270</c:v>
                </c:pt>
                <c:pt idx="165">
                  <c:v>214</c:v>
                </c:pt>
                <c:pt idx="166">
                  <c:v>149</c:v>
                </c:pt>
                <c:pt idx="167">
                  <c:v>229</c:v>
                </c:pt>
                <c:pt idx="168">
                  <c:v>105</c:v>
                </c:pt>
                <c:pt idx="169">
                  <c:v>212</c:v>
                </c:pt>
                <c:pt idx="170">
                  <c:v>92</c:v>
                </c:pt>
                <c:pt idx="171">
                  <c:v>240</c:v>
                </c:pt>
                <c:pt idx="172">
                  <c:v>237</c:v>
                </c:pt>
                <c:pt idx="173">
                  <c:v>-50</c:v>
                </c:pt>
                <c:pt idx="174">
                  <c:v>168</c:v>
                </c:pt>
                <c:pt idx="175">
                  <c:v>219</c:v>
                </c:pt>
                <c:pt idx="176">
                  <c:v>63</c:v>
                </c:pt>
                <c:pt idx="177">
                  <c:v>175</c:v>
                </c:pt>
                <c:pt idx="178">
                  <c:v>193</c:v>
                </c:pt>
                <c:pt idx="179">
                  <c:v>195</c:v>
                </c:pt>
                <c:pt idx="180">
                  <c:v>221</c:v>
                </c:pt>
                <c:pt idx="181">
                  <c:v>195</c:v>
                </c:pt>
                <c:pt idx="182">
                  <c:v>234</c:v>
                </c:pt>
                <c:pt idx="183">
                  <c:v>161</c:v>
                </c:pt>
                <c:pt idx="184">
                  <c:v>315</c:v>
                </c:pt>
                <c:pt idx="185">
                  <c:v>289</c:v>
                </c:pt>
                <c:pt idx="186">
                  <c:v>-1683</c:v>
                </c:pt>
                <c:pt idx="187">
                  <c:v>-20679</c:v>
                </c:pt>
                <c:pt idx="188">
                  <c:v>2833</c:v>
                </c:pt>
                <c:pt idx="189">
                  <c:v>4846</c:v>
                </c:pt>
                <c:pt idx="190">
                  <c:v>1726</c:v>
                </c:pt>
                <c:pt idx="191">
                  <c:v>1583</c:v>
                </c:pt>
                <c:pt idx="192">
                  <c:v>716</c:v>
                </c:pt>
                <c:pt idx="193">
                  <c:v>680</c:v>
                </c:pt>
                <c:pt idx="194">
                  <c:v>264</c:v>
                </c:pt>
                <c:pt idx="195">
                  <c:v>-306</c:v>
                </c:pt>
                <c:pt idx="196">
                  <c:v>233</c:v>
                </c:pt>
                <c:pt idx="197">
                  <c:v>536</c:v>
                </c:pt>
                <c:pt idx="198">
                  <c:v>785</c:v>
                </c:pt>
                <c:pt idx="199">
                  <c:v>269</c:v>
                </c:pt>
                <c:pt idx="200">
                  <c:v>614</c:v>
                </c:pt>
                <c:pt idx="201">
                  <c:v>962</c:v>
                </c:pt>
                <c:pt idx="202">
                  <c:v>1091</c:v>
                </c:pt>
                <c:pt idx="203">
                  <c:v>483</c:v>
                </c:pt>
              </c:numCache>
            </c:numRef>
          </c:val>
          <c:smooth val="0"/>
          <c:extLst>
            <c:ext xmlns:c16="http://schemas.microsoft.com/office/drawing/2014/chart" uri="{C3380CC4-5D6E-409C-BE32-E72D297353CC}">
              <c16:uniqueId val="{00000000-04FE-C140-9339-B2DB860C2183}"/>
            </c:ext>
          </c:extLst>
        </c:ser>
        <c:dLbls>
          <c:showLegendKey val="0"/>
          <c:showVal val="0"/>
          <c:showCatName val="0"/>
          <c:showSerName val="0"/>
          <c:showPercent val="0"/>
          <c:showBubbleSize val="0"/>
        </c:dLbls>
        <c:smooth val="0"/>
        <c:axId val="1034263072"/>
        <c:axId val="1034263464"/>
      </c:lineChart>
      <c:dateAx>
        <c:axId val="1034263072"/>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464"/>
        <c:crosses val="autoZero"/>
        <c:auto val="0"/>
        <c:lblOffset val="100"/>
        <c:baseTimeUnit val="months"/>
      </c:dateAx>
      <c:valAx>
        <c:axId val="10342634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0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since 1939</a:t>
            </a:r>
            <a:endParaRPr lang="en-GB" b="1"/>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NFP!$A$13:$A$1021</c:f>
              <c:numCache>
                <c:formatCode>yyyy\-mm\-dd</c:formatCode>
                <c:ptCount val="1009"/>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numCache>
            </c:numRef>
          </c:cat>
          <c:val>
            <c:numRef>
              <c:f>NFP!$C$13:$C$1021</c:f>
              <c:numCache>
                <c:formatCode>0</c:formatCode>
                <c:ptCount val="1009"/>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197</c:v>
                </c:pt>
                <c:pt idx="936">
                  <c:v>183</c:v>
                </c:pt>
                <c:pt idx="937">
                  <c:v>139</c:v>
                </c:pt>
                <c:pt idx="938">
                  <c:v>220</c:v>
                </c:pt>
                <c:pt idx="939">
                  <c:v>141</c:v>
                </c:pt>
                <c:pt idx="940">
                  <c:v>211</c:v>
                </c:pt>
                <c:pt idx="941">
                  <c:v>228</c:v>
                </c:pt>
                <c:pt idx="942">
                  <c:v>190</c:v>
                </c:pt>
                <c:pt idx="943">
                  <c:v>42</c:v>
                </c:pt>
                <c:pt idx="944">
                  <c:v>249</c:v>
                </c:pt>
                <c:pt idx="945">
                  <c:v>196</c:v>
                </c:pt>
                <c:pt idx="946">
                  <c:v>179</c:v>
                </c:pt>
                <c:pt idx="947">
                  <c:v>81</c:v>
                </c:pt>
                <c:pt idx="948">
                  <c:v>378</c:v>
                </c:pt>
                <c:pt idx="949">
                  <c:v>195</c:v>
                </c:pt>
                <c:pt idx="950">
                  <c:v>153</c:v>
                </c:pt>
                <c:pt idx="951">
                  <c:v>270</c:v>
                </c:pt>
                <c:pt idx="952">
                  <c:v>214</c:v>
                </c:pt>
                <c:pt idx="953">
                  <c:v>149</c:v>
                </c:pt>
                <c:pt idx="954">
                  <c:v>229</c:v>
                </c:pt>
                <c:pt idx="955">
                  <c:v>105</c:v>
                </c:pt>
                <c:pt idx="956">
                  <c:v>212</c:v>
                </c:pt>
                <c:pt idx="957">
                  <c:v>92</c:v>
                </c:pt>
                <c:pt idx="958">
                  <c:v>240</c:v>
                </c:pt>
                <c:pt idx="959">
                  <c:v>237</c:v>
                </c:pt>
                <c:pt idx="960">
                  <c:v>-50</c:v>
                </c:pt>
                <c:pt idx="961">
                  <c:v>168</c:v>
                </c:pt>
                <c:pt idx="962">
                  <c:v>219</c:v>
                </c:pt>
                <c:pt idx="963">
                  <c:v>63</c:v>
                </c:pt>
                <c:pt idx="964">
                  <c:v>175</c:v>
                </c:pt>
                <c:pt idx="965">
                  <c:v>193</c:v>
                </c:pt>
                <c:pt idx="966">
                  <c:v>195</c:v>
                </c:pt>
                <c:pt idx="967">
                  <c:v>221</c:v>
                </c:pt>
                <c:pt idx="968">
                  <c:v>195</c:v>
                </c:pt>
                <c:pt idx="969">
                  <c:v>234</c:v>
                </c:pt>
                <c:pt idx="970">
                  <c:v>161</c:v>
                </c:pt>
                <c:pt idx="971">
                  <c:v>315</c:v>
                </c:pt>
                <c:pt idx="972">
                  <c:v>289</c:v>
                </c:pt>
                <c:pt idx="973">
                  <c:v>-1683</c:v>
                </c:pt>
                <c:pt idx="974">
                  <c:v>-20679</c:v>
                </c:pt>
                <c:pt idx="975">
                  <c:v>2833</c:v>
                </c:pt>
                <c:pt idx="976">
                  <c:v>4846</c:v>
                </c:pt>
                <c:pt idx="977">
                  <c:v>1726</c:v>
                </c:pt>
                <c:pt idx="978">
                  <c:v>1583</c:v>
                </c:pt>
                <c:pt idx="979">
                  <c:v>716</c:v>
                </c:pt>
                <c:pt idx="980">
                  <c:v>680</c:v>
                </c:pt>
                <c:pt idx="981">
                  <c:v>264</c:v>
                </c:pt>
                <c:pt idx="982">
                  <c:v>-306</c:v>
                </c:pt>
                <c:pt idx="983">
                  <c:v>233</c:v>
                </c:pt>
                <c:pt idx="984">
                  <c:v>536</c:v>
                </c:pt>
                <c:pt idx="985">
                  <c:v>785</c:v>
                </c:pt>
                <c:pt idx="986">
                  <c:v>269</c:v>
                </c:pt>
                <c:pt idx="987">
                  <c:v>614</c:v>
                </c:pt>
                <c:pt idx="988">
                  <c:v>962</c:v>
                </c:pt>
                <c:pt idx="989">
                  <c:v>1091</c:v>
                </c:pt>
                <c:pt idx="990">
                  <c:v>483</c:v>
                </c:pt>
              </c:numCache>
            </c:numRef>
          </c:val>
          <c:extLst>
            <c:ext xmlns:c16="http://schemas.microsoft.com/office/drawing/2014/chart" uri="{C3380CC4-5D6E-409C-BE32-E72D297353CC}">
              <c16:uniqueId val="{00000000-8773-6E49-AC54-6A50AC23A36E}"/>
            </c:ext>
          </c:extLst>
        </c:ser>
        <c:dLbls>
          <c:showLegendKey val="0"/>
          <c:showVal val="0"/>
          <c:showCatName val="0"/>
          <c:showSerName val="0"/>
          <c:showPercent val="0"/>
          <c:showBubbleSize val="0"/>
        </c:dLbls>
        <c:gapWidth val="150"/>
        <c:axId val="827929136"/>
        <c:axId val="827929792"/>
      </c:barChart>
      <c:dateAx>
        <c:axId val="827929136"/>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NFP!$A$13:$A$1021</c:f>
              <c:numCache>
                <c:formatCode>yyyy\-mm\-dd</c:formatCode>
                <c:ptCount val="1009"/>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numCache>
            </c:numRef>
          </c:cat>
          <c:val>
            <c:numRef>
              <c:f>NFP!$C$13:$C$1021</c:f>
              <c:numCache>
                <c:formatCode>0</c:formatCode>
                <c:ptCount val="1009"/>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197</c:v>
                </c:pt>
                <c:pt idx="936">
                  <c:v>183</c:v>
                </c:pt>
                <c:pt idx="937">
                  <c:v>139</c:v>
                </c:pt>
                <c:pt idx="938">
                  <c:v>220</c:v>
                </c:pt>
                <c:pt idx="939">
                  <c:v>141</c:v>
                </c:pt>
                <c:pt idx="940">
                  <c:v>211</c:v>
                </c:pt>
                <c:pt idx="941">
                  <c:v>228</c:v>
                </c:pt>
                <c:pt idx="942">
                  <c:v>190</c:v>
                </c:pt>
                <c:pt idx="943">
                  <c:v>42</c:v>
                </c:pt>
                <c:pt idx="944">
                  <c:v>249</c:v>
                </c:pt>
                <c:pt idx="945">
                  <c:v>196</c:v>
                </c:pt>
                <c:pt idx="946">
                  <c:v>179</c:v>
                </c:pt>
                <c:pt idx="947">
                  <c:v>81</c:v>
                </c:pt>
                <c:pt idx="948">
                  <c:v>378</c:v>
                </c:pt>
                <c:pt idx="949">
                  <c:v>195</c:v>
                </c:pt>
                <c:pt idx="950">
                  <c:v>153</c:v>
                </c:pt>
                <c:pt idx="951">
                  <c:v>270</c:v>
                </c:pt>
                <c:pt idx="952">
                  <c:v>214</c:v>
                </c:pt>
                <c:pt idx="953">
                  <c:v>149</c:v>
                </c:pt>
                <c:pt idx="954">
                  <c:v>229</c:v>
                </c:pt>
                <c:pt idx="955">
                  <c:v>105</c:v>
                </c:pt>
                <c:pt idx="956">
                  <c:v>212</c:v>
                </c:pt>
                <c:pt idx="957">
                  <c:v>92</c:v>
                </c:pt>
                <c:pt idx="958">
                  <c:v>240</c:v>
                </c:pt>
                <c:pt idx="959">
                  <c:v>237</c:v>
                </c:pt>
                <c:pt idx="960">
                  <c:v>-50</c:v>
                </c:pt>
                <c:pt idx="961">
                  <c:v>168</c:v>
                </c:pt>
                <c:pt idx="962">
                  <c:v>219</c:v>
                </c:pt>
                <c:pt idx="963">
                  <c:v>63</c:v>
                </c:pt>
                <c:pt idx="964">
                  <c:v>175</c:v>
                </c:pt>
                <c:pt idx="965">
                  <c:v>193</c:v>
                </c:pt>
                <c:pt idx="966">
                  <c:v>195</c:v>
                </c:pt>
                <c:pt idx="967">
                  <c:v>221</c:v>
                </c:pt>
                <c:pt idx="968">
                  <c:v>195</c:v>
                </c:pt>
                <c:pt idx="969">
                  <c:v>234</c:v>
                </c:pt>
                <c:pt idx="970">
                  <c:v>161</c:v>
                </c:pt>
                <c:pt idx="971">
                  <c:v>315</c:v>
                </c:pt>
                <c:pt idx="972">
                  <c:v>289</c:v>
                </c:pt>
                <c:pt idx="973">
                  <c:v>-1683</c:v>
                </c:pt>
                <c:pt idx="974">
                  <c:v>-20679</c:v>
                </c:pt>
                <c:pt idx="975">
                  <c:v>2833</c:v>
                </c:pt>
                <c:pt idx="976">
                  <c:v>4846</c:v>
                </c:pt>
                <c:pt idx="977">
                  <c:v>1726</c:v>
                </c:pt>
                <c:pt idx="978">
                  <c:v>1583</c:v>
                </c:pt>
                <c:pt idx="979">
                  <c:v>716</c:v>
                </c:pt>
                <c:pt idx="980">
                  <c:v>680</c:v>
                </c:pt>
                <c:pt idx="981">
                  <c:v>264</c:v>
                </c:pt>
                <c:pt idx="982">
                  <c:v>-306</c:v>
                </c:pt>
                <c:pt idx="983">
                  <c:v>233</c:v>
                </c:pt>
                <c:pt idx="984">
                  <c:v>536</c:v>
                </c:pt>
                <c:pt idx="985">
                  <c:v>785</c:v>
                </c:pt>
                <c:pt idx="986">
                  <c:v>269</c:v>
                </c:pt>
                <c:pt idx="987">
                  <c:v>614</c:v>
                </c:pt>
                <c:pt idx="988">
                  <c:v>962</c:v>
                </c:pt>
                <c:pt idx="989">
                  <c:v>1091</c:v>
                </c:pt>
                <c:pt idx="990">
                  <c:v>483</c:v>
                </c:pt>
              </c:numCache>
            </c:numRef>
          </c:val>
          <c:extLst>
            <c:ext xmlns:c16="http://schemas.microsoft.com/office/drawing/2014/chart" uri="{C3380CC4-5D6E-409C-BE32-E72D297353CC}">
              <c16:uniqueId val="{00000000-1C36-874B-A0AC-848715303FC0}"/>
            </c:ext>
          </c:extLst>
        </c:ser>
        <c:dLbls>
          <c:showLegendKey val="0"/>
          <c:showVal val="0"/>
          <c:showCatName val="0"/>
          <c:showSerName val="0"/>
          <c:showPercent val="0"/>
          <c:showBubbleSize val="0"/>
        </c:dLbls>
        <c:gapWidth val="150"/>
        <c:axId val="827929136"/>
        <c:axId val="827929792"/>
      </c:barChart>
      <c:dateAx>
        <c:axId val="827929136"/>
        <c:scaling>
          <c:orientation val="minMax"/>
          <c:min val="3652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600"/>
          <c:min val="-8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Rate</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numCache>
            </c:numRef>
          </c:cat>
          <c:val>
            <c:numRef>
              <c:f>Database!$D$110:$D$999</c:f>
              <c:numCache>
                <c:formatCode>General</c:formatCode>
                <c:ptCount val="890"/>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4.5</c:v>
                </c:pt>
                <c:pt idx="832">
                  <c:v>4.4000000000000004</c:v>
                </c:pt>
                <c:pt idx="833">
                  <c:v>4.3</c:v>
                </c:pt>
                <c:pt idx="834">
                  <c:v>4.3</c:v>
                </c:pt>
                <c:pt idx="835">
                  <c:v>4.4000000000000004</c:v>
                </c:pt>
                <c:pt idx="836">
                  <c:v>4.2</c:v>
                </c:pt>
                <c:pt idx="837">
                  <c:v>4.0999999999999996</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3.7</c:v>
                </c:pt>
                <c:pt idx="856">
                  <c:v>3.7</c:v>
                </c:pt>
                <c:pt idx="857">
                  <c:v>3.6</c:v>
                </c:pt>
                <c:pt idx="858">
                  <c:v>3.6</c:v>
                </c:pt>
                <c:pt idx="859">
                  <c:v>3.7</c:v>
                </c:pt>
                <c:pt idx="860">
                  <c:v>3.5</c:v>
                </c:pt>
                <c:pt idx="861">
                  <c:v>3.6</c:v>
                </c:pt>
                <c:pt idx="862">
                  <c:v>3.6</c:v>
                </c:pt>
                <c:pt idx="863">
                  <c:v>3.6</c:v>
                </c:pt>
                <c:pt idx="864">
                  <c:v>3.5</c:v>
                </c:pt>
                <c:pt idx="865">
                  <c:v>3.5</c:v>
                </c:pt>
                <c:pt idx="866">
                  <c:v>4.4000000000000004</c:v>
                </c:pt>
                <c:pt idx="867">
                  <c:v>14.8</c:v>
                </c:pt>
                <c:pt idx="868">
                  <c:v>13.3</c:v>
                </c:pt>
                <c:pt idx="869">
                  <c:v>11.1</c:v>
                </c:pt>
                <c:pt idx="870">
                  <c:v>10.199999999999999</c:v>
                </c:pt>
                <c:pt idx="871">
                  <c:v>8.4</c:v>
                </c:pt>
                <c:pt idx="872">
                  <c:v>7.8</c:v>
                </c:pt>
                <c:pt idx="873">
                  <c:v>6.9</c:v>
                </c:pt>
                <c:pt idx="874">
                  <c:v>6.7</c:v>
                </c:pt>
                <c:pt idx="875">
                  <c:v>6.7</c:v>
                </c:pt>
                <c:pt idx="876">
                  <c:v>6.3</c:v>
                </c:pt>
                <c:pt idx="877">
                  <c:v>6.2</c:v>
                </c:pt>
                <c:pt idx="878">
                  <c:v>6</c:v>
                </c:pt>
                <c:pt idx="879">
                  <c:v>6.1</c:v>
                </c:pt>
                <c:pt idx="880">
                  <c:v>5.8</c:v>
                </c:pt>
                <c:pt idx="881">
                  <c:v>5.9</c:v>
                </c:pt>
                <c:pt idx="882">
                  <c:v>5.4</c:v>
                </c:pt>
                <c:pt idx="883">
                  <c:v>5.2</c:v>
                </c:pt>
                <c:pt idx="884">
                  <c:v>4.8</c:v>
                </c:pt>
                <c:pt idx="885">
                  <c:v>4.5999999999999996</c:v>
                </c:pt>
                <c:pt idx="886">
                  <c:v>4.2</c:v>
                </c:pt>
              </c:numCache>
            </c:numRef>
          </c:val>
          <c:smooth val="0"/>
          <c:extLst>
            <c:ext xmlns:c16="http://schemas.microsoft.com/office/drawing/2014/chart" uri="{C3380CC4-5D6E-409C-BE32-E72D297353CC}">
              <c16:uniqueId val="{00000000-CE24-A049-89A9-C1DEB6EACAF5}"/>
            </c:ext>
          </c:extLst>
        </c:ser>
        <c:dLbls>
          <c:showLegendKey val="0"/>
          <c:showVal val="0"/>
          <c:showCatName val="0"/>
          <c:showSerName val="0"/>
          <c:showPercent val="0"/>
          <c:showBubbleSize val="0"/>
        </c:dLbls>
        <c:smooth val="0"/>
        <c:axId val="1052641016"/>
        <c:axId val="971633608"/>
      </c:lineChart>
      <c:dateAx>
        <c:axId val="1052641016"/>
        <c:scaling>
          <c:orientation val="minMax"/>
          <c:max val="44682"/>
          <c:min val="18019"/>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71633608"/>
        <c:crosses val="autoZero"/>
        <c:auto val="0"/>
        <c:lblOffset val="100"/>
        <c:baseTimeUnit val="months"/>
        <c:majorUnit val="2"/>
        <c:majorTimeUnit val="years"/>
      </c:dateAx>
      <c:valAx>
        <c:axId val="971633608"/>
        <c:scaling>
          <c:orientation val="minMax"/>
          <c:max val="16"/>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52641016"/>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numCache>
            </c:numRef>
          </c:cat>
          <c:val>
            <c:numRef>
              <c:f>Database!$B$110:$B$999</c:f>
              <c:numCache>
                <c:formatCode>General</c:formatCode>
                <c:ptCount val="890"/>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62.8</c:v>
                </c:pt>
                <c:pt idx="830">
                  <c:v>63</c:v>
                </c:pt>
                <c:pt idx="831">
                  <c:v>63</c:v>
                </c:pt>
                <c:pt idx="832">
                  <c:v>62.8</c:v>
                </c:pt>
                <c:pt idx="833">
                  <c:v>62.8</c:v>
                </c:pt>
                <c:pt idx="834">
                  <c:v>62.9</c:v>
                </c:pt>
                <c:pt idx="835">
                  <c:v>62.9</c:v>
                </c:pt>
                <c:pt idx="836">
                  <c:v>63</c:v>
                </c:pt>
                <c:pt idx="837">
                  <c:v>62.7</c:v>
                </c:pt>
                <c:pt idx="838">
                  <c:v>62.7</c:v>
                </c:pt>
                <c:pt idx="839">
                  <c:v>62.7</c:v>
                </c:pt>
                <c:pt idx="840">
                  <c:v>62.7</c:v>
                </c:pt>
                <c:pt idx="841">
                  <c:v>63</c:v>
                </c:pt>
                <c:pt idx="842">
                  <c:v>62.9</c:v>
                </c:pt>
                <c:pt idx="843">
                  <c:v>62.9</c:v>
                </c:pt>
                <c:pt idx="844">
                  <c:v>62.9</c:v>
                </c:pt>
                <c:pt idx="845">
                  <c:v>63</c:v>
                </c:pt>
                <c:pt idx="846">
                  <c:v>63</c:v>
                </c:pt>
                <c:pt idx="847">
                  <c:v>62.7</c:v>
                </c:pt>
                <c:pt idx="848">
                  <c:v>62.7</c:v>
                </c:pt>
                <c:pt idx="849">
                  <c:v>62.8</c:v>
                </c:pt>
                <c:pt idx="850">
                  <c:v>62.9</c:v>
                </c:pt>
                <c:pt idx="851">
                  <c:v>63</c:v>
                </c:pt>
                <c:pt idx="852">
                  <c:v>63.1</c:v>
                </c:pt>
                <c:pt idx="853">
                  <c:v>63.1</c:v>
                </c:pt>
                <c:pt idx="854">
                  <c:v>63.1</c:v>
                </c:pt>
                <c:pt idx="855">
                  <c:v>62.9</c:v>
                </c:pt>
                <c:pt idx="856">
                  <c:v>62.9</c:v>
                </c:pt>
                <c:pt idx="857">
                  <c:v>62.9</c:v>
                </c:pt>
                <c:pt idx="858">
                  <c:v>63.1</c:v>
                </c:pt>
                <c:pt idx="859">
                  <c:v>63.2</c:v>
                </c:pt>
                <c:pt idx="860">
                  <c:v>63.1</c:v>
                </c:pt>
                <c:pt idx="861">
                  <c:v>63.2</c:v>
                </c:pt>
                <c:pt idx="862">
                  <c:v>63.2</c:v>
                </c:pt>
                <c:pt idx="863">
                  <c:v>63.3</c:v>
                </c:pt>
                <c:pt idx="864">
                  <c:v>63.4</c:v>
                </c:pt>
                <c:pt idx="865">
                  <c:v>63.3</c:v>
                </c:pt>
                <c:pt idx="866">
                  <c:v>62.6</c:v>
                </c:pt>
                <c:pt idx="867">
                  <c:v>60.2</c:v>
                </c:pt>
                <c:pt idx="868">
                  <c:v>60.8</c:v>
                </c:pt>
                <c:pt idx="869">
                  <c:v>61.4</c:v>
                </c:pt>
                <c:pt idx="870">
                  <c:v>61.5</c:v>
                </c:pt>
                <c:pt idx="871">
                  <c:v>61.7</c:v>
                </c:pt>
                <c:pt idx="872">
                  <c:v>61.4</c:v>
                </c:pt>
                <c:pt idx="873">
                  <c:v>61.6</c:v>
                </c:pt>
                <c:pt idx="874">
                  <c:v>61.5</c:v>
                </c:pt>
                <c:pt idx="875">
                  <c:v>61.5</c:v>
                </c:pt>
                <c:pt idx="876">
                  <c:v>61.4</c:v>
                </c:pt>
                <c:pt idx="877">
                  <c:v>61.4</c:v>
                </c:pt>
                <c:pt idx="878">
                  <c:v>61.5</c:v>
                </c:pt>
                <c:pt idx="879">
                  <c:v>61.7</c:v>
                </c:pt>
                <c:pt idx="880">
                  <c:v>61.6</c:v>
                </c:pt>
                <c:pt idx="881">
                  <c:v>61.6</c:v>
                </c:pt>
                <c:pt idx="882">
                  <c:v>61.7</c:v>
                </c:pt>
                <c:pt idx="883">
                  <c:v>61.7</c:v>
                </c:pt>
                <c:pt idx="884">
                  <c:v>61.6</c:v>
                </c:pt>
                <c:pt idx="885">
                  <c:v>61.6</c:v>
                </c:pt>
                <c:pt idx="886">
                  <c:v>61.8</c:v>
                </c:pt>
              </c:numCache>
            </c:numRef>
          </c:val>
          <c:smooth val="0"/>
          <c:extLst>
            <c:ext xmlns:c16="http://schemas.microsoft.com/office/drawing/2014/chart" uri="{C3380CC4-5D6E-409C-BE32-E72D297353CC}">
              <c16:uniqueId val="{00000000-AC5A-7F4B-B60F-23AFF50ECDB0}"/>
            </c:ext>
          </c:extLst>
        </c:ser>
        <c:dLbls>
          <c:showLegendKey val="0"/>
          <c:showVal val="0"/>
          <c:showCatName val="0"/>
          <c:showSerName val="0"/>
          <c:showPercent val="0"/>
          <c:showBubbleSize val="0"/>
        </c:dLbls>
        <c:smooth val="0"/>
        <c:axId val="1046199384"/>
        <c:axId val="1018478600"/>
      </c:lineChart>
      <c:dateAx>
        <c:axId val="1046199384"/>
        <c:scaling>
          <c:orientation val="minMax"/>
          <c:min val="17288"/>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8478600"/>
        <c:crosses val="autoZero"/>
        <c:auto val="0"/>
        <c:lblOffset val="100"/>
        <c:baseTimeUnit val="months"/>
        <c:majorUnit val="2"/>
        <c:majorTimeUnit val="years"/>
      </c:dateAx>
      <c:valAx>
        <c:axId val="101847860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6199384"/>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ADP VS NFP</a:t>
            </a:r>
          </a:p>
        </c:rich>
      </c:tx>
      <c:overlay val="0"/>
      <c:spPr>
        <a:noFill/>
        <a:ln>
          <a:noFill/>
          <a:prstDash val="solid"/>
        </a:ln>
      </c:spPr>
    </c:title>
    <c:autoTitleDeleted val="0"/>
    <c:plotArea>
      <c:layout/>
      <c:lineChart>
        <c:grouping val="standard"/>
        <c:varyColors val="0"/>
        <c:ser>
          <c:idx val="1"/>
          <c:order val="0"/>
          <c:tx>
            <c:strRef>
              <c:f>ADP!$B$5</c:f>
              <c:strCache>
                <c:ptCount val="1"/>
                <c:pt idx="0">
                  <c:v>ADP </c:v>
                </c:pt>
              </c:strCache>
            </c:strRef>
          </c:tx>
          <c:spPr>
            <a:ln w="28575" cap="rnd">
              <a:solidFill>
                <a:schemeClr val="accent2"/>
              </a:solidFill>
              <a:prstDash val="solid"/>
              <a:round/>
            </a:ln>
          </c:spPr>
          <c:marker>
            <c:symbol val="none"/>
          </c:marker>
          <c:cat>
            <c:numRef>
              <c:f>ADP!$A$6:$A$249</c:f>
              <c:numCache>
                <c:formatCode>m/d/yy</c:formatCode>
                <c:ptCount val="244"/>
                <c:pt idx="0">
                  <c:v>37012</c:v>
                </c:pt>
                <c:pt idx="1">
                  <c:v>37043</c:v>
                </c:pt>
                <c:pt idx="2">
                  <c:v>37073</c:v>
                </c:pt>
                <c:pt idx="3">
                  <c:v>37104</c:v>
                </c:pt>
                <c:pt idx="4">
                  <c:v>37135</c:v>
                </c:pt>
                <c:pt idx="5">
                  <c:v>37165</c:v>
                </c:pt>
                <c:pt idx="6">
                  <c:v>37196</c:v>
                </c:pt>
                <c:pt idx="7">
                  <c:v>37226</c:v>
                </c:pt>
                <c:pt idx="8">
                  <c:v>37257</c:v>
                </c:pt>
                <c:pt idx="9">
                  <c:v>37288</c:v>
                </c:pt>
                <c:pt idx="10">
                  <c:v>37316</c:v>
                </c:pt>
                <c:pt idx="11">
                  <c:v>37347</c:v>
                </c:pt>
                <c:pt idx="12">
                  <c:v>37377</c:v>
                </c:pt>
                <c:pt idx="13">
                  <c:v>37408</c:v>
                </c:pt>
                <c:pt idx="14">
                  <c:v>37438</c:v>
                </c:pt>
                <c:pt idx="15">
                  <c:v>37469</c:v>
                </c:pt>
                <c:pt idx="16">
                  <c:v>37500</c:v>
                </c:pt>
                <c:pt idx="17">
                  <c:v>37530</c:v>
                </c:pt>
                <c:pt idx="18">
                  <c:v>37561</c:v>
                </c:pt>
                <c:pt idx="19">
                  <c:v>37591</c:v>
                </c:pt>
                <c:pt idx="20">
                  <c:v>37622</c:v>
                </c:pt>
                <c:pt idx="21">
                  <c:v>37653</c:v>
                </c:pt>
                <c:pt idx="22">
                  <c:v>37681</c:v>
                </c:pt>
                <c:pt idx="23">
                  <c:v>37712</c:v>
                </c:pt>
                <c:pt idx="24">
                  <c:v>37742</c:v>
                </c:pt>
                <c:pt idx="25">
                  <c:v>37773</c:v>
                </c:pt>
                <c:pt idx="26">
                  <c:v>37803</c:v>
                </c:pt>
                <c:pt idx="27">
                  <c:v>37834</c:v>
                </c:pt>
                <c:pt idx="28">
                  <c:v>37865</c:v>
                </c:pt>
                <c:pt idx="29">
                  <c:v>37895</c:v>
                </c:pt>
                <c:pt idx="30">
                  <c:v>37926</c:v>
                </c:pt>
                <c:pt idx="31">
                  <c:v>37956</c:v>
                </c:pt>
                <c:pt idx="32">
                  <c:v>37987</c:v>
                </c:pt>
                <c:pt idx="33">
                  <c:v>38018</c:v>
                </c:pt>
                <c:pt idx="34">
                  <c:v>38047</c:v>
                </c:pt>
                <c:pt idx="35">
                  <c:v>38078</c:v>
                </c:pt>
                <c:pt idx="36">
                  <c:v>38108</c:v>
                </c:pt>
                <c:pt idx="37">
                  <c:v>38139</c:v>
                </c:pt>
                <c:pt idx="38">
                  <c:v>38169</c:v>
                </c:pt>
                <c:pt idx="39">
                  <c:v>38200</c:v>
                </c:pt>
                <c:pt idx="40">
                  <c:v>38231</c:v>
                </c:pt>
                <c:pt idx="41">
                  <c:v>38261</c:v>
                </c:pt>
                <c:pt idx="42">
                  <c:v>38292</c:v>
                </c:pt>
                <c:pt idx="43">
                  <c:v>38322</c:v>
                </c:pt>
                <c:pt idx="44">
                  <c:v>38353</c:v>
                </c:pt>
                <c:pt idx="45">
                  <c:v>38384</c:v>
                </c:pt>
                <c:pt idx="46">
                  <c:v>38412</c:v>
                </c:pt>
                <c:pt idx="47">
                  <c:v>38443</c:v>
                </c:pt>
                <c:pt idx="48">
                  <c:v>38473</c:v>
                </c:pt>
                <c:pt idx="49">
                  <c:v>38504</c:v>
                </c:pt>
                <c:pt idx="50">
                  <c:v>38534</c:v>
                </c:pt>
                <c:pt idx="51">
                  <c:v>38565</c:v>
                </c:pt>
                <c:pt idx="52">
                  <c:v>38596</c:v>
                </c:pt>
                <c:pt idx="53">
                  <c:v>38626</c:v>
                </c:pt>
                <c:pt idx="54">
                  <c:v>38657</c:v>
                </c:pt>
                <c:pt idx="55">
                  <c:v>38687</c:v>
                </c:pt>
                <c:pt idx="56">
                  <c:v>38718</c:v>
                </c:pt>
                <c:pt idx="57">
                  <c:v>38749</c:v>
                </c:pt>
                <c:pt idx="58">
                  <c:v>38777</c:v>
                </c:pt>
                <c:pt idx="59">
                  <c:v>38808</c:v>
                </c:pt>
                <c:pt idx="60">
                  <c:v>38838</c:v>
                </c:pt>
                <c:pt idx="61">
                  <c:v>38869</c:v>
                </c:pt>
                <c:pt idx="62">
                  <c:v>38899</c:v>
                </c:pt>
                <c:pt idx="63">
                  <c:v>38930</c:v>
                </c:pt>
                <c:pt idx="64">
                  <c:v>38961</c:v>
                </c:pt>
                <c:pt idx="65">
                  <c:v>38991</c:v>
                </c:pt>
                <c:pt idx="66">
                  <c:v>39022</c:v>
                </c:pt>
                <c:pt idx="67">
                  <c:v>39052</c:v>
                </c:pt>
                <c:pt idx="68">
                  <c:v>39083</c:v>
                </c:pt>
                <c:pt idx="69">
                  <c:v>39114</c:v>
                </c:pt>
                <c:pt idx="70">
                  <c:v>39142</c:v>
                </c:pt>
                <c:pt idx="71">
                  <c:v>39173</c:v>
                </c:pt>
                <c:pt idx="72">
                  <c:v>39203</c:v>
                </c:pt>
                <c:pt idx="73">
                  <c:v>39234</c:v>
                </c:pt>
                <c:pt idx="74">
                  <c:v>39264</c:v>
                </c:pt>
                <c:pt idx="75">
                  <c:v>39295</c:v>
                </c:pt>
                <c:pt idx="76">
                  <c:v>39326</c:v>
                </c:pt>
                <c:pt idx="77">
                  <c:v>39356</c:v>
                </c:pt>
                <c:pt idx="78">
                  <c:v>39387</c:v>
                </c:pt>
                <c:pt idx="79">
                  <c:v>39417</c:v>
                </c:pt>
                <c:pt idx="80">
                  <c:v>39448</c:v>
                </c:pt>
                <c:pt idx="81">
                  <c:v>39479</c:v>
                </c:pt>
                <c:pt idx="82">
                  <c:v>39508</c:v>
                </c:pt>
                <c:pt idx="83">
                  <c:v>39539</c:v>
                </c:pt>
                <c:pt idx="84">
                  <c:v>39569</c:v>
                </c:pt>
                <c:pt idx="85">
                  <c:v>39600</c:v>
                </c:pt>
                <c:pt idx="86">
                  <c:v>39630</c:v>
                </c:pt>
                <c:pt idx="87">
                  <c:v>39661</c:v>
                </c:pt>
                <c:pt idx="88">
                  <c:v>39692</c:v>
                </c:pt>
                <c:pt idx="89">
                  <c:v>39722</c:v>
                </c:pt>
                <c:pt idx="90">
                  <c:v>39753</c:v>
                </c:pt>
                <c:pt idx="91">
                  <c:v>39783</c:v>
                </c:pt>
                <c:pt idx="92">
                  <c:v>39814</c:v>
                </c:pt>
                <c:pt idx="93">
                  <c:v>39845</c:v>
                </c:pt>
                <c:pt idx="94">
                  <c:v>39873</c:v>
                </c:pt>
                <c:pt idx="95">
                  <c:v>39904</c:v>
                </c:pt>
                <c:pt idx="96">
                  <c:v>39934</c:v>
                </c:pt>
                <c:pt idx="97">
                  <c:v>39965</c:v>
                </c:pt>
                <c:pt idx="98">
                  <c:v>39995</c:v>
                </c:pt>
                <c:pt idx="99">
                  <c:v>40026</c:v>
                </c:pt>
                <c:pt idx="100">
                  <c:v>40057</c:v>
                </c:pt>
                <c:pt idx="101">
                  <c:v>40087</c:v>
                </c:pt>
                <c:pt idx="102">
                  <c:v>40118</c:v>
                </c:pt>
                <c:pt idx="103">
                  <c:v>40148</c:v>
                </c:pt>
                <c:pt idx="104">
                  <c:v>40179</c:v>
                </c:pt>
                <c:pt idx="105">
                  <c:v>40210</c:v>
                </c:pt>
                <c:pt idx="106">
                  <c:v>40238</c:v>
                </c:pt>
                <c:pt idx="107">
                  <c:v>40269</c:v>
                </c:pt>
                <c:pt idx="108">
                  <c:v>40299</c:v>
                </c:pt>
                <c:pt idx="109">
                  <c:v>40330</c:v>
                </c:pt>
                <c:pt idx="110">
                  <c:v>40360</c:v>
                </c:pt>
                <c:pt idx="111">
                  <c:v>40391</c:v>
                </c:pt>
                <c:pt idx="112">
                  <c:v>40422</c:v>
                </c:pt>
                <c:pt idx="113">
                  <c:v>40452</c:v>
                </c:pt>
                <c:pt idx="114">
                  <c:v>40483</c:v>
                </c:pt>
                <c:pt idx="115">
                  <c:v>40513</c:v>
                </c:pt>
                <c:pt idx="116">
                  <c:v>40544</c:v>
                </c:pt>
                <c:pt idx="117">
                  <c:v>40575</c:v>
                </c:pt>
                <c:pt idx="118">
                  <c:v>40603</c:v>
                </c:pt>
                <c:pt idx="119">
                  <c:v>40634</c:v>
                </c:pt>
                <c:pt idx="120">
                  <c:v>40664</c:v>
                </c:pt>
                <c:pt idx="121">
                  <c:v>40695</c:v>
                </c:pt>
                <c:pt idx="122">
                  <c:v>40725</c:v>
                </c:pt>
                <c:pt idx="123">
                  <c:v>40756</c:v>
                </c:pt>
                <c:pt idx="124">
                  <c:v>40787</c:v>
                </c:pt>
                <c:pt idx="125">
                  <c:v>40817</c:v>
                </c:pt>
                <c:pt idx="126">
                  <c:v>40848</c:v>
                </c:pt>
                <c:pt idx="127">
                  <c:v>40878</c:v>
                </c:pt>
                <c:pt idx="128">
                  <c:v>40909</c:v>
                </c:pt>
                <c:pt idx="129">
                  <c:v>40940</c:v>
                </c:pt>
                <c:pt idx="130">
                  <c:v>40969</c:v>
                </c:pt>
                <c:pt idx="131">
                  <c:v>41000</c:v>
                </c:pt>
                <c:pt idx="132">
                  <c:v>41030</c:v>
                </c:pt>
                <c:pt idx="133">
                  <c:v>41061</c:v>
                </c:pt>
                <c:pt idx="134">
                  <c:v>41091</c:v>
                </c:pt>
                <c:pt idx="135">
                  <c:v>41122</c:v>
                </c:pt>
                <c:pt idx="136">
                  <c:v>41153</c:v>
                </c:pt>
                <c:pt idx="137">
                  <c:v>41183</c:v>
                </c:pt>
                <c:pt idx="138">
                  <c:v>41214</c:v>
                </c:pt>
                <c:pt idx="139">
                  <c:v>41244</c:v>
                </c:pt>
                <c:pt idx="140">
                  <c:v>41275</c:v>
                </c:pt>
                <c:pt idx="141">
                  <c:v>41306</c:v>
                </c:pt>
                <c:pt idx="142">
                  <c:v>41334</c:v>
                </c:pt>
                <c:pt idx="143">
                  <c:v>41365</c:v>
                </c:pt>
                <c:pt idx="144">
                  <c:v>41395</c:v>
                </c:pt>
                <c:pt idx="145">
                  <c:v>41426</c:v>
                </c:pt>
                <c:pt idx="146">
                  <c:v>41456</c:v>
                </c:pt>
                <c:pt idx="147">
                  <c:v>41487</c:v>
                </c:pt>
                <c:pt idx="148">
                  <c:v>41518</c:v>
                </c:pt>
                <c:pt idx="149">
                  <c:v>41548</c:v>
                </c:pt>
                <c:pt idx="150">
                  <c:v>41579</c:v>
                </c:pt>
                <c:pt idx="151">
                  <c:v>41609</c:v>
                </c:pt>
                <c:pt idx="152">
                  <c:v>41640</c:v>
                </c:pt>
                <c:pt idx="153">
                  <c:v>41671</c:v>
                </c:pt>
                <c:pt idx="154">
                  <c:v>41699</c:v>
                </c:pt>
                <c:pt idx="155">
                  <c:v>41730</c:v>
                </c:pt>
                <c:pt idx="156">
                  <c:v>41760</c:v>
                </c:pt>
                <c:pt idx="157">
                  <c:v>41791</c:v>
                </c:pt>
                <c:pt idx="158">
                  <c:v>41821</c:v>
                </c:pt>
                <c:pt idx="159">
                  <c:v>41852</c:v>
                </c:pt>
                <c:pt idx="160">
                  <c:v>41883</c:v>
                </c:pt>
                <c:pt idx="161">
                  <c:v>41913</c:v>
                </c:pt>
                <c:pt idx="162">
                  <c:v>41944</c:v>
                </c:pt>
                <c:pt idx="163">
                  <c:v>41974</c:v>
                </c:pt>
                <c:pt idx="164">
                  <c:v>42005</c:v>
                </c:pt>
                <c:pt idx="165">
                  <c:v>42036</c:v>
                </c:pt>
                <c:pt idx="166">
                  <c:v>42064</c:v>
                </c:pt>
                <c:pt idx="167">
                  <c:v>42095</c:v>
                </c:pt>
                <c:pt idx="168">
                  <c:v>42125</c:v>
                </c:pt>
                <c:pt idx="169">
                  <c:v>42156</c:v>
                </c:pt>
                <c:pt idx="170">
                  <c:v>42186</c:v>
                </c:pt>
                <c:pt idx="171">
                  <c:v>42217</c:v>
                </c:pt>
                <c:pt idx="172">
                  <c:v>42248</c:v>
                </c:pt>
                <c:pt idx="173">
                  <c:v>42278</c:v>
                </c:pt>
                <c:pt idx="174">
                  <c:v>42309</c:v>
                </c:pt>
                <c:pt idx="175">
                  <c:v>42339</c:v>
                </c:pt>
                <c:pt idx="176">
                  <c:v>42370</c:v>
                </c:pt>
                <c:pt idx="177">
                  <c:v>42401</c:v>
                </c:pt>
                <c:pt idx="178">
                  <c:v>42430</c:v>
                </c:pt>
                <c:pt idx="179">
                  <c:v>42461</c:v>
                </c:pt>
                <c:pt idx="180">
                  <c:v>42491</c:v>
                </c:pt>
                <c:pt idx="181">
                  <c:v>42522</c:v>
                </c:pt>
                <c:pt idx="182">
                  <c:v>42552</c:v>
                </c:pt>
                <c:pt idx="183">
                  <c:v>42583</c:v>
                </c:pt>
                <c:pt idx="184">
                  <c:v>42614</c:v>
                </c:pt>
                <c:pt idx="185">
                  <c:v>42644</c:v>
                </c:pt>
                <c:pt idx="186">
                  <c:v>42675</c:v>
                </c:pt>
                <c:pt idx="187">
                  <c:v>42705</c:v>
                </c:pt>
                <c:pt idx="188">
                  <c:v>42736</c:v>
                </c:pt>
                <c:pt idx="189">
                  <c:v>42767</c:v>
                </c:pt>
                <c:pt idx="190">
                  <c:v>42795</c:v>
                </c:pt>
                <c:pt idx="191">
                  <c:v>42826</c:v>
                </c:pt>
                <c:pt idx="192">
                  <c:v>42856</c:v>
                </c:pt>
                <c:pt idx="193">
                  <c:v>42887</c:v>
                </c:pt>
                <c:pt idx="194">
                  <c:v>42917</c:v>
                </c:pt>
                <c:pt idx="195">
                  <c:v>42948</c:v>
                </c:pt>
                <c:pt idx="196">
                  <c:v>42979</c:v>
                </c:pt>
                <c:pt idx="197">
                  <c:v>43009</c:v>
                </c:pt>
                <c:pt idx="198">
                  <c:v>43040</c:v>
                </c:pt>
                <c:pt idx="199">
                  <c:v>43070</c:v>
                </c:pt>
                <c:pt idx="200">
                  <c:v>43101</c:v>
                </c:pt>
                <c:pt idx="201">
                  <c:v>43132</c:v>
                </c:pt>
                <c:pt idx="202">
                  <c:v>43160</c:v>
                </c:pt>
                <c:pt idx="203">
                  <c:v>43191</c:v>
                </c:pt>
                <c:pt idx="204">
                  <c:v>43221</c:v>
                </c:pt>
                <c:pt idx="205">
                  <c:v>43252</c:v>
                </c:pt>
                <c:pt idx="206">
                  <c:v>43282</c:v>
                </c:pt>
                <c:pt idx="207">
                  <c:v>43313</c:v>
                </c:pt>
                <c:pt idx="208">
                  <c:v>43344</c:v>
                </c:pt>
                <c:pt idx="209">
                  <c:v>43374</c:v>
                </c:pt>
                <c:pt idx="210">
                  <c:v>43405</c:v>
                </c:pt>
                <c:pt idx="211">
                  <c:v>43435</c:v>
                </c:pt>
                <c:pt idx="212">
                  <c:v>43466</c:v>
                </c:pt>
                <c:pt idx="213">
                  <c:v>43497</c:v>
                </c:pt>
                <c:pt idx="214">
                  <c:v>43525</c:v>
                </c:pt>
                <c:pt idx="215">
                  <c:v>43556</c:v>
                </c:pt>
                <c:pt idx="216">
                  <c:v>43586</c:v>
                </c:pt>
                <c:pt idx="217">
                  <c:v>43617</c:v>
                </c:pt>
                <c:pt idx="218">
                  <c:v>43647</c:v>
                </c:pt>
                <c:pt idx="219">
                  <c:v>43678</c:v>
                </c:pt>
                <c:pt idx="220">
                  <c:v>43709</c:v>
                </c:pt>
                <c:pt idx="221">
                  <c:v>43739</c:v>
                </c:pt>
                <c:pt idx="222">
                  <c:v>43770</c:v>
                </c:pt>
                <c:pt idx="223">
                  <c:v>43800</c:v>
                </c:pt>
                <c:pt idx="224">
                  <c:v>43831</c:v>
                </c:pt>
                <c:pt idx="225">
                  <c:v>43862</c:v>
                </c:pt>
                <c:pt idx="226">
                  <c:v>43891</c:v>
                </c:pt>
                <c:pt idx="227">
                  <c:v>43922</c:v>
                </c:pt>
                <c:pt idx="228">
                  <c:v>43952</c:v>
                </c:pt>
                <c:pt idx="229">
                  <c:v>43983</c:v>
                </c:pt>
                <c:pt idx="230">
                  <c:v>44013</c:v>
                </c:pt>
                <c:pt idx="231">
                  <c:v>44044</c:v>
                </c:pt>
                <c:pt idx="232">
                  <c:v>44075</c:v>
                </c:pt>
                <c:pt idx="233">
                  <c:v>44105</c:v>
                </c:pt>
                <c:pt idx="234">
                  <c:v>44136</c:v>
                </c:pt>
                <c:pt idx="235">
                  <c:v>44166</c:v>
                </c:pt>
                <c:pt idx="236">
                  <c:v>44197</c:v>
                </c:pt>
                <c:pt idx="237">
                  <c:v>44228</c:v>
                </c:pt>
                <c:pt idx="238">
                  <c:v>44256</c:v>
                </c:pt>
                <c:pt idx="239">
                  <c:v>44287</c:v>
                </c:pt>
                <c:pt idx="240">
                  <c:v>44317</c:v>
                </c:pt>
                <c:pt idx="241">
                  <c:v>44348</c:v>
                </c:pt>
                <c:pt idx="242">
                  <c:v>44378</c:v>
                </c:pt>
                <c:pt idx="243">
                  <c:v>44409</c:v>
                </c:pt>
              </c:numCache>
            </c:numRef>
          </c:cat>
          <c:val>
            <c:numRef>
              <c:f>ADP!$B$6:$B$249</c:f>
              <c:numCache>
                <c:formatCode>0.00</c:formatCode>
                <c:ptCount val="244"/>
                <c:pt idx="0">
                  <c:v>-175</c:v>
                </c:pt>
                <c:pt idx="1">
                  <c:v>-230</c:v>
                </c:pt>
                <c:pt idx="2">
                  <c:v>-203</c:v>
                </c:pt>
                <c:pt idx="3" formatCode="General">
                  <c:v>-246</c:v>
                </c:pt>
                <c:pt idx="4" formatCode="General">
                  <c:v>-261</c:v>
                </c:pt>
                <c:pt idx="5" formatCode="General">
                  <c:v>-380</c:v>
                </c:pt>
                <c:pt idx="6" formatCode="General">
                  <c:v>-361</c:v>
                </c:pt>
                <c:pt idx="7" formatCode="General">
                  <c:v>-223</c:v>
                </c:pt>
                <c:pt idx="8" formatCode="General">
                  <c:v>-69</c:v>
                </c:pt>
                <c:pt idx="9" formatCode="General">
                  <c:v>-91</c:v>
                </c:pt>
                <c:pt idx="10" formatCode="General">
                  <c:v>-70</c:v>
                </c:pt>
                <c:pt idx="11" formatCode="General">
                  <c:v>-70</c:v>
                </c:pt>
                <c:pt idx="12" formatCode="General">
                  <c:v>-138</c:v>
                </c:pt>
                <c:pt idx="13" formatCode="General">
                  <c:v>-41</c:v>
                </c:pt>
                <c:pt idx="14" formatCode="General">
                  <c:v>-21</c:v>
                </c:pt>
                <c:pt idx="15" formatCode="General">
                  <c:v>12</c:v>
                </c:pt>
                <c:pt idx="16" formatCode="General">
                  <c:v>-150</c:v>
                </c:pt>
                <c:pt idx="17" formatCode="General">
                  <c:v>47</c:v>
                </c:pt>
                <c:pt idx="18" formatCode="General">
                  <c:v>-11</c:v>
                </c:pt>
                <c:pt idx="19" formatCode="General">
                  <c:v>-79</c:v>
                </c:pt>
                <c:pt idx="20" formatCode="General">
                  <c:v>-113</c:v>
                </c:pt>
                <c:pt idx="21" formatCode="General">
                  <c:v>26</c:v>
                </c:pt>
                <c:pt idx="22" formatCode="General">
                  <c:v>-42</c:v>
                </c:pt>
                <c:pt idx="23" formatCode="General">
                  <c:v>-8</c:v>
                </c:pt>
                <c:pt idx="24" formatCode="General">
                  <c:v>-75</c:v>
                </c:pt>
                <c:pt idx="25" formatCode="General">
                  <c:v>-25</c:v>
                </c:pt>
                <c:pt idx="26" formatCode="General">
                  <c:v>28</c:v>
                </c:pt>
                <c:pt idx="27" formatCode="General">
                  <c:v>-66</c:v>
                </c:pt>
                <c:pt idx="28" formatCode="General">
                  <c:v>69</c:v>
                </c:pt>
                <c:pt idx="29" formatCode="General">
                  <c:v>174</c:v>
                </c:pt>
                <c:pt idx="30" formatCode="General">
                  <c:v>247</c:v>
                </c:pt>
                <c:pt idx="31" formatCode="General">
                  <c:v>167</c:v>
                </c:pt>
                <c:pt idx="32" formatCode="General">
                  <c:v>68</c:v>
                </c:pt>
                <c:pt idx="33" formatCode="General">
                  <c:v>166</c:v>
                </c:pt>
                <c:pt idx="34" formatCode="General">
                  <c:v>188</c:v>
                </c:pt>
                <c:pt idx="35" formatCode="General">
                  <c:v>170</c:v>
                </c:pt>
                <c:pt idx="36" formatCode="General">
                  <c:v>54</c:v>
                </c:pt>
                <c:pt idx="37" formatCode="General">
                  <c:v>169</c:v>
                </c:pt>
                <c:pt idx="38" formatCode="General">
                  <c:v>80</c:v>
                </c:pt>
                <c:pt idx="39" formatCode="General">
                  <c:v>187</c:v>
                </c:pt>
                <c:pt idx="40" formatCode="General">
                  <c:v>170</c:v>
                </c:pt>
                <c:pt idx="41" formatCode="General">
                  <c:v>136</c:v>
                </c:pt>
                <c:pt idx="42" formatCode="General">
                  <c:v>178</c:v>
                </c:pt>
                <c:pt idx="43" formatCode="General">
                  <c:v>254</c:v>
                </c:pt>
                <c:pt idx="44" formatCode="General">
                  <c:v>158</c:v>
                </c:pt>
                <c:pt idx="45" formatCode="General">
                  <c:v>145</c:v>
                </c:pt>
                <c:pt idx="46" formatCode="General">
                  <c:v>164</c:v>
                </c:pt>
                <c:pt idx="47" formatCode="General">
                  <c:v>300</c:v>
                </c:pt>
                <c:pt idx="48" formatCode="General">
                  <c:v>243</c:v>
                </c:pt>
                <c:pt idx="49" formatCode="General">
                  <c:v>273</c:v>
                </c:pt>
                <c:pt idx="50" formatCode="General">
                  <c:v>281</c:v>
                </c:pt>
                <c:pt idx="51" formatCode="General">
                  <c:v>190</c:v>
                </c:pt>
                <c:pt idx="52" formatCode="General">
                  <c:v>-35</c:v>
                </c:pt>
                <c:pt idx="53" formatCode="General">
                  <c:v>134</c:v>
                </c:pt>
                <c:pt idx="54" formatCode="General">
                  <c:v>253</c:v>
                </c:pt>
                <c:pt idx="55" formatCode="General">
                  <c:v>225</c:v>
                </c:pt>
                <c:pt idx="56" formatCode="General">
                  <c:v>296</c:v>
                </c:pt>
                <c:pt idx="57" formatCode="General">
                  <c:v>360</c:v>
                </c:pt>
                <c:pt idx="58" formatCode="General">
                  <c:v>208</c:v>
                </c:pt>
                <c:pt idx="59" formatCode="General">
                  <c:v>80</c:v>
                </c:pt>
                <c:pt idx="60" formatCode="General">
                  <c:v>175</c:v>
                </c:pt>
                <c:pt idx="61" formatCode="General">
                  <c:v>106</c:v>
                </c:pt>
                <c:pt idx="62" formatCode="General">
                  <c:v>123</c:v>
                </c:pt>
                <c:pt idx="63" formatCode="General">
                  <c:v>185</c:v>
                </c:pt>
                <c:pt idx="64" formatCode="General">
                  <c:v>58</c:v>
                </c:pt>
                <c:pt idx="65" formatCode="General">
                  <c:v>109</c:v>
                </c:pt>
                <c:pt idx="66" formatCode="General">
                  <c:v>-13</c:v>
                </c:pt>
                <c:pt idx="67" formatCode="General">
                  <c:v>171</c:v>
                </c:pt>
                <c:pt idx="68" formatCode="General">
                  <c:v>241</c:v>
                </c:pt>
                <c:pt idx="69" formatCode="General">
                  <c:v>111</c:v>
                </c:pt>
                <c:pt idx="70" formatCode="General">
                  <c:v>154</c:v>
                </c:pt>
                <c:pt idx="71" formatCode="General">
                  <c:v>39</c:v>
                </c:pt>
                <c:pt idx="72" formatCode="General">
                  <c:v>82</c:v>
                </c:pt>
                <c:pt idx="73" formatCode="General">
                  <c:v>15</c:v>
                </c:pt>
                <c:pt idx="74" formatCode="General">
                  <c:v>47</c:v>
                </c:pt>
                <c:pt idx="75" formatCode="General">
                  <c:v>-27</c:v>
                </c:pt>
                <c:pt idx="76" formatCode="General">
                  <c:v>23</c:v>
                </c:pt>
                <c:pt idx="77" formatCode="General">
                  <c:v>44</c:v>
                </c:pt>
                <c:pt idx="78" formatCode="General">
                  <c:v>58</c:v>
                </c:pt>
                <c:pt idx="79" formatCode="General">
                  <c:v>47</c:v>
                </c:pt>
                <c:pt idx="80" formatCode="General">
                  <c:v>118</c:v>
                </c:pt>
                <c:pt idx="81" formatCode="General">
                  <c:v>-78</c:v>
                </c:pt>
                <c:pt idx="82" formatCode="General">
                  <c:v>-181</c:v>
                </c:pt>
                <c:pt idx="83" formatCode="General">
                  <c:v>-406</c:v>
                </c:pt>
                <c:pt idx="84" formatCode="General">
                  <c:v>-409</c:v>
                </c:pt>
                <c:pt idx="85" formatCode="General">
                  <c:v>-465</c:v>
                </c:pt>
                <c:pt idx="86" formatCode="General">
                  <c:v>-416</c:v>
                </c:pt>
                <c:pt idx="87" formatCode="General">
                  <c:v>-430</c:v>
                </c:pt>
                <c:pt idx="88" formatCode="General">
                  <c:v>-489</c:v>
                </c:pt>
                <c:pt idx="89" formatCode="General">
                  <c:v>-430</c:v>
                </c:pt>
                <c:pt idx="90" formatCode="General">
                  <c:v>-620</c:v>
                </c:pt>
                <c:pt idx="91" formatCode="General">
                  <c:v>-510</c:v>
                </c:pt>
                <c:pt idx="92" formatCode="General">
                  <c:v>-584</c:v>
                </c:pt>
                <c:pt idx="93" formatCode="General">
                  <c:v>-706</c:v>
                </c:pt>
                <c:pt idx="94" formatCode="General">
                  <c:v>-417</c:v>
                </c:pt>
                <c:pt idx="95" formatCode="General">
                  <c:v>-325</c:v>
                </c:pt>
                <c:pt idx="96" formatCode="General">
                  <c:v>-244</c:v>
                </c:pt>
                <c:pt idx="97" formatCode="General">
                  <c:v>-334</c:v>
                </c:pt>
                <c:pt idx="98" formatCode="General">
                  <c:v>-180</c:v>
                </c:pt>
                <c:pt idx="99" formatCode="General">
                  <c:v>-212</c:v>
                </c:pt>
                <c:pt idx="100" formatCode="General">
                  <c:v>-126</c:v>
                </c:pt>
                <c:pt idx="101" formatCode="General">
                  <c:v>-114</c:v>
                </c:pt>
                <c:pt idx="102" formatCode="General">
                  <c:v>-374</c:v>
                </c:pt>
                <c:pt idx="103" formatCode="General">
                  <c:v>-212</c:v>
                </c:pt>
                <c:pt idx="104" formatCode="General">
                  <c:v>-137</c:v>
                </c:pt>
                <c:pt idx="105" formatCode="General">
                  <c:v>-219</c:v>
                </c:pt>
                <c:pt idx="106" formatCode="General">
                  <c:v>-113</c:v>
                </c:pt>
                <c:pt idx="107" formatCode="General">
                  <c:v>147</c:v>
                </c:pt>
                <c:pt idx="108" formatCode="General">
                  <c:v>152</c:v>
                </c:pt>
                <c:pt idx="109" formatCode="General">
                  <c:v>102</c:v>
                </c:pt>
                <c:pt idx="110" formatCode="General">
                  <c:v>159</c:v>
                </c:pt>
                <c:pt idx="111" formatCode="General">
                  <c:v>99</c:v>
                </c:pt>
                <c:pt idx="112" formatCode="General">
                  <c:v>117</c:v>
                </c:pt>
                <c:pt idx="113" formatCode="General">
                  <c:v>219</c:v>
                </c:pt>
                <c:pt idx="114" formatCode="General">
                  <c:v>141</c:v>
                </c:pt>
                <c:pt idx="115" formatCode="General">
                  <c:v>85</c:v>
                </c:pt>
                <c:pt idx="116" formatCode="General">
                  <c:v>137</c:v>
                </c:pt>
                <c:pt idx="117" formatCode="General">
                  <c:v>164</c:v>
                </c:pt>
                <c:pt idx="118" formatCode="General">
                  <c:v>213</c:v>
                </c:pt>
                <c:pt idx="119" formatCode="General">
                  <c:v>299</c:v>
                </c:pt>
                <c:pt idx="120" formatCode="General">
                  <c:v>254</c:v>
                </c:pt>
                <c:pt idx="121" formatCode="General">
                  <c:v>263</c:v>
                </c:pt>
                <c:pt idx="122" formatCode="General">
                  <c:v>213</c:v>
                </c:pt>
                <c:pt idx="123" formatCode="General">
                  <c:v>216</c:v>
                </c:pt>
                <c:pt idx="124" formatCode="General">
                  <c:v>227</c:v>
                </c:pt>
                <c:pt idx="125" formatCode="General">
                  <c:v>191</c:v>
                </c:pt>
                <c:pt idx="126" formatCode="General">
                  <c:v>127</c:v>
                </c:pt>
                <c:pt idx="127" formatCode="General">
                  <c:v>194</c:v>
                </c:pt>
                <c:pt idx="128" formatCode="General">
                  <c:v>199</c:v>
                </c:pt>
                <c:pt idx="129" formatCode="General">
                  <c:v>281</c:v>
                </c:pt>
                <c:pt idx="130" formatCode="General">
                  <c:v>250</c:v>
                </c:pt>
                <c:pt idx="131" formatCode="General">
                  <c:v>83</c:v>
                </c:pt>
                <c:pt idx="132" formatCode="General">
                  <c:v>153</c:v>
                </c:pt>
                <c:pt idx="133" formatCode="General">
                  <c:v>79</c:v>
                </c:pt>
                <c:pt idx="134" formatCode="General">
                  <c:v>142</c:v>
                </c:pt>
                <c:pt idx="135" formatCode="General">
                  <c:v>184</c:v>
                </c:pt>
                <c:pt idx="136" formatCode="General">
                  <c:v>150</c:v>
                </c:pt>
                <c:pt idx="137" formatCode="General">
                  <c:v>227</c:v>
                </c:pt>
                <c:pt idx="138" formatCode="General">
                  <c:v>159</c:v>
                </c:pt>
                <c:pt idx="139" formatCode="General">
                  <c:v>231</c:v>
                </c:pt>
                <c:pt idx="140" formatCode="General">
                  <c:v>208</c:v>
                </c:pt>
                <c:pt idx="141" formatCode="General">
                  <c:v>203</c:v>
                </c:pt>
                <c:pt idx="142" formatCode="General">
                  <c:v>181</c:v>
                </c:pt>
                <c:pt idx="143" formatCode="General">
                  <c:v>126</c:v>
                </c:pt>
                <c:pt idx="144" formatCode="General">
                  <c:v>210</c:v>
                </c:pt>
                <c:pt idx="145" formatCode="General">
                  <c:v>217</c:v>
                </c:pt>
                <c:pt idx="146" formatCode="General">
                  <c:v>157</c:v>
                </c:pt>
                <c:pt idx="147" formatCode="General">
                  <c:v>206</c:v>
                </c:pt>
                <c:pt idx="148" formatCode="General">
                  <c:v>243</c:v>
                </c:pt>
                <c:pt idx="149" formatCode="General">
                  <c:v>211</c:v>
                </c:pt>
                <c:pt idx="150" formatCode="General">
                  <c:v>195</c:v>
                </c:pt>
                <c:pt idx="151" formatCode="General">
                  <c:v>178</c:v>
                </c:pt>
                <c:pt idx="152" formatCode="General">
                  <c:v>212</c:v>
                </c:pt>
                <c:pt idx="153" formatCode="General">
                  <c:v>190</c:v>
                </c:pt>
                <c:pt idx="154" formatCode="General">
                  <c:v>179</c:v>
                </c:pt>
                <c:pt idx="155" formatCode="General">
                  <c:v>278</c:v>
                </c:pt>
                <c:pt idx="156" formatCode="General">
                  <c:v>202</c:v>
                </c:pt>
                <c:pt idx="157" formatCode="General">
                  <c:v>292</c:v>
                </c:pt>
                <c:pt idx="158" formatCode="General">
                  <c:v>223</c:v>
                </c:pt>
                <c:pt idx="159" formatCode="General">
                  <c:v>230</c:v>
                </c:pt>
                <c:pt idx="160" formatCode="General">
                  <c:v>251</c:v>
                </c:pt>
                <c:pt idx="161" formatCode="General">
                  <c:v>252</c:v>
                </c:pt>
                <c:pt idx="162" formatCode="General">
                  <c:v>195</c:v>
                </c:pt>
                <c:pt idx="163" formatCode="General">
                  <c:v>292</c:v>
                </c:pt>
                <c:pt idx="164" formatCode="General">
                  <c:v>191</c:v>
                </c:pt>
                <c:pt idx="165" formatCode="General">
                  <c:v>226</c:v>
                </c:pt>
                <c:pt idx="166" formatCode="General">
                  <c:v>178</c:v>
                </c:pt>
                <c:pt idx="167" formatCode="General">
                  <c:v>179</c:v>
                </c:pt>
                <c:pt idx="168" formatCode="General">
                  <c:v>296</c:v>
                </c:pt>
                <c:pt idx="169" formatCode="General">
                  <c:v>219</c:v>
                </c:pt>
                <c:pt idx="170" formatCode="General">
                  <c:v>190</c:v>
                </c:pt>
                <c:pt idx="171" formatCode="General">
                  <c:v>190</c:v>
                </c:pt>
                <c:pt idx="172" formatCode="General">
                  <c:v>204</c:v>
                </c:pt>
                <c:pt idx="173" formatCode="General">
                  <c:v>186</c:v>
                </c:pt>
                <c:pt idx="174" formatCode="General">
                  <c:v>223</c:v>
                </c:pt>
                <c:pt idx="175" formatCode="General">
                  <c:v>271</c:v>
                </c:pt>
                <c:pt idx="176" formatCode="General">
                  <c:v>130</c:v>
                </c:pt>
                <c:pt idx="177" formatCode="General">
                  <c:v>241</c:v>
                </c:pt>
                <c:pt idx="178" formatCode="General">
                  <c:v>205</c:v>
                </c:pt>
                <c:pt idx="179" formatCode="General">
                  <c:v>170</c:v>
                </c:pt>
                <c:pt idx="180" formatCode="General">
                  <c:v>84</c:v>
                </c:pt>
                <c:pt idx="181" formatCode="General">
                  <c:v>255</c:v>
                </c:pt>
                <c:pt idx="182" formatCode="General">
                  <c:v>152</c:v>
                </c:pt>
                <c:pt idx="183" formatCode="General">
                  <c:v>192</c:v>
                </c:pt>
                <c:pt idx="184" formatCode="General">
                  <c:v>181</c:v>
                </c:pt>
                <c:pt idx="185" formatCode="General">
                  <c:v>91</c:v>
                </c:pt>
                <c:pt idx="186" formatCode="General">
                  <c:v>236</c:v>
                </c:pt>
                <c:pt idx="187" formatCode="General">
                  <c:v>105</c:v>
                </c:pt>
                <c:pt idx="188" formatCode="General">
                  <c:v>224</c:v>
                </c:pt>
                <c:pt idx="189" formatCode="General">
                  <c:v>237</c:v>
                </c:pt>
                <c:pt idx="190" formatCode="General">
                  <c:v>209</c:v>
                </c:pt>
                <c:pt idx="191" formatCode="General">
                  <c:v>173</c:v>
                </c:pt>
                <c:pt idx="192" formatCode="General">
                  <c:v>170</c:v>
                </c:pt>
                <c:pt idx="193" formatCode="General">
                  <c:v>135</c:v>
                </c:pt>
                <c:pt idx="194" formatCode="General">
                  <c:v>183</c:v>
                </c:pt>
                <c:pt idx="195" formatCode="General">
                  <c:v>174</c:v>
                </c:pt>
                <c:pt idx="196" formatCode="General">
                  <c:v>111</c:v>
                </c:pt>
                <c:pt idx="197" formatCode="General">
                  <c:v>158</c:v>
                </c:pt>
                <c:pt idx="198" formatCode="General">
                  <c:v>207</c:v>
                </c:pt>
                <c:pt idx="199" formatCode="General">
                  <c:v>241</c:v>
                </c:pt>
                <c:pt idx="200" formatCode="General">
                  <c:v>252</c:v>
                </c:pt>
                <c:pt idx="201" formatCode="General">
                  <c:v>219</c:v>
                </c:pt>
                <c:pt idx="202" formatCode="General">
                  <c:v>213</c:v>
                </c:pt>
                <c:pt idx="203" formatCode="General">
                  <c:v>178</c:v>
                </c:pt>
                <c:pt idx="204" formatCode="General">
                  <c:v>276</c:v>
                </c:pt>
                <c:pt idx="205" formatCode="General">
                  <c:v>221</c:v>
                </c:pt>
                <c:pt idx="206" formatCode="General">
                  <c:v>284</c:v>
                </c:pt>
                <c:pt idx="207" formatCode="General">
                  <c:v>159</c:v>
                </c:pt>
                <c:pt idx="208" formatCode="General">
                  <c:v>199</c:v>
                </c:pt>
                <c:pt idx="209" formatCode="General">
                  <c:v>238</c:v>
                </c:pt>
                <c:pt idx="210" formatCode="General">
                  <c:v>136</c:v>
                </c:pt>
                <c:pt idx="211" formatCode="General">
                  <c:v>249</c:v>
                </c:pt>
                <c:pt idx="212" formatCode="General">
                  <c:v>264</c:v>
                </c:pt>
                <c:pt idx="213" formatCode="General">
                  <c:v>220</c:v>
                </c:pt>
                <c:pt idx="214" formatCode="General">
                  <c:v>158</c:v>
                </c:pt>
                <c:pt idx="215" formatCode="General">
                  <c:v>255</c:v>
                </c:pt>
                <c:pt idx="216" formatCode="General">
                  <c:v>46</c:v>
                </c:pt>
                <c:pt idx="217" formatCode="General">
                  <c:v>107</c:v>
                </c:pt>
                <c:pt idx="218" formatCode="General">
                  <c:v>143</c:v>
                </c:pt>
                <c:pt idx="219" formatCode="General">
                  <c:v>159</c:v>
                </c:pt>
                <c:pt idx="220" formatCode="General">
                  <c:v>124</c:v>
                </c:pt>
                <c:pt idx="221" formatCode="General">
                  <c:v>151</c:v>
                </c:pt>
                <c:pt idx="222" formatCode="General">
                  <c:v>124</c:v>
                </c:pt>
                <c:pt idx="223" formatCode="General">
                  <c:v>199</c:v>
                </c:pt>
                <c:pt idx="224" formatCode="General">
                  <c:v>209</c:v>
                </c:pt>
                <c:pt idx="225" formatCode="General">
                  <c:v>183</c:v>
                </c:pt>
                <c:pt idx="226" formatCode="General">
                  <c:v>-149</c:v>
                </c:pt>
                <c:pt idx="227" formatCode="General">
                  <c:v>-19557</c:v>
                </c:pt>
                <c:pt idx="228" formatCode="General">
                  <c:v>3065</c:v>
                </c:pt>
                <c:pt idx="229" formatCode="General">
                  <c:v>2369</c:v>
                </c:pt>
                <c:pt idx="230" formatCode="General">
                  <c:v>167</c:v>
                </c:pt>
                <c:pt idx="231" formatCode="General">
                  <c:v>428</c:v>
                </c:pt>
                <c:pt idx="232" formatCode="General">
                  <c:v>749</c:v>
                </c:pt>
                <c:pt idx="233" formatCode="General">
                  <c:v>365</c:v>
                </c:pt>
                <c:pt idx="234" formatCode="General">
                  <c:v>307</c:v>
                </c:pt>
                <c:pt idx="235" formatCode="General">
                  <c:v>-123</c:v>
                </c:pt>
                <c:pt idx="236" formatCode="General">
                  <c:v>174</c:v>
                </c:pt>
                <c:pt idx="237" formatCode="General">
                  <c:v>117</c:v>
                </c:pt>
                <c:pt idx="238" formatCode="General">
                  <c:v>517</c:v>
                </c:pt>
                <c:pt idx="239" formatCode="General">
                  <c:v>742</c:v>
                </c:pt>
                <c:pt idx="240" formatCode="General">
                  <c:v>978</c:v>
                </c:pt>
                <c:pt idx="241" formatCode="General">
                  <c:v>692</c:v>
                </c:pt>
                <c:pt idx="242" formatCode="General">
                  <c:v>330</c:v>
                </c:pt>
                <c:pt idx="243" formatCode="General">
                  <c:v>374</c:v>
                </c:pt>
              </c:numCache>
            </c:numRef>
          </c:val>
          <c:smooth val="0"/>
          <c:extLst>
            <c:ext xmlns:c16="http://schemas.microsoft.com/office/drawing/2014/chart" uri="{C3380CC4-5D6E-409C-BE32-E72D297353CC}">
              <c16:uniqueId val="{00000000-1ABE-7F46-BE16-69739C4376ED}"/>
            </c:ext>
          </c:extLst>
        </c:ser>
        <c:ser>
          <c:idx val="2"/>
          <c:order val="1"/>
          <c:tx>
            <c:strRef>
              <c:f>ADP!$C$5</c:f>
              <c:strCache>
                <c:ptCount val="1"/>
                <c:pt idx="0">
                  <c:v>NFP</c:v>
                </c:pt>
              </c:strCache>
            </c:strRef>
          </c:tx>
          <c:spPr>
            <a:ln w="28575" cap="rnd">
              <a:solidFill>
                <a:schemeClr val="accent3"/>
              </a:solidFill>
              <a:prstDash val="solid"/>
              <a:round/>
            </a:ln>
          </c:spPr>
          <c:marker>
            <c:symbol val="none"/>
          </c:marker>
          <c:cat>
            <c:numRef>
              <c:f>ADP!$A$6:$A$249</c:f>
              <c:numCache>
                <c:formatCode>m/d/yy</c:formatCode>
                <c:ptCount val="244"/>
                <c:pt idx="0">
                  <c:v>37012</c:v>
                </c:pt>
                <c:pt idx="1">
                  <c:v>37043</c:v>
                </c:pt>
                <c:pt idx="2">
                  <c:v>37073</c:v>
                </c:pt>
                <c:pt idx="3">
                  <c:v>37104</c:v>
                </c:pt>
                <c:pt idx="4">
                  <c:v>37135</c:v>
                </c:pt>
                <c:pt idx="5">
                  <c:v>37165</c:v>
                </c:pt>
                <c:pt idx="6">
                  <c:v>37196</c:v>
                </c:pt>
                <c:pt idx="7">
                  <c:v>37226</c:v>
                </c:pt>
                <c:pt idx="8">
                  <c:v>37257</c:v>
                </c:pt>
                <c:pt idx="9">
                  <c:v>37288</c:v>
                </c:pt>
                <c:pt idx="10">
                  <c:v>37316</c:v>
                </c:pt>
                <c:pt idx="11">
                  <c:v>37347</c:v>
                </c:pt>
                <c:pt idx="12">
                  <c:v>37377</c:v>
                </c:pt>
                <c:pt idx="13">
                  <c:v>37408</c:v>
                </c:pt>
                <c:pt idx="14">
                  <c:v>37438</c:v>
                </c:pt>
                <c:pt idx="15">
                  <c:v>37469</c:v>
                </c:pt>
                <c:pt idx="16">
                  <c:v>37500</c:v>
                </c:pt>
                <c:pt idx="17">
                  <c:v>37530</c:v>
                </c:pt>
                <c:pt idx="18">
                  <c:v>37561</c:v>
                </c:pt>
                <c:pt idx="19">
                  <c:v>37591</c:v>
                </c:pt>
                <c:pt idx="20">
                  <c:v>37622</c:v>
                </c:pt>
                <c:pt idx="21">
                  <c:v>37653</c:v>
                </c:pt>
                <c:pt idx="22">
                  <c:v>37681</c:v>
                </c:pt>
                <c:pt idx="23">
                  <c:v>37712</c:v>
                </c:pt>
                <c:pt idx="24">
                  <c:v>37742</c:v>
                </c:pt>
                <c:pt idx="25">
                  <c:v>37773</c:v>
                </c:pt>
                <c:pt idx="26">
                  <c:v>37803</c:v>
                </c:pt>
                <c:pt idx="27">
                  <c:v>37834</c:v>
                </c:pt>
                <c:pt idx="28">
                  <c:v>37865</c:v>
                </c:pt>
                <c:pt idx="29">
                  <c:v>37895</c:v>
                </c:pt>
                <c:pt idx="30">
                  <c:v>37926</c:v>
                </c:pt>
                <c:pt idx="31">
                  <c:v>37956</c:v>
                </c:pt>
                <c:pt idx="32">
                  <c:v>37987</c:v>
                </c:pt>
                <c:pt idx="33">
                  <c:v>38018</c:v>
                </c:pt>
                <c:pt idx="34">
                  <c:v>38047</c:v>
                </c:pt>
                <c:pt idx="35">
                  <c:v>38078</c:v>
                </c:pt>
                <c:pt idx="36">
                  <c:v>38108</c:v>
                </c:pt>
                <c:pt idx="37">
                  <c:v>38139</c:v>
                </c:pt>
                <c:pt idx="38">
                  <c:v>38169</c:v>
                </c:pt>
                <c:pt idx="39">
                  <c:v>38200</c:v>
                </c:pt>
                <c:pt idx="40">
                  <c:v>38231</c:v>
                </c:pt>
                <c:pt idx="41">
                  <c:v>38261</c:v>
                </c:pt>
                <c:pt idx="42">
                  <c:v>38292</c:v>
                </c:pt>
                <c:pt idx="43">
                  <c:v>38322</c:v>
                </c:pt>
                <c:pt idx="44">
                  <c:v>38353</c:v>
                </c:pt>
                <c:pt idx="45">
                  <c:v>38384</c:v>
                </c:pt>
                <c:pt idx="46">
                  <c:v>38412</c:v>
                </c:pt>
                <c:pt idx="47">
                  <c:v>38443</c:v>
                </c:pt>
                <c:pt idx="48">
                  <c:v>38473</c:v>
                </c:pt>
                <c:pt idx="49">
                  <c:v>38504</c:v>
                </c:pt>
                <c:pt idx="50">
                  <c:v>38534</c:v>
                </c:pt>
                <c:pt idx="51">
                  <c:v>38565</c:v>
                </c:pt>
                <c:pt idx="52">
                  <c:v>38596</c:v>
                </c:pt>
                <c:pt idx="53">
                  <c:v>38626</c:v>
                </c:pt>
                <c:pt idx="54">
                  <c:v>38657</c:v>
                </c:pt>
                <c:pt idx="55">
                  <c:v>38687</c:v>
                </c:pt>
                <c:pt idx="56">
                  <c:v>38718</c:v>
                </c:pt>
                <c:pt idx="57">
                  <c:v>38749</c:v>
                </c:pt>
                <c:pt idx="58">
                  <c:v>38777</c:v>
                </c:pt>
                <c:pt idx="59">
                  <c:v>38808</c:v>
                </c:pt>
                <c:pt idx="60">
                  <c:v>38838</c:v>
                </c:pt>
                <c:pt idx="61">
                  <c:v>38869</c:v>
                </c:pt>
                <c:pt idx="62">
                  <c:v>38899</c:v>
                </c:pt>
                <c:pt idx="63">
                  <c:v>38930</c:v>
                </c:pt>
                <c:pt idx="64">
                  <c:v>38961</c:v>
                </c:pt>
                <c:pt idx="65">
                  <c:v>38991</c:v>
                </c:pt>
                <c:pt idx="66">
                  <c:v>39022</c:v>
                </c:pt>
                <c:pt idx="67">
                  <c:v>39052</c:v>
                </c:pt>
                <c:pt idx="68">
                  <c:v>39083</c:v>
                </c:pt>
                <c:pt idx="69">
                  <c:v>39114</c:v>
                </c:pt>
                <c:pt idx="70">
                  <c:v>39142</c:v>
                </c:pt>
                <c:pt idx="71">
                  <c:v>39173</c:v>
                </c:pt>
                <c:pt idx="72">
                  <c:v>39203</c:v>
                </c:pt>
                <c:pt idx="73">
                  <c:v>39234</c:v>
                </c:pt>
                <c:pt idx="74">
                  <c:v>39264</c:v>
                </c:pt>
                <c:pt idx="75">
                  <c:v>39295</c:v>
                </c:pt>
                <c:pt idx="76">
                  <c:v>39326</c:v>
                </c:pt>
                <c:pt idx="77">
                  <c:v>39356</c:v>
                </c:pt>
                <c:pt idx="78">
                  <c:v>39387</c:v>
                </c:pt>
                <c:pt idx="79">
                  <c:v>39417</c:v>
                </c:pt>
                <c:pt idx="80">
                  <c:v>39448</c:v>
                </c:pt>
                <c:pt idx="81">
                  <c:v>39479</c:v>
                </c:pt>
                <c:pt idx="82">
                  <c:v>39508</c:v>
                </c:pt>
                <c:pt idx="83">
                  <c:v>39539</c:v>
                </c:pt>
                <c:pt idx="84">
                  <c:v>39569</c:v>
                </c:pt>
                <c:pt idx="85">
                  <c:v>39600</c:v>
                </c:pt>
                <c:pt idx="86">
                  <c:v>39630</c:v>
                </c:pt>
                <c:pt idx="87">
                  <c:v>39661</c:v>
                </c:pt>
                <c:pt idx="88">
                  <c:v>39692</c:v>
                </c:pt>
                <c:pt idx="89">
                  <c:v>39722</c:v>
                </c:pt>
                <c:pt idx="90">
                  <c:v>39753</c:v>
                </c:pt>
                <c:pt idx="91">
                  <c:v>39783</c:v>
                </c:pt>
                <c:pt idx="92">
                  <c:v>39814</c:v>
                </c:pt>
                <c:pt idx="93">
                  <c:v>39845</c:v>
                </c:pt>
                <c:pt idx="94">
                  <c:v>39873</c:v>
                </c:pt>
                <c:pt idx="95">
                  <c:v>39904</c:v>
                </c:pt>
                <c:pt idx="96">
                  <c:v>39934</c:v>
                </c:pt>
                <c:pt idx="97">
                  <c:v>39965</c:v>
                </c:pt>
                <c:pt idx="98">
                  <c:v>39995</c:v>
                </c:pt>
                <c:pt idx="99">
                  <c:v>40026</c:v>
                </c:pt>
                <c:pt idx="100">
                  <c:v>40057</c:v>
                </c:pt>
                <c:pt idx="101">
                  <c:v>40087</c:v>
                </c:pt>
                <c:pt idx="102">
                  <c:v>40118</c:v>
                </c:pt>
                <c:pt idx="103">
                  <c:v>40148</c:v>
                </c:pt>
                <c:pt idx="104">
                  <c:v>40179</c:v>
                </c:pt>
                <c:pt idx="105">
                  <c:v>40210</c:v>
                </c:pt>
                <c:pt idx="106">
                  <c:v>40238</c:v>
                </c:pt>
                <c:pt idx="107">
                  <c:v>40269</c:v>
                </c:pt>
                <c:pt idx="108">
                  <c:v>40299</c:v>
                </c:pt>
                <c:pt idx="109">
                  <c:v>40330</c:v>
                </c:pt>
                <c:pt idx="110">
                  <c:v>40360</c:v>
                </c:pt>
                <c:pt idx="111">
                  <c:v>40391</c:v>
                </c:pt>
                <c:pt idx="112">
                  <c:v>40422</c:v>
                </c:pt>
                <c:pt idx="113">
                  <c:v>40452</c:v>
                </c:pt>
                <c:pt idx="114">
                  <c:v>40483</c:v>
                </c:pt>
                <c:pt idx="115">
                  <c:v>40513</c:v>
                </c:pt>
                <c:pt idx="116">
                  <c:v>40544</c:v>
                </c:pt>
                <c:pt idx="117">
                  <c:v>40575</c:v>
                </c:pt>
                <c:pt idx="118">
                  <c:v>40603</c:v>
                </c:pt>
                <c:pt idx="119">
                  <c:v>40634</c:v>
                </c:pt>
                <c:pt idx="120">
                  <c:v>40664</c:v>
                </c:pt>
                <c:pt idx="121">
                  <c:v>40695</c:v>
                </c:pt>
                <c:pt idx="122">
                  <c:v>40725</c:v>
                </c:pt>
                <c:pt idx="123">
                  <c:v>40756</c:v>
                </c:pt>
                <c:pt idx="124">
                  <c:v>40787</c:v>
                </c:pt>
                <c:pt idx="125">
                  <c:v>40817</c:v>
                </c:pt>
                <c:pt idx="126">
                  <c:v>40848</c:v>
                </c:pt>
                <c:pt idx="127">
                  <c:v>40878</c:v>
                </c:pt>
                <c:pt idx="128">
                  <c:v>40909</c:v>
                </c:pt>
                <c:pt idx="129">
                  <c:v>40940</c:v>
                </c:pt>
                <c:pt idx="130">
                  <c:v>40969</c:v>
                </c:pt>
                <c:pt idx="131">
                  <c:v>41000</c:v>
                </c:pt>
                <c:pt idx="132">
                  <c:v>41030</c:v>
                </c:pt>
                <c:pt idx="133">
                  <c:v>41061</c:v>
                </c:pt>
                <c:pt idx="134">
                  <c:v>41091</c:v>
                </c:pt>
                <c:pt idx="135">
                  <c:v>41122</c:v>
                </c:pt>
                <c:pt idx="136">
                  <c:v>41153</c:v>
                </c:pt>
                <c:pt idx="137">
                  <c:v>41183</c:v>
                </c:pt>
                <c:pt idx="138">
                  <c:v>41214</c:v>
                </c:pt>
                <c:pt idx="139">
                  <c:v>41244</c:v>
                </c:pt>
                <c:pt idx="140">
                  <c:v>41275</c:v>
                </c:pt>
                <c:pt idx="141">
                  <c:v>41306</c:v>
                </c:pt>
                <c:pt idx="142">
                  <c:v>41334</c:v>
                </c:pt>
                <c:pt idx="143">
                  <c:v>41365</c:v>
                </c:pt>
                <c:pt idx="144">
                  <c:v>41395</c:v>
                </c:pt>
                <c:pt idx="145">
                  <c:v>41426</c:v>
                </c:pt>
                <c:pt idx="146">
                  <c:v>41456</c:v>
                </c:pt>
                <c:pt idx="147">
                  <c:v>41487</c:v>
                </c:pt>
                <c:pt idx="148">
                  <c:v>41518</c:v>
                </c:pt>
                <c:pt idx="149">
                  <c:v>41548</c:v>
                </c:pt>
                <c:pt idx="150">
                  <c:v>41579</c:v>
                </c:pt>
                <c:pt idx="151">
                  <c:v>41609</c:v>
                </c:pt>
                <c:pt idx="152">
                  <c:v>41640</c:v>
                </c:pt>
                <c:pt idx="153">
                  <c:v>41671</c:v>
                </c:pt>
                <c:pt idx="154">
                  <c:v>41699</c:v>
                </c:pt>
                <c:pt idx="155">
                  <c:v>41730</c:v>
                </c:pt>
                <c:pt idx="156">
                  <c:v>41760</c:v>
                </c:pt>
                <c:pt idx="157">
                  <c:v>41791</c:v>
                </c:pt>
                <c:pt idx="158">
                  <c:v>41821</c:v>
                </c:pt>
                <c:pt idx="159">
                  <c:v>41852</c:v>
                </c:pt>
                <c:pt idx="160">
                  <c:v>41883</c:v>
                </c:pt>
                <c:pt idx="161">
                  <c:v>41913</c:v>
                </c:pt>
                <c:pt idx="162">
                  <c:v>41944</c:v>
                </c:pt>
                <c:pt idx="163">
                  <c:v>41974</c:v>
                </c:pt>
                <c:pt idx="164">
                  <c:v>42005</c:v>
                </c:pt>
                <c:pt idx="165">
                  <c:v>42036</c:v>
                </c:pt>
                <c:pt idx="166">
                  <c:v>42064</c:v>
                </c:pt>
                <c:pt idx="167">
                  <c:v>42095</c:v>
                </c:pt>
                <c:pt idx="168">
                  <c:v>42125</c:v>
                </c:pt>
                <c:pt idx="169">
                  <c:v>42156</c:v>
                </c:pt>
                <c:pt idx="170">
                  <c:v>42186</c:v>
                </c:pt>
                <c:pt idx="171">
                  <c:v>42217</c:v>
                </c:pt>
                <c:pt idx="172">
                  <c:v>42248</c:v>
                </c:pt>
                <c:pt idx="173">
                  <c:v>42278</c:v>
                </c:pt>
                <c:pt idx="174">
                  <c:v>42309</c:v>
                </c:pt>
                <c:pt idx="175">
                  <c:v>42339</c:v>
                </c:pt>
                <c:pt idx="176">
                  <c:v>42370</c:v>
                </c:pt>
                <c:pt idx="177">
                  <c:v>42401</c:v>
                </c:pt>
                <c:pt idx="178">
                  <c:v>42430</c:v>
                </c:pt>
                <c:pt idx="179">
                  <c:v>42461</c:v>
                </c:pt>
                <c:pt idx="180">
                  <c:v>42491</c:v>
                </c:pt>
                <c:pt idx="181">
                  <c:v>42522</c:v>
                </c:pt>
                <c:pt idx="182">
                  <c:v>42552</c:v>
                </c:pt>
                <c:pt idx="183">
                  <c:v>42583</c:v>
                </c:pt>
                <c:pt idx="184">
                  <c:v>42614</c:v>
                </c:pt>
                <c:pt idx="185">
                  <c:v>42644</c:v>
                </c:pt>
                <c:pt idx="186">
                  <c:v>42675</c:v>
                </c:pt>
                <c:pt idx="187">
                  <c:v>42705</c:v>
                </c:pt>
                <c:pt idx="188">
                  <c:v>42736</c:v>
                </c:pt>
                <c:pt idx="189">
                  <c:v>42767</c:v>
                </c:pt>
                <c:pt idx="190">
                  <c:v>42795</c:v>
                </c:pt>
                <c:pt idx="191">
                  <c:v>42826</c:v>
                </c:pt>
                <c:pt idx="192">
                  <c:v>42856</c:v>
                </c:pt>
                <c:pt idx="193">
                  <c:v>42887</c:v>
                </c:pt>
                <c:pt idx="194">
                  <c:v>42917</c:v>
                </c:pt>
                <c:pt idx="195">
                  <c:v>42948</c:v>
                </c:pt>
                <c:pt idx="196">
                  <c:v>42979</c:v>
                </c:pt>
                <c:pt idx="197">
                  <c:v>43009</c:v>
                </c:pt>
                <c:pt idx="198">
                  <c:v>43040</c:v>
                </c:pt>
                <c:pt idx="199">
                  <c:v>43070</c:v>
                </c:pt>
                <c:pt idx="200">
                  <c:v>43101</c:v>
                </c:pt>
                <c:pt idx="201">
                  <c:v>43132</c:v>
                </c:pt>
                <c:pt idx="202">
                  <c:v>43160</c:v>
                </c:pt>
                <c:pt idx="203">
                  <c:v>43191</c:v>
                </c:pt>
                <c:pt idx="204">
                  <c:v>43221</c:v>
                </c:pt>
                <c:pt idx="205">
                  <c:v>43252</c:v>
                </c:pt>
                <c:pt idx="206">
                  <c:v>43282</c:v>
                </c:pt>
                <c:pt idx="207">
                  <c:v>43313</c:v>
                </c:pt>
                <c:pt idx="208">
                  <c:v>43344</c:v>
                </c:pt>
                <c:pt idx="209">
                  <c:v>43374</c:v>
                </c:pt>
                <c:pt idx="210">
                  <c:v>43405</c:v>
                </c:pt>
                <c:pt idx="211">
                  <c:v>43435</c:v>
                </c:pt>
                <c:pt idx="212">
                  <c:v>43466</c:v>
                </c:pt>
                <c:pt idx="213">
                  <c:v>43497</c:v>
                </c:pt>
                <c:pt idx="214">
                  <c:v>43525</c:v>
                </c:pt>
                <c:pt idx="215">
                  <c:v>43556</c:v>
                </c:pt>
                <c:pt idx="216">
                  <c:v>43586</c:v>
                </c:pt>
                <c:pt idx="217">
                  <c:v>43617</c:v>
                </c:pt>
                <c:pt idx="218">
                  <c:v>43647</c:v>
                </c:pt>
                <c:pt idx="219">
                  <c:v>43678</c:v>
                </c:pt>
                <c:pt idx="220">
                  <c:v>43709</c:v>
                </c:pt>
                <c:pt idx="221">
                  <c:v>43739</c:v>
                </c:pt>
                <c:pt idx="222">
                  <c:v>43770</c:v>
                </c:pt>
                <c:pt idx="223">
                  <c:v>43800</c:v>
                </c:pt>
                <c:pt idx="224">
                  <c:v>43831</c:v>
                </c:pt>
                <c:pt idx="225">
                  <c:v>43862</c:v>
                </c:pt>
                <c:pt idx="226">
                  <c:v>43891</c:v>
                </c:pt>
                <c:pt idx="227">
                  <c:v>43922</c:v>
                </c:pt>
                <c:pt idx="228">
                  <c:v>43952</c:v>
                </c:pt>
                <c:pt idx="229">
                  <c:v>43983</c:v>
                </c:pt>
                <c:pt idx="230">
                  <c:v>44013</c:v>
                </c:pt>
                <c:pt idx="231">
                  <c:v>44044</c:v>
                </c:pt>
                <c:pt idx="232">
                  <c:v>44075</c:v>
                </c:pt>
                <c:pt idx="233">
                  <c:v>44105</c:v>
                </c:pt>
                <c:pt idx="234">
                  <c:v>44136</c:v>
                </c:pt>
                <c:pt idx="235">
                  <c:v>44166</c:v>
                </c:pt>
                <c:pt idx="236">
                  <c:v>44197</c:v>
                </c:pt>
                <c:pt idx="237">
                  <c:v>44228</c:v>
                </c:pt>
                <c:pt idx="238">
                  <c:v>44256</c:v>
                </c:pt>
                <c:pt idx="239">
                  <c:v>44287</c:v>
                </c:pt>
                <c:pt idx="240">
                  <c:v>44317</c:v>
                </c:pt>
                <c:pt idx="241">
                  <c:v>44348</c:v>
                </c:pt>
                <c:pt idx="242">
                  <c:v>44378</c:v>
                </c:pt>
                <c:pt idx="243">
                  <c:v>44409</c:v>
                </c:pt>
              </c:numCache>
            </c:numRef>
          </c:cat>
          <c:val>
            <c:numRef>
              <c:f>ADP!$C$6:$C$249</c:f>
              <c:numCache>
                <c:formatCode>0.00</c:formatCode>
                <c:ptCount val="244"/>
                <c:pt idx="0">
                  <c:v>-53</c:v>
                </c:pt>
                <c:pt idx="1">
                  <c:v>-111</c:v>
                </c:pt>
                <c:pt idx="2">
                  <c:v>-122</c:v>
                </c:pt>
                <c:pt idx="3">
                  <c:v>-149</c:v>
                </c:pt>
                <c:pt idx="4">
                  <c:v>-257</c:v>
                </c:pt>
                <c:pt idx="5">
                  <c:v>-317</c:v>
                </c:pt>
                <c:pt idx="6">
                  <c:v>-312</c:v>
                </c:pt>
                <c:pt idx="7">
                  <c:v>-160</c:v>
                </c:pt>
                <c:pt idx="8">
                  <c:v>-130</c:v>
                </c:pt>
                <c:pt idx="9">
                  <c:v>-116</c:v>
                </c:pt>
                <c:pt idx="10">
                  <c:v>-19</c:v>
                </c:pt>
                <c:pt idx="11">
                  <c:v>-94</c:v>
                </c:pt>
                <c:pt idx="12">
                  <c:v>11</c:v>
                </c:pt>
                <c:pt idx="13">
                  <c:v>50</c:v>
                </c:pt>
                <c:pt idx="14">
                  <c:v>-94</c:v>
                </c:pt>
                <c:pt idx="15">
                  <c:v>-3</c:v>
                </c:pt>
                <c:pt idx="16">
                  <c:v>-86</c:v>
                </c:pt>
                <c:pt idx="17">
                  <c:v>127</c:v>
                </c:pt>
                <c:pt idx="18">
                  <c:v>-13</c:v>
                </c:pt>
                <c:pt idx="19">
                  <c:v>-143</c:v>
                </c:pt>
                <c:pt idx="20">
                  <c:v>108</c:v>
                </c:pt>
                <c:pt idx="21">
                  <c:v>-136</c:v>
                </c:pt>
                <c:pt idx="22">
                  <c:v>-212</c:v>
                </c:pt>
                <c:pt idx="23">
                  <c:v>-55</c:v>
                </c:pt>
                <c:pt idx="24">
                  <c:v>19</c:v>
                </c:pt>
                <c:pt idx="25">
                  <c:v>-2</c:v>
                </c:pt>
                <c:pt idx="26">
                  <c:v>-3</c:v>
                </c:pt>
                <c:pt idx="27">
                  <c:v>-42</c:v>
                </c:pt>
                <c:pt idx="28">
                  <c:v>105</c:v>
                </c:pt>
                <c:pt idx="29">
                  <c:v>200</c:v>
                </c:pt>
                <c:pt idx="30">
                  <c:v>20</c:v>
                </c:pt>
                <c:pt idx="31">
                  <c:v>114</c:v>
                </c:pt>
                <c:pt idx="32">
                  <c:v>181</c:v>
                </c:pt>
                <c:pt idx="33">
                  <c:v>56</c:v>
                </c:pt>
                <c:pt idx="34">
                  <c:v>317</c:v>
                </c:pt>
                <c:pt idx="35">
                  <c:v>269</c:v>
                </c:pt>
                <c:pt idx="36">
                  <c:v>283</c:v>
                </c:pt>
                <c:pt idx="37">
                  <c:v>99</c:v>
                </c:pt>
                <c:pt idx="38">
                  <c:v>55</c:v>
                </c:pt>
                <c:pt idx="39">
                  <c:v>89</c:v>
                </c:pt>
                <c:pt idx="40">
                  <c:v>156</c:v>
                </c:pt>
                <c:pt idx="41">
                  <c:v>354</c:v>
                </c:pt>
                <c:pt idx="42">
                  <c:v>56</c:v>
                </c:pt>
                <c:pt idx="43">
                  <c:v>121</c:v>
                </c:pt>
                <c:pt idx="44">
                  <c:v>150</c:v>
                </c:pt>
                <c:pt idx="45">
                  <c:v>258</c:v>
                </c:pt>
                <c:pt idx="46">
                  <c:v>124</c:v>
                </c:pt>
                <c:pt idx="47">
                  <c:v>362</c:v>
                </c:pt>
                <c:pt idx="48">
                  <c:v>172</c:v>
                </c:pt>
                <c:pt idx="49">
                  <c:v>252</c:v>
                </c:pt>
                <c:pt idx="50">
                  <c:v>354</c:v>
                </c:pt>
                <c:pt idx="51">
                  <c:v>202</c:v>
                </c:pt>
                <c:pt idx="52">
                  <c:v>68</c:v>
                </c:pt>
                <c:pt idx="53">
                  <c:v>89</c:v>
                </c:pt>
                <c:pt idx="54">
                  <c:v>338</c:v>
                </c:pt>
                <c:pt idx="55">
                  <c:v>156</c:v>
                </c:pt>
                <c:pt idx="56">
                  <c:v>280</c:v>
                </c:pt>
                <c:pt idx="57">
                  <c:v>308</c:v>
                </c:pt>
                <c:pt idx="58">
                  <c:v>310</c:v>
                </c:pt>
                <c:pt idx="59">
                  <c:v>158</c:v>
                </c:pt>
                <c:pt idx="60">
                  <c:v>39</c:v>
                </c:pt>
                <c:pt idx="61">
                  <c:v>81</c:v>
                </c:pt>
                <c:pt idx="62">
                  <c:v>195</c:v>
                </c:pt>
                <c:pt idx="63">
                  <c:v>174</c:v>
                </c:pt>
                <c:pt idx="64">
                  <c:v>149</c:v>
                </c:pt>
                <c:pt idx="65">
                  <c:v>9</c:v>
                </c:pt>
                <c:pt idx="66">
                  <c:v>211</c:v>
                </c:pt>
                <c:pt idx="67">
                  <c:v>186</c:v>
                </c:pt>
                <c:pt idx="68">
                  <c:v>228</c:v>
                </c:pt>
                <c:pt idx="69">
                  <c:v>81</c:v>
                </c:pt>
                <c:pt idx="70">
                  <c:v>235</c:v>
                </c:pt>
                <c:pt idx="71">
                  <c:v>49</c:v>
                </c:pt>
                <c:pt idx="72">
                  <c:v>151</c:v>
                </c:pt>
                <c:pt idx="73">
                  <c:v>76</c:v>
                </c:pt>
                <c:pt idx="74">
                  <c:v>-31</c:v>
                </c:pt>
                <c:pt idx="75">
                  <c:v>-23</c:v>
                </c:pt>
                <c:pt idx="76">
                  <c:v>80</c:v>
                </c:pt>
                <c:pt idx="77">
                  <c:v>79</c:v>
                </c:pt>
                <c:pt idx="78">
                  <c:v>110</c:v>
                </c:pt>
                <c:pt idx="79">
                  <c:v>108</c:v>
                </c:pt>
                <c:pt idx="80">
                  <c:v>11</c:v>
                </c:pt>
                <c:pt idx="81">
                  <c:v>-79</c:v>
                </c:pt>
                <c:pt idx="82">
                  <c:v>-49</c:v>
                </c:pt>
                <c:pt idx="83">
                  <c:v>-240</c:v>
                </c:pt>
                <c:pt idx="84">
                  <c:v>-177</c:v>
                </c:pt>
                <c:pt idx="85">
                  <c:v>-171</c:v>
                </c:pt>
                <c:pt idx="86">
                  <c:v>-196</c:v>
                </c:pt>
                <c:pt idx="87">
                  <c:v>-278</c:v>
                </c:pt>
                <c:pt idx="88">
                  <c:v>-460</c:v>
                </c:pt>
                <c:pt idx="89">
                  <c:v>-481</c:v>
                </c:pt>
                <c:pt idx="90">
                  <c:v>-727</c:v>
                </c:pt>
                <c:pt idx="91">
                  <c:v>-706</c:v>
                </c:pt>
                <c:pt idx="92">
                  <c:v>-784</c:v>
                </c:pt>
                <c:pt idx="93">
                  <c:v>-743</c:v>
                </c:pt>
                <c:pt idx="94">
                  <c:v>-800</c:v>
                </c:pt>
                <c:pt idx="95">
                  <c:v>-695</c:v>
                </c:pt>
                <c:pt idx="96">
                  <c:v>-342</c:v>
                </c:pt>
                <c:pt idx="97">
                  <c:v>-467</c:v>
                </c:pt>
                <c:pt idx="98">
                  <c:v>-340</c:v>
                </c:pt>
                <c:pt idx="99">
                  <c:v>-183</c:v>
                </c:pt>
                <c:pt idx="100">
                  <c:v>-241</c:v>
                </c:pt>
                <c:pt idx="101">
                  <c:v>-199</c:v>
                </c:pt>
                <c:pt idx="102">
                  <c:v>12</c:v>
                </c:pt>
                <c:pt idx="103">
                  <c:v>-269</c:v>
                </c:pt>
                <c:pt idx="104">
                  <c:v>2</c:v>
                </c:pt>
                <c:pt idx="105">
                  <c:v>-92</c:v>
                </c:pt>
                <c:pt idx="106">
                  <c:v>181</c:v>
                </c:pt>
                <c:pt idx="107">
                  <c:v>231</c:v>
                </c:pt>
                <c:pt idx="108">
                  <c:v>540</c:v>
                </c:pt>
                <c:pt idx="109">
                  <c:v>-139</c:v>
                </c:pt>
                <c:pt idx="110">
                  <c:v>-84</c:v>
                </c:pt>
                <c:pt idx="111">
                  <c:v>-5</c:v>
                </c:pt>
                <c:pt idx="112">
                  <c:v>-65</c:v>
                </c:pt>
                <c:pt idx="113">
                  <c:v>268</c:v>
                </c:pt>
                <c:pt idx="114">
                  <c:v>125</c:v>
                </c:pt>
                <c:pt idx="115">
                  <c:v>72</c:v>
                </c:pt>
                <c:pt idx="116">
                  <c:v>19</c:v>
                </c:pt>
                <c:pt idx="117">
                  <c:v>212</c:v>
                </c:pt>
                <c:pt idx="118">
                  <c:v>235</c:v>
                </c:pt>
                <c:pt idx="119">
                  <c:v>314</c:v>
                </c:pt>
                <c:pt idx="120">
                  <c:v>101</c:v>
                </c:pt>
                <c:pt idx="121">
                  <c:v>236</c:v>
                </c:pt>
                <c:pt idx="122">
                  <c:v>60</c:v>
                </c:pt>
                <c:pt idx="123">
                  <c:v>126</c:v>
                </c:pt>
                <c:pt idx="124">
                  <c:v>233</c:v>
                </c:pt>
                <c:pt idx="125">
                  <c:v>204</c:v>
                </c:pt>
                <c:pt idx="126">
                  <c:v>132</c:v>
                </c:pt>
                <c:pt idx="127">
                  <c:v>202</c:v>
                </c:pt>
                <c:pt idx="128">
                  <c:v>354</c:v>
                </c:pt>
                <c:pt idx="129">
                  <c:v>262</c:v>
                </c:pt>
                <c:pt idx="130">
                  <c:v>240</c:v>
                </c:pt>
                <c:pt idx="131">
                  <c:v>82</c:v>
                </c:pt>
                <c:pt idx="132">
                  <c:v>100</c:v>
                </c:pt>
                <c:pt idx="133">
                  <c:v>73</c:v>
                </c:pt>
                <c:pt idx="134">
                  <c:v>152</c:v>
                </c:pt>
                <c:pt idx="135">
                  <c:v>172</c:v>
                </c:pt>
                <c:pt idx="136">
                  <c:v>187</c:v>
                </c:pt>
                <c:pt idx="137">
                  <c:v>159</c:v>
                </c:pt>
                <c:pt idx="138">
                  <c:v>156</c:v>
                </c:pt>
                <c:pt idx="139">
                  <c:v>239</c:v>
                </c:pt>
                <c:pt idx="140">
                  <c:v>191</c:v>
                </c:pt>
                <c:pt idx="141">
                  <c:v>278</c:v>
                </c:pt>
                <c:pt idx="142">
                  <c:v>139</c:v>
                </c:pt>
                <c:pt idx="143">
                  <c:v>191</c:v>
                </c:pt>
                <c:pt idx="144">
                  <c:v>222</c:v>
                </c:pt>
                <c:pt idx="145">
                  <c:v>181</c:v>
                </c:pt>
                <c:pt idx="146">
                  <c:v>112</c:v>
                </c:pt>
                <c:pt idx="147">
                  <c:v>242</c:v>
                </c:pt>
                <c:pt idx="148">
                  <c:v>187</c:v>
                </c:pt>
                <c:pt idx="149">
                  <c:v>225</c:v>
                </c:pt>
                <c:pt idx="150">
                  <c:v>264</c:v>
                </c:pt>
                <c:pt idx="151">
                  <c:v>69</c:v>
                </c:pt>
                <c:pt idx="152">
                  <c:v>175</c:v>
                </c:pt>
                <c:pt idx="153">
                  <c:v>166</c:v>
                </c:pt>
                <c:pt idx="154">
                  <c:v>254</c:v>
                </c:pt>
                <c:pt idx="155">
                  <c:v>325</c:v>
                </c:pt>
                <c:pt idx="156">
                  <c:v>218</c:v>
                </c:pt>
                <c:pt idx="157">
                  <c:v>326</c:v>
                </c:pt>
                <c:pt idx="158">
                  <c:v>232</c:v>
                </c:pt>
                <c:pt idx="159">
                  <c:v>188</c:v>
                </c:pt>
                <c:pt idx="160">
                  <c:v>309</c:v>
                </c:pt>
                <c:pt idx="161">
                  <c:v>252</c:v>
                </c:pt>
                <c:pt idx="162">
                  <c:v>291</c:v>
                </c:pt>
                <c:pt idx="163">
                  <c:v>268</c:v>
                </c:pt>
                <c:pt idx="164">
                  <c:v>191</c:v>
                </c:pt>
                <c:pt idx="165">
                  <c:v>271</c:v>
                </c:pt>
                <c:pt idx="166">
                  <c:v>71</c:v>
                </c:pt>
                <c:pt idx="167">
                  <c:v>284</c:v>
                </c:pt>
                <c:pt idx="168">
                  <c:v>331</c:v>
                </c:pt>
                <c:pt idx="169">
                  <c:v>174</c:v>
                </c:pt>
                <c:pt idx="170">
                  <c:v>302</c:v>
                </c:pt>
                <c:pt idx="171">
                  <c:v>125</c:v>
                </c:pt>
                <c:pt idx="172">
                  <c:v>155</c:v>
                </c:pt>
                <c:pt idx="173">
                  <c:v>306</c:v>
                </c:pt>
                <c:pt idx="174">
                  <c:v>237</c:v>
                </c:pt>
                <c:pt idx="175">
                  <c:v>273</c:v>
                </c:pt>
                <c:pt idx="176">
                  <c:v>108</c:v>
                </c:pt>
                <c:pt idx="177">
                  <c:v>212</c:v>
                </c:pt>
                <c:pt idx="178">
                  <c:v>237</c:v>
                </c:pt>
                <c:pt idx="179">
                  <c:v>197</c:v>
                </c:pt>
                <c:pt idx="180">
                  <c:v>41</c:v>
                </c:pt>
                <c:pt idx="181">
                  <c:v>258</c:v>
                </c:pt>
                <c:pt idx="182">
                  <c:v>371</c:v>
                </c:pt>
                <c:pt idx="183">
                  <c:v>143</c:v>
                </c:pt>
                <c:pt idx="184">
                  <c:v>289</c:v>
                </c:pt>
                <c:pt idx="185">
                  <c:v>118</c:v>
                </c:pt>
                <c:pt idx="186">
                  <c:v>130</c:v>
                </c:pt>
                <c:pt idx="187">
                  <c:v>214</c:v>
                </c:pt>
                <c:pt idx="188">
                  <c:v>197</c:v>
                </c:pt>
                <c:pt idx="189">
                  <c:v>183</c:v>
                </c:pt>
                <c:pt idx="190">
                  <c:v>139</c:v>
                </c:pt>
                <c:pt idx="191">
                  <c:v>220</c:v>
                </c:pt>
                <c:pt idx="192">
                  <c:v>141</c:v>
                </c:pt>
                <c:pt idx="193">
                  <c:v>211</c:v>
                </c:pt>
                <c:pt idx="194">
                  <c:v>228</c:v>
                </c:pt>
                <c:pt idx="195">
                  <c:v>190</c:v>
                </c:pt>
                <c:pt idx="196">
                  <c:v>42</c:v>
                </c:pt>
                <c:pt idx="197">
                  <c:v>249</c:v>
                </c:pt>
                <c:pt idx="198">
                  <c:v>196</c:v>
                </c:pt>
                <c:pt idx="199">
                  <c:v>179</c:v>
                </c:pt>
                <c:pt idx="200">
                  <c:v>81</c:v>
                </c:pt>
                <c:pt idx="201">
                  <c:v>378</c:v>
                </c:pt>
                <c:pt idx="202">
                  <c:v>195</c:v>
                </c:pt>
                <c:pt idx="203">
                  <c:v>153</c:v>
                </c:pt>
                <c:pt idx="204">
                  <c:v>270</c:v>
                </c:pt>
                <c:pt idx="205">
                  <c:v>214</c:v>
                </c:pt>
                <c:pt idx="206">
                  <c:v>149</c:v>
                </c:pt>
                <c:pt idx="207">
                  <c:v>229</c:v>
                </c:pt>
                <c:pt idx="208">
                  <c:v>105</c:v>
                </c:pt>
                <c:pt idx="209">
                  <c:v>212</c:v>
                </c:pt>
                <c:pt idx="210">
                  <c:v>92</c:v>
                </c:pt>
                <c:pt idx="211">
                  <c:v>240</c:v>
                </c:pt>
                <c:pt idx="212">
                  <c:v>237</c:v>
                </c:pt>
                <c:pt idx="213">
                  <c:v>-50</c:v>
                </c:pt>
                <c:pt idx="214">
                  <c:v>168</c:v>
                </c:pt>
                <c:pt idx="215">
                  <c:v>219</c:v>
                </c:pt>
                <c:pt idx="216">
                  <c:v>63</c:v>
                </c:pt>
                <c:pt idx="217">
                  <c:v>175</c:v>
                </c:pt>
                <c:pt idx="218">
                  <c:v>193</c:v>
                </c:pt>
                <c:pt idx="219">
                  <c:v>195</c:v>
                </c:pt>
                <c:pt idx="220">
                  <c:v>221</c:v>
                </c:pt>
                <c:pt idx="221">
                  <c:v>195</c:v>
                </c:pt>
                <c:pt idx="222">
                  <c:v>234</c:v>
                </c:pt>
                <c:pt idx="223">
                  <c:v>161</c:v>
                </c:pt>
                <c:pt idx="224">
                  <c:v>315</c:v>
                </c:pt>
                <c:pt idx="225">
                  <c:v>289</c:v>
                </c:pt>
                <c:pt idx="226">
                  <c:v>-1683</c:v>
                </c:pt>
                <c:pt idx="227">
                  <c:v>-20679</c:v>
                </c:pt>
                <c:pt idx="228">
                  <c:v>2833</c:v>
                </c:pt>
                <c:pt idx="229">
                  <c:v>4846</c:v>
                </c:pt>
                <c:pt idx="230">
                  <c:v>1726</c:v>
                </c:pt>
                <c:pt idx="231">
                  <c:v>1583</c:v>
                </c:pt>
                <c:pt idx="232">
                  <c:v>716</c:v>
                </c:pt>
                <c:pt idx="233">
                  <c:v>680</c:v>
                </c:pt>
                <c:pt idx="234">
                  <c:v>264</c:v>
                </c:pt>
                <c:pt idx="235">
                  <c:v>-306</c:v>
                </c:pt>
                <c:pt idx="236">
                  <c:v>233</c:v>
                </c:pt>
                <c:pt idx="237">
                  <c:v>536</c:v>
                </c:pt>
                <c:pt idx="238">
                  <c:v>785</c:v>
                </c:pt>
                <c:pt idx="239">
                  <c:v>269</c:v>
                </c:pt>
                <c:pt idx="240">
                  <c:v>614</c:v>
                </c:pt>
                <c:pt idx="241">
                  <c:v>962</c:v>
                </c:pt>
                <c:pt idx="242">
                  <c:v>1091</c:v>
                </c:pt>
                <c:pt idx="243">
                  <c:v>483</c:v>
                </c:pt>
              </c:numCache>
            </c:numRef>
          </c:val>
          <c:smooth val="0"/>
          <c:extLst>
            <c:ext xmlns:c16="http://schemas.microsoft.com/office/drawing/2014/chart" uri="{C3380CC4-5D6E-409C-BE32-E72D297353CC}">
              <c16:uniqueId val="{00000001-1ABE-7F46-BE16-69739C4376ED}"/>
            </c:ext>
          </c:extLst>
        </c:ser>
        <c:dLbls>
          <c:showLegendKey val="0"/>
          <c:showVal val="0"/>
          <c:showCatName val="0"/>
          <c:showSerName val="0"/>
          <c:showPercent val="0"/>
          <c:showBubbleSize val="0"/>
        </c:dLbls>
        <c:smooth val="0"/>
        <c:axId val="896756728"/>
        <c:axId val="896754432"/>
      </c:lineChart>
      <c:dateAx>
        <c:axId val="896756728"/>
        <c:scaling>
          <c:orientation val="minMax"/>
        </c:scaling>
        <c:delete val="0"/>
        <c:axPos val="b"/>
        <c:numFmt formatCode="m/d/yy" sourceLinked="1"/>
        <c:majorTickMark val="none"/>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4432"/>
        <c:crosses val="autoZero"/>
        <c:auto val="0"/>
        <c:lblOffset val="100"/>
        <c:baseTimeUnit val="months"/>
      </c:dateAx>
      <c:valAx>
        <c:axId val="896754432"/>
        <c:scaling>
          <c:orientation val="minMax"/>
          <c:max val="4000"/>
          <c:min val="-22000"/>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67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13</xdr:col>
      <xdr:colOff>38099</xdr:colOff>
      <xdr:row>1</xdr:row>
      <xdr:rowOff>152400</xdr:rowOff>
    </xdr:from>
    <xdr:to>
      <xdr:col>18</xdr:col>
      <xdr:colOff>695325</xdr:colOff>
      <xdr:row>6</xdr:row>
      <xdr:rowOff>2905125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8</xdr:col>
      <xdr:colOff>9525</xdr:colOff>
      <xdr:row>938</xdr:row>
      <xdr:rowOff>9524</xdr:rowOff>
    </xdr:from>
    <xdr:to>
      <xdr:col>19</xdr:col>
      <xdr:colOff>600075</xdr:colOff>
      <xdr:row>958</xdr:row>
      <xdr:rowOff>190499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1</xdr:colOff>
      <xdr:row>937</xdr:row>
      <xdr:rowOff>190499</xdr:rowOff>
    </xdr:from>
    <xdr:to>
      <xdr:col>33</xdr:col>
      <xdr:colOff>9525</xdr:colOff>
      <xdr:row>958</xdr:row>
      <xdr:rowOff>161925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542924</xdr:colOff>
      <xdr:row>957</xdr:row>
      <xdr:rowOff>95250</xdr:rowOff>
    </xdr:from>
    <xdr:to>
      <xdr:col>16</xdr:col>
      <xdr:colOff>380999</xdr:colOff>
      <xdr:row>974</xdr:row>
      <xdr:rowOff>152400</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314324</xdr:colOff>
      <xdr:row>2748</xdr:row>
      <xdr:rowOff>123824</xdr:rowOff>
    </xdr:from>
    <xdr:to>
      <xdr:col>15</xdr:col>
      <xdr:colOff>514349</xdr:colOff>
      <xdr:row>2768</xdr:row>
      <xdr:rowOff>114299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81642</xdr:colOff>
      <xdr:row>14</xdr:row>
      <xdr:rowOff>187779</xdr:rowOff>
    </xdr:from>
    <xdr:to>
      <xdr:col>10</xdr:col>
      <xdr:colOff>68035</xdr:colOff>
      <xdr:row>31</xdr:row>
      <xdr:rowOff>187779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476249</xdr:colOff>
      <xdr:row>15</xdr:row>
      <xdr:rowOff>40821</xdr:rowOff>
    </xdr:from>
    <xdr:to>
      <xdr:col>20</xdr:col>
      <xdr:colOff>462641</xdr:colOff>
      <xdr:row>32</xdr:row>
      <xdr:rowOff>40821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72118</xdr:colOff>
      <xdr:row>32</xdr:row>
      <xdr:rowOff>176892</xdr:rowOff>
    </xdr:from>
    <xdr:to>
      <xdr:col>10</xdr:col>
      <xdr:colOff>91169</xdr:colOff>
      <xdr:row>51</xdr:row>
      <xdr:rowOff>129267</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462643</xdr:colOff>
      <xdr:row>32</xdr:row>
      <xdr:rowOff>176893</xdr:rowOff>
    </xdr:from>
    <xdr:to>
      <xdr:col>20</xdr:col>
      <xdr:colOff>481692</xdr:colOff>
      <xdr:row>51</xdr:row>
      <xdr:rowOff>129268</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70757</xdr:colOff>
      <xdr:row>52</xdr:row>
      <xdr:rowOff>54428</xdr:rowOff>
    </xdr:from>
    <xdr:to>
      <xdr:col>10</xdr:col>
      <xdr:colOff>108857</xdr:colOff>
      <xdr:row>71</xdr:row>
      <xdr:rowOff>121104</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470806</xdr:colOff>
      <xdr:row>52</xdr:row>
      <xdr:rowOff>88446</xdr:rowOff>
    </xdr:from>
    <xdr:to>
      <xdr:col>20</xdr:col>
      <xdr:colOff>340178</xdr:colOff>
      <xdr:row>71</xdr:row>
      <xdr:rowOff>95250</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380999</xdr:colOff>
      <xdr:row>196</xdr:row>
      <xdr:rowOff>152399</xdr:rowOff>
    </xdr:from>
    <xdr:to>
      <xdr:col>16</xdr:col>
      <xdr:colOff>466725</xdr:colOff>
      <xdr:row>219</xdr:row>
      <xdr:rowOff>66674</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1:F1003" totalsRowShown="0" headerRowDxfId="21" dataDxfId="20">
  <autoFilter ref="A11:F1003" xr:uid="{00000000-0009-0000-0100-000001000000}"/>
  <tableColumns count="6">
    <tableColumn id="1" xr3:uid="{00000000-0010-0000-0000-000001000000}" name="Date" dataDxfId="19"/>
    <tableColumn id="2" xr3:uid="{00000000-0010-0000-0000-000002000000}" name="PAYEMS" dataDxfId="18">
      <calculatedColumnFormula>VLOOKUP(Table1[[#This Row],[Date]],Database!A:D,3,)</calculatedColumnFormula>
    </tableColumn>
    <tableColumn id="4" xr3:uid="{00000000-0010-0000-0000-000004000000}" name="Monthly Change in k" dataDxfId="17">
      <calculatedColumnFormula>B12-B11</calculatedColumnFormula>
    </tableColumn>
    <tableColumn id="8" xr3:uid="{00000000-0010-0000-0000-000008000000}" name="3 months average" dataDxfId="16">
      <calculatedColumnFormula>AVERAGE(C10:C12)</calculatedColumnFormula>
    </tableColumn>
    <tableColumn id="9" xr3:uid="{00000000-0010-0000-0000-000009000000}" name="Unemployment Rate" dataDxfId="15">
      <calculatedColumnFormula>VLOOKUP(Table1[[#This Row],[Date]],#REF!,2,)</calculatedColumnFormula>
    </tableColumn>
    <tableColumn id="5" xr3:uid="{00000000-0010-0000-0000-000005000000}"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4" displayName="Table4" ref="A4:E5" totalsRowShown="0" headerRowDxfId="13" dataDxfId="12">
  <autoFilter ref="A4:E5" xr:uid="{00000000-0009-0000-0100-000002000000}"/>
  <tableColumns count="5">
    <tableColumn id="1" xr3:uid="{00000000-0010-0000-0100-000001000000}" name="Date" dataDxfId="11"/>
    <tableColumn id="2" xr3:uid="{00000000-0010-0000-0100-000002000000}" name="Initial Claims" dataDxfId="10">
      <calculatedColumnFormula>VLOOKUP(A5,'Database Claims'!$A:$C,3,)</calculatedColumnFormula>
    </tableColumn>
    <tableColumn id="3" xr3:uid="{00000000-0010-0000-0100-000003000000}" name="Var." dataDxfId="9"/>
    <tableColumn id="4" xr3:uid="{00000000-0010-0000-0100-000004000000}" name="Continued Claims" dataDxfId="8">
      <calculatedColumnFormula>VLOOKUP(A5,'Database Claims'!$A:$C,2,)</calculatedColumnFormula>
    </tableColumn>
    <tableColumn id="5" xr3:uid="{00000000-0010-0000-0100-000005000000}" name="Var. " dataDxfId="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5:C249" totalsRowShown="0" headerRowDxfId="6" dataDxfId="5">
  <autoFilter ref="A5:C249" xr:uid="{00000000-0009-0000-0100-000003000000}"/>
  <tableColumns count="3">
    <tableColumn id="1" xr3:uid="{00000000-0010-0000-0200-000001000000}" name="Date" dataDxfId="4"/>
    <tableColumn id="4" xr3:uid="{00000000-0010-0000-0200-000004000000}" name="ADP " dataDxfId="3"/>
    <tableColumn id="5" xr3:uid="{00000000-0010-0000-0200-000005000000}"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hyperlink" Target="https://uk.investing.com/economic-calendar/adp-nonfarm-employment-change-1" TargetMode="External"/><Relationship Id="rId2" Type="http://schemas.openxmlformats.org/officeDocument/2006/relationships/hyperlink" Target="https://tradingeconomics.com/united-states/adp-employment-change" TargetMode="External"/><Relationship Id="rId1" Type="http://schemas.openxmlformats.org/officeDocument/2006/relationships/hyperlink" Target="http://www.adpemploymentreport.com/" TargetMode="External"/><Relationship Id="rId5" Type="http://schemas.openxmlformats.org/officeDocument/2006/relationships/table" Target="../tables/table3.xml"/><Relationship Id="rId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tabSelected="1" workbookViewId="0">
      <selection activeCell="F36" sqref="F36"/>
    </sheetView>
  </sheetViews>
  <sheetFormatPr baseColWidth="10" defaultColWidth="9.1640625" defaultRowHeight="15" x14ac:dyDescent="0.2"/>
  <cols>
    <col min="1" max="1" width="9.1640625" style="60" customWidth="1"/>
    <col min="2" max="10" width="12.83203125" style="60" customWidth="1"/>
    <col min="11" max="13" width="3.6640625" style="60" customWidth="1"/>
    <col min="14" max="15" width="14" style="60" customWidth="1"/>
    <col min="16" max="19" width="11" style="60" customWidth="1"/>
    <col min="20" max="24" width="9.1640625" style="60" customWidth="1"/>
    <col min="25" max="16384" width="9.1640625" style="60"/>
  </cols>
  <sheetData>
    <row r="1" spans="2:19" x14ac:dyDescent="0.2">
      <c r="B1" s="71"/>
      <c r="C1" s="72"/>
      <c r="D1" s="72"/>
      <c r="E1" s="72"/>
      <c r="F1" s="72"/>
      <c r="G1" s="72"/>
      <c r="H1" s="72"/>
      <c r="I1" s="72"/>
      <c r="J1" s="72"/>
    </row>
    <row r="2" spans="2:19" ht="16" customHeight="1" thickBot="1" x14ac:dyDescent="0.25">
      <c r="B2" s="73"/>
      <c r="C2" s="73"/>
      <c r="D2" s="73"/>
      <c r="E2" s="73"/>
      <c r="F2" s="73"/>
      <c r="G2" s="73"/>
      <c r="H2" s="73"/>
      <c r="I2" s="73"/>
      <c r="J2" s="73"/>
    </row>
    <row r="3" spans="2:19" ht="16" customHeight="1" thickBot="1" x14ac:dyDescent="0.25">
      <c r="B3" s="74" t="s">
        <v>0</v>
      </c>
      <c r="C3" s="75"/>
      <c r="D3" s="75"/>
      <c r="E3" s="75"/>
      <c r="F3" s="75"/>
      <c r="G3" s="75"/>
      <c r="H3" s="75"/>
      <c r="I3" s="75"/>
      <c r="J3" s="76"/>
    </row>
    <row r="5" spans="2:19" x14ac:dyDescent="0.2">
      <c r="B5" s="77" t="s">
        <v>1</v>
      </c>
      <c r="C5" s="78"/>
      <c r="D5" s="78"/>
      <c r="E5" s="78"/>
      <c r="F5" s="78"/>
      <c r="G5" s="78"/>
      <c r="H5" s="78"/>
      <c r="I5" s="78"/>
      <c r="J5" s="68"/>
    </row>
    <row r="7" spans="2:19" ht="237.75" customHeight="1" x14ac:dyDescent="0.2">
      <c r="B7" s="79" t="s">
        <v>2</v>
      </c>
      <c r="C7" s="72"/>
      <c r="D7" s="72"/>
      <c r="E7" s="72"/>
      <c r="F7" s="72"/>
      <c r="G7" s="72"/>
      <c r="H7" s="72"/>
      <c r="I7" s="72"/>
      <c r="J7" s="72"/>
    </row>
    <row r="8" spans="2:19" x14ac:dyDescent="0.2">
      <c r="B8" s="35"/>
      <c r="C8" s="35"/>
      <c r="D8" s="35"/>
      <c r="E8" s="35"/>
    </row>
    <row r="9" spans="2:19" x14ac:dyDescent="0.2">
      <c r="B9" s="77" t="s">
        <v>3</v>
      </c>
      <c r="C9" s="78"/>
      <c r="D9" s="78"/>
      <c r="E9" s="78"/>
      <c r="F9" s="78"/>
      <c r="G9" s="78"/>
      <c r="H9" s="78"/>
      <c r="I9" s="78"/>
      <c r="J9" s="68"/>
      <c r="N9" s="77" t="s">
        <v>4</v>
      </c>
      <c r="O9" s="78"/>
      <c r="P9" s="78"/>
      <c r="Q9" s="78"/>
      <c r="R9" s="78"/>
      <c r="S9" s="68"/>
    </row>
    <row r="11" spans="2:19" x14ac:dyDescent="0.2">
      <c r="B11" s="77" t="s">
        <v>5</v>
      </c>
      <c r="C11" s="78"/>
      <c r="D11" s="78"/>
      <c r="E11" s="78"/>
      <c r="F11" s="68"/>
      <c r="G11" s="77" t="s">
        <v>6</v>
      </c>
      <c r="H11" s="78"/>
      <c r="I11" s="78"/>
      <c r="J11" s="68"/>
    </row>
    <row r="13" spans="2:19" ht="16" customHeight="1" thickBot="1" x14ac:dyDescent="0.25">
      <c r="B13" s="60" t="s">
        <v>7</v>
      </c>
      <c r="G13" s="72" t="s">
        <v>8</v>
      </c>
      <c r="H13" s="72"/>
      <c r="I13" s="72"/>
      <c r="J13" s="72"/>
    </row>
    <row r="14" spans="2:19" x14ac:dyDescent="0.2">
      <c r="B14" s="60" t="s">
        <v>9</v>
      </c>
      <c r="G14" s="72"/>
      <c r="H14" s="72"/>
      <c r="I14" s="72"/>
      <c r="J14" s="72"/>
      <c r="P14" s="38">
        <v>44409</v>
      </c>
      <c r="Q14" s="39">
        <f>DATE(YEAR(P14),MONTH(P14)-1,DAY(P14))</f>
        <v>44378</v>
      </c>
      <c r="R14" s="40"/>
    </row>
    <row r="15" spans="2:19" ht="16" customHeight="1" thickBot="1" x14ac:dyDescent="0.25">
      <c r="B15" s="60" t="s">
        <v>10</v>
      </c>
      <c r="G15" s="72"/>
      <c r="H15" s="72"/>
      <c r="I15" s="72"/>
      <c r="J15" s="72"/>
      <c r="P15" s="41" t="s">
        <v>11</v>
      </c>
      <c r="Q15" s="41" t="s">
        <v>11</v>
      </c>
      <c r="R15" s="42" t="s">
        <v>12</v>
      </c>
    </row>
    <row r="16" spans="2:19" x14ac:dyDescent="0.2">
      <c r="B16" s="4" t="s">
        <v>13</v>
      </c>
      <c r="G16" s="60" t="s">
        <v>14</v>
      </c>
      <c r="N16" s="65" t="s">
        <v>15</v>
      </c>
      <c r="O16" s="66"/>
      <c r="P16" s="43">
        <f>VLOOKUP($P$14,Database!A:D,MATCH(Note!S16,Database!A1:D1,),)</f>
        <v>147476</v>
      </c>
      <c r="Q16" s="43">
        <f>VLOOKUP($Q$14,Database!A:D,MATCH(Note!S16,Database!A1:D1,),)</f>
        <v>146993</v>
      </c>
      <c r="R16" s="46">
        <f>P16-Q16</f>
        <v>483</v>
      </c>
      <c r="S16" s="44" t="s">
        <v>16</v>
      </c>
    </row>
    <row r="17" spans="2:19" x14ac:dyDescent="0.2">
      <c r="B17" s="4" t="s">
        <v>16</v>
      </c>
      <c r="G17" s="60" t="s">
        <v>17</v>
      </c>
      <c r="N17" s="67" t="s">
        <v>18</v>
      </c>
      <c r="O17" s="68"/>
      <c r="P17" s="52">
        <f>VLOOKUP($P$14,Database!A:D,MATCH(Note!S17,Database!A1:D1,),)</f>
        <v>5.2</v>
      </c>
      <c r="Q17" s="52">
        <f>VLOOKUP($Q$14,Database!A:D,MATCH(Note!S17,Database!A1:D1,),)</f>
        <v>5.4</v>
      </c>
      <c r="R17" s="53">
        <f>P17-Q17</f>
        <v>-0.20000000000000018</v>
      </c>
      <c r="S17" s="45" t="s">
        <v>19</v>
      </c>
    </row>
    <row r="18" spans="2:19" ht="16" customHeight="1" thickBot="1" x14ac:dyDescent="0.25">
      <c r="B18" s="4" t="s">
        <v>19</v>
      </c>
      <c r="G18" s="60" t="s">
        <v>20</v>
      </c>
      <c r="N18" s="69" t="s">
        <v>21</v>
      </c>
      <c r="O18" s="70"/>
      <c r="P18" s="54">
        <f>VLOOKUP($P$14,Database!A:D,MATCH(Note!S18,Database!A1:D1,),)</f>
        <v>61.7</v>
      </c>
      <c r="Q18" s="54">
        <f>VLOOKUP($Q$14,Database!A:D,MATCH(Note!S18,Database!A1:D1,),)</f>
        <v>61.7</v>
      </c>
      <c r="R18" s="55">
        <f>P18-Q18</f>
        <v>0</v>
      </c>
      <c r="S18" s="47" t="s">
        <v>13</v>
      </c>
    </row>
    <row r="19" spans="2:19" x14ac:dyDescent="0.2">
      <c r="B19" s="4" t="s">
        <v>22</v>
      </c>
      <c r="G19" s="60" t="s">
        <v>23</v>
      </c>
    </row>
    <row r="20" spans="2:19" x14ac:dyDescent="0.2">
      <c r="B20" s="2" t="s">
        <v>24</v>
      </c>
      <c r="G20" s="60" t="s">
        <v>25</v>
      </c>
    </row>
    <row r="21" spans="2:19" x14ac:dyDescent="0.2">
      <c r="B21" s="60" t="s">
        <v>26</v>
      </c>
      <c r="G21" s="72"/>
      <c r="H21" s="72"/>
      <c r="I21" s="72"/>
      <c r="J21" s="72"/>
    </row>
    <row r="22" spans="2:19" x14ac:dyDescent="0.2">
      <c r="B22" s="60" t="s">
        <v>27</v>
      </c>
    </row>
    <row r="24" spans="2:19" ht="33" customHeight="1" x14ac:dyDescent="0.2">
      <c r="B24" s="79" t="s">
        <v>28</v>
      </c>
      <c r="C24" s="72"/>
      <c r="D24" s="72"/>
      <c r="E24" s="72"/>
      <c r="F24" s="72"/>
      <c r="G24" s="60" t="s">
        <v>29</v>
      </c>
    </row>
    <row r="25" spans="2:19" x14ac:dyDescent="0.2">
      <c r="B25" s="60" t="s">
        <v>30</v>
      </c>
    </row>
    <row r="26" spans="2:19" x14ac:dyDescent="0.2">
      <c r="B26" s="60" t="s">
        <v>31</v>
      </c>
    </row>
    <row r="27" spans="2:19" x14ac:dyDescent="0.2">
      <c r="B27" s="60" t="s">
        <v>32</v>
      </c>
    </row>
    <row r="28" spans="2:19" x14ac:dyDescent="0.2">
      <c r="B28" s="60" t="s">
        <v>33</v>
      </c>
      <c r="G28" s="72"/>
      <c r="H28" s="72"/>
      <c r="I28" s="72"/>
      <c r="J28" s="72"/>
    </row>
    <row r="30" spans="2:19" x14ac:dyDescent="0.2">
      <c r="B30" t="s">
        <v>34</v>
      </c>
      <c r="G30" s="60" t="s">
        <v>35</v>
      </c>
    </row>
    <row r="31" spans="2:19" x14ac:dyDescent="0.2">
      <c r="G31" s="72"/>
      <c r="H31" s="72"/>
      <c r="I31" s="72"/>
      <c r="J31" s="72"/>
    </row>
    <row r="32" spans="2:19" x14ac:dyDescent="0.2">
      <c r="B32" s="36"/>
    </row>
    <row r="33" spans="2:10" ht="30" customHeight="1" x14ac:dyDescent="0.2">
      <c r="B33" s="79"/>
      <c r="C33" s="72"/>
      <c r="D33" s="72"/>
      <c r="E33" s="72"/>
      <c r="F33" s="72"/>
      <c r="G33" s="72"/>
      <c r="H33" s="72"/>
      <c r="I33" s="72"/>
      <c r="J33" s="72"/>
    </row>
    <row r="34" spans="2:10" x14ac:dyDescent="0.2">
      <c r="B34" s="37"/>
    </row>
  </sheetData>
  <mergeCells count="19">
    <mergeCell ref="B33:J33"/>
    <mergeCell ref="B7:J7"/>
    <mergeCell ref="B24:F24"/>
    <mergeCell ref="G13:J13"/>
    <mergeCell ref="G14:J14"/>
    <mergeCell ref="G15:J15"/>
    <mergeCell ref="G21:J21"/>
    <mergeCell ref="G28:J28"/>
    <mergeCell ref="G31:J31"/>
    <mergeCell ref="B9:J9"/>
    <mergeCell ref="B11:F11"/>
    <mergeCell ref="G11:J11"/>
    <mergeCell ref="N16:O16"/>
    <mergeCell ref="N17:O17"/>
    <mergeCell ref="N18:O18"/>
    <mergeCell ref="B1:J2"/>
    <mergeCell ref="B3:J3"/>
    <mergeCell ref="B5:J5"/>
    <mergeCell ref="N9:S9"/>
  </mergeCells>
  <conditionalFormatting sqref="R16:R18">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D996"/>
  <sheetViews>
    <sheetView workbookViewId="0">
      <pane ySplit="1" topLeftCell="A110" activePane="bottomLeft" state="frozen"/>
      <selection pane="bottomLeft" activeCell="L124" sqref="L124"/>
    </sheetView>
  </sheetViews>
  <sheetFormatPr baseColWidth="10" defaultColWidth="8.83203125" defaultRowHeight="15" x14ac:dyDescent="0.2"/>
  <cols>
    <col min="1" max="1" width="12.6640625" style="51" customWidth="1"/>
    <col min="2" max="2" width="7.6640625" style="51" customWidth="1"/>
    <col min="3" max="3" width="9.6640625" style="51" customWidth="1"/>
    <col min="4" max="4" width="7.6640625" style="51" customWidth="1"/>
  </cols>
  <sheetData>
    <row r="1" spans="1:4" x14ac:dyDescent="0.2">
      <c r="A1" t="s">
        <v>36</v>
      </c>
      <c r="B1" t="s">
        <v>13</v>
      </c>
      <c r="C1" t="s">
        <v>16</v>
      </c>
      <c r="D1" t="s">
        <v>19</v>
      </c>
    </row>
    <row r="2" spans="1:4" x14ac:dyDescent="0.2">
      <c r="A2" s="64">
        <v>14246</v>
      </c>
      <c r="C2">
        <v>29923</v>
      </c>
    </row>
    <row r="3" spans="1:4" x14ac:dyDescent="0.2">
      <c r="A3" s="64">
        <v>14277</v>
      </c>
      <c r="C3">
        <v>30100</v>
      </c>
    </row>
    <row r="4" spans="1:4" x14ac:dyDescent="0.2">
      <c r="A4" s="64">
        <v>14305</v>
      </c>
      <c r="C4">
        <v>30280</v>
      </c>
    </row>
    <row r="5" spans="1:4" x14ac:dyDescent="0.2">
      <c r="A5" s="64">
        <v>14336</v>
      </c>
      <c r="C5">
        <v>30094</v>
      </c>
    </row>
    <row r="6" spans="1:4" x14ac:dyDescent="0.2">
      <c r="A6" s="64">
        <v>14366</v>
      </c>
      <c r="C6">
        <v>30299</v>
      </c>
    </row>
    <row r="7" spans="1:4" x14ac:dyDescent="0.2">
      <c r="A7" s="64">
        <v>14397</v>
      </c>
      <c r="C7">
        <v>30502</v>
      </c>
    </row>
    <row r="8" spans="1:4" x14ac:dyDescent="0.2">
      <c r="A8" s="64">
        <v>14427</v>
      </c>
      <c r="C8">
        <v>30419</v>
      </c>
    </row>
    <row r="9" spans="1:4" x14ac:dyDescent="0.2">
      <c r="A9" s="64">
        <v>14458</v>
      </c>
      <c r="C9">
        <v>30663</v>
      </c>
    </row>
    <row r="10" spans="1:4" x14ac:dyDescent="0.2">
      <c r="A10" s="64">
        <v>14489</v>
      </c>
      <c r="C10">
        <v>31031</v>
      </c>
    </row>
    <row r="11" spans="1:4" x14ac:dyDescent="0.2">
      <c r="A11" s="64">
        <v>14519</v>
      </c>
      <c r="C11">
        <v>31411</v>
      </c>
    </row>
    <row r="12" spans="1:4" x14ac:dyDescent="0.2">
      <c r="A12" s="64">
        <v>14550</v>
      </c>
      <c r="C12">
        <v>31470</v>
      </c>
    </row>
    <row r="13" spans="1:4" x14ac:dyDescent="0.2">
      <c r="A13" s="64">
        <v>14580</v>
      </c>
      <c r="C13">
        <v>31542</v>
      </c>
    </row>
    <row r="14" spans="1:4" x14ac:dyDescent="0.2">
      <c r="A14" s="64">
        <v>14611</v>
      </c>
      <c r="C14">
        <v>31603</v>
      </c>
    </row>
    <row r="15" spans="1:4" x14ac:dyDescent="0.2">
      <c r="A15" s="64">
        <v>14642</v>
      </c>
      <c r="C15">
        <v>31715</v>
      </c>
    </row>
    <row r="16" spans="1:4" x14ac:dyDescent="0.2">
      <c r="A16" s="64">
        <v>14671</v>
      </c>
      <c r="C16">
        <v>31825</v>
      </c>
    </row>
    <row r="17" spans="1:3" x14ac:dyDescent="0.2">
      <c r="A17" s="64">
        <v>14702</v>
      </c>
      <c r="C17">
        <v>31701</v>
      </c>
    </row>
    <row r="18" spans="1:3" x14ac:dyDescent="0.2">
      <c r="A18" s="64">
        <v>14732</v>
      </c>
      <c r="C18">
        <v>31879</v>
      </c>
    </row>
    <row r="19" spans="1:3" x14ac:dyDescent="0.2">
      <c r="A19" s="64">
        <v>14763</v>
      </c>
      <c r="C19">
        <v>31977</v>
      </c>
    </row>
    <row r="20" spans="1:3" x14ac:dyDescent="0.2">
      <c r="A20" s="64">
        <v>14793</v>
      </c>
      <c r="C20">
        <v>31942</v>
      </c>
    </row>
    <row r="21" spans="1:3" x14ac:dyDescent="0.2">
      <c r="A21" s="64">
        <v>14824</v>
      </c>
      <c r="C21">
        <v>32352</v>
      </c>
    </row>
    <row r="22" spans="1:3" x14ac:dyDescent="0.2">
      <c r="A22" s="64">
        <v>14855</v>
      </c>
      <c r="C22">
        <v>32810</v>
      </c>
    </row>
    <row r="23" spans="1:3" x14ac:dyDescent="0.2">
      <c r="A23" s="64">
        <v>14885</v>
      </c>
      <c r="C23">
        <v>33267</v>
      </c>
    </row>
    <row r="24" spans="1:3" x14ac:dyDescent="0.2">
      <c r="A24" s="64">
        <v>14916</v>
      </c>
      <c r="C24">
        <v>33669</v>
      </c>
    </row>
    <row r="25" spans="1:3" x14ac:dyDescent="0.2">
      <c r="A25" s="64">
        <v>14946</v>
      </c>
      <c r="C25">
        <v>34174</v>
      </c>
    </row>
    <row r="26" spans="1:3" x14ac:dyDescent="0.2">
      <c r="A26" s="64">
        <v>14977</v>
      </c>
      <c r="C26">
        <v>34481</v>
      </c>
    </row>
    <row r="27" spans="1:3" x14ac:dyDescent="0.2">
      <c r="A27" s="64">
        <v>15008</v>
      </c>
      <c r="C27">
        <v>34843</v>
      </c>
    </row>
    <row r="28" spans="1:3" x14ac:dyDescent="0.2">
      <c r="A28" s="64">
        <v>15036</v>
      </c>
      <c r="C28">
        <v>35092</v>
      </c>
    </row>
    <row r="29" spans="1:3" x14ac:dyDescent="0.2">
      <c r="A29" s="64">
        <v>15067</v>
      </c>
      <c r="C29">
        <v>35468</v>
      </c>
    </row>
    <row r="30" spans="1:3" x14ac:dyDescent="0.2">
      <c r="A30" s="64">
        <v>15097</v>
      </c>
      <c r="C30">
        <v>36182</v>
      </c>
    </row>
    <row r="31" spans="1:3" x14ac:dyDescent="0.2">
      <c r="A31" s="64">
        <v>15128</v>
      </c>
      <c r="C31">
        <v>36650</v>
      </c>
    </row>
    <row r="32" spans="1:3" x14ac:dyDescent="0.2">
      <c r="A32" s="64">
        <v>15158</v>
      </c>
      <c r="C32">
        <v>37137</v>
      </c>
    </row>
    <row r="33" spans="1:3" x14ac:dyDescent="0.2">
      <c r="A33" s="64">
        <v>15189</v>
      </c>
      <c r="C33">
        <v>37544</v>
      </c>
    </row>
    <row r="34" spans="1:3" x14ac:dyDescent="0.2">
      <c r="A34" s="64">
        <v>15220</v>
      </c>
      <c r="C34">
        <v>37835</v>
      </c>
    </row>
    <row r="35" spans="1:3" x14ac:dyDescent="0.2">
      <c r="A35" s="64">
        <v>15250</v>
      </c>
      <c r="C35">
        <v>37949</v>
      </c>
    </row>
    <row r="36" spans="1:3" x14ac:dyDescent="0.2">
      <c r="A36" s="64">
        <v>15281</v>
      </c>
      <c r="C36">
        <v>38024</v>
      </c>
    </row>
    <row r="37" spans="1:3" x14ac:dyDescent="0.2">
      <c r="A37" s="64">
        <v>15311</v>
      </c>
      <c r="C37">
        <v>38104</v>
      </c>
    </row>
    <row r="38" spans="1:3" x14ac:dyDescent="0.2">
      <c r="A38" s="64">
        <v>15342</v>
      </c>
      <c r="C38">
        <v>38347</v>
      </c>
    </row>
    <row r="39" spans="1:3" x14ac:dyDescent="0.2">
      <c r="A39" s="64">
        <v>15373</v>
      </c>
      <c r="C39">
        <v>38512</v>
      </c>
    </row>
    <row r="40" spans="1:3" x14ac:dyDescent="0.2">
      <c r="A40" s="64">
        <v>15401</v>
      </c>
      <c r="C40">
        <v>38935</v>
      </c>
    </row>
    <row r="41" spans="1:3" x14ac:dyDescent="0.2">
      <c r="A41" s="64">
        <v>15432</v>
      </c>
      <c r="C41">
        <v>39352</v>
      </c>
    </row>
    <row r="42" spans="1:3" x14ac:dyDescent="0.2">
      <c r="A42" s="64">
        <v>15462</v>
      </c>
      <c r="C42">
        <v>39771</v>
      </c>
    </row>
    <row r="43" spans="1:3" x14ac:dyDescent="0.2">
      <c r="A43" s="64">
        <v>15493</v>
      </c>
      <c r="C43">
        <v>40029</v>
      </c>
    </row>
    <row r="44" spans="1:3" x14ac:dyDescent="0.2">
      <c r="A44" s="64">
        <v>15523</v>
      </c>
      <c r="C44">
        <v>40472</v>
      </c>
    </row>
    <row r="45" spans="1:3" x14ac:dyDescent="0.2">
      <c r="A45" s="64">
        <v>15554</v>
      </c>
      <c r="C45">
        <v>40988</v>
      </c>
    </row>
    <row r="46" spans="1:3" x14ac:dyDescent="0.2">
      <c r="A46" s="64">
        <v>15585</v>
      </c>
      <c r="C46">
        <v>41259</v>
      </c>
    </row>
    <row r="47" spans="1:3" x14ac:dyDescent="0.2">
      <c r="A47" s="64">
        <v>15615</v>
      </c>
      <c r="C47">
        <v>41515</v>
      </c>
    </row>
    <row r="48" spans="1:3" x14ac:dyDescent="0.2">
      <c r="A48" s="64">
        <v>15646</v>
      </c>
      <c r="C48">
        <v>41674</v>
      </c>
    </row>
    <row r="49" spans="1:3" x14ac:dyDescent="0.2">
      <c r="A49" s="64">
        <v>15676</v>
      </c>
      <c r="C49">
        <v>41915</v>
      </c>
    </row>
    <row r="50" spans="1:3" x14ac:dyDescent="0.2">
      <c r="A50" s="64">
        <v>15707</v>
      </c>
      <c r="C50">
        <v>42172</v>
      </c>
    </row>
    <row r="51" spans="1:3" x14ac:dyDescent="0.2">
      <c r="A51" s="64">
        <v>15738</v>
      </c>
      <c r="C51">
        <v>42393</v>
      </c>
    </row>
    <row r="52" spans="1:3" x14ac:dyDescent="0.2">
      <c r="A52" s="64">
        <v>15766</v>
      </c>
      <c r="C52">
        <v>42552</v>
      </c>
    </row>
    <row r="53" spans="1:3" x14ac:dyDescent="0.2">
      <c r="A53" s="64">
        <v>15797</v>
      </c>
      <c r="C53">
        <v>42647</v>
      </c>
    </row>
    <row r="54" spans="1:3" x14ac:dyDescent="0.2">
      <c r="A54" s="64">
        <v>15827</v>
      </c>
      <c r="C54">
        <v>42596</v>
      </c>
    </row>
    <row r="55" spans="1:3" x14ac:dyDescent="0.2">
      <c r="A55" s="64">
        <v>15858</v>
      </c>
      <c r="C55">
        <v>42781</v>
      </c>
    </row>
    <row r="56" spans="1:3" x14ac:dyDescent="0.2">
      <c r="A56" s="64">
        <v>15888</v>
      </c>
      <c r="C56">
        <v>42700</v>
      </c>
    </row>
    <row r="57" spans="1:3" x14ac:dyDescent="0.2">
      <c r="A57" s="64">
        <v>15919</v>
      </c>
      <c r="C57">
        <v>42546</v>
      </c>
    </row>
    <row r="58" spans="1:3" x14ac:dyDescent="0.2">
      <c r="A58" s="64">
        <v>15950</v>
      </c>
      <c r="C58">
        <v>42492</v>
      </c>
    </row>
    <row r="59" spans="1:3" x14ac:dyDescent="0.2">
      <c r="A59" s="64">
        <v>15980</v>
      </c>
      <c r="C59">
        <v>42675</v>
      </c>
    </row>
    <row r="60" spans="1:3" x14ac:dyDescent="0.2">
      <c r="A60" s="64">
        <v>16011</v>
      </c>
      <c r="C60">
        <v>42821</v>
      </c>
    </row>
    <row r="61" spans="1:3" x14ac:dyDescent="0.2">
      <c r="A61" s="64">
        <v>16041</v>
      </c>
      <c r="C61">
        <v>42746</v>
      </c>
    </row>
    <row r="62" spans="1:3" x14ac:dyDescent="0.2">
      <c r="A62" s="64">
        <v>16072</v>
      </c>
      <c r="C62">
        <v>42654</v>
      </c>
    </row>
    <row r="63" spans="1:3" x14ac:dyDescent="0.2">
      <c r="A63" s="64">
        <v>16103</v>
      </c>
      <c r="C63">
        <v>42538</v>
      </c>
    </row>
    <row r="64" spans="1:3" x14ac:dyDescent="0.2">
      <c r="A64" s="64">
        <v>16132</v>
      </c>
      <c r="C64">
        <v>42294</v>
      </c>
    </row>
    <row r="65" spans="1:3" x14ac:dyDescent="0.2">
      <c r="A65" s="64">
        <v>16163</v>
      </c>
      <c r="C65">
        <v>42063</v>
      </c>
    </row>
    <row r="66" spans="1:3" x14ac:dyDescent="0.2">
      <c r="A66" s="64">
        <v>16193</v>
      </c>
      <c r="C66">
        <v>41985</v>
      </c>
    </row>
    <row r="67" spans="1:3" x14ac:dyDescent="0.2">
      <c r="A67" s="64">
        <v>16224</v>
      </c>
      <c r="C67">
        <v>41947</v>
      </c>
    </row>
    <row r="68" spans="1:3" x14ac:dyDescent="0.2">
      <c r="A68" s="64">
        <v>16254</v>
      </c>
      <c r="C68">
        <v>41904</v>
      </c>
    </row>
    <row r="69" spans="1:3" x14ac:dyDescent="0.2">
      <c r="A69" s="64">
        <v>16285</v>
      </c>
      <c r="C69">
        <v>41850</v>
      </c>
    </row>
    <row r="70" spans="1:3" x14ac:dyDescent="0.2">
      <c r="A70" s="64">
        <v>16316</v>
      </c>
      <c r="C70">
        <v>41679</v>
      </c>
    </row>
    <row r="71" spans="1:3" x14ac:dyDescent="0.2">
      <c r="A71" s="64">
        <v>16346</v>
      </c>
      <c r="C71">
        <v>41708</v>
      </c>
    </row>
    <row r="72" spans="1:3" x14ac:dyDescent="0.2">
      <c r="A72" s="64">
        <v>16377</v>
      </c>
      <c r="C72">
        <v>41711</v>
      </c>
    </row>
    <row r="73" spans="1:3" x14ac:dyDescent="0.2">
      <c r="A73" s="64">
        <v>16407</v>
      </c>
      <c r="C73">
        <v>41860</v>
      </c>
    </row>
    <row r="74" spans="1:3" x14ac:dyDescent="0.2">
      <c r="A74" s="64">
        <v>16438</v>
      </c>
      <c r="C74">
        <v>41895</v>
      </c>
    </row>
    <row r="75" spans="1:3" x14ac:dyDescent="0.2">
      <c r="A75" s="64">
        <v>16469</v>
      </c>
      <c r="C75">
        <v>41897</v>
      </c>
    </row>
    <row r="76" spans="1:3" x14ac:dyDescent="0.2">
      <c r="A76" s="64">
        <v>16497</v>
      </c>
      <c r="C76">
        <v>41798</v>
      </c>
    </row>
    <row r="77" spans="1:3" x14ac:dyDescent="0.2">
      <c r="A77" s="64">
        <v>16528</v>
      </c>
      <c r="C77">
        <v>41446</v>
      </c>
    </row>
    <row r="78" spans="1:3" x14ac:dyDescent="0.2">
      <c r="A78" s="64">
        <v>16558</v>
      </c>
      <c r="C78">
        <v>41304</v>
      </c>
    </row>
    <row r="79" spans="1:3" x14ac:dyDescent="0.2">
      <c r="A79" s="64">
        <v>16589</v>
      </c>
      <c r="C79">
        <v>41149</v>
      </c>
    </row>
    <row r="80" spans="1:3" x14ac:dyDescent="0.2">
      <c r="A80" s="64">
        <v>16619</v>
      </c>
      <c r="C80">
        <v>40874</v>
      </c>
    </row>
    <row r="81" spans="1:3" x14ac:dyDescent="0.2">
      <c r="A81" s="64">
        <v>16650</v>
      </c>
      <c r="C81">
        <v>40466</v>
      </c>
    </row>
    <row r="82" spans="1:3" x14ac:dyDescent="0.2">
      <c r="A82" s="64">
        <v>16681</v>
      </c>
      <c r="C82">
        <v>38507</v>
      </c>
    </row>
    <row r="83" spans="1:3" x14ac:dyDescent="0.2">
      <c r="A83" s="64">
        <v>16711</v>
      </c>
      <c r="C83">
        <v>38600</v>
      </c>
    </row>
    <row r="84" spans="1:3" x14ac:dyDescent="0.2">
      <c r="A84" s="64">
        <v>16742</v>
      </c>
      <c r="C84">
        <v>38996</v>
      </c>
    </row>
    <row r="85" spans="1:3" x14ac:dyDescent="0.2">
      <c r="A85" s="64">
        <v>16772</v>
      </c>
      <c r="C85">
        <v>39110</v>
      </c>
    </row>
    <row r="86" spans="1:3" x14ac:dyDescent="0.2">
      <c r="A86" s="64">
        <v>16803</v>
      </c>
      <c r="C86">
        <v>39829</v>
      </c>
    </row>
    <row r="87" spans="1:3" x14ac:dyDescent="0.2">
      <c r="A87" s="64">
        <v>16834</v>
      </c>
      <c r="C87">
        <v>39244</v>
      </c>
    </row>
    <row r="88" spans="1:3" x14ac:dyDescent="0.2">
      <c r="A88" s="64">
        <v>16862</v>
      </c>
      <c r="C88">
        <v>40195</v>
      </c>
    </row>
    <row r="89" spans="1:3" x14ac:dyDescent="0.2">
      <c r="A89" s="64">
        <v>16893</v>
      </c>
      <c r="C89">
        <v>40913</v>
      </c>
    </row>
    <row r="90" spans="1:3" x14ac:dyDescent="0.2">
      <c r="A90" s="64">
        <v>16923</v>
      </c>
      <c r="C90">
        <v>41349</v>
      </c>
    </row>
    <row r="91" spans="1:3" x14ac:dyDescent="0.2">
      <c r="A91" s="64">
        <v>16954</v>
      </c>
      <c r="C91">
        <v>41735</v>
      </c>
    </row>
    <row r="92" spans="1:3" x14ac:dyDescent="0.2">
      <c r="A92" s="64">
        <v>16984</v>
      </c>
      <c r="C92">
        <v>42153</v>
      </c>
    </row>
    <row r="93" spans="1:3" x14ac:dyDescent="0.2">
      <c r="A93" s="64">
        <v>17015</v>
      </c>
      <c r="C93">
        <v>42642</v>
      </c>
    </row>
    <row r="94" spans="1:3" x14ac:dyDescent="0.2">
      <c r="A94" s="64">
        <v>17046</v>
      </c>
      <c r="C94">
        <v>42915</v>
      </c>
    </row>
    <row r="95" spans="1:3" x14ac:dyDescent="0.2">
      <c r="A95" s="64">
        <v>17076</v>
      </c>
      <c r="C95">
        <v>43093</v>
      </c>
    </row>
    <row r="96" spans="1:3" x14ac:dyDescent="0.2">
      <c r="A96" s="64">
        <v>17107</v>
      </c>
      <c r="C96">
        <v>43395</v>
      </c>
    </row>
    <row r="97" spans="1:4" x14ac:dyDescent="0.2">
      <c r="A97" s="64">
        <v>17137</v>
      </c>
      <c r="C97">
        <v>43379</v>
      </c>
    </row>
    <row r="98" spans="1:4" x14ac:dyDescent="0.2">
      <c r="A98" s="64">
        <v>17168</v>
      </c>
      <c r="C98">
        <v>43535</v>
      </c>
    </row>
    <row r="99" spans="1:4" x14ac:dyDescent="0.2">
      <c r="A99" s="64">
        <v>17199</v>
      </c>
      <c r="C99">
        <v>43557</v>
      </c>
    </row>
    <row r="100" spans="1:4" x14ac:dyDescent="0.2">
      <c r="A100" s="64">
        <v>17227</v>
      </c>
      <c r="C100">
        <v>43607</v>
      </c>
    </row>
    <row r="101" spans="1:4" x14ac:dyDescent="0.2">
      <c r="A101" s="64">
        <v>17258</v>
      </c>
      <c r="C101">
        <v>43499</v>
      </c>
    </row>
    <row r="102" spans="1:4" x14ac:dyDescent="0.2">
      <c r="A102" s="64">
        <v>17288</v>
      </c>
      <c r="C102">
        <v>43638</v>
      </c>
    </row>
    <row r="103" spans="1:4" x14ac:dyDescent="0.2">
      <c r="A103" s="64">
        <v>17319</v>
      </c>
      <c r="C103">
        <v>43810</v>
      </c>
    </row>
    <row r="104" spans="1:4" x14ac:dyDescent="0.2">
      <c r="A104" s="64">
        <v>17349</v>
      </c>
      <c r="C104">
        <v>43743</v>
      </c>
    </row>
    <row r="105" spans="1:4" x14ac:dyDescent="0.2">
      <c r="A105" s="64">
        <v>17380</v>
      </c>
      <c r="C105">
        <v>43960</v>
      </c>
    </row>
    <row r="106" spans="1:4" x14ac:dyDescent="0.2">
      <c r="A106" s="64">
        <v>17411</v>
      </c>
      <c r="C106">
        <v>44203</v>
      </c>
    </row>
    <row r="107" spans="1:4" x14ac:dyDescent="0.2">
      <c r="A107" s="64">
        <v>17441</v>
      </c>
      <c r="C107">
        <v>44411</v>
      </c>
    </row>
    <row r="108" spans="1:4" x14ac:dyDescent="0.2">
      <c r="A108" s="64">
        <v>17472</v>
      </c>
      <c r="C108">
        <v>44484</v>
      </c>
    </row>
    <row r="109" spans="1:4" x14ac:dyDescent="0.2">
      <c r="A109" s="64">
        <v>17502</v>
      </c>
      <c r="C109">
        <v>44581</v>
      </c>
    </row>
    <row r="110" spans="1:4" x14ac:dyDescent="0.2">
      <c r="A110" s="64">
        <v>17533</v>
      </c>
      <c r="B110">
        <v>58.6</v>
      </c>
      <c r="C110">
        <v>44679</v>
      </c>
      <c r="D110">
        <v>3.4</v>
      </c>
    </row>
    <row r="111" spans="1:4" x14ac:dyDescent="0.2">
      <c r="A111" s="64">
        <v>17564</v>
      </c>
      <c r="B111">
        <v>58.9</v>
      </c>
      <c r="C111">
        <v>44533</v>
      </c>
      <c r="D111">
        <v>3.8</v>
      </c>
    </row>
    <row r="112" spans="1:4" x14ac:dyDescent="0.2">
      <c r="A112" s="64">
        <v>17593</v>
      </c>
      <c r="B112">
        <v>58.5</v>
      </c>
      <c r="C112">
        <v>44683</v>
      </c>
      <c r="D112">
        <v>4</v>
      </c>
    </row>
    <row r="113" spans="1:4" x14ac:dyDescent="0.2">
      <c r="A113" s="64">
        <v>17624</v>
      </c>
      <c r="B113">
        <v>59</v>
      </c>
      <c r="C113">
        <v>44379</v>
      </c>
      <c r="D113">
        <v>3.9</v>
      </c>
    </row>
    <row r="114" spans="1:4" x14ac:dyDescent="0.2">
      <c r="A114" s="64">
        <v>17654</v>
      </c>
      <c r="B114">
        <v>58.3</v>
      </c>
      <c r="C114">
        <v>44796</v>
      </c>
      <c r="D114">
        <v>3.5</v>
      </c>
    </row>
    <row r="115" spans="1:4" x14ac:dyDescent="0.2">
      <c r="A115" s="64">
        <v>17685</v>
      </c>
      <c r="B115">
        <v>59.2</v>
      </c>
      <c r="C115">
        <v>45034</v>
      </c>
      <c r="D115">
        <v>3.6</v>
      </c>
    </row>
    <row r="116" spans="1:4" x14ac:dyDescent="0.2">
      <c r="A116" s="64">
        <v>17715</v>
      </c>
      <c r="B116">
        <v>59.3</v>
      </c>
      <c r="C116">
        <v>45160</v>
      </c>
      <c r="D116">
        <v>3.6</v>
      </c>
    </row>
    <row r="117" spans="1:4" x14ac:dyDescent="0.2">
      <c r="A117" s="64">
        <v>17746</v>
      </c>
      <c r="B117">
        <v>58.9</v>
      </c>
      <c r="C117">
        <v>45178</v>
      </c>
      <c r="D117">
        <v>3.9</v>
      </c>
    </row>
    <row r="118" spans="1:4" x14ac:dyDescent="0.2">
      <c r="A118" s="64">
        <v>17777</v>
      </c>
      <c r="B118">
        <v>58.9</v>
      </c>
      <c r="C118">
        <v>45294</v>
      </c>
      <c r="D118">
        <v>3.8</v>
      </c>
    </row>
    <row r="119" spans="1:4" x14ac:dyDescent="0.2">
      <c r="A119" s="64">
        <v>17807</v>
      </c>
      <c r="B119">
        <v>58.7</v>
      </c>
      <c r="C119">
        <v>45245</v>
      </c>
      <c r="D119">
        <v>3.7</v>
      </c>
    </row>
    <row r="120" spans="1:4" x14ac:dyDescent="0.2">
      <c r="A120" s="64">
        <v>17838</v>
      </c>
      <c r="B120">
        <v>58.7</v>
      </c>
      <c r="C120">
        <v>45192</v>
      </c>
      <c r="D120">
        <v>3.8</v>
      </c>
    </row>
    <row r="121" spans="1:4" x14ac:dyDescent="0.2">
      <c r="A121" s="64">
        <v>17868</v>
      </c>
      <c r="B121">
        <v>59.1</v>
      </c>
      <c r="C121">
        <v>45032</v>
      </c>
      <c r="D121">
        <v>4</v>
      </c>
    </row>
    <row r="122" spans="1:4" x14ac:dyDescent="0.2">
      <c r="A122" s="64">
        <v>17899</v>
      </c>
      <c r="B122">
        <v>58.7</v>
      </c>
      <c r="C122">
        <v>44668</v>
      </c>
      <c r="D122">
        <v>4.3</v>
      </c>
    </row>
    <row r="123" spans="1:4" x14ac:dyDescent="0.2">
      <c r="A123" s="64">
        <v>17930</v>
      </c>
      <c r="B123">
        <v>59</v>
      </c>
      <c r="C123">
        <v>44497</v>
      </c>
      <c r="D123">
        <v>4.7</v>
      </c>
    </row>
    <row r="124" spans="1:4" x14ac:dyDescent="0.2">
      <c r="A124" s="64">
        <v>17958</v>
      </c>
      <c r="B124">
        <v>58.9</v>
      </c>
      <c r="C124">
        <v>44240</v>
      </c>
      <c r="D124">
        <v>5</v>
      </c>
    </row>
    <row r="125" spans="1:4" x14ac:dyDescent="0.2">
      <c r="A125" s="64">
        <v>17989</v>
      </c>
      <c r="B125">
        <v>58.8</v>
      </c>
      <c r="C125">
        <v>44236</v>
      </c>
      <c r="D125">
        <v>5.3</v>
      </c>
    </row>
    <row r="126" spans="1:4" x14ac:dyDescent="0.2">
      <c r="A126" s="64">
        <v>18019</v>
      </c>
      <c r="B126">
        <v>59</v>
      </c>
      <c r="C126">
        <v>43984</v>
      </c>
      <c r="D126">
        <v>6.1</v>
      </c>
    </row>
    <row r="127" spans="1:4" x14ac:dyDescent="0.2">
      <c r="A127" s="64">
        <v>18050</v>
      </c>
      <c r="B127">
        <v>58.6</v>
      </c>
      <c r="C127">
        <v>43739</v>
      </c>
      <c r="D127">
        <v>6.2</v>
      </c>
    </row>
    <row r="128" spans="1:4" x14ac:dyDescent="0.2">
      <c r="A128" s="64">
        <v>18080</v>
      </c>
      <c r="B128">
        <v>58.9</v>
      </c>
      <c r="C128">
        <v>43531</v>
      </c>
      <c r="D128">
        <v>6.7</v>
      </c>
    </row>
    <row r="129" spans="1:4" x14ac:dyDescent="0.2">
      <c r="A129" s="64">
        <v>18111</v>
      </c>
      <c r="B129">
        <v>59.2</v>
      </c>
      <c r="C129">
        <v>43624</v>
      </c>
      <c r="D129">
        <v>6.8</v>
      </c>
    </row>
    <row r="130" spans="1:4" x14ac:dyDescent="0.2">
      <c r="A130" s="64">
        <v>18142</v>
      </c>
      <c r="B130">
        <v>59.1</v>
      </c>
      <c r="C130">
        <v>43780</v>
      </c>
      <c r="D130">
        <v>6.6</v>
      </c>
    </row>
    <row r="131" spans="1:4" x14ac:dyDescent="0.2">
      <c r="A131" s="64">
        <v>18172</v>
      </c>
      <c r="B131">
        <v>59.6</v>
      </c>
      <c r="C131">
        <v>42942</v>
      </c>
      <c r="D131">
        <v>7.9</v>
      </c>
    </row>
    <row r="132" spans="1:4" x14ac:dyDescent="0.2">
      <c r="A132" s="64">
        <v>18203</v>
      </c>
      <c r="B132">
        <v>59.4</v>
      </c>
      <c r="C132">
        <v>43242</v>
      </c>
      <c r="D132">
        <v>6.4</v>
      </c>
    </row>
    <row r="133" spans="1:4" x14ac:dyDescent="0.2">
      <c r="A133" s="64">
        <v>18233</v>
      </c>
      <c r="B133">
        <v>59.2</v>
      </c>
      <c r="C133">
        <v>43522</v>
      </c>
      <c r="D133">
        <v>6.6</v>
      </c>
    </row>
    <row r="134" spans="1:4" x14ac:dyDescent="0.2">
      <c r="A134" s="64">
        <v>18264</v>
      </c>
      <c r="B134">
        <v>58.9</v>
      </c>
      <c r="C134">
        <v>43526</v>
      </c>
      <c r="D134">
        <v>6.5</v>
      </c>
    </row>
    <row r="135" spans="1:4" x14ac:dyDescent="0.2">
      <c r="A135" s="64">
        <v>18295</v>
      </c>
      <c r="B135">
        <v>58.9</v>
      </c>
      <c r="C135">
        <v>43297</v>
      </c>
      <c r="D135">
        <v>6.4</v>
      </c>
    </row>
    <row r="136" spans="1:4" x14ac:dyDescent="0.2">
      <c r="A136" s="64">
        <v>18323</v>
      </c>
      <c r="B136">
        <v>58.8</v>
      </c>
      <c r="C136">
        <v>43954</v>
      </c>
      <c r="D136">
        <v>6.3</v>
      </c>
    </row>
    <row r="137" spans="1:4" x14ac:dyDescent="0.2">
      <c r="A137" s="64">
        <v>18354</v>
      </c>
      <c r="B137">
        <v>59.2</v>
      </c>
      <c r="C137">
        <v>44382</v>
      </c>
      <c r="D137">
        <v>5.8</v>
      </c>
    </row>
    <row r="138" spans="1:4" x14ac:dyDescent="0.2">
      <c r="A138" s="64">
        <v>18384</v>
      </c>
      <c r="B138">
        <v>59.1</v>
      </c>
      <c r="C138">
        <v>44718</v>
      </c>
      <c r="D138">
        <v>5.5</v>
      </c>
    </row>
    <row r="139" spans="1:4" x14ac:dyDescent="0.2">
      <c r="A139" s="64">
        <v>18415</v>
      </c>
      <c r="B139">
        <v>59.4</v>
      </c>
      <c r="C139">
        <v>45083</v>
      </c>
      <c r="D139">
        <v>5.4</v>
      </c>
    </row>
    <row r="140" spans="1:4" x14ac:dyDescent="0.2">
      <c r="A140" s="64">
        <v>18445</v>
      </c>
      <c r="B140">
        <v>59.1</v>
      </c>
      <c r="C140">
        <v>45454</v>
      </c>
      <c r="D140">
        <v>5</v>
      </c>
    </row>
    <row r="141" spans="1:4" x14ac:dyDescent="0.2">
      <c r="A141" s="64">
        <v>18476</v>
      </c>
      <c r="B141">
        <v>59.5</v>
      </c>
      <c r="C141">
        <v>46192</v>
      </c>
      <c r="D141">
        <v>4.5</v>
      </c>
    </row>
    <row r="142" spans="1:4" x14ac:dyDescent="0.2">
      <c r="A142" s="64">
        <v>18507</v>
      </c>
      <c r="B142">
        <v>59.2</v>
      </c>
      <c r="C142">
        <v>46438</v>
      </c>
      <c r="D142">
        <v>4.4000000000000004</v>
      </c>
    </row>
    <row r="143" spans="1:4" x14ac:dyDescent="0.2">
      <c r="A143" s="64">
        <v>18537</v>
      </c>
      <c r="B143">
        <v>59.4</v>
      </c>
      <c r="C143">
        <v>46706</v>
      </c>
      <c r="D143">
        <v>4.2</v>
      </c>
    </row>
    <row r="144" spans="1:4" x14ac:dyDescent="0.2">
      <c r="A144" s="64">
        <v>18568</v>
      </c>
      <c r="B144">
        <v>59.3</v>
      </c>
      <c r="C144">
        <v>46776</v>
      </c>
      <c r="D144">
        <v>4.2</v>
      </c>
    </row>
    <row r="145" spans="1:4" x14ac:dyDescent="0.2">
      <c r="A145" s="64">
        <v>18598</v>
      </c>
      <c r="B145">
        <v>59.2</v>
      </c>
      <c r="C145">
        <v>46861</v>
      </c>
      <c r="D145">
        <v>4.3</v>
      </c>
    </row>
    <row r="146" spans="1:4" x14ac:dyDescent="0.2">
      <c r="A146" s="64">
        <v>18629</v>
      </c>
      <c r="B146">
        <v>59.1</v>
      </c>
      <c r="C146">
        <v>47288</v>
      </c>
      <c r="D146">
        <v>3.7</v>
      </c>
    </row>
    <row r="147" spans="1:4" x14ac:dyDescent="0.2">
      <c r="A147" s="64">
        <v>18660</v>
      </c>
      <c r="B147">
        <v>59.1</v>
      </c>
      <c r="C147">
        <v>47577</v>
      </c>
      <c r="D147">
        <v>3.4</v>
      </c>
    </row>
    <row r="148" spans="1:4" x14ac:dyDescent="0.2">
      <c r="A148" s="64">
        <v>18688</v>
      </c>
      <c r="B148">
        <v>59.8</v>
      </c>
      <c r="C148">
        <v>47873</v>
      </c>
      <c r="D148">
        <v>3.4</v>
      </c>
    </row>
    <row r="149" spans="1:4" x14ac:dyDescent="0.2">
      <c r="A149" s="64">
        <v>18719</v>
      </c>
      <c r="B149">
        <v>59.1</v>
      </c>
      <c r="C149">
        <v>47861</v>
      </c>
      <c r="D149">
        <v>3.1</v>
      </c>
    </row>
    <row r="150" spans="1:4" x14ac:dyDescent="0.2">
      <c r="A150" s="64">
        <v>18749</v>
      </c>
      <c r="B150">
        <v>59.4</v>
      </c>
      <c r="C150">
        <v>47952</v>
      </c>
      <c r="D150">
        <v>3</v>
      </c>
    </row>
    <row r="151" spans="1:4" x14ac:dyDescent="0.2">
      <c r="A151" s="64">
        <v>18780</v>
      </c>
      <c r="B151">
        <v>59</v>
      </c>
      <c r="C151">
        <v>48064</v>
      </c>
      <c r="D151">
        <v>3.2</v>
      </c>
    </row>
    <row r="152" spans="1:4" x14ac:dyDescent="0.2">
      <c r="A152" s="64">
        <v>18810</v>
      </c>
      <c r="B152">
        <v>59.4</v>
      </c>
      <c r="C152">
        <v>48061</v>
      </c>
      <c r="D152">
        <v>3.1</v>
      </c>
    </row>
    <row r="153" spans="1:4" x14ac:dyDescent="0.2">
      <c r="A153" s="64">
        <v>18841</v>
      </c>
      <c r="B153">
        <v>59.2</v>
      </c>
      <c r="C153">
        <v>48012</v>
      </c>
      <c r="D153">
        <v>3.1</v>
      </c>
    </row>
    <row r="154" spans="1:4" x14ac:dyDescent="0.2">
      <c r="A154" s="64">
        <v>18872</v>
      </c>
      <c r="B154">
        <v>59.1</v>
      </c>
      <c r="C154">
        <v>47954</v>
      </c>
      <c r="D154">
        <v>3.3</v>
      </c>
    </row>
    <row r="155" spans="1:4" x14ac:dyDescent="0.2">
      <c r="A155" s="64">
        <v>18902</v>
      </c>
      <c r="B155">
        <v>59.4</v>
      </c>
      <c r="C155">
        <v>48006</v>
      </c>
      <c r="D155">
        <v>3.5</v>
      </c>
    </row>
    <row r="156" spans="1:4" x14ac:dyDescent="0.2">
      <c r="A156" s="64">
        <v>18933</v>
      </c>
      <c r="B156">
        <v>59.2</v>
      </c>
      <c r="C156">
        <v>48147</v>
      </c>
      <c r="D156">
        <v>3.5</v>
      </c>
    </row>
    <row r="157" spans="1:4" x14ac:dyDescent="0.2">
      <c r="A157" s="64">
        <v>18963</v>
      </c>
      <c r="B157">
        <v>59.6</v>
      </c>
      <c r="C157">
        <v>48314</v>
      </c>
      <c r="D157">
        <v>3.1</v>
      </c>
    </row>
    <row r="158" spans="1:4" x14ac:dyDescent="0.2">
      <c r="A158" s="64">
        <v>18994</v>
      </c>
      <c r="B158">
        <v>59.5</v>
      </c>
      <c r="C158">
        <v>48296</v>
      </c>
      <c r="D158">
        <v>3.2</v>
      </c>
    </row>
    <row r="159" spans="1:4" x14ac:dyDescent="0.2">
      <c r="A159" s="64">
        <v>19025</v>
      </c>
      <c r="B159">
        <v>59.5</v>
      </c>
      <c r="C159">
        <v>48522</v>
      </c>
      <c r="D159">
        <v>3.1</v>
      </c>
    </row>
    <row r="160" spans="1:4" x14ac:dyDescent="0.2">
      <c r="A160" s="64">
        <v>19054</v>
      </c>
      <c r="B160">
        <v>58.9</v>
      </c>
      <c r="C160">
        <v>48504</v>
      </c>
      <c r="D160">
        <v>2.9</v>
      </c>
    </row>
    <row r="161" spans="1:4" x14ac:dyDescent="0.2">
      <c r="A161" s="64">
        <v>19085</v>
      </c>
      <c r="B161">
        <v>58.8</v>
      </c>
      <c r="C161">
        <v>48620</v>
      </c>
      <c r="D161">
        <v>2.9</v>
      </c>
    </row>
    <row r="162" spans="1:4" x14ac:dyDescent="0.2">
      <c r="A162" s="64">
        <v>19115</v>
      </c>
      <c r="B162">
        <v>59.1</v>
      </c>
      <c r="C162">
        <v>48642</v>
      </c>
      <c r="D162">
        <v>3</v>
      </c>
    </row>
    <row r="163" spans="1:4" x14ac:dyDescent="0.2">
      <c r="A163" s="64">
        <v>19146</v>
      </c>
      <c r="B163">
        <v>59.1</v>
      </c>
      <c r="C163">
        <v>48282</v>
      </c>
      <c r="D163">
        <v>3</v>
      </c>
    </row>
    <row r="164" spans="1:4" x14ac:dyDescent="0.2">
      <c r="A164" s="64">
        <v>19176</v>
      </c>
      <c r="B164">
        <v>58.9</v>
      </c>
      <c r="C164">
        <v>48143</v>
      </c>
      <c r="D164">
        <v>3.2</v>
      </c>
    </row>
    <row r="165" spans="1:4" x14ac:dyDescent="0.2">
      <c r="A165" s="64">
        <v>19207</v>
      </c>
      <c r="B165">
        <v>58.7</v>
      </c>
      <c r="C165">
        <v>48924</v>
      </c>
      <c r="D165">
        <v>3.4</v>
      </c>
    </row>
    <row r="166" spans="1:4" x14ac:dyDescent="0.2">
      <c r="A166" s="64">
        <v>19238</v>
      </c>
      <c r="B166">
        <v>59.2</v>
      </c>
      <c r="C166">
        <v>49320</v>
      </c>
      <c r="D166">
        <v>3.1</v>
      </c>
    </row>
    <row r="167" spans="1:4" x14ac:dyDescent="0.2">
      <c r="A167" s="64">
        <v>19268</v>
      </c>
      <c r="B167">
        <v>58.7</v>
      </c>
      <c r="C167">
        <v>49597</v>
      </c>
      <c r="D167">
        <v>3</v>
      </c>
    </row>
    <row r="168" spans="1:4" x14ac:dyDescent="0.2">
      <c r="A168" s="64">
        <v>19299</v>
      </c>
      <c r="B168">
        <v>59.1</v>
      </c>
      <c r="C168">
        <v>49816</v>
      </c>
      <c r="D168">
        <v>2.8</v>
      </c>
    </row>
    <row r="169" spans="1:4" x14ac:dyDescent="0.2">
      <c r="A169" s="64">
        <v>19329</v>
      </c>
      <c r="B169">
        <v>59.2</v>
      </c>
      <c r="C169">
        <v>50166</v>
      </c>
      <c r="D169">
        <v>2.7</v>
      </c>
    </row>
    <row r="170" spans="1:4" x14ac:dyDescent="0.2">
      <c r="A170" s="64">
        <v>19360</v>
      </c>
      <c r="B170">
        <v>59.5</v>
      </c>
      <c r="C170">
        <v>50144</v>
      </c>
      <c r="D170">
        <v>2.9</v>
      </c>
    </row>
    <row r="171" spans="1:4" x14ac:dyDescent="0.2">
      <c r="A171" s="64">
        <v>19391</v>
      </c>
      <c r="B171">
        <v>59.5</v>
      </c>
      <c r="C171">
        <v>50339</v>
      </c>
      <c r="D171">
        <v>2.6</v>
      </c>
    </row>
    <row r="172" spans="1:4" x14ac:dyDescent="0.2">
      <c r="A172" s="64">
        <v>19419</v>
      </c>
      <c r="B172">
        <v>59.6</v>
      </c>
      <c r="C172">
        <v>50473</v>
      </c>
      <c r="D172">
        <v>2.6</v>
      </c>
    </row>
    <row r="173" spans="1:4" x14ac:dyDescent="0.2">
      <c r="A173" s="64">
        <v>19450</v>
      </c>
      <c r="B173">
        <v>59.1</v>
      </c>
      <c r="C173">
        <v>50435</v>
      </c>
      <c r="D173">
        <v>2.7</v>
      </c>
    </row>
    <row r="174" spans="1:4" x14ac:dyDescent="0.2">
      <c r="A174" s="64">
        <v>19480</v>
      </c>
      <c r="B174">
        <v>58.6</v>
      </c>
      <c r="C174">
        <v>50490</v>
      </c>
      <c r="D174">
        <v>2.5</v>
      </c>
    </row>
    <row r="175" spans="1:4" x14ac:dyDescent="0.2">
      <c r="A175" s="64">
        <v>19511</v>
      </c>
      <c r="B175">
        <v>58.9</v>
      </c>
      <c r="C175">
        <v>50519</v>
      </c>
      <c r="D175">
        <v>2.5</v>
      </c>
    </row>
    <row r="176" spans="1:4" x14ac:dyDescent="0.2">
      <c r="A176" s="64">
        <v>19541</v>
      </c>
      <c r="B176">
        <v>58.9</v>
      </c>
      <c r="C176">
        <v>50536</v>
      </c>
      <c r="D176">
        <v>2.6</v>
      </c>
    </row>
    <row r="177" spans="1:4" x14ac:dyDescent="0.2">
      <c r="A177" s="64">
        <v>19572</v>
      </c>
      <c r="B177">
        <v>58.6</v>
      </c>
      <c r="C177">
        <v>50489</v>
      </c>
      <c r="D177">
        <v>2.7</v>
      </c>
    </row>
    <row r="178" spans="1:4" x14ac:dyDescent="0.2">
      <c r="A178" s="64">
        <v>19603</v>
      </c>
      <c r="B178">
        <v>58.5</v>
      </c>
      <c r="C178">
        <v>50368</v>
      </c>
      <c r="D178">
        <v>2.9</v>
      </c>
    </row>
    <row r="179" spans="1:4" x14ac:dyDescent="0.2">
      <c r="A179" s="64">
        <v>19633</v>
      </c>
      <c r="B179">
        <v>58.5</v>
      </c>
      <c r="C179">
        <v>50240</v>
      </c>
      <c r="D179">
        <v>3.1</v>
      </c>
    </row>
    <row r="180" spans="1:4" x14ac:dyDescent="0.2">
      <c r="A180" s="64">
        <v>19664</v>
      </c>
      <c r="B180">
        <v>58.6</v>
      </c>
      <c r="C180">
        <v>49908</v>
      </c>
      <c r="D180">
        <v>3.5</v>
      </c>
    </row>
    <row r="181" spans="1:4" x14ac:dyDescent="0.2">
      <c r="A181" s="64">
        <v>19694</v>
      </c>
      <c r="B181">
        <v>58.3</v>
      </c>
      <c r="C181">
        <v>49703</v>
      </c>
      <c r="D181">
        <v>4.5</v>
      </c>
    </row>
    <row r="182" spans="1:4" x14ac:dyDescent="0.2">
      <c r="A182" s="64">
        <v>19725</v>
      </c>
      <c r="B182">
        <v>58.6</v>
      </c>
      <c r="C182">
        <v>49469</v>
      </c>
      <c r="D182">
        <v>4.9000000000000004</v>
      </c>
    </row>
    <row r="183" spans="1:4" x14ac:dyDescent="0.2">
      <c r="A183" s="64">
        <v>19756</v>
      </c>
      <c r="B183">
        <v>59.3</v>
      </c>
      <c r="C183">
        <v>49382</v>
      </c>
      <c r="D183">
        <v>5.2</v>
      </c>
    </row>
    <row r="184" spans="1:4" x14ac:dyDescent="0.2">
      <c r="A184" s="64">
        <v>19784</v>
      </c>
      <c r="B184">
        <v>59.1</v>
      </c>
      <c r="C184">
        <v>49157</v>
      </c>
      <c r="D184">
        <v>5.7</v>
      </c>
    </row>
    <row r="185" spans="1:4" x14ac:dyDescent="0.2">
      <c r="A185" s="64">
        <v>19815</v>
      </c>
      <c r="B185">
        <v>59.2</v>
      </c>
      <c r="C185">
        <v>49179</v>
      </c>
      <c r="D185">
        <v>5.9</v>
      </c>
    </row>
    <row r="186" spans="1:4" x14ac:dyDescent="0.2">
      <c r="A186" s="64">
        <v>19845</v>
      </c>
      <c r="B186">
        <v>58.9</v>
      </c>
      <c r="C186">
        <v>48965</v>
      </c>
      <c r="D186">
        <v>5.9</v>
      </c>
    </row>
    <row r="187" spans="1:4" x14ac:dyDescent="0.2">
      <c r="A187" s="64">
        <v>19876</v>
      </c>
      <c r="B187">
        <v>58.5</v>
      </c>
      <c r="C187">
        <v>48895</v>
      </c>
      <c r="D187">
        <v>5.6</v>
      </c>
    </row>
    <row r="188" spans="1:4" x14ac:dyDescent="0.2">
      <c r="A188" s="64">
        <v>19906</v>
      </c>
      <c r="B188">
        <v>58.4</v>
      </c>
      <c r="C188">
        <v>48835</v>
      </c>
      <c r="D188">
        <v>5.8</v>
      </c>
    </row>
    <row r="189" spans="1:4" x14ac:dyDescent="0.2">
      <c r="A189" s="64">
        <v>19937</v>
      </c>
      <c r="B189">
        <v>58.7</v>
      </c>
      <c r="C189">
        <v>48826</v>
      </c>
      <c r="D189">
        <v>6</v>
      </c>
    </row>
    <row r="190" spans="1:4" x14ac:dyDescent="0.2">
      <c r="A190" s="64">
        <v>19968</v>
      </c>
      <c r="B190">
        <v>59.2</v>
      </c>
      <c r="C190">
        <v>48886</v>
      </c>
      <c r="D190">
        <v>6.1</v>
      </c>
    </row>
    <row r="191" spans="1:4" x14ac:dyDescent="0.2">
      <c r="A191" s="64">
        <v>19998</v>
      </c>
      <c r="B191">
        <v>58.8</v>
      </c>
      <c r="C191">
        <v>48942</v>
      </c>
      <c r="D191">
        <v>5.7</v>
      </c>
    </row>
    <row r="192" spans="1:4" x14ac:dyDescent="0.2">
      <c r="A192" s="64">
        <v>20029</v>
      </c>
      <c r="B192">
        <v>58.6</v>
      </c>
      <c r="C192">
        <v>49180</v>
      </c>
      <c r="D192">
        <v>5.3</v>
      </c>
    </row>
    <row r="193" spans="1:4" x14ac:dyDescent="0.2">
      <c r="A193" s="64">
        <v>20059</v>
      </c>
      <c r="B193">
        <v>58.1</v>
      </c>
      <c r="C193">
        <v>49331</v>
      </c>
      <c r="D193">
        <v>5</v>
      </c>
    </row>
    <row r="194" spans="1:4" x14ac:dyDescent="0.2">
      <c r="A194" s="64">
        <v>20090</v>
      </c>
      <c r="B194">
        <v>58.6</v>
      </c>
      <c r="C194">
        <v>49496</v>
      </c>
      <c r="D194">
        <v>4.9000000000000004</v>
      </c>
    </row>
    <row r="195" spans="1:4" x14ac:dyDescent="0.2">
      <c r="A195" s="64">
        <v>20121</v>
      </c>
      <c r="B195">
        <v>58.4</v>
      </c>
      <c r="C195">
        <v>49644</v>
      </c>
      <c r="D195">
        <v>4.7</v>
      </c>
    </row>
    <row r="196" spans="1:4" x14ac:dyDescent="0.2">
      <c r="A196" s="64">
        <v>20149</v>
      </c>
      <c r="B196">
        <v>58.5</v>
      </c>
      <c r="C196">
        <v>49962</v>
      </c>
      <c r="D196">
        <v>4.5999999999999996</v>
      </c>
    </row>
    <row r="197" spans="1:4" x14ac:dyDescent="0.2">
      <c r="A197" s="64">
        <v>20180</v>
      </c>
      <c r="B197">
        <v>59</v>
      </c>
      <c r="C197">
        <v>50248</v>
      </c>
      <c r="D197">
        <v>4.7</v>
      </c>
    </row>
    <row r="198" spans="1:4" x14ac:dyDescent="0.2">
      <c r="A198" s="64">
        <v>20210</v>
      </c>
      <c r="B198">
        <v>58.8</v>
      </c>
      <c r="C198">
        <v>50512</v>
      </c>
      <c r="D198">
        <v>4.3</v>
      </c>
    </row>
    <row r="199" spans="1:4" x14ac:dyDescent="0.2">
      <c r="A199" s="64">
        <v>20241</v>
      </c>
      <c r="B199">
        <v>58.8</v>
      </c>
      <c r="C199">
        <v>50790</v>
      </c>
      <c r="D199">
        <v>4.2</v>
      </c>
    </row>
    <row r="200" spans="1:4" x14ac:dyDescent="0.2">
      <c r="A200" s="64">
        <v>20271</v>
      </c>
      <c r="B200">
        <v>59.3</v>
      </c>
      <c r="C200">
        <v>50987</v>
      </c>
      <c r="D200">
        <v>4</v>
      </c>
    </row>
    <row r="201" spans="1:4" x14ac:dyDescent="0.2">
      <c r="A201" s="64">
        <v>20302</v>
      </c>
      <c r="B201">
        <v>59.7</v>
      </c>
      <c r="C201">
        <v>51111</v>
      </c>
      <c r="D201">
        <v>4.2</v>
      </c>
    </row>
    <row r="202" spans="1:4" x14ac:dyDescent="0.2">
      <c r="A202" s="64">
        <v>20333</v>
      </c>
      <c r="B202">
        <v>59.7</v>
      </c>
      <c r="C202">
        <v>51266</v>
      </c>
      <c r="D202">
        <v>4.0999999999999996</v>
      </c>
    </row>
    <row r="203" spans="1:4" x14ac:dyDescent="0.2">
      <c r="A203" s="64">
        <v>20363</v>
      </c>
      <c r="B203">
        <v>59.8</v>
      </c>
      <c r="C203">
        <v>51429</v>
      </c>
      <c r="D203">
        <v>4.3</v>
      </c>
    </row>
    <row r="204" spans="1:4" x14ac:dyDescent="0.2">
      <c r="A204" s="64">
        <v>20394</v>
      </c>
      <c r="B204">
        <v>59.9</v>
      </c>
      <c r="C204">
        <v>51592</v>
      </c>
      <c r="D204">
        <v>4.2</v>
      </c>
    </row>
    <row r="205" spans="1:4" x14ac:dyDescent="0.2">
      <c r="A205" s="64">
        <v>20424</v>
      </c>
      <c r="B205">
        <v>60.2</v>
      </c>
      <c r="C205">
        <v>51805</v>
      </c>
      <c r="D205">
        <v>4.2</v>
      </c>
    </row>
    <row r="206" spans="1:4" x14ac:dyDescent="0.2">
      <c r="A206" s="64">
        <v>20455</v>
      </c>
      <c r="B206">
        <v>60.2</v>
      </c>
      <c r="C206">
        <v>51975</v>
      </c>
      <c r="D206">
        <v>4</v>
      </c>
    </row>
    <row r="207" spans="1:4" x14ac:dyDescent="0.2">
      <c r="A207" s="64">
        <v>20486</v>
      </c>
      <c r="B207">
        <v>59.9</v>
      </c>
      <c r="C207">
        <v>52167</v>
      </c>
      <c r="D207">
        <v>3.9</v>
      </c>
    </row>
    <row r="208" spans="1:4" x14ac:dyDescent="0.2">
      <c r="A208" s="64">
        <v>20515</v>
      </c>
      <c r="B208">
        <v>59.8</v>
      </c>
      <c r="C208">
        <v>52294</v>
      </c>
      <c r="D208">
        <v>4.2</v>
      </c>
    </row>
    <row r="209" spans="1:4" x14ac:dyDescent="0.2">
      <c r="A209" s="64">
        <v>20546</v>
      </c>
      <c r="B209">
        <v>59.9</v>
      </c>
      <c r="C209">
        <v>52375</v>
      </c>
      <c r="D209">
        <v>4</v>
      </c>
    </row>
    <row r="210" spans="1:4" x14ac:dyDescent="0.2">
      <c r="A210" s="64">
        <v>20576</v>
      </c>
      <c r="B210">
        <v>60.2</v>
      </c>
      <c r="C210">
        <v>52506</v>
      </c>
      <c r="D210">
        <v>4.3</v>
      </c>
    </row>
    <row r="211" spans="1:4" x14ac:dyDescent="0.2">
      <c r="A211" s="64">
        <v>20607</v>
      </c>
      <c r="B211">
        <v>60.1</v>
      </c>
      <c r="C211">
        <v>52586</v>
      </c>
      <c r="D211">
        <v>4.3</v>
      </c>
    </row>
    <row r="212" spans="1:4" x14ac:dyDescent="0.2">
      <c r="A212" s="64">
        <v>20637</v>
      </c>
      <c r="B212">
        <v>60.1</v>
      </c>
      <c r="C212">
        <v>51955</v>
      </c>
      <c r="D212">
        <v>4.4000000000000004</v>
      </c>
    </row>
    <row r="213" spans="1:4" x14ac:dyDescent="0.2">
      <c r="A213" s="64">
        <v>20668</v>
      </c>
      <c r="B213">
        <v>60</v>
      </c>
      <c r="C213">
        <v>52631</v>
      </c>
      <c r="D213">
        <v>4.0999999999999996</v>
      </c>
    </row>
    <row r="214" spans="1:4" x14ac:dyDescent="0.2">
      <c r="A214" s="64">
        <v>20699</v>
      </c>
      <c r="B214">
        <v>60</v>
      </c>
      <c r="C214">
        <v>52604</v>
      </c>
      <c r="D214">
        <v>3.9</v>
      </c>
    </row>
    <row r="215" spans="1:4" x14ac:dyDescent="0.2">
      <c r="A215" s="64">
        <v>20729</v>
      </c>
      <c r="B215">
        <v>59.8</v>
      </c>
      <c r="C215">
        <v>52777</v>
      </c>
      <c r="D215">
        <v>3.9</v>
      </c>
    </row>
    <row r="216" spans="1:4" x14ac:dyDescent="0.2">
      <c r="A216" s="64">
        <v>20760</v>
      </c>
      <c r="B216">
        <v>59.8</v>
      </c>
      <c r="C216">
        <v>52821</v>
      </c>
      <c r="D216">
        <v>4.3</v>
      </c>
    </row>
    <row r="217" spans="1:4" x14ac:dyDescent="0.2">
      <c r="A217" s="64">
        <v>20790</v>
      </c>
      <c r="B217">
        <v>59.8</v>
      </c>
      <c r="C217">
        <v>52929</v>
      </c>
      <c r="D217">
        <v>4.2</v>
      </c>
    </row>
    <row r="218" spans="1:4" x14ac:dyDescent="0.2">
      <c r="A218" s="64">
        <v>20821</v>
      </c>
      <c r="B218">
        <v>59.5</v>
      </c>
      <c r="C218">
        <v>52887</v>
      </c>
      <c r="D218">
        <v>4.2</v>
      </c>
    </row>
    <row r="219" spans="1:4" x14ac:dyDescent="0.2">
      <c r="A219" s="64">
        <v>20852</v>
      </c>
      <c r="B219">
        <v>59.9</v>
      </c>
      <c r="C219">
        <v>53097</v>
      </c>
      <c r="D219">
        <v>3.9</v>
      </c>
    </row>
    <row r="220" spans="1:4" x14ac:dyDescent="0.2">
      <c r="A220" s="64">
        <v>20880</v>
      </c>
      <c r="B220">
        <v>59.8</v>
      </c>
      <c r="C220">
        <v>53156</v>
      </c>
      <c r="D220">
        <v>3.7</v>
      </c>
    </row>
    <row r="221" spans="1:4" x14ac:dyDescent="0.2">
      <c r="A221" s="64">
        <v>20911</v>
      </c>
      <c r="B221">
        <v>59.5</v>
      </c>
      <c r="C221">
        <v>53238</v>
      </c>
      <c r="D221">
        <v>3.9</v>
      </c>
    </row>
    <row r="222" spans="1:4" x14ac:dyDescent="0.2">
      <c r="A222" s="64">
        <v>20941</v>
      </c>
      <c r="B222">
        <v>59.5</v>
      </c>
      <c r="C222">
        <v>53150</v>
      </c>
      <c r="D222">
        <v>4.0999999999999996</v>
      </c>
    </row>
    <row r="223" spans="1:4" x14ac:dyDescent="0.2">
      <c r="A223" s="64">
        <v>20972</v>
      </c>
      <c r="B223">
        <v>59.8</v>
      </c>
      <c r="C223">
        <v>53067</v>
      </c>
      <c r="D223">
        <v>4.3</v>
      </c>
    </row>
    <row r="224" spans="1:4" x14ac:dyDescent="0.2">
      <c r="A224" s="64">
        <v>21002</v>
      </c>
      <c r="B224">
        <v>60</v>
      </c>
      <c r="C224">
        <v>53123</v>
      </c>
      <c r="D224">
        <v>4.2</v>
      </c>
    </row>
    <row r="225" spans="1:4" x14ac:dyDescent="0.2">
      <c r="A225" s="64">
        <v>21033</v>
      </c>
      <c r="B225">
        <v>59.3</v>
      </c>
      <c r="C225">
        <v>53128</v>
      </c>
      <c r="D225">
        <v>4.0999999999999996</v>
      </c>
    </row>
    <row r="226" spans="1:4" x14ac:dyDescent="0.2">
      <c r="A226" s="64">
        <v>21064</v>
      </c>
      <c r="B226">
        <v>59.6</v>
      </c>
      <c r="C226">
        <v>52934</v>
      </c>
      <c r="D226">
        <v>4.4000000000000004</v>
      </c>
    </row>
    <row r="227" spans="1:4" x14ac:dyDescent="0.2">
      <c r="A227" s="64">
        <v>21094</v>
      </c>
      <c r="B227">
        <v>59.5</v>
      </c>
      <c r="C227">
        <v>52763</v>
      </c>
      <c r="D227">
        <v>4.5</v>
      </c>
    </row>
    <row r="228" spans="1:4" x14ac:dyDescent="0.2">
      <c r="A228" s="64">
        <v>21125</v>
      </c>
      <c r="B228">
        <v>59.5</v>
      </c>
      <c r="C228">
        <v>52558</v>
      </c>
      <c r="D228">
        <v>5.0999999999999996</v>
      </c>
    </row>
    <row r="229" spans="1:4" x14ac:dyDescent="0.2">
      <c r="A229" s="64">
        <v>21155</v>
      </c>
      <c r="B229">
        <v>59.6</v>
      </c>
      <c r="C229">
        <v>52384</v>
      </c>
      <c r="D229">
        <v>5.2</v>
      </c>
    </row>
    <row r="230" spans="1:4" x14ac:dyDescent="0.2">
      <c r="A230" s="64">
        <v>21186</v>
      </c>
      <c r="B230">
        <v>59.3</v>
      </c>
      <c r="C230">
        <v>52076</v>
      </c>
      <c r="D230">
        <v>5.8</v>
      </c>
    </row>
    <row r="231" spans="1:4" x14ac:dyDescent="0.2">
      <c r="A231" s="64">
        <v>21217</v>
      </c>
      <c r="B231">
        <v>59.3</v>
      </c>
      <c r="C231">
        <v>51576</v>
      </c>
      <c r="D231">
        <v>6.4</v>
      </c>
    </row>
    <row r="232" spans="1:4" x14ac:dyDescent="0.2">
      <c r="A232" s="64">
        <v>21245</v>
      </c>
      <c r="B232">
        <v>59.3</v>
      </c>
      <c r="C232">
        <v>51299</v>
      </c>
      <c r="D232">
        <v>6.7</v>
      </c>
    </row>
    <row r="233" spans="1:4" x14ac:dyDescent="0.2">
      <c r="A233" s="64">
        <v>21276</v>
      </c>
      <c r="B233">
        <v>59.6</v>
      </c>
      <c r="C233">
        <v>51027</v>
      </c>
      <c r="D233">
        <v>7.4</v>
      </c>
    </row>
    <row r="234" spans="1:4" x14ac:dyDescent="0.2">
      <c r="A234" s="64">
        <v>21306</v>
      </c>
      <c r="B234">
        <v>59.8</v>
      </c>
      <c r="C234">
        <v>50914</v>
      </c>
      <c r="D234">
        <v>7.4</v>
      </c>
    </row>
    <row r="235" spans="1:4" x14ac:dyDescent="0.2">
      <c r="A235" s="64">
        <v>21337</v>
      </c>
      <c r="B235">
        <v>59.5</v>
      </c>
      <c r="C235">
        <v>50914</v>
      </c>
      <c r="D235">
        <v>7.3</v>
      </c>
    </row>
    <row r="236" spans="1:4" x14ac:dyDescent="0.2">
      <c r="A236" s="64">
        <v>21367</v>
      </c>
      <c r="B236">
        <v>59.6</v>
      </c>
      <c r="C236">
        <v>51039</v>
      </c>
      <c r="D236">
        <v>7.5</v>
      </c>
    </row>
    <row r="237" spans="1:4" x14ac:dyDescent="0.2">
      <c r="A237" s="64">
        <v>21398</v>
      </c>
      <c r="B237">
        <v>59.8</v>
      </c>
      <c r="C237">
        <v>51233</v>
      </c>
      <c r="D237">
        <v>7.4</v>
      </c>
    </row>
    <row r="238" spans="1:4" x14ac:dyDescent="0.2">
      <c r="A238" s="64">
        <v>21429</v>
      </c>
      <c r="B238">
        <v>59.7</v>
      </c>
      <c r="C238">
        <v>51506</v>
      </c>
      <c r="D238">
        <v>7.1</v>
      </c>
    </row>
    <row r="239" spans="1:4" x14ac:dyDescent="0.2">
      <c r="A239" s="64">
        <v>21459</v>
      </c>
      <c r="B239">
        <v>59.6</v>
      </c>
      <c r="C239">
        <v>51485</v>
      </c>
      <c r="D239">
        <v>6.7</v>
      </c>
    </row>
    <row r="240" spans="1:4" x14ac:dyDescent="0.2">
      <c r="A240" s="64">
        <v>21490</v>
      </c>
      <c r="B240">
        <v>59.2</v>
      </c>
      <c r="C240">
        <v>51944</v>
      </c>
      <c r="D240">
        <v>6.2</v>
      </c>
    </row>
    <row r="241" spans="1:4" x14ac:dyDescent="0.2">
      <c r="A241" s="64">
        <v>21520</v>
      </c>
      <c r="B241">
        <v>59.2</v>
      </c>
      <c r="C241">
        <v>52085</v>
      </c>
      <c r="D241">
        <v>6.2</v>
      </c>
    </row>
    <row r="242" spans="1:4" x14ac:dyDescent="0.2">
      <c r="A242" s="64">
        <v>21551</v>
      </c>
      <c r="B242">
        <v>59.3</v>
      </c>
      <c r="C242">
        <v>52478</v>
      </c>
      <c r="D242">
        <v>6</v>
      </c>
    </row>
    <row r="243" spans="1:4" x14ac:dyDescent="0.2">
      <c r="A243" s="64">
        <v>21582</v>
      </c>
      <c r="B243">
        <v>59</v>
      </c>
      <c r="C243">
        <v>52688</v>
      </c>
      <c r="D243">
        <v>5.9</v>
      </c>
    </row>
    <row r="244" spans="1:4" x14ac:dyDescent="0.2">
      <c r="A244" s="64">
        <v>21610</v>
      </c>
      <c r="B244">
        <v>59.3</v>
      </c>
      <c r="C244">
        <v>53014</v>
      </c>
      <c r="D244">
        <v>5.6</v>
      </c>
    </row>
    <row r="245" spans="1:4" x14ac:dyDescent="0.2">
      <c r="A245" s="64">
        <v>21641</v>
      </c>
      <c r="B245">
        <v>59.4</v>
      </c>
      <c r="C245">
        <v>53321</v>
      </c>
      <c r="D245">
        <v>5.2</v>
      </c>
    </row>
    <row r="246" spans="1:4" x14ac:dyDescent="0.2">
      <c r="A246" s="64">
        <v>21671</v>
      </c>
      <c r="B246">
        <v>59.2</v>
      </c>
      <c r="C246">
        <v>53550</v>
      </c>
      <c r="D246">
        <v>5.0999999999999996</v>
      </c>
    </row>
    <row r="247" spans="1:4" x14ac:dyDescent="0.2">
      <c r="A247" s="64">
        <v>21702</v>
      </c>
      <c r="B247">
        <v>59.2</v>
      </c>
      <c r="C247">
        <v>53681</v>
      </c>
      <c r="D247">
        <v>5</v>
      </c>
    </row>
    <row r="248" spans="1:4" x14ac:dyDescent="0.2">
      <c r="A248" s="64">
        <v>21732</v>
      </c>
      <c r="B248">
        <v>59.4</v>
      </c>
      <c r="C248">
        <v>53804</v>
      </c>
      <c r="D248">
        <v>5.0999999999999996</v>
      </c>
    </row>
    <row r="249" spans="1:4" x14ac:dyDescent="0.2">
      <c r="A249" s="64">
        <v>21763</v>
      </c>
      <c r="B249">
        <v>59.2</v>
      </c>
      <c r="C249">
        <v>53336</v>
      </c>
      <c r="D249">
        <v>5.2</v>
      </c>
    </row>
    <row r="250" spans="1:4" x14ac:dyDescent="0.2">
      <c r="A250" s="64">
        <v>21794</v>
      </c>
      <c r="B250">
        <v>59.3</v>
      </c>
      <c r="C250">
        <v>53428</v>
      </c>
      <c r="D250">
        <v>5.5</v>
      </c>
    </row>
    <row r="251" spans="1:4" x14ac:dyDescent="0.2">
      <c r="A251" s="64">
        <v>21824</v>
      </c>
      <c r="B251">
        <v>59.4</v>
      </c>
      <c r="C251">
        <v>53358</v>
      </c>
      <c r="D251">
        <v>5.7</v>
      </c>
    </row>
    <row r="252" spans="1:4" x14ac:dyDescent="0.2">
      <c r="A252" s="64">
        <v>21855</v>
      </c>
      <c r="B252">
        <v>59.1</v>
      </c>
      <c r="C252">
        <v>53634</v>
      </c>
      <c r="D252">
        <v>5.8</v>
      </c>
    </row>
    <row r="253" spans="1:4" x14ac:dyDescent="0.2">
      <c r="A253" s="64">
        <v>21885</v>
      </c>
      <c r="B253">
        <v>59.5</v>
      </c>
      <c r="C253">
        <v>54174</v>
      </c>
      <c r="D253">
        <v>5.3</v>
      </c>
    </row>
    <row r="254" spans="1:4" x14ac:dyDescent="0.2">
      <c r="A254" s="64">
        <v>21916</v>
      </c>
      <c r="B254">
        <v>59.1</v>
      </c>
      <c r="C254">
        <v>54274</v>
      </c>
      <c r="D254">
        <v>5.2</v>
      </c>
    </row>
    <row r="255" spans="1:4" x14ac:dyDescent="0.2">
      <c r="A255" s="64">
        <v>21947</v>
      </c>
      <c r="B255">
        <v>59.1</v>
      </c>
      <c r="C255">
        <v>54513</v>
      </c>
      <c r="D255">
        <v>4.8</v>
      </c>
    </row>
    <row r="256" spans="1:4" x14ac:dyDescent="0.2">
      <c r="A256" s="64">
        <v>21976</v>
      </c>
      <c r="B256">
        <v>58.5</v>
      </c>
      <c r="C256">
        <v>54454</v>
      </c>
      <c r="D256">
        <v>5.4</v>
      </c>
    </row>
    <row r="257" spans="1:4" x14ac:dyDescent="0.2">
      <c r="A257" s="64">
        <v>22007</v>
      </c>
      <c r="B257">
        <v>59.5</v>
      </c>
      <c r="C257">
        <v>54813</v>
      </c>
      <c r="D257">
        <v>5.2</v>
      </c>
    </row>
    <row r="258" spans="1:4" x14ac:dyDescent="0.2">
      <c r="A258" s="64">
        <v>22037</v>
      </c>
      <c r="B258">
        <v>59.5</v>
      </c>
      <c r="C258">
        <v>54475</v>
      </c>
      <c r="D258">
        <v>5.0999999999999996</v>
      </c>
    </row>
    <row r="259" spans="1:4" x14ac:dyDescent="0.2">
      <c r="A259" s="64">
        <v>22068</v>
      </c>
      <c r="B259">
        <v>59.7</v>
      </c>
      <c r="C259">
        <v>54348</v>
      </c>
      <c r="D259">
        <v>5.4</v>
      </c>
    </row>
    <row r="260" spans="1:4" x14ac:dyDescent="0.2">
      <c r="A260" s="64">
        <v>22098</v>
      </c>
      <c r="B260">
        <v>59.5</v>
      </c>
      <c r="C260">
        <v>54306</v>
      </c>
      <c r="D260">
        <v>5.5</v>
      </c>
    </row>
    <row r="261" spans="1:4" x14ac:dyDescent="0.2">
      <c r="A261" s="64">
        <v>22129</v>
      </c>
      <c r="B261">
        <v>59.5</v>
      </c>
      <c r="C261">
        <v>54272</v>
      </c>
      <c r="D261">
        <v>5.6</v>
      </c>
    </row>
    <row r="262" spans="1:4" x14ac:dyDescent="0.2">
      <c r="A262" s="64">
        <v>22160</v>
      </c>
      <c r="B262">
        <v>59.7</v>
      </c>
      <c r="C262">
        <v>54227</v>
      </c>
      <c r="D262">
        <v>5.5</v>
      </c>
    </row>
    <row r="263" spans="1:4" x14ac:dyDescent="0.2">
      <c r="A263" s="64">
        <v>22190</v>
      </c>
      <c r="B263">
        <v>59.4</v>
      </c>
      <c r="C263">
        <v>54142</v>
      </c>
      <c r="D263">
        <v>6.1</v>
      </c>
    </row>
    <row r="264" spans="1:4" x14ac:dyDescent="0.2">
      <c r="A264" s="64">
        <v>22221</v>
      </c>
      <c r="B264">
        <v>59.8</v>
      </c>
      <c r="C264">
        <v>53961</v>
      </c>
      <c r="D264">
        <v>6.1</v>
      </c>
    </row>
    <row r="265" spans="1:4" x14ac:dyDescent="0.2">
      <c r="A265" s="64">
        <v>22251</v>
      </c>
      <c r="B265">
        <v>59.7</v>
      </c>
      <c r="C265">
        <v>53742</v>
      </c>
      <c r="D265">
        <v>6.6</v>
      </c>
    </row>
    <row r="266" spans="1:4" x14ac:dyDescent="0.2">
      <c r="A266" s="64">
        <v>22282</v>
      </c>
      <c r="B266">
        <v>59.6</v>
      </c>
      <c r="C266">
        <v>53683</v>
      </c>
      <c r="D266">
        <v>6.6</v>
      </c>
    </row>
    <row r="267" spans="1:4" x14ac:dyDescent="0.2">
      <c r="A267" s="64">
        <v>22313</v>
      </c>
      <c r="B267">
        <v>59.6</v>
      </c>
      <c r="C267">
        <v>53557</v>
      </c>
      <c r="D267">
        <v>6.9</v>
      </c>
    </row>
    <row r="268" spans="1:4" x14ac:dyDescent="0.2">
      <c r="A268" s="64">
        <v>22341</v>
      </c>
      <c r="B268">
        <v>59.7</v>
      </c>
      <c r="C268">
        <v>53659</v>
      </c>
      <c r="D268">
        <v>6.9</v>
      </c>
    </row>
    <row r="269" spans="1:4" x14ac:dyDescent="0.2">
      <c r="A269" s="64">
        <v>22372</v>
      </c>
      <c r="B269">
        <v>59.3</v>
      </c>
      <c r="C269">
        <v>53627</v>
      </c>
      <c r="D269">
        <v>7</v>
      </c>
    </row>
    <row r="270" spans="1:4" x14ac:dyDescent="0.2">
      <c r="A270" s="64">
        <v>22402</v>
      </c>
      <c r="B270">
        <v>59.4</v>
      </c>
      <c r="C270">
        <v>53786</v>
      </c>
      <c r="D270">
        <v>7.1</v>
      </c>
    </row>
    <row r="271" spans="1:4" x14ac:dyDescent="0.2">
      <c r="A271" s="64">
        <v>22433</v>
      </c>
      <c r="B271">
        <v>59.7</v>
      </c>
      <c r="C271">
        <v>53977</v>
      </c>
      <c r="D271">
        <v>6.9</v>
      </c>
    </row>
    <row r="272" spans="1:4" x14ac:dyDescent="0.2">
      <c r="A272" s="64">
        <v>22463</v>
      </c>
      <c r="B272">
        <v>59.3</v>
      </c>
      <c r="C272">
        <v>54123</v>
      </c>
      <c r="D272">
        <v>7</v>
      </c>
    </row>
    <row r="273" spans="1:4" x14ac:dyDescent="0.2">
      <c r="A273" s="64">
        <v>22494</v>
      </c>
      <c r="B273">
        <v>59.3</v>
      </c>
      <c r="C273">
        <v>54298</v>
      </c>
      <c r="D273">
        <v>6.6</v>
      </c>
    </row>
    <row r="274" spans="1:4" x14ac:dyDescent="0.2">
      <c r="A274" s="64">
        <v>22525</v>
      </c>
      <c r="B274">
        <v>59</v>
      </c>
      <c r="C274">
        <v>54388</v>
      </c>
      <c r="D274">
        <v>6.7</v>
      </c>
    </row>
    <row r="275" spans="1:4" x14ac:dyDescent="0.2">
      <c r="A275" s="64">
        <v>22555</v>
      </c>
      <c r="B275">
        <v>59.1</v>
      </c>
      <c r="C275">
        <v>54522</v>
      </c>
      <c r="D275">
        <v>6.5</v>
      </c>
    </row>
    <row r="276" spans="1:4" x14ac:dyDescent="0.2">
      <c r="A276" s="64">
        <v>22586</v>
      </c>
      <c r="B276">
        <v>59.1</v>
      </c>
      <c r="C276">
        <v>54742</v>
      </c>
      <c r="D276">
        <v>6.1</v>
      </c>
    </row>
    <row r="277" spans="1:4" x14ac:dyDescent="0.2">
      <c r="A277" s="64">
        <v>22616</v>
      </c>
      <c r="B277">
        <v>58.8</v>
      </c>
      <c r="C277">
        <v>54872</v>
      </c>
      <c r="D277">
        <v>6</v>
      </c>
    </row>
    <row r="278" spans="1:4" x14ac:dyDescent="0.2">
      <c r="A278" s="64">
        <v>22647</v>
      </c>
      <c r="B278">
        <v>58.8</v>
      </c>
      <c r="C278">
        <v>54891</v>
      </c>
      <c r="D278">
        <v>5.8</v>
      </c>
    </row>
    <row r="279" spans="1:4" x14ac:dyDescent="0.2">
      <c r="A279" s="64">
        <v>22678</v>
      </c>
      <c r="B279">
        <v>59</v>
      </c>
      <c r="C279">
        <v>55188</v>
      </c>
      <c r="D279">
        <v>5.5</v>
      </c>
    </row>
    <row r="280" spans="1:4" x14ac:dyDescent="0.2">
      <c r="A280" s="64">
        <v>22706</v>
      </c>
      <c r="B280">
        <v>58.9</v>
      </c>
      <c r="C280">
        <v>55275</v>
      </c>
      <c r="D280">
        <v>5.6</v>
      </c>
    </row>
    <row r="281" spans="1:4" x14ac:dyDescent="0.2">
      <c r="A281" s="64">
        <v>22737</v>
      </c>
      <c r="B281">
        <v>58.7</v>
      </c>
      <c r="C281">
        <v>55602</v>
      </c>
      <c r="D281">
        <v>5.6</v>
      </c>
    </row>
    <row r="282" spans="1:4" x14ac:dyDescent="0.2">
      <c r="A282" s="64">
        <v>22767</v>
      </c>
      <c r="B282">
        <v>58.9</v>
      </c>
      <c r="C282">
        <v>55628</v>
      </c>
      <c r="D282">
        <v>5.5</v>
      </c>
    </row>
    <row r="283" spans="1:4" x14ac:dyDescent="0.2">
      <c r="A283" s="64">
        <v>22798</v>
      </c>
      <c r="B283">
        <v>58.8</v>
      </c>
      <c r="C283">
        <v>55644</v>
      </c>
      <c r="D283">
        <v>5.5</v>
      </c>
    </row>
    <row r="284" spans="1:4" x14ac:dyDescent="0.2">
      <c r="A284" s="64">
        <v>22828</v>
      </c>
      <c r="B284">
        <v>58.5</v>
      </c>
      <c r="C284">
        <v>55746</v>
      </c>
      <c r="D284">
        <v>5.4</v>
      </c>
    </row>
    <row r="285" spans="1:4" x14ac:dyDescent="0.2">
      <c r="A285" s="64">
        <v>22859</v>
      </c>
      <c r="B285">
        <v>59</v>
      </c>
      <c r="C285">
        <v>55838</v>
      </c>
      <c r="D285">
        <v>5.7</v>
      </c>
    </row>
    <row r="286" spans="1:4" x14ac:dyDescent="0.2">
      <c r="A286" s="64">
        <v>22890</v>
      </c>
      <c r="B286">
        <v>59</v>
      </c>
      <c r="C286">
        <v>55978</v>
      </c>
      <c r="D286">
        <v>5.6</v>
      </c>
    </row>
    <row r="287" spans="1:4" x14ac:dyDescent="0.2">
      <c r="A287" s="64">
        <v>22920</v>
      </c>
      <c r="B287">
        <v>58.7</v>
      </c>
      <c r="C287">
        <v>56041</v>
      </c>
      <c r="D287">
        <v>5.4</v>
      </c>
    </row>
    <row r="288" spans="1:4" x14ac:dyDescent="0.2">
      <c r="A288" s="64">
        <v>22951</v>
      </c>
      <c r="B288">
        <v>58.5</v>
      </c>
      <c r="C288">
        <v>56056</v>
      </c>
      <c r="D288">
        <v>5.7</v>
      </c>
    </row>
    <row r="289" spans="1:4" x14ac:dyDescent="0.2">
      <c r="A289" s="64">
        <v>22981</v>
      </c>
      <c r="B289">
        <v>58.4</v>
      </c>
      <c r="C289">
        <v>56028</v>
      </c>
      <c r="D289">
        <v>5.5</v>
      </c>
    </row>
    <row r="290" spans="1:4" x14ac:dyDescent="0.2">
      <c r="A290" s="64">
        <v>23012</v>
      </c>
      <c r="B290">
        <v>58.6</v>
      </c>
      <c r="C290">
        <v>56115</v>
      </c>
      <c r="D290">
        <v>5.7</v>
      </c>
    </row>
    <row r="291" spans="1:4" x14ac:dyDescent="0.2">
      <c r="A291" s="64">
        <v>23043</v>
      </c>
      <c r="B291">
        <v>58.6</v>
      </c>
      <c r="C291">
        <v>56230</v>
      </c>
      <c r="D291">
        <v>5.9</v>
      </c>
    </row>
    <row r="292" spans="1:4" x14ac:dyDescent="0.2">
      <c r="A292" s="64">
        <v>23071</v>
      </c>
      <c r="B292">
        <v>58.6</v>
      </c>
      <c r="C292">
        <v>56320</v>
      </c>
      <c r="D292">
        <v>5.7</v>
      </c>
    </row>
    <row r="293" spans="1:4" x14ac:dyDescent="0.2">
      <c r="A293" s="64">
        <v>23102</v>
      </c>
      <c r="B293">
        <v>58.8</v>
      </c>
      <c r="C293">
        <v>56580</v>
      </c>
      <c r="D293">
        <v>5.7</v>
      </c>
    </row>
    <row r="294" spans="1:4" x14ac:dyDescent="0.2">
      <c r="A294" s="64">
        <v>23132</v>
      </c>
      <c r="B294">
        <v>58.8</v>
      </c>
      <c r="C294">
        <v>56616</v>
      </c>
      <c r="D294">
        <v>5.9</v>
      </c>
    </row>
    <row r="295" spans="1:4" x14ac:dyDescent="0.2">
      <c r="A295" s="64">
        <v>23163</v>
      </c>
      <c r="B295">
        <v>58.5</v>
      </c>
      <c r="C295">
        <v>56659</v>
      </c>
      <c r="D295">
        <v>5.6</v>
      </c>
    </row>
    <row r="296" spans="1:4" x14ac:dyDescent="0.2">
      <c r="A296" s="64">
        <v>23193</v>
      </c>
      <c r="B296">
        <v>58.7</v>
      </c>
      <c r="C296">
        <v>56794</v>
      </c>
      <c r="D296">
        <v>5.6</v>
      </c>
    </row>
    <row r="297" spans="1:4" x14ac:dyDescent="0.2">
      <c r="A297" s="64">
        <v>23224</v>
      </c>
      <c r="B297">
        <v>58.5</v>
      </c>
      <c r="C297">
        <v>56910</v>
      </c>
      <c r="D297">
        <v>5.4</v>
      </c>
    </row>
    <row r="298" spans="1:4" x14ac:dyDescent="0.2">
      <c r="A298" s="64">
        <v>23255</v>
      </c>
      <c r="B298">
        <v>58.7</v>
      </c>
      <c r="C298">
        <v>57078</v>
      </c>
      <c r="D298">
        <v>5.5</v>
      </c>
    </row>
    <row r="299" spans="1:4" x14ac:dyDescent="0.2">
      <c r="A299" s="64">
        <v>23285</v>
      </c>
      <c r="B299">
        <v>58.8</v>
      </c>
      <c r="C299">
        <v>57283</v>
      </c>
      <c r="D299">
        <v>5.5</v>
      </c>
    </row>
    <row r="300" spans="1:4" x14ac:dyDescent="0.2">
      <c r="A300" s="64">
        <v>23316</v>
      </c>
      <c r="B300">
        <v>58.8</v>
      </c>
      <c r="C300">
        <v>57255</v>
      </c>
      <c r="D300">
        <v>5.7</v>
      </c>
    </row>
    <row r="301" spans="1:4" x14ac:dyDescent="0.2">
      <c r="A301" s="64">
        <v>23346</v>
      </c>
      <c r="B301">
        <v>58.5</v>
      </c>
      <c r="C301">
        <v>57361</v>
      </c>
      <c r="D301">
        <v>5.5</v>
      </c>
    </row>
    <row r="302" spans="1:4" x14ac:dyDescent="0.2">
      <c r="A302" s="64">
        <v>23377</v>
      </c>
      <c r="B302">
        <v>58.6</v>
      </c>
      <c r="C302">
        <v>57487</v>
      </c>
      <c r="D302">
        <v>5.6</v>
      </c>
    </row>
    <row r="303" spans="1:4" x14ac:dyDescent="0.2">
      <c r="A303" s="64">
        <v>23408</v>
      </c>
      <c r="B303">
        <v>58.8</v>
      </c>
      <c r="C303">
        <v>57753</v>
      </c>
      <c r="D303">
        <v>5.4</v>
      </c>
    </row>
    <row r="304" spans="1:4" x14ac:dyDescent="0.2">
      <c r="A304" s="64">
        <v>23437</v>
      </c>
      <c r="B304">
        <v>58.7</v>
      </c>
      <c r="C304">
        <v>57897</v>
      </c>
      <c r="D304">
        <v>5.4</v>
      </c>
    </row>
    <row r="305" spans="1:4" x14ac:dyDescent="0.2">
      <c r="A305" s="64">
        <v>23468</v>
      </c>
      <c r="B305">
        <v>59.1</v>
      </c>
      <c r="C305">
        <v>57922</v>
      </c>
      <c r="D305">
        <v>5.3</v>
      </c>
    </row>
    <row r="306" spans="1:4" x14ac:dyDescent="0.2">
      <c r="A306" s="64">
        <v>23498</v>
      </c>
      <c r="B306">
        <v>59.1</v>
      </c>
      <c r="C306">
        <v>58089</v>
      </c>
      <c r="D306">
        <v>5.0999999999999996</v>
      </c>
    </row>
    <row r="307" spans="1:4" x14ac:dyDescent="0.2">
      <c r="A307" s="64">
        <v>23529</v>
      </c>
      <c r="B307">
        <v>58.7</v>
      </c>
      <c r="C307">
        <v>58219</v>
      </c>
      <c r="D307">
        <v>5.2</v>
      </c>
    </row>
    <row r="308" spans="1:4" x14ac:dyDescent="0.2">
      <c r="A308" s="64">
        <v>23559</v>
      </c>
      <c r="B308">
        <v>58.6</v>
      </c>
      <c r="C308">
        <v>58412</v>
      </c>
      <c r="D308">
        <v>4.9000000000000004</v>
      </c>
    </row>
    <row r="309" spans="1:4" x14ac:dyDescent="0.2">
      <c r="A309" s="64">
        <v>23590</v>
      </c>
      <c r="B309">
        <v>58.6</v>
      </c>
      <c r="C309">
        <v>58619</v>
      </c>
      <c r="D309">
        <v>5</v>
      </c>
    </row>
    <row r="310" spans="1:4" x14ac:dyDescent="0.2">
      <c r="A310" s="64">
        <v>23621</v>
      </c>
      <c r="B310">
        <v>58.7</v>
      </c>
      <c r="C310">
        <v>58903</v>
      </c>
      <c r="D310">
        <v>5.0999999999999996</v>
      </c>
    </row>
    <row r="311" spans="1:4" x14ac:dyDescent="0.2">
      <c r="A311" s="64">
        <v>23651</v>
      </c>
      <c r="B311">
        <v>58.6</v>
      </c>
      <c r="C311">
        <v>58793</v>
      </c>
      <c r="D311">
        <v>5.0999999999999996</v>
      </c>
    </row>
    <row r="312" spans="1:4" x14ac:dyDescent="0.2">
      <c r="A312" s="64">
        <v>23682</v>
      </c>
      <c r="B312">
        <v>58.5</v>
      </c>
      <c r="C312">
        <v>59218</v>
      </c>
      <c r="D312">
        <v>4.8</v>
      </c>
    </row>
    <row r="313" spans="1:4" x14ac:dyDescent="0.2">
      <c r="A313" s="64">
        <v>23712</v>
      </c>
      <c r="B313">
        <v>58.6</v>
      </c>
      <c r="C313">
        <v>59421</v>
      </c>
      <c r="D313">
        <v>5</v>
      </c>
    </row>
    <row r="314" spans="1:4" x14ac:dyDescent="0.2">
      <c r="A314" s="64">
        <v>23743</v>
      </c>
      <c r="B314">
        <v>58.6</v>
      </c>
      <c r="C314">
        <v>59582</v>
      </c>
      <c r="D314">
        <v>4.9000000000000004</v>
      </c>
    </row>
    <row r="315" spans="1:4" x14ac:dyDescent="0.2">
      <c r="A315" s="64">
        <v>23774</v>
      </c>
      <c r="B315">
        <v>58.7</v>
      </c>
      <c r="C315">
        <v>59800</v>
      </c>
      <c r="D315">
        <v>5.0999999999999996</v>
      </c>
    </row>
    <row r="316" spans="1:4" x14ac:dyDescent="0.2">
      <c r="A316" s="64">
        <v>23802</v>
      </c>
      <c r="B316">
        <v>58.7</v>
      </c>
      <c r="C316">
        <v>60003</v>
      </c>
      <c r="D316">
        <v>4.7</v>
      </c>
    </row>
    <row r="317" spans="1:4" x14ac:dyDescent="0.2">
      <c r="A317" s="64">
        <v>23833</v>
      </c>
      <c r="B317">
        <v>58.8</v>
      </c>
      <c r="C317">
        <v>60259</v>
      </c>
      <c r="D317">
        <v>4.8</v>
      </c>
    </row>
    <row r="318" spans="1:4" x14ac:dyDescent="0.2">
      <c r="A318" s="64">
        <v>23863</v>
      </c>
      <c r="B318">
        <v>59</v>
      </c>
      <c r="C318">
        <v>60491</v>
      </c>
      <c r="D318">
        <v>4.5999999999999996</v>
      </c>
    </row>
    <row r="319" spans="1:4" x14ac:dyDescent="0.2">
      <c r="A319" s="64">
        <v>23894</v>
      </c>
      <c r="B319">
        <v>58.8</v>
      </c>
      <c r="C319">
        <v>60690</v>
      </c>
      <c r="D319">
        <v>4.5999999999999996</v>
      </c>
    </row>
    <row r="320" spans="1:4" x14ac:dyDescent="0.2">
      <c r="A320" s="64">
        <v>23924</v>
      </c>
      <c r="B320">
        <v>59.1</v>
      </c>
      <c r="C320">
        <v>60965</v>
      </c>
      <c r="D320">
        <v>4.4000000000000004</v>
      </c>
    </row>
    <row r="321" spans="1:4" x14ac:dyDescent="0.2">
      <c r="A321" s="64">
        <v>23955</v>
      </c>
      <c r="B321">
        <v>58.9</v>
      </c>
      <c r="C321">
        <v>61228</v>
      </c>
      <c r="D321">
        <v>4.4000000000000004</v>
      </c>
    </row>
    <row r="322" spans="1:4" x14ac:dyDescent="0.2">
      <c r="A322" s="64">
        <v>23986</v>
      </c>
      <c r="B322">
        <v>58.7</v>
      </c>
      <c r="C322">
        <v>61490</v>
      </c>
      <c r="D322">
        <v>4.3</v>
      </c>
    </row>
    <row r="323" spans="1:4" x14ac:dyDescent="0.2">
      <c r="A323" s="64">
        <v>24016</v>
      </c>
      <c r="B323">
        <v>58.9</v>
      </c>
      <c r="C323">
        <v>61719</v>
      </c>
      <c r="D323">
        <v>4.2</v>
      </c>
    </row>
    <row r="324" spans="1:4" x14ac:dyDescent="0.2">
      <c r="A324" s="64">
        <v>24047</v>
      </c>
      <c r="B324">
        <v>58.8</v>
      </c>
      <c r="C324">
        <v>61996</v>
      </c>
      <c r="D324">
        <v>4.0999999999999996</v>
      </c>
    </row>
    <row r="325" spans="1:4" x14ac:dyDescent="0.2">
      <c r="A325" s="64">
        <v>24077</v>
      </c>
      <c r="B325">
        <v>59</v>
      </c>
      <c r="C325">
        <v>62322</v>
      </c>
      <c r="D325">
        <v>4</v>
      </c>
    </row>
    <row r="326" spans="1:4" x14ac:dyDescent="0.2">
      <c r="A326" s="64">
        <v>24108</v>
      </c>
      <c r="B326">
        <v>59</v>
      </c>
      <c r="C326">
        <v>62529</v>
      </c>
      <c r="D326">
        <v>4</v>
      </c>
    </row>
    <row r="327" spans="1:4" x14ac:dyDescent="0.2">
      <c r="A327" s="64">
        <v>24139</v>
      </c>
      <c r="B327">
        <v>58.8</v>
      </c>
      <c r="C327">
        <v>62796</v>
      </c>
      <c r="D327">
        <v>3.8</v>
      </c>
    </row>
    <row r="328" spans="1:4" x14ac:dyDescent="0.2">
      <c r="A328" s="64">
        <v>24167</v>
      </c>
      <c r="B328">
        <v>58.8</v>
      </c>
      <c r="C328">
        <v>63192</v>
      </c>
      <c r="D328">
        <v>3.8</v>
      </c>
    </row>
    <row r="329" spans="1:4" x14ac:dyDescent="0.2">
      <c r="A329" s="64">
        <v>24198</v>
      </c>
      <c r="B329">
        <v>59</v>
      </c>
      <c r="C329">
        <v>63437</v>
      </c>
      <c r="D329">
        <v>3.8</v>
      </c>
    </row>
    <row r="330" spans="1:4" x14ac:dyDescent="0.2">
      <c r="A330" s="64">
        <v>24228</v>
      </c>
      <c r="B330">
        <v>59</v>
      </c>
      <c r="C330">
        <v>63712</v>
      </c>
      <c r="D330">
        <v>3.9</v>
      </c>
    </row>
    <row r="331" spans="1:4" x14ac:dyDescent="0.2">
      <c r="A331" s="64">
        <v>24259</v>
      </c>
      <c r="B331">
        <v>59.1</v>
      </c>
      <c r="C331">
        <v>64111</v>
      </c>
      <c r="D331">
        <v>3.8</v>
      </c>
    </row>
    <row r="332" spans="1:4" x14ac:dyDescent="0.2">
      <c r="A332" s="64">
        <v>24289</v>
      </c>
      <c r="B332">
        <v>59.1</v>
      </c>
      <c r="C332">
        <v>64301</v>
      </c>
      <c r="D332">
        <v>3.8</v>
      </c>
    </row>
    <row r="333" spans="1:4" x14ac:dyDescent="0.2">
      <c r="A333" s="64">
        <v>24320</v>
      </c>
      <c r="B333">
        <v>59.3</v>
      </c>
      <c r="C333">
        <v>64507</v>
      </c>
      <c r="D333">
        <v>3.8</v>
      </c>
    </row>
    <row r="334" spans="1:4" x14ac:dyDescent="0.2">
      <c r="A334" s="64">
        <v>24351</v>
      </c>
      <c r="B334">
        <v>59.3</v>
      </c>
      <c r="C334">
        <v>64643</v>
      </c>
      <c r="D334">
        <v>3.7</v>
      </c>
    </row>
    <row r="335" spans="1:4" x14ac:dyDescent="0.2">
      <c r="A335" s="64">
        <v>24381</v>
      </c>
      <c r="B335">
        <v>59.3</v>
      </c>
      <c r="C335">
        <v>64854</v>
      </c>
      <c r="D335">
        <v>3.7</v>
      </c>
    </row>
    <row r="336" spans="1:4" x14ac:dyDescent="0.2">
      <c r="A336" s="64">
        <v>24412</v>
      </c>
      <c r="B336">
        <v>59.6</v>
      </c>
      <c r="C336">
        <v>65019</v>
      </c>
      <c r="D336">
        <v>3.6</v>
      </c>
    </row>
    <row r="337" spans="1:4" x14ac:dyDescent="0.2">
      <c r="A337" s="64">
        <v>24442</v>
      </c>
      <c r="B337">
        <v>59.5</v>
      </c>
      <c r="C337">
        <v>65199</v>
      </c>
      <c r="D337">
        <v>3.8</v>
      </c>
    </row>
    <row r="338" spans="1:4" x14ac:dyDescent="0.2">
      <c r="A338" s="64">
        <v>24473</v>
      </c>
      <c r="B338">
        <v>59.5</v>
      </c>
      <c r="C338">
        <v>65407</v>
      </c>
      <c r="D338">
        <v>3.9</v>
      </c>
    </row>
    <row r="339" spans="1:4" x14ac:dyDescent="0.2">
      <c r="A339" s="64">
        <v>24504</v>
      </c>
      <c r="B339">
        <v>59.3</v>
      </c>
      <c r="C339">
        <v>65429</v>
      </c>
      <c r="D339">
        <v>3.8</v>
      </c>
    </row>
    <row r="340" spans="1:4" x14ac:dyDescent="0.2">
      <c r="A340" s="64">
        <v>24532</v>
      </c>
      <c r="B340">
        <v>59.1</v>
      </c>
      <c r="C340">
        <v>65530</v>
      </c>
      <c r="D340">
        <v>3.8</v>
      </c>
    </row>
    <row r="341" spans="1:4" x14ac:dyDescent="0.2">
      <c r="A341" s="64">
        <v>24563</v>
      </c>
      <c r="B341">
        <v>59.4</v>
      </c>
      <c r="C341">
        <v>65466</v>
      </c>
      <c r="D341">
        <v>3.8</v>
      </c>
    </row>
    <row r="342" spans="1:4" x14ac:dyDescent="0.2">
      <c r="A342" s="64">
        <v>24593</v>
      </c>
      <c r="B342">
        <v>59.3</v>
      </c>
      <c r="C342">
        <v>65620</v>
      </c>
      <c r="D342">
        <v>3.8</v>
      </c>
    </row>
    <row r="343" spans="1:4" x14ac:dyDescent="0.2">
      <c r="A343" s="64">
        <v>24624</v>
      </c>
      <c r="B343">
        <v>59.6</v>
      </c>
      <c r="C343">
        <v>65750</v>
      </c>
      <c r="D343">
        <v>3.9</v>
      </c>
    </row>
    <row r="344" spans="1:4" x14ac:dyDescent="0.2">
      <c r="A344" s="64">
        <v>24654</v>
      </c>
      <c r="B344">
        <v>59.6</v>
      </c>
      <c r="C344">
        <v>65888</v>
      </c>
      <c r="D344">
        <v>3.8</v>
      </c>
    </row>
    <row r="345" spans="1:4" x14ac:dyDescent="0.2">
      <c r="A345" s="64">
        <v>24685</v>
      </c>
      <c r="B345">
        <v>59.7</v>
      </c>
      <c r="C345">
        <v>66143</v>
      </c>
      <c r="D345">
        <v>3.8</v>
      </c>
    </row>
    <row r="346" spans="1:4" x14ac:dyDescent="0.2">
      <c r="A346" s="64">
        <v>24716</v>
      </c>
      <c r="B346">
        <v>59.7</v>
      </c>
      <c r="C346">
        <v>66164</v>
      </c>
      <c r="D346">
        <v>3.8</v>
      </c>
    </row>
    <row r="347" spans="1:4" x14ac:dyDescent="0.2">
      <c r="A347" s="64">
        <v>24746</v>
      </c>
      <c r="B347">
        <v>59.9</v>
      </c>
      <c r="C347">
        <v>66225</v>
      </c>
      <c r="D347">
        <v>4</v>
      </c>
    </row>
    <row r="348" spans="1:4" x14ac:dyDescent="0.2">
      <c r="A348" s="64">
        <v>24777</v>
      </c>
      <c r="B348">
        <v>59.8</v>
      </c>
      <c r="C348">
        <v>66703</v>
      </c>
      <c r="D348">
        <v>3.9</v>
      </c>
    </row>
    <row r="349" spans="1:4" x14ac:dyDescent="0.2">
      <c r="A349" s="64">
        <v>24807</v>
      </c>
      <c r="B349">
        <v>59.9</v>
      </c>
      <c r="C349">
        <v>66900</v>
      </c>
      <c r="D349">
        <v>3.8</v>
      </c>
    </row>
    <row r="350" spans="1:4" x14ac:dyDescent="0.2">
      <c r="A350" s="64">
        <v>24838</v>
      </c>
      <c r="B350">
        <v>59.2</v>
      </c>
      <c r="C350">
        <v>66804</v>
      </c>
      <c r="D350">
        <v>3.7</v>
      </c>
    </row>
    <row r="351" spans="1:4" x14ac:dyDescent="0.2">
      <c r="A351" s="64">
        <v>24869</v>
      </c>
      <c r="B351">
        <v>59.6</v>
      </c>
      <c r="C351">
        <v>67215</v>
      </c>
      <c r="D351">
        <v>3.8</v>
      </c>
    </row>
    <row r="352" spans="1:4" x14ac:dyDescent="0.2">
      <c r="A352" s="64">
        <v>24898</v>
      </c>
      <c r="B352">
        <v>59.6</v>
      </c>
      <c r="C352">
        <v>67295</v>
      </c>
      <c r="D352">
        <v>3.7</v>
      </c>
    </row>
    <row r="353" spans="1:4" x14ac:dyDescent="0.2">
      <c r="A353" s="64">
        <v>24929</v>
      </c>
      <c r="B353">
        <v>59.5</v>
      </c>
      <c r="C353">
        <v>67556</v>
      </c>
      <c r="D353">
        <v>3.5</v>
      </c>
    </row>
    <row r="354" spans="1:4" x14ac:dyDescent="0.2">
      <c r="A354" s="64">
        <v>24959</v>
      </c>
      <c r="B354">
        <v>59.9</v>
      </c>
      <c r="C354">
        <v>67652</v>
      </c>
      <c r="D354">
        <v>3.5</v>
      </c>
    </row>
    <row r="355" spans="1:4" x14ac:dyDescent="0.2">
      <c r="A355" s="64">
        <v>24990</v>
      </c>
      <c r="B355">
        <v>60</v>
      </c>
      <c r="C355">
        <v>67905</v>
      </c>
      <c r="D355">
        <v>3.7</v>
      </c>
    </row>
    <row r="356" spans="1:4" x14ac:dyDescent="0.2">
      <c r="A356" s="64">
        <v>25020</v>
      </c>
      <c r="B356">
        <v>59.8</v>
      </c>
      <c r="C356">
        <v>68126</v>
      </c>
      <c r="D356">
        <v>3.7</v>
      </c>
    </row>
    <row r="357" spans="1:4" x14ac:dyDescent="0.2">
      <c r="A357" s="64">
        <v>25051</v>
      </c>
      <c r="B357">
        <v>59.6</v>
      </c>
      <c r="C357">
        <v>68330</v>
      </c>
      <c r="D357">
        <v>3.5</v>
      </c>
    </row>
    <row r="358" spans="1:4" x14ac:dyDescent="0.2">
      <c r="A358" s="64">
        <v>25082</v>
      </c>
      <c r="B358">
        <v>59.5</v>
      </c>
      <c r="C358">
        <v>68484</v>
      </c>
      <c r="D358">
        <v>3.4</v>
      </c>
    </row>
    <row r="359" spans="1:4" x14ac:dyDescent="0.2">
      <c r="A359" s="64">
        <v>25112</v>
      </c>
      <c r="B359">
        <v>59.5</v>
      </c>
      <c r="C359">
        <v>68721</v>
      </c>
      <c r="D359">
        <v>3.4</v>
      </c>
    </row>
    <row r="360" spans="1:4" x14ac:dyDescent="0.2">
      <c r="A360" s="64">
        <v>25143</v>
      </c>
      <c r="B360">
        <v>59.6</v>
      </c>
      <c r="C360">
        <v>68984</v>
      </c>
      <c r="D360">
        <v>3.4</v>
      </c>
    </row>
    <row r="361" spans="1:4" x14ac:dyDescent="0.2">
      <c r="A361" s="64">
        <v>25173</v>
      </c>
      <c r="B361">
        <v>59.7</v>
      </c>
      <c r="C361">
        <v>69248</v>
      </c>
      <c r="D361">
        <v>3.4</v>
      </c>
    </row>
    <row r="362" spans="1:4" x14ac:dyDescent="0.2">
      <c r="A362" s="64">
        <v>25204</v>
      </c>
      <c r="B362">
        <v>59.6</v>
      </c>
      <c r="C362">
        <v>69439</v>
      </c>
      <c r="D362">
        <v>3.4</v>
      </c>
    </row>
    <row r="363" spans="1:4" x14ac:dyDescent="0.2">
      <c r="A363" s="64">
        <v>25235</v>
      </c>
      <c r="B363">
        <v>60</v>
      </c>
      <c r="C363">
        <v>69699</v>
      </c>
      <c r="D363">
        <v>3.4</v>
      </c>
    </row>
    <row r="364" spans="1:4" x14ac:dyDescent="0.2">
      <c r="A364" s="64">
        <v>25263</v>
      </c>
      <c r="B364">
        <v>59.9</v>
      </c>
      <c r="C364">
        <v>69905</v>
      </c>
      <c r="D364">
        <v>3.4</v>
      </c>
    </row>
    <row r="365" spans="1:4" x14ac:dyDescent="0.2">
      <c r="A365" s="64">
        <v>25294</v>
      </c>
      <c r="B365">
        <v>60</v>
      </c>
      <c r="C365">
        <v>70072</v>
      </c>
      <c r="D365">
        <v>3.4</v>
      </c>
    </row>
    <row r="366" spans="1:4" x14ac:dyDescent="0.2">
      <c r="A366" s="64">
        <v>25324</v>
      </c>
      <c r="B366">
        <v>59.8</v>
      </c>
      <c r="C366">
        <v>70328</v>
      </c>
      <c r="D366">
        <v>3.4</v>
      </c>
    </row>
    <row r="367" spans="1:4" x14ac:dyDescent="0.2">
      <c r="A367" s="64">
        <v>25355</v>
      </c>
      <c r="B367">
        <v>60.1</v>
      </c>
      <c r="C367">
        <v>70636</v>
      </c>
      <c r="D367">
        <v>3.5</v>
      </c>
    </row>
    <row r="368" spans="1:4" x14ac:dyDescent="0.2">
      <c r="A368" s="64">
        <v>25385</v>
      </c>
      <c r="B368">
        <v>60.1</v>
      </c>
      <c r="C368">
        <v>70729</v>
      </c>
      <c r="D368">
        <v>3.5</v>
      </c>
    </row>
    <row r="369" spans="1:4" x14ac:dyDescent="0.2">
      <c r="A369" s="64">
        <v>25416</v>
      </c>
      <c r="B369">
        <v>60.3</v>
      </c>
      <c r="C369">
        <v>71008</v>
      </c>
      <c r="D369">
        <v>3.5</v>
      </c>
    </row>
    <row r="370" spans="1:4" x14ac:dyDescent="0.2">
      <c r="A370" s="64">
        <v>25447</v>
      </c>
      <c r="B370">
        <v>60.3</v>
      </c>
      <c r="C370">
        <v>70914</v>
      </c>
      <c r="D370">
        <v>3.7</v>
      </c>
    </row>
    <row r="371" spans="1:4" x14ac:dyDescent="0.2">
      <c r="A371" s="64">
        <v>25477</v>
      </c>
      <c r="B371">
        <v>60.4</v>
      </c>
      <c r="C371">
        <v>71121</v>
      </c>
      <c r="D371">
        <v>3.7</v>
      </c>
    </row>
    <row r="372" spans="1:4" x14ac:dyDescent="0.2">
      <c r="A372" s="64">
        <v>25508</v>
      </c>
      <c r="B372">
        <v>60.2</v>
      </c>
      <c r="C372">
        <v>71086</v>
      </c>
      <c r="D372">
        <v>3.5</v>
      </c>
    </row>
    <row r="373" spans="1:4" x14ac:dyDescent="0.2">
      <c r="A373" s="64">
        <v>25538</v>
      </c>
      <c r="B373">
        <v>60.2</v>
      </c>
      <c r="C373">
        <v>71241</v>
      </c>
      <c r="D373">
        <v>3.5</v>
      </c>
    </row>
    <row r="374" spans="1:4" x14ac:dyDescent="0.2">
      <c r="A374" s="64">
        <v>25569</v>
      </c>
      <c r="B374">
        <v>60.4</v>
      </c>
      <c r="C374">
        <v>71176</v>
      </c>
      <c r="D374">
        <v>3.9</v>
      </c>
    </row>
    <row r="375" spans="1:4" x14ac:dyDescent="0.2">
      <c r="A375" s="64">
        <v>25600</v>
      </c>
      <c r="B375">
        <v>60.4</v>
      </c>
      <c r="C375">
        <v>71305</v>
      </c>
      <c r="D375">
        <v>4.2</v>
      </c>
    </row>
    <row r="376" spans="1:4" x14ac:dyDescent="0.2">
      <c r="A376" s="64">
        <v>25628</v>
      </c>
      <c r="B376">
        <v>60.6</v>
      </c>
      <c r="C376">
        <v>71451</v>
      </c>
      <c r="D376">
        <v>4.4000000000000004</v>
      </c>
    </row>
    <row r="377" spans="1:4" x14ac:dyDescent="0.2">
      <c r="A377" s="64">
        <v>25659</v>
      </c>
      <c r="B377">
        <v>60.6</v>
      </c>
      <c r="C377">
        <v>71348</v>
      </c>
      <c r="D377">
        <v>4.5999999999999996</v>
      </c>
    </row>
    <row r="378" spans="1:4" x14ac:dyDescent="0.2">
      <c r="A378" s="64">
        <v>25689</v>
      </c>
      <c r="B378">
        <v>60.3</v>
      </c>
      <c r="C378">
        <v>71124</v>
      </c>
      <c r="D378">
        <v>4.8</v>
      </c>
    </row>
    <row r="379" spans="1:4" x14ac:dyDescent="0.2">
      <c r="A379" s="64">
        <v>25720</v>
      </c>
      <c r="B379">
        <v>60.2</v>
      </c>
      <c r="C379">
        <v>71029</v>
      </c>
      <c r="D379">
        <v>4.9000000000000004</v>
      </c>
    </row>
    <row r="380" spans="1:4" x14ac:dyDescent="0.2">
      <c r="A380" s="64">
        <v>25750</v>
      </c>
      <c r="B380">
        <v>60.4</v>
      </c>
      <c r="C380">
        <v>71053</v>
      </c>
      <c r="D380">
        <v>5</v>
      </c>
    </row>
    <row r="381" spans="1:4" x14ac:dyDescent="0.2">
      <c r="A381" s="64">
        <v>25781</v>
      </c>
      <c r="B381">
        <v>60.3</v>
      </c>
      <c r="C381">
        <v>70937</v>
      </c>
      <c r="D381">
        <v>5.0999999999999996</v>
      </c>
    </row>
    <row r="382" spans="1:4" x14ac:dyDescent="0.2">
      <c r="A382" s="64">
        <v>25812</v>
      </c>
      <c r="B382">
        <v>60.2</v>
      </c>
      <c r="C382">
        <v>70944</v>
      </c>
      <c r="D382">
        <v>5.4</v>
      </c>
    </row>
    <row r="383" spans="1:4" x14ac:dyDescent="0.2">
      <c r="A383" s="64">
        <v>25842</v>
      </c>
      <c r="B383">
        <v>60.4</v>
      </c>
      <c r="C383">
        <v>70521</v>
      </c>
      <c r="D383">
        <v>5.5</v>
      </c>
    </row>
    <row r="384" spans="1:4" x14ac:dyDescent="0.2">
      <c r="A384" s="64">
        <v>25873</v>
      </c>
      <c r="B384">
        <v>60.4</v>
      </c>
      <c r="C384">
        <v>70409</v>
      </c>
      <c r="D384">
        <v>5.9</v>
      </c>
    </row>
    <row r="385" spans="1:4" x14ac:dyDescent="0.2">
      <c r="A385" s="64">
        <v>25903</v>
      </c>
      <c r="B385">
        <v>60.4</v>
      </c>
      <c r="C385">
        <v>70792</v>
      </c>
      <c r="D385">
        <v>6.1</v>
      </c>
    </row>
    <row r="386" spans="1:4" x14ac:dyDescent="0.2">
      <c r="A386" s="64">
        <v>25934</v>
      </c>
      <c r="B386">
        <v>60.4</v>
      </c>
      <c r="C386">
        <v>70865</v>
      </c>
      <c r="D386">
        <v>5.9</v>
      </c>
    </row>
    <row r="387" spans="1:4" x14ac:dyDescent="0.2">
      <c r="A387" s="64">
        <v>25965</v>
      </c>
      <c r="B387">
        <v>60.1</v>
      </c>
      <c r="C387">
        <v>70807</v>
      </c>
      <c r="D387">
        <v>5.9</v>
      </c>
    </row>
    <row r="388" spans="1:4" x14ac:dyDescent="0.2">
      <c r="A388" s="64">
        <v>25993</v>
      </c>
      <c r="B388">
        <v>60</v>
      </c>
      <c r="C388">
        <v>70860</v>
      </c>
      <c r="D388">
        <v>6</v>
      </c>
    </row>
    <row r="389" spans="1:4" x14ac:dyDescent="0.2">
      <c r="A389" s="64">
        <v>26024</v>
      </c>
      <c r="B389">
        <v>60.1</v>
      </c>
      <c r="C389">
        <v>71036</v>
      </c>
      <c r="D389">
        <v>5.9</v>
      </c>
    </row>
    <row r="390" spans="1:4" x14ac:dyDescent="0.2">
      <c r="A390" s="64">
        <v>26054</v>
      </c>
      <c r="B390">
        <v>60.2</v>
      </c>
      <c r="C390">
        <v>71247</v>
      </c>
      <c r="D390">
        <v>5.9</v>
      </c>
    </row>
    <row r="391" spans="1:4" x14ac:dyDescent="0.2">
      <c r="A391" s="64">
        <v>26085</v>
      </c>
      <c r="B391">
        <v>59.8</v>
      </c>
      <c r="C391">
        <v>71254</v>
      </c>
      <c r="D391">
        <v>5.9</v>
      </c>
    </row>
    <row r="392" spans="1:4" x14ac:dyDescent="0.2">
      <c r="A392" s="64">
        <v>26115</v>
      </c>
      <c r="B392">
        <v>60.1</v>
      </c>
      <c r="C392">
        <v>71315</v>
      </c>
      <c r="D392">
        <v>6</v>
      </c>
    </row>
    <row r="393" spans="1:4" x14ac:dyDescent="0.2">
      <c r="A393" s="64">
        <v>26146</v>
      </c>
      <c r="B393">
        <v>60.2</v>
      </c>
      <c r="C393">
        <v>71373</v>
      </c>
      <c r="D393">
        <v>6.1</v>
      </c>
    </row>
    <row r="394" spans="1:4" x14ac:dyDescent="0.2">
      <c r="A394" s="64">
        <v>26177</v>
      </c>
      <c r="B394">
        <v>60.1</v>
      </c>
      <c r="C394">
        <v>71614</v>
      </c>
      <c r="D394">
        <v>6</v>
      </c>
    </row>
    <row r="395" spans="1:4" x14ac:dyDescent="0.2">
      <c r="A395" s="64">
        <v>26207</v>
      </c>
      <c r="B395">
        <v>60.1</v>
      </c>
      <c r="C395">
        <v>71642</v>
      </c>
      <c r="D395">
        <v>5.8</v>
      </c>
    </row>
    <row r="396" spans="1:4" x14ac:dyDescent="0.2">
      <c r="A396" s="64">
        <v>26238</v>
      </c>
      <c r="B396">
        <v>60.4</v>
      </c>
      <c r="C396">
        <v>71847</v>
      </c>
      <c r="D396">
        <v>6</v>
      </c>
    </row>
    <row r="397" spans="1:4" x14ac:dyDescent="0.2">
      <c r="A397" s="64">
        <v>26268</v>
      </c>
      <c r="B397">
        <v>60.4</v>
      </c>
      <c r="C397">
        <v>72109</v>
      </c>
      <c r="D397">
        <v>6</v>
      </c>
    </row>
    <row r="398" spans="1:4" x14ac:dyDescent="0.2">
      <c r="A398" s="64">
        <v>26299</v>
      </c>
      <c r="B398">
        <v>60.2</v>
      </c>
      <c r="C398">
        <v>72441</v>
      </c>
      <c r="D398">
        <v>5.8</v>
      </c>
    </row>
    <row r="399" spans="1:4" x14ac:dyDescent="0.2">
      <c r="A399" s="64">
        <v>26330</v>
      </c>
      <c r="B399">
        <v>60.2</v>
      </c>
      <c r="C399">
        <v>72648</v>
      </c>
      <c r="D399">
        <v>5.7</v>
      </c>
    </row>
    <row r="400" spans="1:4" x14ac:dyDescent="0.2">
      <c r="A400" s="64">
        <v>26359</v>
      </c>
      <c r="B400">
        <v>60.5</v>
      </c>
      <c r="C400">
        <v>72944</v>
      </c>
      <c r="D400">
        <v>5.8</v>
      </c>
    </row>
    <row r="401" spans="1:4" x14ac:dyDescent="0.2">
      <c r="A401" s="64">
        <v>26390</v>
      </c>
      <c r="B401">
        <v>60.4</v>
      </c>
      <c r="C401">
        <v>73162</v>
      </c>
      <c r="D401">
        <v>5.7</v>
      </c>
    </row>
    <row r="402" spans="1:4" x14ac:dyDescent="0.2">
      <c r="A402" s="64">
        <v>26420</v>
      </c>
      <c r="B402">
        <v>60.4</v>
      </c>
      <c r="C402">
        <v>73469</v>
      </c>
      <c r="D402">
        <v>5.7</v>
      </c>
    </row>
    <row r="403" spans="1:4" x14ac:dyDescent="0.2">
      <c r="A403" s="64">
        <v>26451</v>
      </c>
      <c r="B403">
        <v>60.4</v>
      </c>
      <c r="C403">
        <v>73758</v>
      </c>
      <c r="D403">
        <v>5.7</v>
      </c>
    </row>
    <row r="404" spans="1:4" x14ac:dyDescent="0.2">
      <c r="A404" s="64">
        <v>26481</v>
      </c>
      <c r="B404">
        <v>60.4</v>
      </c>
      <c r="C404">
        <v>73709</v>
      </c>
      <c r="D404">
        <v>5.6</v>
      </c>
    </row>
    <row r="405" spans="1:4" x14ac:dyDescent="0.2">
      <c r="A405" s="64">
        <v>26512</v>
      </c>
      <c r="B405">
        <v>60.6</v>
      </c>
      <c r="C405">
        <v>74141</v>
      </c>
      <c r="D405">
        <v>5.6</v>
      </c>
    </row>
    <row r="406" spans="1:4" x14ac:dyDescent="0.2">
      <c r="A406" s="64">
        <v>26543</v>
      </c>
      <c r="B406">
        <v>60.4</v>
      </c>
      <c r="C406">
        <v>74264</v>
      </c>
      <c r="D406">
        <v>5.5</v>
      </c>
    </row>
    <row r="407" spans="1:4" x14ac:dyDescent="0.2">
      <c r="A407" s="64">
        <v>26573</v>
      </c>
      <c r="B407">
        <v>60.3</v>
      </c>
      <c r="C407">
        <v>74674</v>
      </c>
      <c r="D407">
        <v>5.6</v>
      </c>
    </row>
    <row r="408" spans="1:4" x14ac:dyDescent="0.2">
      <c r="A408" s="64">
        <v>26604</v>
      </c>
      <c r="B408">
        <v>60.3</v>
      </c>
      <c r="C408">
        <v>74973</v>
      </c>
      <c r="D408">
        <v>5.3</v>
      </c>
    </row>
    <row r="409" spans="1:4" x14ac:dyDescent="0.2">
      <c r="A409" s="64">
        <v>26634</v>
      </c>
      <c r="B409">
        <v>60.5</v>
      </c>
      <c r="C409">
        <v>75268</v>
      </c>
      <c r="D409">
        <v>5.2</v>
      </c>
    </row>
    <row r="410" spans="1:4" x14ac:dyDescent="0.2">
      <c r="A410" s="64">
        <v>26665</v>
      </c>
      <c r="B410">
        <v>60</v>
      </c>
      <c r="C410">
        <v>75617</v>
      </c>
      <c r="D410">
        <v>4.9000000000000004</v>
      </c>
    </row>
    <row r="411" spans="1:4" x14ac:dyDescent="0.2">
      <c r="A411" s="64">
        <v>26696</v>
      </c>
      <c r="B411">
        <v>60.5</v>
      </c>
      <c r="C411">
        <v>76014</v>
      </c>
      <c r="D411">
        <v>5</v>
      </c>
    </row>
    <row r="412" spans="1:4" x14ac:dyDescent="0.2">
      <c r="A412" s="64">
        <v>26724</v>
      </c>
      <c r="B412">
        <v>60.8</v>
      </c>
      <c r="C412">
        <v>76284</v>
      </c>
      <c r="D412">
        <v>4.9000000000000004</v>
      </c>
    </row>
    <row r="413" spans="1:4" x14ac:dyDescent="0.2">
      <c r="A413" s="64">
        <v>26755</v>
      </c>
      <c r="B413">
        <v>60.8</v>
      </c>
      <c r="C413">
        <v>76455</v>
      </c>
      <c r="D413">
        <v>5</v>
      </c>
    </row>
    <row r="414" spans="1:4" x14ac:dyDescent="0.2">
      <c r="A414" s="64">
        <v>26785</v>
      </c>
      <c r="B414">
        <v>60.6</v>
      </c>
      <c r="C414">
        <v>76648</v>
      </c>
      <c r="D414">
        <v>4.9000000000000004</v>
      </c>
    </row>
    <row r="415" spans="1:4" x14ac:dyDescent="0.2">
      <c r="A415" s="64">
        <v>26816</v>
      </c>
      <c r="B415">
        <v>60.9</v>
      </c>
      <c r="C415">
        <v>76887</v>
      </c>
      <c r="D415">
        <v>4.9000000000000004</v>
      </c>
    </row>
    <row r="416" spans="1:4" x14ac:dyDescent="0.2">
      <c r="A416" s="64">
        <v>26846</v>
      </c>
      <c r="B416">
        <v>60.9</v>
      </c>
      <c r="C416">
        <v>76913</v>
      </c>
      <c r="D416">
        <v>4.8</v>
      </c>
    </row>
    <row r="417" spans="1:4" x14ac:dyDescent="0.2">
      <c r="A417" s="64">
        <v>26877</v>
      </c>
      <c r="B417">
        <v>60.7</v>
      </c>
      <c r="C417">
        <v>77168</v>
      </c>
      <c r="D417">
        <v>4.8</v>
      </c>
    </row>
    <row r="418" spans="1:4" x14ac:dyDescent="0.2">
      <c r="A418" s="64">
        <v>26908</v>
      </c>
      <c r="B418">
        <v>60.8</v>
      </c>
      <c r="C418">
        <v>77276</v>
      </c>
      <c r="D418">
        <v>4.8</v>
      </c>
    </row>
    <row r="419" spans="1:4" x14ac:dyDescent="0.2">
      <c r="A419" s="64">
        <v>26938</v>
      </c>
      <c r="B419">
        <v>60.9</v>
      </c>
      <c r="C419">
        <v>77607</v>
      </c>
      <c r="D419">
        <v>4.5999999999999996</v>
      </c>
    </row>
    <row r="420" spans="1:4" x14ac:dyDescent="0.2">
      <c r="A420" s="64">
        <v>26969</v>
      </c>
      <c r="B420">
        <v>61.2</v>
      </c>
      <c r="C420">
        <v>77920</v>
      </c>
      <c r="D420">
        <v>4.8</v>
      </c>
    </row>
    <row r="421" spans="1:4" x14ac:dyDescent="0.2">
      <c r="A421" s="64">
        <v>26999</v>
      </c>
      <c r="B421">
        <v>61.2</v>
      </c>
      <c r="C421">
        <v>78031</v>
      </c>
      <c r="D421">
        <v>4.9000000000000004</v>
      </c>
    </row>
    <row r="422" spans="1:4" x14ac:dyDescent="0.2">
      <c r="A422" s="64">
        <v>27030</v>
      </c>
      <c r="B422">
        <v>61.3</v>
      </c>
      <c r="C422">
        <v>78100</v>
      </c>
      <c r="D422">
        <v>5.0999999999999996</v>
      </c>
    </row>
    <row r="423" spans="1:4" x14ac:dyDescent="0.2">
      <c r="A423" s="64">
        <v>27061</v>
      </c>
      <c r="B423">
        <v>61.4</v>
      </c>
      <c r="C423">
        <v>78254</v>
      </c>
      <c r="D423">
        <v>5.2</v>
      </c>
    </row>
    <row r="424" spans="1:4" x14ac:dyDescent="0.2">
      <c r="A424" s="64">
        <v>27089</v>
      </c>
      <c r="B424">
        <v>61.3</v>
      </c>
      <c r="C424">
        <v>78296</v>
      </c>
      <c r="D424">
        <v>5.0999999999999996</v>
      </c>
    </row>
    <row r="425" spans="1:4" x14ac:dyDescent="0.2">
      <c r="A425" s="64">
        <v>27120</v>
      </c>
      <c r="B425">
        <v>61.1</v>
      </c>
      <c r="C425">
        <v>78382</v>
      </c>
      <c r="D425">
        <v>5.0999999999999996</v>
      </c>
    </row>
    <row r="426" spans="1:4" x14ac:dyDescent="0.2">
      <c r="A426" s="64">
        <v>27150</v>
      </c>
      <c r="B426">
        <v>61.2</v>
      </c>
      <c r="C426">
        <v>78549</v>
      </c>
      <c r="D426">
        <v>5.0999999999999996</v>
      </c>
    </row>
    <row r="427" spans="1:4" x14ac:dyDescent="0.2">
      <c r="A427" s="64">
        <v>27181</v>
      </c>
      <c r="B427">
        <v>61.2</v>
      </c>
      <c r="C427">
        <v>78604</v>
      </c>
      <c r="D427">
        <v>5.4</v>
      </c>
    </row>
    <row r="428" spans="1:4" x14ac:dyDescent="0.2">
      <c r="A428" s="64">
        <v>27211</v>
      </c>
      <c r="B428">
        <v>61.4</v>
      </c>
      <c r="C428">
        <v>78636</v>
      </c>
      <c r="D428">
        <v>5.5</v>
      </c>
    </row>
    <row r="429" spans="1:4" x14ac:dyDescent="0.2">
      <c r="A429" s="64">
        <v>27242</v>
      </c>
      <c r="B429">
        <v>61.2</v>
      </c>
      <c r="C429">
        <v>78619</v>
      </c>
      <c r="D429">
        <v>5.5</v>
      </c>
    </row>
    <row r="430" spans="1:4" x14ac:dyDescent="0.2">
      <c r="A430" s="64">
        <v>27273</v>
      </c>
      <c r="B430">
        <v>61.4</v>
      </c>
      <c r="C430">
        <v>78610</v>
      </c>
      <c r="D430">
        <v>5.9</v>
      </c>
    </row>
    <row r="431" spans="1:4" x14ac:dyDescent="0.2">
      <c r="A431" s="64">
        <v>27303</v>
      </c>
      <c r="B431">
        <v>61.3</v>
      </c>
      <c r="C431">
        <v>78630</v>
      </c>
      <c r="D431">
        <v>6</v>
      </c>
    </row>
    <row r="432" spans="1:4" x14ac:dyDescent="0.2">
      <c r="A432" s="64">
        <v>27334</v>
      </c>
      <c r="B432">
        <v>61.3</v>
      </c>
      <c r="C432">
        <v>78265</v>
      </c>
      <c r="D432">
        <v>6.6</v>
      </c>
    </row>
    <row r="433" spans="1:4" x14ac:dyDescent="0.2">
      <c r="A433" s="64">
        <v>27364</v>
      </c>
      <c r="B433">
        <v>61.2</v>
      </c>
      <c r="C433">
        <v>77652</v>
      </c>
      <c r="D433">
        <v>7.2</v>
      </c>
    </row>
    <row r="434" spans="1:4" x14ac:dyDescent="0.2">
      <c r="A434" s="64">
        <v>27395</v>
      </c>
      <c r="B434">
        <v>61.4</v>
      </c>
      <c r="C434">
        <v>77293</v>
      </c>
      <c r="D434">
        <v>8.1</v>
      </c>
    </row>
    <row r="435" spans="1:4" x14ac:dyDescent="0.2">
      <c r="A435" s="64">
        <v>27426</v>
      </c>
      <c r="B435">
        <v>61</v>
      </c>
      <c r="C435">
        <v>76918</v>
      </c>
      <c r="D435">
        <v>8.1</v>
      </c>
    </row>
    <row r="436" spans="1:4" x14ac:dyDescent="0.2">
      <c r="A436" s="64">
        <v>27454</v>
      </c>
      <c r="B436">
        <v>61.2</v>
      </c>
      <c r="C436">
        <v>76648</v>
      </c>
      <c r="D436">
        <v>8.6</v>
      </c>
    </row>
    <row r="437" spans="1:4" x14ac:dyDescent="0.2">
      <c r="A437" s="64">
        <v>27485</v>
      </c>
      <c r="B437">
        <v>61.3</v>
      </c>
      <c r="C437">
        <v>76460</v>
      </c>
      <c r="D437">
        <v>8.8000000000000007</v>
      </c>
    </row>
    <row r="438" spans="1:4" x14ac:dyDescent="0.2">
      <c r="A438" s="64">
        <v>27515</v>
      </c>
      <c r="B438">
        <v>61.5</v>
      </c>
      <c r="C438">
        <v>76624</v>
      </c>
      <c r="D438">
        <v>9</v>
      </c>
    </row>
    <row r="439" spans="1:4" x14ac:dyDescent="0.2">
      <c r="A439" s="64">
        <v>27546</v>
      </c>
      <c r="B439">
        <v>61.2</v>
      </c>
      <c r="C439">
        <v>76521</v>
      </c>
      <c r="D439">
        <v>8.8000000000000007</v>
      </c>
    </row>
    <row r="440" spans="1:4" x14ac:dyDescent="0.2">
      <c r="A440" s="64">
        <v>27576</v>
      </c>
      <c r="B440">
        <v>61.3</v>
      </c>
      <c r="C440">
        <v>76770</v>
      </c>
      <c r="D440">
        <v>8.6</v>
      </c>
    </row>
    <row r="441" spans="1:4" x14ac:dyDescent="0.2">
      <c r="A441" s="64">
        <v>27607</v>
      </c>
      <c r="B441">
        <v>61.3</v>
      </c>
      <c r="C441">
        <v>77153</v>
      </c>
      <c r="D441">
        <v>8.4</v>
      </c>
    </row>
    <row r="442" spans="1:4" x14ac:dyDescent="0.2">
      <c r="A442" s="64">
        <v>27638</v>
      </c>
      <c r="B442">
        <v>61.2</v>
      </c>
      <c r="C442">
        <v>77228</v>
      </c>
      <c r="D442">
        <v>8.4</v>
      </c>
    </row>
    <row r="443" spans="1:4" x14ac:dyDescent="0.2">
      <c r="A443" s="64">
        <v>27668</v>
      </c>
      <c r="B443">
        <v>61.2</v>
      </c>
      <c r="C443">
        <v>77540</v>
      </c>
      <c r="D443">
        <v>8.4</v>
      </c>
    </row>
    <row r="444" spans="1:4" x14ac:dyDescent="0.2">
      <c r="A444" s="64">
        <v>27699</v>
      </c>
      <c r="B444">
        <v>61.1</v>
      </c>
      <c r="C444">
        <v>77685</v>
      </c>
      <c r="D444">
        <v>8.3000000000000007</v>
      </c>
    </row>
    <row r="445" spans="1:4" x14ac:dyDescent="0.2">
      <c r="A445" s="64">
        <v>27729</v>
      </c>
      <c r="B445">
        <v>61.1</v>
      </c>
      <c r="C445">
        <v>78017</v>
      </c>
      <c r="D445">
        <v>8.1999999999999993</v>
      </c>
    </row>
    <row r="446" spans="1:4" x14ac:dyDescent="0.2">
      <c r="A446" s="64">
        <v>27760</v>
      </c>
      <c r="B446">
        <v>61.3</v>
      </c>
      <c r="C446">
        <v>78503</v>
      </c>
      <c r="D446">
        <v>7.9</v>
      </c>
    </row>
    <row r="447" spans="1:4" x14ac:dyDescent="0.2">
      <c r="A447" s="64">
        <v>27791</v>
      </c>
      <c r="B447">
        <v>61.3</v>
      </c>
      <c r="C447">
        <v>78816</v>
      </c>
      <c r="D447">
        <v>7.7</v>
      </c>
    </row>
    <row r="448" spans="1:4" x14ac:dyDescent="0.2">
      <c r="A448" s="64">
        <v>27820</v>
      </c>
      <c r="B448">
        <v>61.3</v>
      </c>
      <c r="C448">
        <v>79048</v>
      </c>
      <c r="D448">
        <v>7.6</v>
      </c>
    </row>
    <row r="449" spans="1:4" x14ac:dyDescent="0.2">
      <c r="A449" s="64">
        <v>27851</v>
      </c>
      <c r="B449">
        <v>61.6</v>
      </c>
      <c r="C449">
        <v>79292</v>
      </c>
      <c r="D449">
        <v>7.7</v>
      </c>
    </row>
    <row r="450" spans="1:4" x14ac:dyDescent="0.2">
      <c r="A450" s="64">
        <v>27881</v>
      </c>
      <c r="B450">
        <v>61.5</v>
      </c>
      <c r="C450">
        <v>79312</v>
      </c>
      <c r="D450">
        <v>7.4</v>
      </c>
    </row>
    <row r="451" spans="1:4" x14ac:dyDescent="0.2">
      <c r="A451" s="64">
        <v>27912</v>
      </c>
      <c r="B451">
        <v>61.5</v>
      </c>
      <c r="C451">
        <v>79376</v>
      </c>
      <c r="D451">
        <v>7.6</v>
      </c>
    </row>
    <row r="452" spans="1:4" x14ac:dyDescent="0.2">
      <c r="A452" s="64">
        <v>27942</v>
      </c>
      <c r="B452">
        <v>61.8</v>
      </c>
      <c r="C452">
        <v>79547</v>
      </c>
      <c r="D452">
        <v>7.8</v>
      </c>
    </row>
    <row r="453" spans="1:4" x14ac:dyDescent="0.2">
      <c r="A453" s="64">
        <v>27973</v>
      </c>
      <c r="B453">
        <v>61.8</v>
      </c>
      <c r="C453">
        <v>79704</v>
      </c>
      <c r="D453">
        <v>7.8</v>
      </c>
    </row>
    <row r="454" spans="1:4" x14ac:dyDescent="0.2">
      <c r="A454" s="64">
        <v>28004</v>
      </c>
      <c r="B454">
        <v>61.6</v>
      </c>
      <c r="C454">
        <v>79892</v>
      </c>
      <c r="D454">
        <v>7.6</v>
      </c>
    </row>
    <row r="455" spans="1:4" x14ac:dyDescent="0.2">
      <c r="A455" s="64">
        <v>28034</v>
      </c>
      <c r="B455">
        <v>61.6</v>
      </c>
      <c r="C455">
        <v>79911</v>
      </c>
      <c r="D455">
        <v>7.7</v>
      </c>
    </row>
    <row r="456" spans="1:4" x14ac:dyDescent="0.2">
      <c r="A456" s="64">
        <v>28065</v>
      </c>
      <c r="B456">
        <v>61.9</v>
      </c>
      <c r="C456">
        <v>80240</v>
      </c>
      <c r="D456">
        <v>7.8</v>
      </c>
    </row>
    <row r="457" spans="1:4" x14ac:dyDescent="0.2">
      <c r="A457" s="64">
        <v>28095</v>
      </c>
      <c r="B457">
        <v>61.8</v>
      </c>
      <c r="C457">
        <v>80448</v>
      </c>
      <c r="D457">
        <v>7.8</v>
      </c>
    </row>
    <row r="458" spans="1:4" x14ac:dyDescent="0.2">
      <c r="A458" s="64">
        <v>28126</v>
      </c>
      <c r="B458">
        <v>61.6</v>
      </c>
      <c r="C458">
        <v>80690</v>
      </c>
      <c r="D458">
        <v>7.5</v>
      </c>
    </row>
    <row r="459" spans="1:4" x14ac:dyDescent="0.2">
      <c r="A459" s="64">
        <v>28157</v>
      </c>
      <c r="B459">
        <v>61.9</v>
      </c>
      <c r="C459">
        <v>80988</v>
      </c>
      <c r="D459">
        <v>7.6</v>
      </c>
    </row>
    <row r="460" spans="1:4" x14ac:dyDescent="0.2">
      <c r="A460" s="64">
        <v>28185</v>
      </c>
      <c r="B460">
        <v>62</v>
      </c>
      <c r="C460">
        <v>81391</v>
      </c>
      <c r="D460">
        <v>7.4</v>
      </c>
    </row>
    <row r="461" spans="1:4" x14ac:dyDescent="0.2">
      <c r="A461" s="64">
        <v>28216</v>
      </c>
      <c r="B461">
        <v>62.1</v>
      </c>
      <c r="C461">
        <v>81728</v>
      </c>
      <c r="D461">
        <v>7.2</v>
      </c>
    </row>
    <row r="462" spans="1:4" x14ac:dyDescent="0.2">
      <c r="A462" s="64">
        <v>28246</v>
      </c>
      <c r="B462">
        <v>62.2</v>
      </c>
      <c r="C462">
        <v>82088</v>
      </c>
      <c r="D462">
        <v>7</v>
      </c>
    </row>
    <row r="463" spans="1:4" x14ac:dyDescent="0.2">
      <c r="A463" s="64">
        <v>28277</v>
      </c>
      <c r="B463">
        <v>62.4</v>
      </c>
      <c r="C463">
        <v>82488</v>
      </c>
      <c r="D463">
        <v>7.2</v>
      </c>
    </row>
    <row r="464" spans="1:4" x14ac:dyDescent="0.2">
      <c r="A464" s="64">
        <v>28307</v>
      </c>
      <c r="B464">
        <v>62.1</v>
      </c>
      <c r="C464">
        <v>82834</v>
      </c>
      <c r="D464">
        <v>6.9</v>
      </c>
    </row>
    <row r="465" spans="1:4" x14ac:dyDescent="0.2">
      <c r="A465" s="64">
        <v>28338</v>
      </c>
      <c r="B465">
        <v>62.3</v>
      </c>
      <c r="C465">
        <v>83075</v>
      </c>
      <c r="D465">
        <v>7</v>
      </c>
    </row>
    <row r="466" spans="1:4" x14ac:dyDescent="0.2">
      <c r="A466" s="64">
        <v>28369</v>
      </c>
      <c r="B466">
        <v>62.3</v>
      </c>
      <c r="C466">
        <v>83532</v>
      </c>
      <c r="D466">
        <v>6.8</v>
      </c>
    </row>
    <row r="467" spans="1:4" x14ac:dyDescent="0.2">
      <c r="A467" s="64">
        <v>28399</v>
      </c>
      <c r="B467">
        <v>62.4</v>
      </c>
      <c r="C467">
        <v>83800</v>
      </c>
      <c r="D467">
        <v>6.8</v>
      </c>
    </row>
    <row r="468" spans="1:4" x14ac:dyDescent="0.2">
      <c r="A468" s="64">
        <v>28430</v>
      </c>
      <c r="B468">
        <v>62.8</v>
      </c>
      <c r="C468">
        <v>84173</v>
      </c>
      <c r="D468">
        <v>6.8</v>
      </c>
    </row>
    <row r="469" spans="1:4" x14ac:dyDescent="0.2">
      <c r="A469" s="64">
        <v>28460</v>
      </c>
      <c r="B469">
        <v>62.7</v>
      </c>
      <c r="C469">
        <v>84410</v>
      </c>
      <c r="D469">
        <v>6.4</v>
      </c>
    </row>
    <row r="470" spans="1:4" x14ac:dyDescent="0.2">
      <c r="A470" s="64">
        <v>28491</v>
      </c>
      <c r="B470">
        <v>62.8</v>
      </c>
      <c r="C470">
        <v>84594</v>
      </c>
      <c r="D470">
        <v>6.4</v>
      </c>
    </row>
    <row r="471" spans="1:4" x14ac:dyDescent="0.2">
      <c r="A471" s="64">
        <v>28522</v>
      </c>
      <c r="B471">
        <v>62.7</v>
      </c>
      <c r="C471">
        <v>84948</v>
      </c>
      <c r="D471">
        <v>6.3</v>
      </c>
    </row>
    <row r="472" spans="1:4" x14ac:dyDescent="0.2">
      <c r="A472" s="64">
        <v>28550</v>
      </c>
      <c r="B472">
        <v>62.8</v>
      </c>
      <c r="C472">
        <v>85460</v>
      </c>
      <c r="D472">
        <v>6.3</v>
      </c>
    </row>
    <row r="473" spans="1:4" x14ac:dyDescent="0.2">
      <c r="A473" s="64">
        <v>28581</v>
      </c>
      <c r="B473">
        <v>63</v>
      </c>
      <c r="C473">
        <v>86162</v>
      </c>
      <c r="D473">
        <v>6.1</v>
      </c>
    </row>
    <row r="474" spans="1:4" x14ac:dyDescent="0.2">
      <c r="A474" s="64">
        <v>28611</v>
      </c>
      <c r="B474">
        <v>63.1</v>
      </c>
      <c r="C474">
        <v>86509</v>
      </c>
      <c r="D474">
        <v>6</v>
      </c>
    </row>
    <row r="475" spans="1:4" x14ac:dyDescent="0.2">
      <c r="A475" s="64">
        <v>28642</v>
      </c>
      <c r="B475">
        <v>63.3</v>
      </c>
      <c r="C475">
        <v>86950</v>
      </c>
      <c r="D475">
        <v>5.9</v>
      </c>
    </row>
    <row r="476" spans="1:4" x14ac:dyDescent="0.2">
      <c r="A476" s="64">
        <v>28672</v>
      </c>
      <c r="B476">
        <v>63.2</v>
      </c>
      <c r="C476">
        <v>87204</v>
      </c>
      <c r="D476">
        <v>6.2</v>
      </c>
    </row>
    <row r="477" spans="1:4" x14ac:dyDescent="0.2">
      <c r="A477" s="64">
        <v>28703</v>
      </c>
      <c r="B477">
        <v>63.2</v>
      </c>
      <c r="C477">
        <v>87483</v>
      </c>
      <c r="D477">
        <v>5.9</v>
      </c>
    </row>
    <row r="478" spans="1:4" x14ac:dyDescent="0.2">
      <c r="A478" s="64">
        <v>28734</v>
      </c>
      <c r="B478">
        <v>63.3</v>
      </c>
      <c r="C478">
        <v>87621</v>
      </c>
      <c r="D478">
        <v>6</v>
      </c>
    </row>
    <row r="479" spans="1:4" x14ac:dyDescent="0.2">
      <c r="A479" s="64">
        <v>28764</v>
      </c>
      <c r="B479">
        <v>63.3</v>
      </c>
      <c r="C479">
        <v>87956</v>
      </c>
      <c r="D479">
        <v>5.8</v>
      </c>
    </row>
    <row r="480" spans="1:4" x14ac:dyDescent="0.2">
      <c r="A480" s="64">
        <v>28795</v>
      </c>
      <c r="B480">
        <v>63.5</v>
      </c>
      <c r="C480">
        <v>88391</v>
      </c>
      <c r="D480">
        <v>5.9</v>
      </c>
    </row>
    <row r="481" spans="1:4" x14ac:dyDescent="0.2">
      <c r="A481" s="64">
        <v>28825</v>
      </c>
      <c r="B481">
        <v>63.6</v>
      </c>
      <c r="C481">
        <v>88671</v>
      </c>
      <c r="D481">
        <v>6</v>
      </c>
    </row>
    <row r="482" spans="1:4" x14ac:dyDescent="0.2">
      <c r="A482" s="64">
        <v>28856</v>
      </c>
      <c r="B482">
        <v>63.6</v>
      </c>
      <c r="C482">
        <v>88808</v>
      </c>
      <c r="D482">
        <v>5.9</v>
      </c>
    </row>
    <row r="483" spans="1:4" x14ac:dyDescent="0.2">
      <c r="A483" s="64">
        <v>28887</v>
      </c>
      <c r="B483">
        <v>63.8</v>
      </c>
      <c r="C483">
        <v>89055</v>
      </c>
      <c r="D483">
        <v>5.9</v>
      </c>
    </row>
    <row r="484" spans="1:4" x14ac:dyDescent="0.2">
      <c r="A484" s="64">
        <v>28915</v>
      </c>
      <c r="B484">
        <v>63.8</v>
      </c>
      <c r="C484">
        <v>89479</v>
      </c>
      <c r="D484">
        <v>5.8</v>
      </c>
    </row>
    <row r="485" spans="1:4" x14ac:dyDescent="0.2">
      <c r="A485" s="64">
        <v>28946</v>
      </c>
      <c r="B485">
        <v>63.5</v>
      </c>
      <c r="C485">
        <v>89417</v>
      </c>
      <c r="D485">
        <v>5.8</v>
      </c>
    </row>
    <row r="486" spans="1:4" x14ac:dyDescent="0.2">
      <c r="A486" s="64">
        <v>28976</v>
      </c>
      <c r="B486">
        <v>63.3</v>
      </c>
      <c r="C486">
        <v>89789</v>
      </c>
      <c r="D486">
        <v>5.6</v>
      </c>
    </row>
    <row r="487" spans="1:4" x14ac:dyDescent="0.2">
      <c r="A487" s="64">
        <v>29007</v>
      </c>
      <c r="B487">
        <v>63.5</v>
      </c>
      <c r="C487">
        <v>90108</v>
      </c>
      <c r="D487">
        <v>5.7</v>
      </c>
    </row>
    <row r="488" spans="1:4" x14ac:dyDescent="0.2">
      <c r="A488" s="64">
        <v>29037</v>
      </c>
      <c r="B488">
        <v>63.6</v>
      </c>
      <c r="C488">
        <v>90217</v>
      </c>
      <c r="D488">
        <v>5.7</v>
      </c>
    </row>
    <row r="489" spans="1:4" x14ac:dyDescent="0.2">
      <c r="A489" s="64">
        <v>29068</v>
      </c>
      <c r="B489">
        <v>63.6</v>
      </c>
      <c r="C489">
        <v>90300</v>
      </c>
      <c r="D489">
        <v>6</v>
      </c>
    </row>
    <row r="490" spans="1:4" x14ac:dyDescent="0.2">
      <c r="A490" s="64">
        <v>29099</v>
      </c>
      <c r="B490">
        <v>63.8</v>
      </c>
      <c r="C490">
        <v>90327</v>
      </c>
      <c r="D490">
        <v>5.9</v>
      </c>
    </row>
    <row r="491" spans="1:4" x14ac:dyDescent="0.2">
      <c r="A491" s="64">
        <v>29129</v>
      </c>
      <c r="B491">
        <v>63.7</v>
      </c>
      <c r="C491">
        <v>90481</v>
      </c>
      <c r="D491">
        <v>6</v>
      </c>
    </row>
    <row r="492" spans="1:4" x14ac:dyDescent="0.2">
      <c r="A492" s="64">
        <v>29160</v>
      </c>
      <c r="B492">
        <v>63.7</v>
      </c>
      <c r="C492">
        <v>90573</v>
      </c>
      <c r="D492">
        <v>5.9</v>
      </c>
    </row>
    <row r="493" spans="1:4" x14ac:dyDescent="0.2">
      <c r="A493" s="64">
        <v>29190</v>
      </c>
      <c r="B493">
        <v>63.9</v>
      </c>
      <c r="C493">
        <v>90672</v>
      </c>
      <c r="D493">
        <v>6</v>
      </c>
    </row>
    <row r="494" spans="1:4" x14ac:dyDescent="0.2">
      <c r="A494" s="64">
        <v>29221</v>
      </c>
      <c r="B494">
        <v>64</v>
      </c>
      <c r="C494">
        <v>90800</v>
      </c>
      <c r="D494">
        <v>6.3</v>
      </c>
    </row>
    <row r="495" spans="1:4" x14ac:dyDescent="0.2">
      <c r="A495" s="64">
        <v>29252</v>
      </c>
      <c r="B495">
        <v>64</v>
      </c>
      <c r="C495">
        <v>90883</v>
      </c>
      <c r="D495">
        <v>6.3</v>
      </c>
    </row>
    <row r="496" spans="1:4" x14ac:dyDescent="0.2">
      <c r="A496" s="64">
        <v>29281</v>
      </c>
      <c r="B496">
        <v>63.7</v>
      </c>
      <c r="C496">
        <v>90994</v>
      </c>
      <c r="D496">
        <v>6.3</v>
      </c>
    </row>
    <row r="497" spans="1:4" x14ac:dyDescent="0.2">
      <c r="A497" s="64">
        <v>29312</v>
      </c>
      <c r="B497">
        <v>63.8</v>
      </c>
      <c r="C497">
        <v>90849</v>
      </c>
      <c r="D497">
        <v>6.9</v>
      </c>
    </row>
    <row r="498" spans="1:4" x14ac:dyDescent="0.2">
      <c r="A498" s="64">
        <v>29342</v>
      </c>
      <c r="B498">
        <v>63.9</v>
      </c>
      <c r="C498">
        <v>90420</v>
      </c>
      <c r="D498">
        <v>7.5</v>
      </c>
    </row>
    <row r="499" spans="1:4" x14ac:dyDescent="0.2">
      <c r="A499" s="64">
        <v>29373</v>
      </c>
      <c r="B499">
        <v>63.7</v>
      </c>
      <c r="C499">
        <v>90101</v>
      </c>
      <c r="D499">
        <v>7.6</v>
      </c>
    </row>
    <row r="500" spans="1:4" x14ac:dyDescent="0.2">
      <c r="A500" s="64">
        <v>29403</v>
      </c>
      <c r="B500">
        <v>63.8</v>
      </c>
      <c r="C500">
        <v>89840</v>
      </c>
      <c r="D500">
        <v>7.8</v>
      </c>
    </row>
    <row r="501" spans="1:4" x14ac:dyDescent="0.2">
      <c r="A501" s="64">
        <v>29434</v>
      </c>
      <c r="B501">
        <v>63.7</v>
      </c>
      <c r="C501">
        <v>90099</v>
      </c>
      <c r="D501">
        <v>7.7</v>
      </c>
    </row>
    <row r="502" spans="1:4" x14ac:dyDescent="0.2">
      <c r="A502" s="64">
        <v>29465</v>
      </c>
      <c r="B502">
        <v>63.6</v>
      </c>
      <c r="C502">
        <v>90213</v>
      </c>
      <c r="D502">
        <v>7.5</v>
      </c>
    </row>
    <row r="503" spans="1:4" x14ac:dyDescent="0.2">
      <c r="A503" s="64">
        <v>29495</v>
      </c>
      <c r="B503">
        <v>63.7</v>
      </c>
      <c r="C503">
        <v>90490</v>
      </c>
      <c r="D503">
        <v>7.5</v>
      </c>
    </row>
    <row r="504" spans="1:4" x14ac:dyDescent="0.2">
      <c r="A504" s="64">
        <v>29526</v>
      </c>
      <c r="B504">
        <v>63.8</v>
      </c>
      <c r="C504">
        <v>90747</v>
      </c>
      <c r="D504">
        <v>7.5</v>
      </c>
    </row>
    <row r="505" spans="1:4" x14ac:dyDescent="0.2">
      <c r="A505" s="64">
        <v>29556</v>
      </c>
      <c r="B505">
        <v>63.6</v>
      </c>
      <c r="C505">
        <v>90943</v>
      </c>
      <c r="D505">
        <v>7.2</v>
      </c>
    </row>
    <row r="506" spans="1:4" x14ac:dyDescent="0.2">
      <c r="A506" s="64">
        <v>29587</v>
      </c>
      <c r="B506">
        <v>63.9</v>
      </c>
      <c r="C506">
        <v>91033</v>
      </c>
      <c r="D506">
        <v>7.5</v>
      </c>
    </row>
    <row r="507" spans="1:4" x14ac:dyDescent="0.2">
      <c r="A507" s="64">
        <v>29618</v>
      </c>
      <c r="B507">
        <v>63.9</v>
      </c>
      <c r="C507">
        <v>91105</v>
      </c>
      <c r="D507">
        <v>7.4</v>
      </c>
    </row>
    <row r="508" spans="1:4" x14ac:dyDescent="0.2">
      <c r="A508" s="64">
        <v>29646</v>
      </c>
      <c r="B508">
        <v>64.099999999999994</v>
      </c>
      <c r="C508">
        <v>91210</v>
      </c>
      <c r="D508">
        <v>7.4</v>
      </c>
    </row>
    <row r="509" spans="1:4" x14ac:dyDescent="0.2">
      <c r="A509" s="64">
        <v>29677</v>
      </c>
      <c r="B509">
        <v>64.2</v>
      </c>
      <c r="C509">
        <v>91283</v>
      </c>
      <c r="D509">
        <v>7.2</v>
      </c>
    </row>
    <row r="510" spans="1:4" x14ac:dyDescent="0.2">
      <c r="A510" s="64">
        <v>29707</v>
      </c>
      <c r="B510">
        <v>64.3</v>
      </c>
      <c r="C510">
        <v>91296</v>
      </c>
      <c r="D510">
        <v>7.5</v>
      </c>
    </row>
    <row r="511" spans="1:4" x14ac:dyDescent="0.2">
      <c r="A511" s="64">
        <v>29738</v>
      </c>
      <c r="B511">
        <v>63.7</v>
      </c>
      <c r="C511">
        <v>91490</v>
      </c>
      <c r="D511">
        <v>7.5</v>
      </c>
    </row>
    <row r="512" spans="1:4" x14ac:dyDescent="0.2">
      <c r="A512" s="64">
        <v>29768</v>
      </c>
      <c r="B512">
        <v>63.8</v>
      </c>
      <c r="C512">
        <v>91601</v>
      </c>
      <c r="D512">
        <v>7.2</v>
      </c>
    </row>
    <row r="513" spans="1:4" x14ac:dyDescent="0.2">
      <c r="A513" s="64">
        <v>29799</v>
      </c>
      <c r="B513">
        <v>63.8</v>
      </c>
      <c r="C513">
        <v>91565</v>
      </c>
      <c r="D513">
        <v>7.4</v>
      </c>
    </row>
    <row r="514" spans="1:4" x14ac:dyDescent="0.2">
      <c r="A514" s="64">
        <v>29830</v>
      </c>
      <c r="B514">
        <v>63.5</v>
      </c>
      <c r="C514">
        <v>91477</v>
      </c>
      <c r="D514">
        <v>7.6</v>
      </c>
    </row>
    <row r="515" spans="1:4" x14ac:dyDescent="0.2">
      <c r="A515" s="64">
        <v>29860</v>
      </c>
      <c r="B515">
        <v>63.8</v>
      </c>
      <c r="C515">
        <v>91380</v>
      </c>
      <c r="D515">
        <v>7.9</v>
      </c>
    </row>
    <row r="516" spans="1:4" x14ac:dyDescent="0.2">
      <c r="A516" s="64">
        <v>29891</v>
      </c>
      <c r="B516">
        <v>63.9</v>
      </c>
      <c r="C516">
        <v>91171</v>
      </c>
      <c r="D516">
        <v>8.3000000000000007</v>
      </c>
    </row>
    <row r="517" spans="1:4" x14ac:dyDescent="0.2">
      <c r="A517" s="64">
        <v>29921</v>
      </c>
      <c r="B517">
        <v>63.6</v>
      </c>
      <c r="C517">
        <v>90895</v>
      </c>
      <c r="D517">
        <v>8.5</v>
      </c>
    </row>
    <row r="518" spans="1:4" x14ac:dyDescent="0.2">
      <c r="A518" s="64">
        <v>29952</v>
      </c>
      <c r="B518">
        <v>63.7</v>
      </c>
      <c r="C518">
        <v>90565</v>
      </c>
      <c r="D518">
        <v>8.6</v>
      </c>
    </row>
    <row r="519" spans="1:4" x14ac:dyDescent="0.2">
      <c r="A519" s="64">
        <v>29983</v>
      </c>
      <c r="B519">
        <v>63.8</v>
      </c>
      <c r="C519">
        <v>90563</v>
      </c>
      <c r="D519">
        <v>8.9</v>
      </c>
    </row>
    <row r="520" spans="1:4" x14ac:dyDescent="0.2">
      <c r="A520" s="64">
        <v>30011</v>
      </c>
      <c r="B520">
        <v>63.8</v>
      </c>
      <c r="C520">
        <v>90434</v>
      </c>
      <c r="D520">
        <v>9</v>
      </c>
    </row>
    <row r="521" spans="1:4" x14ac:dyDescent="0.2">
      <c r="A521" s="64">
        <v>30042</v>
      </c>
      <c r="B521">
        <v>63.9</v>
      </c>
      <c r="C521">
        <v>90150</v>
      </c>
      <c r="D521">
        <v>9.3000000000000007</v>
      </c>
    </row>
    <row r="522" spans="1:4" x14ac:dyDescent="0.2">
      <c r="A522" s="64">
        <v>30072</v>
      </c>
      <c r="B522">
        <v>64.2</v>
      </c>
      <c r="C522">
        <v>90107</v>
      </c>
      <c r="D522">
        <v>9.4</v>
      </c>
    </row>
    <row r="523" spans="1:4" x14ac:dyDescent="0.2">
      <c r="A523" s="64">
        <v>30103</v>
      </c>
      <c r="B523">
        <v>63.9</v>
      </c>
      <c r="C523">
        <v>89865</v>
      </c>
      <c r="D523">
        <v>9.6</v>
      </c>
    </row>
    <row r="524" spans="1:4" x14ac:dyDescent="0.2">
      <c r="A524" s="64">
        <v>30133</v>
      </c>
      <c r="B524">
        <v>64</v>
      </c>
      <c r="C524">
        <v>89521</v>
      </c>
      <c r="D524">
        <v>9.8000000000000007</v>
      </c>
    </row>
    <row r="525" spans="1:4" x14ac:dyDescent="0.2">
      <c r="A525" s="64">
        <v>30164</v>
      </c>
      <c r="B525">
        <v>64.099999999999994</v>
      </c>
      <c r="C525">
        <v>89363</v>
      </c>
      <c r="D525">
        <v>9.8000000000000007</v>
      </c>
    </row>
    <row r="526" spans="1:4" x14ac:dyDescent="0.2">
      <c r="A526" s="64">
        <v>30195</v>
      </c>
      <c r="B526">
        <v>64.099999999999994</v>
      </c>
      <c r="C526">
        <v>89183</v>
      </c>
      <c r="D526">
        <v>10.1</v>
      </c>
    </row>
    <row r="527" spans="1:4" x14ac:dyDescent="0.2">
      <c r="A527" s="64">
        <v>30225</v>
      </c>
      <c r="B527">
        <v>64.099999999999994</v>
      </c>
      <c r="C527">
        <v>88907</v>
      </c>
      <c r="D527">
        <v>10.4</v>
      </c>
    </row>
    <row r="528" spans="1:4" x14ac:dyDescent="0.2">
      <c r="A528" s="64">
        <v>30256</v>
      </c>
      <c r="B528">
        <v>64.2</v>
      </c>
      <c r="C528">
        <v>88786</v>
      </c>
      <c r="D528">
        <v>10.8</v>
      </c>
    </row>
    <row r="529" spans="1:4" x14ac:dyDescent="0.2">
      <c r="A529" s="64">
        <v>30286</v>
      </c>
      <c r="B529">
        <v>64.099999999999994</v>
      </c>
      <c r="C529">
        <v>88771</v>
      </c>
      <c r="D529">
        <v>10.8</v>
      </c>
    </row>
    <row r="530" spans="1:4" x14ac:dyDescent="0.2">
      <c r="A530" s="64">
        <v>30317</v>
      </c>
      <c r="B530">
        <v>63.9</v>
      </c>
      <c r="C530">
        <v>88990</v>
      </c>
      <c r="D530">
        <v>10.4</v>
      </c>
    </row>
    <row r="531" spans="1:4" x14ac:dyDescent="0.2">
      <c r="A531" s="64">
        <v>30348</v>
      </c>
      <c r="B531">
        <v>63.8</v>
      </c>
      <c r="C531">
        <v>88917</v>
      </c>
      <c r="D531">
        <v>10.4</v>
      </c>
    </row>
    <row r="532" spans="1:4" x14ac:dyDescent="0.2">
      <c r="A532" s="64">
        <v>30376</v>
      </c>
      <c r="B532">
        <v>63.7</v>
      </c>
      <c r="C532">
        <v>89090</v>
      </c>
      <c r="D532">
        <v>10.3</v>
      </c>
    </row>
    <row r="533" spans="1:4" x14ac:dyDescent="0.2">
      <c r="A533" s="64">
        <v>30407</v>
      </c>
      <c r="B533">
        <v>63.8</v>
      </c>
      <c r="C533">
        <v>89364</v>
      </c>
      <c r="D533">
        <v>10.199999999999999</v>
      </c>
    </row>
    <row r="534" spans="1:4" x14ac:dyDescent="0.2">
      <c r="A534" s="64">
        <v>30437</v>
      </c>
      <c r="B534">
        <v>63.7</v>
      </c>
      <c r="C534">
        <v>89644</v>
      </c>
      <c r="D534">
        <v>10.1</v>
      </c>
    </row>
    <row r="535" spans="1:4" x14ac:dyDescent="0.2">
      <c r="A535" s="64">
        <v>30468</v>
      </c>
      <c r="B535">
        <v>64.3</v>
      </c>
      <c r="C535">
        <v>90021</v>
      </c>
      <c r="D535">
        <v>10.1</v>
      </c>
    </row>
    <row r="536" spans="1:4" x14ac:dyDescent="0.2">
      <c r="A536" s="64">
        <v>30498</v>
      </c>
      <c r="B536">
        <v>64.099999999999994</v>
      </c>
      <c r="C536">
        <v>90437</v>
      </c>
      <c r="D536">
        <v>9.4</v>
      </c>
    </row>
    <row r="537" spans="1:4" x14ac:dyDescent="0.2">
      <c r="A537" s="64">
        <v>30529</v>
      </c>
      <c r="B537">
        <v>64.3</v>
      </c>
      <c r="C537">
        <v>90129</v>
      </c>
      <c r="D537">
        <v>9.5</v>
      </c>
    </row>
    <row r="538" spans="1:4" x14ac:dyDescent="0.2">
      <c r="A538" s="64">
        <v>30560</v>
      </c>
      <c r="B538">
        <v>64.3</v>
      </c>
      <c r="C538">
        <v>91247</v>
      </c>
      <c r="D538">
        <v>9.1999999999999993</v>
      </c>
    </row>
    <row r="539" spans="1:4" x14ac:dyDescent="0.2">
      <c r="A539" s="64">
        <v>30590</v>
      </c>
      <c r="B539">
        <v>64</v>
      </c>
      <c r="C539">
        <v>91520</v>
      </c>
      <c r="D539">
        <v>8.8000000000000007</v>
      </c>
    </row>
    <row r="540" spans="1:4" x14ac:dyDescent="0.2">
      <c r="A540" s="64">
        <v>30621</v>
      </c>
      <c r="B540">
        <v>64.099999999999994</v>
      </c>
      <c r="C540">
        <v>91875</v>
      </c>
      <c r="D540">
        <v>8.5</v>
      </c>
    </row>
    <row r="541" spans="1:4" x14ac:dyDescent="0.2">
      <c r="A541" s="64">
        <v>30651</v>
      </c>
      <c r="B541">
        <v>64.099999999999994</v>
      </c>
      <c r="C541">
        <v>92230</v>
      </c>
      <c r="D541">
        <v>8.3000000000000007</v>
      </c>
    </row>
    <row r="542" spans="1:4" x14ac:dyDescent="0.2">
      <c r="A542" s="64">
        <v>30682</v>
      </c>
      <c r="B542">
        <v>63.9</v>
      </c>
      <c r="C542">
        <v>92673</v>
      </c>
      <c r="D542">
        <v>8</v>
      </c>
    </row>
    <row r="543" spans="1:4" x14ac:dyDescent="0.2">
      <c r="A543" s="64">
        <v>30713</v>
      </c>
      <c r="B543">
        <v>64.099999999999994</v>
      </c>
      <c r="C543">
        <v>93157</v>
      </c>
      <c r="D543">
        <v>7.8</v>
      </c>
    </row>
    <row r="544" spans="1:4" x14ac:dyDescent="0.2">
      <c r="A544" s="64">
        <v>30742</v>
      </c>
      <c r="B544">
        <v>64.099999999999994</v>
      </c>
      <c r="C544">
        <v>93429</v>
      </c>
      <c r="D544">
        <v>7.8</v>
      </c>
    </row>
    <row r="545" spans="1:4" x14ac:dyDescent="0.2">
      <c r="A545" s="64">
        <v>30773</v>
      </c>
      <c r="B545">
        <v>64.3</v>
      </c>
      <c r="C545">
        <v>93792</v>
      </c>
      <c r="D545">
        <v>7.7</v>
      </c>
    </row>
    <row r="546" spans="1:4" x14ac:dyDescent="0.2">
      <c r="A546" s="64">
        <v>30803</v>
      </c>
      <c r="B546">
        <v>64.5</v>
      </c>
      <c r="C546">
        <v>94098</v>
      </c>
      <c r="D546">
        <v>7.4</v>
      </c>
    </row>
    <row r="547" spans="1:4" x14ac:dyDescent="0.2">
      <c r="A547" s="64">
        <v>30834</v>
      </c>
      <c r="B547">
        <v>64.599999999999994</v>
      </c>
      <c r="C547">
        <v>94479</v>
      </c>
      <c r="D547">
        <v>7.2</v>
      </c>
    </row>
    <row r="548" spans="1:4" x14ac:dyDescent="0.2">
      <c r="A548" s="64">
        <v>30864</v>
      </c>
      <c r="B548">
        <v>64.599999999999994</v>
      </c>
      <c r="C548">
        <v>94789</v>
      </c>
      <c r="D548">
        <v>7.5</v>
      </c>
    </row>
    <row r="549" spans="1:4" x14ac:dyDescent="0.2">
      <c r="A549" s="64">
        <v>30895</v>
      </c>
      <c r="B549">
        <v>64.400000000000006</v>
      </c>
      <c r="C549">
        <v>95032</v>
      </c>
      <c r="D549">
        <v>7.5</v>
      </c>
    </row>
    <row r="550" spans="1:4" x14ac:dyDescent="0.2">
      <c r="A550" s="64">
        <v>30926</v>
      </c>
      <c r="B550">
        <v>64.400000000000006</v>
      </c>
      <c r="C550">
        <v>95344</v>
      </c>
      <c r="D550">
        <v>7.3</v>
      </c>
    </row>
    <row r="551" spans="1:4" x14ac:dyDescent="0.2">
      <c r="A551" s="64">
        <v>30956</v>
      </c>
      <c r="B551">
        <v>64.400000000000006</v>
      </c>
      <c r="C551">
        <v>95629</v>
      </c>
      <c r="D551">
        <v>7.4</v>
      </c>
    </row>
    <row r="552" spans="1:4" x14ac:dyDescent="0.2">
      <c r="A552" s="64">
        <v>30987</v>
      </c>
      <c r="B552">
        <v>64.5</v>
      </c>
      <c r="C552">
        <v>95982</v>
      </c>
      <c r="D552">
        <v>7.2</v>
      </c>
    </row>
    <row r="553" spans="1:4" x14ac:dyDescent="0.2">
      <c r="A553" s="64">
        <v>31017</v>
      </c>
      <c r="B553">
        <v>64.599999999999994</v>
      </c>
      <c r="C553">
        <v>96107</v>
      </c>
      <c r="D553">
        <v>7.3</v>
      </c>
    </row>
    <row r="554" spans="1:4" x14ac:dyDescent="0.2">
      <c r="A554" s="64">
        <v>31048</v>
      </c>
      <c r="B554">
        <v>64.7</v>
      </c>
      <c r="C554">
        <v>96372</v>
      </c>
      <c r="D554">
        <v>7.3</v>
      </c>
    </row>
    <row r="555" spans="1:4" x14ac:dyDescent="0.2">
      <c r="A555" s="64">
        <v>31079</v>
      </c>
      <c r="B555">
        <v>64.7</v>
      </c>
      <c r="C555">
        <v>96503</v>
      </c>
      <c r="D555">
        <v>7.2</v>
      </c>
    </row>
    <row r="556" spans="1:4" x14ac:dyDescent="0.2">
      <c r="A556" s="64">
        <v>31107</v>
      </c>
      <c r="B556">
        <v>64.900000000000006</v>
      </c>
      <c r="C556">
        <v>96842</v>
      </c>
      <c r="D556">
        <v>7.2</v>
      </c>
    </row>
    <row r="557" spans="1:4" x14ac:dyDescent="0.2">
      <c r="A557" s="64">
        <v>31138</v>
      </c>
      <c r="B557">
        <v>64.900000000000006</v>
      </c>
      <c r="C557">
        <v>97038</v>
      </c>
      <c r="D557">
        <v>7.3</v>
      </c>
    </row>
    <row r="558" spans="1:4" x14ac:dyDescent="0.2">
      <c r="A558" s="64">
        <v>31168</v>
      </c>
      <c r="B558">
        <v>64.8</v>
      </c>
      <c r="C558">
        <v>97312</v>
      </c>
      <c r="D558">
        <v>7.2</v>
      </c>
    </row>
    <row r="559" spans="1:4" x14ac:dyDescent="0.2">
      <c r="A559" s="64">
        <v>31199</v>
      </c>
      <c r="B559">
        <v>64.599999999999994</v>
      </c>
      <c r="C559">
        <v>97459</v>
      </c>
      <c r="D559">
        <v>7.4</v>
      </c>
    </row>
    <row r="560" spans="1:4" x14ac:dyDescent="0.2">
      <c r="A560" s="64">
        <v>31229</v>
      </c>
      <c r="B560">
        <v>64.7</v>
      </c>
      <c r="C560">
        <v>97648</v>
      </c>
      <c r="D560">
        <v>7.4</v>
      </c>
    </row>
    <row r="561" spans="1:4" x14ac:dyDescent="0.2">
      <c r="A561" s="64">
        <v>31260</v>
      </c>
      <c r="B561">
        <v>64.599999999999994</v>
      </c>
      <c r="C561">
        <v>97840</v>
      </c>
      <c r="D561">
        <v>7.1</v>
      </c>
    </row>
    <row r="562" spans="1:4" x14ac:dyDescent="0.2">
      <c r="A562" s="64">
        <v>31291</v>
      </c>
      <c r="B562">
        <v>64.900000000000006</v>
      </c>
      <c r="C562">
        <v>98045</v>
      </c>
      <c r="D562">
        <v>7.1</v>
      </c>
    </row>
    <row r="563" spans="1:4" x14ac:dyDescent="0.2">
      <c r="A563" s="64">
        <v>31321</v>
      </c>
      <c r="B563">
        <v>65</v>
      </c>
      <c r="C563">
        <v>98233</v>
      </c>
      <c r="D563">
        <v>7.1</v>
      </c>
    </row>
    <row r="564" spans="1:4" x14ac:dyDescent="0.2">
      <c r="A564" s="64">
        <v>31352</v>
      </c>
      <c r="B564">
        <v>64.900000000000006</v>
      </c>
      <c r="C564">
        <v>98443</v>
      </c>
      <c r="D564">
        <v>7</v>
      </c>
    </row>
    <row r="565" spans="1:4" x14ac:dyDescent="0.2">
      <c r="A565" s="64">
        <v>31382</v>
      </c>
      <c r="B565">
        <v>65</v>
      </c>
      <c r="C565">
        <v>98609</v>
      </c>
      <c r="D565">
        <v>7</v>
      </c>
    </row>
    <row r="566" spans="1:4" x14ac:dyDescent="0.2">
      <c r="A566" s="64">
        <v>31413</v>
      </c>
      <c r="B566">
        <v>64.900000000000006</v>
      </c>
      <c r="C566">
        <v>98732</v>
      </c>
      <c r="D566">
        <v>6.7</v>
      </c>
    </row>
    <row r="567" spans="1:4" x14ac:dyDescent="0.2">
      <c r="A567" s="64">
        <v>31444</v>
      </c>
      <c r="B567">
        <v>65</v>
      </c>
      <c r="C567">
        <v>98847</v>
      </c>
      <c r="D567">
        <v>7.2</v>
      </c>
    </row>
    <row r="568" spans="1:4" x14ac:dyDescent="0.2">
      <c r="A568" s="64">
        <v>31472</v>
      </c>
      <c r="B568">
        <v>65.099999999999994</v>
      </c>
      <c r="C568">
        <v>98934</v>
      </c>
      <c r="D568">
        <v>7.2</v>
      </c>
    </row>
    <row r="569" spans="1:4" x14ac:dyDescent="0.2">
      <c r="A569" s="64">
        <v>31503</v>
      </c>
      <c r="B569">
        <v>65.099999999999994</v>
      </c>
      <c r="C569">
        <v>99121</v>
      </c>
      <c r="D569">
        <v>7.1</v>
      </c>
    </row>
    <row r="570" spans="1:4" x14ac:dyDescent="0.2">
      <c r="A570" s="64">
        <v>31533</v>
      </c>
      <c r="B570">
        <v>65.2</v>
      </c>
      <c r="C570">
        <v>99248</v>
      </c>
      <c r="D570">
        <v>7.2</v>
      </c>
    </row>
    <row r="571" spans="1:4" x14ac:dyDescent="0.2">
      <c r="A571" s="64">
        <v>31564</v>
      </c>
      <c r="B571">
        <v>65.400000000000006</v>
      </c>
      <c r="C571">
        <v>99155</v>
      </c>
      <c r="D571">
        <v>7.2</v>
      </c>
    </row>
    <row r="572" spans="1:4" x14ac:dyDescent="0.2">
      <c r="A572" s="64">
        <v>31594</v>
      </c>
      <c r="B572">
        <v>65.400000000000006</v>
      </c>
      <c r="C572">
        <v>99473</v>
      </c>
      <c r="D572">
        <v>7</v>
      </c>
    </row>
    <row r="573" spans="1:4" x14ac:dyDescent="0.2">
      <c r="A573" s="64">
        <v>31625</v>
      </c>
      <c r="B573">
        <v>65.3</v>
      </c>
      <c r="C573">
        <v>99588</v>
      </c>
      <c r="D573">
        <v>6.9</v>
      </c>
    </row>
    <row r="574" spans="1:4" x14ac:dyDescent="0.2">
      <c r="A574" s="64">
        <v>31656</v>
      </c>
      <c r="B574">
        <v>65.400000000000006</v>
      </c>
      <c r="C574">
        <v>99934</v>
      </c>
      <c r="D574">
        <v>7</v>
      </c>
    </row>
    <row r="575" spans="1:4" x14ac:dyDescent="0.2">
      <c r="A575" s="64">
        <v>31686</v>
      </c>
      <c r="B575">
        <v>65.400000000000006</v>
      </c>
      <c r="C575">
        <v>100121</v>
      </c>
      <c r="D575">
        <v>7</v>
      </c>
    </row>
    <row r="576" spans="1:4" x14ac:dyDescent="0.2">
      <c r="A576" s="64">
        <v>31717</v>
      </c>
      <c r="B576">
        <v>65.400000000000006</v>
      </c>
      <c r="C576">
        <v>100308</v>
      </c>
      <c r="D576">
        <v>6.9</v>
      </c>
    </row>
    <row r="577" spans="1:4" x14ac:dyDescent="0.2">
      <c r="A577" s="64">
        <v>31747</v>
      </c>
      <c r="B577">
        <v>65.3</v>
      </c>
      <c r="C577">
        <v>100509</v>
      </c>
      <c r="D577">
        <v>6.6</v>
      </c>
    </row>
    <row r="578" spans="1:4" x14ac:dyDescent="0.2">
      <c r="A578" s="64">
        <v>31778</v>
      </c>
      <c r="B578">
        <v>65.400000000000006</v>
      </c>
      <c r="C578">
        <v>100678</v>
      </c>
      <c r="D578">
        <v>6.6</v>
      </c>
    </row>
    <row r="579" spans="1:4" x14ac:dyDescent="0.2">
      <c r="A579" s="64">
        <v>31809</v>
      </c>
      <c r="B579">
        <v>65.5</v>
      </c>
      <c r="C579">
        <v>100919</v>
      </c>
      <c r="D579">
        <v>6.6</v>
      </c>
    </row>
    <row r="580" spans="1:4" x14ac:dyDescent="0.2">
      <c r="A580" s="64">
        <v>31837</v>
      </c>
      <c r="B580">
        <v>65.5</v>
      </c>
      <c r="C580">
        <v>101164</v>
      </c>
      <c r="D580">
        <v>6.6</v>
      </c>
    </row>
    <row r="581" spans="1:4" x14ac:dyDescent="0.2">
      <c r="A581" s="64">
        <v>31868</v>
      </c>
      <c r="B581">
        <v>65.400000000000006</v>
      </c>
      <c r="C581">
        <v>101499</v>
      </c>
      <c r="D581">
        <v>6.3</v>
      </c>
    </row>
    <row r="582" spans="1:4" x14ac:dyDescent="0.2">
      <c r="A582" s="64">
        <v>31898</v>
      </c>
      <c r="B582">
        <v>65.7</v>
      </c>
      <c r="C582">
        <v>101728</v>
      </c>
      <c r="D582">
        <v>6.3</v>
      </c>
    </row>
    <row r="583" spans="1:4" x14ac:dyDescent="0.2">
      <c r="A583" s="64">
        <v>31929</v>
      </c>
      <c r="B583">
        <v>65.5</v>
      </c>
      <c r="C583">
        <v>101900</v>
      </c>
      <c r="D583">
        <v>6.2</v>
      </c>
    </row>
    <row r="584" spans="1:4" x14ac:dyDescent="0.2">
      <c r="A584" s="64">
        <v>31959</v>
      </c>
      <c r="B584">
        <v>65.599999999999994</v>
      </c>
      <c r="C584">
        <v>102247</v>
      </c>
      <c r="D584">
        <v>6.1</v>
      </c>
    </row>
    <row r="585" spans="1:4" x14ac:dyDescent="0.2">
      <c r="A585" s="64">
        <v>31990</v>
      </c>
      <c r="B585">
        <v>65.7</v>
      </c>
      <c r="C585">
        <v>102420</v>
      </c>
      <c r="D585">
        <v>6</v>
      </c>
    </row>
    <row r="586" spans="1:4" x14ac:dyDescent="0.2">
      <c r="A586" s="64">
        <v>32021</v>
      </c>
      <c r="B586">
        <v>65.5</v>
      </c>
      <c r="C586">
        <v>102647</v>
      </c>
      <c r="D586">
        <v>5.9</v>
      </c>
    </row>
    <row r="587" spans="1:4" x14ac:dyDescent="0.2">
      <c r="A587" s="64">
        <v>32051</v>
      </c>
      <c r="B587">
        <v>65.7</v>
      </c>
      <c r="C587">
        <v>103138</v>
      </c>
      <c r="D587">
        <v>6</v>
      </c>
    </row>
    <row r="588" spans="1:4" x14ac:dyDescent="0.2">
      <c r="A588" s="64">
        <v>32082</v>
      </c>
      <c r="B588">
        <v>65.7</v>
      </c>
      <c r="C588">
        <v>103372</v>
      </c>
      <c r="D588">
        <v>5.8</v>
      </c>
    </row>
    <row r="589" spans="1:4" x14ac:dyDescent="0.2">
      <c r="A589" s="64">
        <v>32112</v>
      </c>
      <c r="B589">
        <v>65.7</v>
      </c>
      <c r="C589">
        <v>103661</v>
      </c>
      <c r="D589">
        <v>5.7</v>
      </c>
    </row>
    <row r="590" spans="1:4" x14ac:dyDescent="0.2">
      <c r="A590" s="64">
        <v>32143</v>
      </c>
      <c r="B590">
        <v>65.8</v>
      </c>
      <c r="C590">
        <v>103753</v>
      </c>
      <c r="D590">
        <v>5.7</v>
      </c>
    </row>
    <row r="591" spans="1:4" x14ac:dyDescent="0.2">
      <c r="A591" s="64">
        <v>32174</v>
      </c>
      <c r="B591">
        <v>65.900000000000006</v>
      </c>
      <c r="C591">
        <v>104214</v>
      </c>
      <c r="D591">
        <v>5.7</v>
      </c>
    </row>
    <row r="592" spans="1:4" x14ac:dyDescent="0.2">
      <c r="A592" s="64">
        <v>32203</v>
      </c>
      <c r="B592">
        <v>65.7</v>
      </c>
      <c r="C592">
        <v>104489</v>
      </c>
      <c r="D592">
        <v>5.7</v>
      </c>
    </row>
    <row r="593" spans="1:4" x14ac:dyDescent="0.2">
      <c r="A593" s="64">
        <v>32234</v>
      </c>
      <c r="B593">
        <v>65.8</v>
      </c>
      <c r="C593">
        <v>104732</v>
      </c>
      <c r="D593">
        <v>5.4</v>
      </c>
    </row>
    <row r="594" spans="1:4" x14ac:dyDescent="0.2">
      <c r="A594" s="64">
        <v>32264</v>
      </c>
      <c r="B594">
        <v>65.7</v>
      </c>
      <c r="C594">
        <v>104962</v>
      </c>
      <c r="D594">
        <v>5.6</v>
      </c>
    </row>
    <row r="595" spans="1:4" x14ac:dyDescent="0.2">
      <c r="A595" s="64">
        <v>32295</v>
      </c>
      <c r="B595">
        <v>65.8</v>
      </c>
      <c r="C595">
        <v>105326</v>
      </c>
      <c r="D595">
        <v>5.4</v>
      </c>
    </row>
    <row r="596" spans="1:4" x14ac:dyDescent="0.2">
      <c r="A596" s="64">
        <v>32325</v>
      </c>
      <c r="B596">
        <v>65.900000000000006</v>
      </c>
      <c r="C596">
        <v>105550</v>
      </c>
      <c r="D596">
        <v>5.4</v>
      </c>
    </row>
    <row r="597" spans="1:4" x14ac:dyDescent="0.2">
      <c r="A597" s="64">
        <v>32356</v>
      </c>
      <c r="B597">
        <v>66.099999999999994</v>
      </c>
      <c r="C597">
        <v>105674</v>
      </c>
      <c r="D597">
        <v>5.6</v>
      </c>
    </row>
    <row r="598" spans="1:4" x14ac:dyDescent="0.2">
      <c r="A598" s="64">
        <v>32387</v>
      </c>
      <c r="B598">
        <v>65.900000000000006</v>
      </c>
      <c r="C598">
        <v>106013</v>
      </c>
      <c r="D598">
        <v>5.4</v>
      </c>
    </row>
    <row r="599" spans="1:4" x14ac:dyDescent="0.2">
      <c r="A599" s="64">
        <v>32417</v>
      </c>
      <c r="B599">
        <v>66</v>
      </c>
      <c r="C599">
        <v>106276</v>
      </c>
      <c r="D599">
        <v>5.4</v>
      </c>
    </row>
    <row r="600" spans="1:4" x14ac:dyDescent="0.2">
      <c r="A600" s="64">
        <v>32448</v>
      </c>
      <c r="B600">
        <v>66.2</v>
      </c>
      <c r="C600">
        <v>106617</v>
      </c>
      <c r="D600">
        <v>5.3</v>
      </c>
    </row>
    <row r="601" spans="1:4" x14ac:dyDescent="0.2">
      <c r="A601" s="64">
        <v>32478</v>
      </c>
      <c r="B601">
        <v>66.099999999999994</v>
      </c>
      <c r="C601">
        <v>106898</v>
      </c>
      <c r="D601">
        <v>5.3</v>
      </c>
    </row>
    <row r="602" spans="1:4" x14ac:dyDescent="0.2">
      <c r="A602" s="64">
        <v>32509</v>
      </c>
      <c r="B602">
        <v>66.5</v>
      </c>
      <c r="C602">
        <v>107161</v>
      </c>
      <c r="D602">
        <v>5.4</v>
      </c>
    </row>
    <row r="603" spans="1:4" x14ac:dyDescent="0.2">
      <c r="A603" s="64">
        <v>32540</v>
      </c>
      <c r="B603">
        <v>66.3</v>
      </c>
      <c r="C603">
        <v>107427</v>
      </c>
      <c r="D603">
        <v>5.2</v>
      </c>
    </row>
    <row r="604" spans="1:4" x14ac:dyDescent="0.2">
      <c r="A604" s="64">
        <v>32568</v>
      </c>
      <c r="B604">
        <v>66.3</v>
      </c>
      <c r="C604">
        <v>107621</v>
      </c>
      <c r="D604">
        <v>5</v>
      </c>
    </row>
    <row r="605" spans="1:4" x14ac:dyDescent="0.2">
      <c r="A605" s="64">
        <v>32599</v>
      </c>
      <c r="B605">
        <v>66.400000000000006</v>
      </c>
      <c r="C605">
        <v>107791</v>
      </c>
      <c r="D605">
        <v>5.2</v>
      </c>
    </row>
    <row r="606" spans="1:4" x14ac:dyDescent="0.2">
      <c r="A606" s="64">
        <v>32629</v>
      </c>
      <c r="B606">
        <v>66.3</v>
      </c>
      <c r="C606">
        <v>107913</v>
      </c>
      <c r="D606">
        <v>5.2</v>
      </c>
    </row>
    <row r="607" spans="1:4" x14ac:dyDescent="0.2">
      <c r="A607" s="64">
        <v>32660</v>
      </c>
      <c r="B607">
        <v>66.5</v>
      </c>
      <c r="C607">
        <v>108027</v>
      </c>
      <c r="D607">
        <v>5.3</v>
      </c>
    </row>
    <row r="608" spans="1:4" x14ac:dyDescent="0.2">
      <c r="A608" s="64">
        <v>32690</v>
      </c>
      <c r="B608">
        <v>66.5</v>
      </c>
      <c r="C608">
        <v>108069</v>
      </c>
      <c r="D608">
        <v>5.2</v>
      </c>
    </row>
    <row r="609" spans="1:4" x14ac:dyDescent="0.2">
      <c r="A609" s="64">
        <v>32721</v>
      </c>
      <c r="B609">
        <v>66.5</v>
      </c>
      <c r="C609">
        <v>108120</v>
      </c>
      <c r="D609">
        <v>5.2</v>
      </c>
    </row>
    <row r="610" spans="1:4" x14ac:dyDescent="0.2">
      <c r="A610" s="64">
        <v>32752</v>
      </c>
      <c r="B610">
        <v>66.400000000000006</v>
      </c>
      <c r="C610">
        <v>108369</v>
      </c>
      <c r="D610">
        <v>5.3</v>
      </c>
    </row>
    <row r="611" spans="1:4" x14ac:dyDescent="0.2">
      <c r="A611" s="64">
        <v>32782</v>
      </c>
      <c r="B611">
        <v>66.5</v>
      </c>
      <c r="C611">
        <v>108476</v>
      </c>
      <c r="D611">
        <v>5.3</v>
      </c>
    </row>
    <row r="612" spans="1:4" x14ac:dyDescent="0.2">
      <c r="A612" s="64">
        <v>32813</v>
      </c>
      <c r="B612">
        <v>66.599999999999994</v>
      </c>
      <c r="C612">
        <v>108752</v>
      </c>
      <c r="D612">
        <v>5.4</v>
      </c>
    </row>
    <row r="613" spans="1:4" x14ac:dyDescent="0.2">
      <c r="A613" s="64">
        <v>32843</v>
      </c>
      <c r="B613">
        <v>66.5</v>
      </c>
      <c r="C613">
        <v>108836</v>
      </c>
      <c r="D613">
        <v>5.4</v>
      </c>
    </row>
    <row r="614" spans="1:4" x14ac:dyDescent="0.2">
      <c r="A614" s="64">
        <v>32874</v>
      </c>
      <c r="B614">
        <v>66.8</v>
      </c>
      <c r="C614">
        <v>109199</v>
      </c>
      <c r="D614">
        <v>5.4</v>
      </c>
    </row>
    <row r="615" spans="1:4" x14ac:dyDescent="0.2">
      <c r="A615" s="64">
        <v>32905</v>
      </c>
      <c r="B615">
        <v>66.7</v>
      </c>
      <c r="C615">
        <v>109435</v>
      </c>
      <c r="D615">
        <v>5.3</v>
      </c>
    </row>
    <row r="616" spans="1:4" x14ac:dyDescent="0.2">
      <c r="A616" s="64">
        <v>32933</v>
      </c>
      <c r="B616">
        <v>66.7</v>
      </c>
      <c r="C616">
        <v>109644</v>
      </c>
      <c r="D616">
        <v>5.2</v>
      </c>
    </row>
    <row r="617" spans="1:4" x14ac:dyDescent="0.2">
      <c r="A617" s="64">
        <v>32964</v>
      </c>
      <c r="B617">
        <v>66.599999999999994</v>
      </c>
      <c r="C617">
        <v>109686</v>
      </c>
      <c r="D617">
        <v>5.4</v>
      </c>
    </row>
    <row r="618" spans="1:4" x14ac:dyDescent="0.2">
      <c r="A618" s="64">
        <v>32994</v>
      </c>
      <c r="B618">
        <v>66.599999999999994</v>
      </c>
      <c r="C618">
        <v>109839</v>
      </c>
      <c r="D618">
        <v>5.4</v>
      </c>
    </row>
    <row r="619" spans="1:4" x14ac:dyDescent="0.2">
      <c r="A619" s="64">
        <v>33025</v>
      </c>
      <c r="B619">
        <v>66.400000000000006</v>
      </c>
      <c r="C619">
        <v>109856</v>
      </c>
      <c r="D619">
        <v>5.2</v>
      </c>
    </row>
    <row r="620" spans="1:4" x14ac:dyDescent="0.2">
      <c r="A620" s="64">
        <v>33055</v>
      </c>
      <c r="B620">
        <v>66.5</v>
      </c>
      <c r="C620">
        <v>109824</v>
      </c>
      <c r="D620">
        <v>5.5</v>
      </c>
    </row>
    <row r="621" spans="1:4" x14ac:dyDescent="0.2">
      <c r="A621" s="64">
        <v>33086</v>
      </c>
      <c r="B621">
        <v>66.5</v>
      </c>
      <c r="C621">
        <v>109616</v>
      </c>
      <c r="D621">
        <v>5.7</v>
      </c>
    </row>
    <row r="622" spans="1:4" x14ac:dyDescent="0.2">
      <c r="A622" s="64">
        <v>33117</v>
      </c>
      <c r="B622">
        <v>66.400000000000006</v>
      </c>
      <c r="C622">
        <v>109518</v>
      </c>
      <c r="D622">
        <v>5.9</v>
      </c>
    </row>
    <row r="623" spans="1:4" x14ac:dyDescent="0.2">
      <c r="A623" s="64">
        <v>33147</v>
      </c>
      <c r="B623">
        <v>66.400000000000006</v>
      </c>
      <c r="C623">
        <v>109367</v>
      </c>
      <c r="D623">
        <v>5.9</v>
      </c>
    </row>
    <row r="624" spans="1:4" x14ac:dyDescent="0.2">
      <c r="A624" s="64">
        <v>33178</v>
      </c>
      <c r="B624">
        <v>66.400000000000006</v>
      </c>
      <c r="C624">
        <v>109214</v>
      </c>
      <c r="D624">
        <v>6.2</v>
      </c>
    </row>
    <row r="625" spans="1:4" x14ac:dyDescent="0.2">
      <c r="A625" s="64">
        <v>33208</v>
      </c>
      <c r="B625">
        <v>66.400000000000006</v>
      </c>
      <c r="C625">
        <v>109166</v>
      </c>
      <c r="D625">
        <v>6.3</v>
      </c>
    </row>
    <row r="626" spans="1:4" x14ac:dyDescent="0.2">
      <c r="A626" s="64">
        <v>33239</v>
      </c>
      <c r="B626">
        <v>66.2</v>
      </c>
      <c r="C626">
        <v>109055</v>
      </c>
      <c r="D626">
        <v>6.4</v>
      </c>
    </row>
    <row r="627" spans="1:4" x14ac:dyDescent="0.2">
      <c r="A627" s="64">
        <v>33270</v>
      </c>
      <c r="B627">
        <v>66.2</v>
      </c>
      <c r="C627">
        <v>108734</v>
      </c>
      <c r="D627">
        <v>6.6</v>
      </c>
    </row>
    <row r="628" spans="1:4" x14ac:dyDescent="0.2">
      <c r="A628" s="64">
        <v>33298</v>
      </c>
      <c r="B628">
        <v>66.3</v>
      </c>
      <c r="C628">
        <v>108574</v>
      </c>
      <c r="D628">
        <v>6.8</v>
      </c>
    </row>
    <row r="629" spans="1:4" x14ac:dyDescent="0.2">
      <c r="A629" s="64">
        <v>33329</v>
      </c>
      <c r="B629">
        <v>66.400000000000006</v>
      </c>
      <c r="C629">
        <v>108364</v>
      </c>
      <c r="D629">
        <v>6.7</v>
      </c>
    </row>
    <row r="630" spans="1:4" x14ac:dyDescent="0.2">
      <c r="A630" s="64">
        <v>33359</v>
      </c>
      <c r="B630">
        <v>66.2</v>
      </c>
      <c r="C630">
        <v>108249</v>
      </c>
      <c r="D630">
        <v>6.9</v>
      </c>
    </row>
    <row r="631" spans="1:4" x14ac:dyDescent="0.2">
      <c r="A631" s="64">
        <v>33390</v>
      </c>
      <c r="B631">
        <v>66.2</v>
      </c>
      <c r="C631">
        <v>108334</v>
      </c>
      <c r="D631">
        <v>6.9</v>
      </c>
    </row>
    <row r="632" spans="1:4" x14ac:dyDescent="0.2">
      <c r="A632" s="64">
        <v>33420</v>
      </c>
      <c r="B632">
        <v>66.099999999999994</v>
      </c>
      <c r="C632">
        <v>108292</v>
      </c>
      <c r="D632">
        <v>6.8</v>
      </c>
    </row>
    <row r="633" spans="1:4" x14ac:dyDescent="0.2">
      <c r="A633" s="64">
        <v>33451</v>
      </c>
      <c r="B633">
        <v>66</v>
      </c>
      <c r="C633">
        <v>108310</v>
      </c>
      <c r="D633">
        <v>6.9</v>
      </c>
    </row>
    <row r="634" spans="1:4" x14ac:dyDescent="0.2">
      <c r="A634" s="64">
        <v>33482</v>
      </c>
      <c r="B634">
        <v>66.2</v>
      </c>
      <c r="C634">
        <v>108336</v>
      </c>
      <c r="D634">
        <v>6.9</v>
      </c>
    </row>
    <row r="635" spans="1:4" x14ac:dyDescent="0.2">
      <c r="A635" s="64">
        <v>33512</v>
      </c>
      <c r="B635">
        <v>66.099999999999994</v>
      </c>
      <c r="C635">
        <v>108357</v>
      </c>
      <c r="D635">
        <v>7</v>
      </c>
    </row>
    <row r="636" spans="1:4" x14ac:dyDescent="0.2">
      <c r="A636" s="64">
        <v>33543</v>
      </c>
      <c r="B636">
        <v>66.099999999999994</v>
      </c>
      <c r="C636">
        <v>108296</v>
      </c>
      <c r="D636">
        <v>7</v>
      </c>
    </row>
    <row r="637" spans="1:4" x14ac:dyDescent="0.2">
      <c r="A637" s="64">
        <v>33573</v>
      </c>
      <c r="B637">
        <v>66</v>
      </c>
      <c r="C637">
        <v>108328</v>
      </c>
      <c r="D637">
        <v>7.3</v>
      </c>
    </row>
    <row r="638" spans="1:4" x14ac:dyDescent="0.2">
      <c r="A638" s="64">
        <v>33604</v>
      </c>
      <c r="B638">
        <v>66.3</v>
      </c>
      <c r="C638">
        <v>108369</v>
      </c>
      <c r="D638">
        <v>7.3</v>
      </c>
    </row>
    <row r="639" spans="1:4" x14ac:dyDescent="0.2">
      <c r="A639" s="64">
        <v>33635</v>
      </c>
      <c r="B639">
        <v>66.2</v>
      </c>
      <c r="C639">
        <v>108311</v>
      </c>
      <c r="D639">
        <v>7.4</v>
      </c>
    </row>
    <row r="640" spans="1:4" x14ac:dyDescent="0.2">
      <c r="A640" s="64">
        <v>33664</v>
      </c>
      <c r="B640">
        <v>66.400000000000006</v>
      </c>
      <c r="C640">
        <v>108365</v>
      </c>
      <c r="D640">
        <v>7.4</v>
      </c>
    </row>
    <row r="641" spans="1:4" x14ac:dyDescent="0.2">
      <c r="A641" s="64">
        <v>33695</v>
      </c>
      <c r="B641">
        <v>66.5</v>
      </c>
      <c r="C641">
        <v>108519</v>
      </c>
      <c r="D641">
        <v>7.4</v>
      </c>
    </row>
    <row r="642" spans="1:4" x14ac:dyDescent="0.2">
      <c r="A642" s="64">
        <v>33725</v>
      </c>
      <c r="B642">
        <v>66.599999999999994</v>
      </c>
      <c r="C642">
        <v>108649</v>
      </c>
      <c r="D642">
        <v>7.6</v>
      </c>
    </row>
    <row r="643" spans="1:4" x14ac:dyDescent="0.2">
      <c r="A643" s="64">
        <v>33756</v>
      </c>
      <c r="B643">
        <v>66.7</v>
      </c>
      <c r="C643">
        <v>108715</v>
      </c>
      <c r="D643">
        <v>7.8</v>
      </c>
    </row>
    <row r="644" spans="1:4" x14ac:dyDescent="0.2">
      <c r="A644" s="64">
        <v>33786</v>
      </c>
      <c r="B644">
        <v>66.7</v>
      </c>
      <c r="C644">
        <v>108793</v>
      </c>
      <c r="D644">
        <v>7.7</v>
      </c>
    </row>
    <row r="645" spans="1:4" x14ac:dyDescent="0.2">
      <c r="A645" s="64">
        <v>33817</v>
      </c>
      <c r="B645">
        <v>66.599999999999994</v>
      </c>
      <c r="C645">
        <v>108925</v>
      </c>
      <c r="D645">
        <v>7.6</v>
      </c>
    </row>
    <row r="646" spans="1:4" x14ac:dyDescent="0.2">
      <c r="A646" s="64">
        <v>33848</v>
      </c>
      <c r="B646">
        <v>66.5</v>
      </c>
      <c r="C646">
        <v>108959</v>
      </c>
      <c r="D646">
        <v>7.6</v>
      </c>
    </row>
    <row r="647" spans="1:4" x14ac:dyDescent="0.2">
      <c r="A647" s="64">
        <v>33878</v>
      </c>
      <c r="B647">
        <v>66.2</v>
      </c>
      <c r="C647">
        <v>109139</v>
      </c>
      <c r="D647">
        <v>7.3</v>
      </c>
    </row>
    <row r="648" spans="1:4" x14ac:dyDescent="0.2">
      <c r="A648" s="64">
        <v>33909</v>
      </c>
      <c r="B648">
        <v>66.3</v>
      </c>
      <c r="C648">
        <v>109272</v>
      </c>
      <c r="D648">
        <v>7.4</v>
      </c>
    </row>
    <row r="649" spans="1:4" x14ac:dyDescent="0.2">
      <c r="A649" s="64">
        <v>33939</v>
      </c>
      <c r="B649">
        <v>66.3</v>
      </c>
      <c r="C649">
        <v>109495</v>
      </c>
      <c r="D649">
        <v>7.4</v>
      </c>
    </row>
    <row r="650" spans="1:4" x14ac:dyDescent="0.2">
      <c r="A650" s="64">
        <v>33970</v>
      </c>
      <c r="B650">
        <v>66.2</v>
      </c>
      <c r="C650">
        <v>109794</v>
      </c>
      <c r="D650">
        <v>7.3</v>
      </c>
    </row>
    <row r="651" spans="1:4" x14ac:dyDescent="0.2">
      <c r="A651" s="64">
        <v>34001</v>
      </c>
      <c r="B651">
        <v>66.2</v>
      </c>
      <c r="C651">
        <v>110044</v>
      </c>
      <c r="D651">
        <v>7.1</v>
      </c>
    </row>
    <row r="652" spans="1:4" x14ac:dyDescent="0.2">
      <c r="A652" s="64">
        <v>34029</v>
      </c>
      <c r="B652">
        <v>66.2</v>
      </c>
      <c r="C652">
        <v>109994</v>
      </c>
      <c r="D652">
        <v>7</v>
      </c>
    </row>
    <row r="653" spans="1:4" x14ac:dyDescent="0.2">
      <c r="A653" s="64">
        <v>34060</v>
      </c>
      <c r="B653">
        <v>66.099999999999994</v>
      </c>
      <c r="C653">
        <v>110296</v>
      </c>
      <c r="D653">
        <v>7.1</v>
      </c>
    </row>
    <row r="654" spans="1:4" x14ac:dyDescent="0.2">
      <c r="A654" s="64">
        <v>34090</v>
      </c>
      <c r="B654">
        <v>66.400000000000006</v>
      </c>
      <c r="C654">
        <v>110568</v>
      </c>
      <c r="D654">
        <v>7.1</v>
      </c>
    </row>
    <row r="655" spans="1:4" x14ac:dyDescent="0.2">
      <c r="A655" s="64">
        <v>34121</v>
      </c>
      <c r="B655">
        <v>66.5</v>
      </c>
      <c r="C655">
        <v>110749</v>
      </c>
      <c r="D655">
        <v>7</v>
      </c>
    </row>
    <row r="656" spans="1:4" x14ac:dyDescent="0.2">
      <c r="A656" s="64">
        <v>34151</v>
      </c>
      <c r="B656">
        <v>66.400000000000006</v>
      </c>
      <c r="C656">
        <v>111055</v>
      </c>
      <c r="D656">
        <v>6.9</v>
      </c>
    </row>
    <row r="657" spans="1:4" x14ac:dyDescent="0.2">
      <c r="A657" s="64">
        <v>34182</v>
      </c>
      <c r="B657">
        <v>66.400000000000006</v>
      </c>
      <c r="C657">
        <v>111206</v>
      </c>
      <c r="D657">
        <v>6.8</v>
      </c>
    </row>
    <row r="658" spans="1:4" x14ac:dyDescent="0.2">
      <c r="A658" s="64">
        <v>34213</v>
      </c>
      <c r="B658">
        <v>66.2</v>
      </c>
      <c r="C658">
        <v>111448</v>
      </c>
      <c r="D658">
        <v>6.7</v>
      </c>
    </row>
    <row r="659" spans="1:4" x14ac:dyDescent="0.2">
      <c r="A659" s="64">
        <v>34243</v>
      </c>
      <c r="B659">
        <v>66.3</v>
      </c>
      <c r="C659">
        <v>111733</v>
      </c>
      <c r="D659">
        <v>6.8</v>
      </c>
    </row>
    <row r="660" spans="1:4" x14ac:dyDescent="0.2">
      <c r="A660" s="64">
        <v>34274</v>
      </c>
      <c r="B660">
        <v>66.3</v>
      </c>
      <c r="C660">
        <v>111984</v>
      </c>
      <c r="D660">
        <v>6.6</v>
      </c>
    </row>
    <row r="661" spans="1:4" x14ac:dyDescent="0.2">
      <c r="A661" s="64">
        <v>34304</v>
      </c>
      <c r="B661">
        <v>66.400000000000006</v>
      </c>
      <c r="C661">
        <v>112314</v>
      </c>
      <c r="D661">
        <v>6.5</v>
      </c>
    </row>
    <row r="662" spans="1:4" x14ac:dyDescent="0.2">
      <c r="A662" s="64">
        <v>34335</v>
      </c>
      <c r="B662">
        <v>66.599999999999994</v>
      </c>
      <c r="C662">
        <v>112595</v>
      </c>
      <c r="D662">
        <v>6.6</v>
      </c>
    </row>
    <row r="663" spans="1:4" x14ac:dyDescent="0.2">
      <c r="A663" s="64">
        <v>34366</v>
      </c>
      <c r="B663">
        <v>66.599999999999994</v>
      </c>
      <c r="C663">
        <v>112781</v>
      </c>
      <c r="D663">
        <v>6.6</v>
      </c>
    </row>
    <row r="664" spans="1:4" x14ac:dyDescent="0.2">
      <c r="A664" s="64">
        <v>34394</v>
      </c>
      <c r="B664">
        <v>66.5</v>
      </c>
      <c r="C664">
        <v>113242</v>
      </c>
      <c r="D664">
        <v>6.5</v>
      </c>
    </row>
    <row r="665" spans="1:4" x14ac:dyDescent="0.2">
      <c r="A665" s="64">
        <v>34425</v>
      </c>
      <c r="B665">
        <v>66.5</v>
      </c>
      <c r="C665">
        <v>113586</v>
      </c>
      <c r="D665">
        <v>6.4</v>
      </c>
    </row>
    <row r="666" spans="1:4" x14ac:dyDescent="0.2">
      <c r="A666" s="64">
        <v>34455</v>
      </c>
      <c r="B666">
        <v>66.599999999999994</v>
      </c>
      <c r="C666">
        <v>113921</v>
      </c>
      <c r="D666">
        <v>6.1</v>
      </c>
    </row>
    <row r="667" spans="1:4" x14ac:dyDescent="0.2">
      <c r="A667" s="64">
        <v>34486</v>
      </c>
      <c r="B667">
        <v>66.400000000000006</v>
      </c>
      <c r="C667">
        <v>114238</v>
      </c>
      <c r="D667">
        <v>6.1</v>
      </c>
    </row>
    <row r="668" spans="1:4" x14ac:dyDescent="0.2">
      <c r="A668" s="64">
        <v>34516</v>
      </c>
      <c r="B668">
        <v>66.400000000000006</v>
      </c>
      <c r="C668">
        <v>114610</v>
      </c>
      <c r="D668">
        <v>6.1</v>
      </c>
    </row>
    <row r="669" spans="1:4" x14ac:dyDescent="0.2">
      <c r="A669" s="64">
        <v>34547</v>
      </c>
      <c r="B669">
        <v>66.599999999999994</v>
      </c>
      <c r="C669">
        <v>114896</v>
      </c>
      <c r="D669">
        <v>6</v>
      </c>
    </row>
    <row r="670" spans="1:4" x14ac:dyDescent="0.2">
      <c r="A670" s="64">
        <v>34578</v>
      </c>
      <c r="B670">
        <v>66.599999999999994</v>
      </c>
      <c r="C670">
        <v>115247</v>
      </c>
      <c r="D670">
        <v>5.9</v>
      </c>
    </row>
    <row r="671" spans="1:4" x14ac:dyDescent="0.2">
      <c r="A671" s="64">
        <v>34608</v>
      </c>
      <c r="B671">
        <v>66.7</v>
      </c>
      <c r="C671">
        <v>115458</v>
      </c>
      <c r="D671">
        <v>5.8</v>
      </c>
    </row>
    <row r="672" spans="1:4" x14ac:dyDescent="0.2">
      <c r="A672" s="64">
        <v>34639</v>
      </c>
      <c r="B672">
        <v>66.7</v>
      </c>
      <c r="C672">
        <v>115869</v>
      </c>
      <c r="D672">
        <v>5.6</v>
      </c>
    </row>
    <row r="673" spans="1:4" x14ac:dyDescent="0.2">
      <c r="A673" s="64">
        <v>34669</v>
      </c>
      <c r="B673">
        <v>66.7</v>
      </c>
      <c r="C673">
        <v>116165</v>
      </c>
      <c r="D673">
        <v>5.5</v>
      </c>
    </row>
    <row r="674" spans="1:4" x14ac:dyDescent="0.2">
      <c r="A674" s="64">
        <v>34700</v>
      </c>
      <c r="B674">
        <v>66.8</v>
      </c>
      <c r="C674">
        <v>116501</v>
      </c>
      <c r="D674">
        <v>5.6</v>
      </c>
    </row>
    <row r="675" spans="1:4" x14ac:dyDescent="0.2">
      <c r="A675" s="64">
        <v>34731</v>
      </c>
      <c r="B675">
        <v>66.8</v>
      </c>
      <c r="C675">
        <v>116697</v>
      </c>
      <c r="D675">
        <v>5.4</v>
      </c>
    </row>
    <row r="676" spans="1:4" x14ac:dyDescent="0.2">
      <c r="A676" s="64">
        <v>34759</v>
      </c>
      <c r="B676">
        <v>66.7</v>
      </c>
      <c r="C676">
        <v>116907</v>
      </c>
      <c r="D676">
        <v>5.4</v>
      </c>
    </row>
    <row r="677" spans="1:4" x14ac:dyDescent="0.2">
      <c r="A677" s="64">
        <v>34790</v>
      </c>
      <c r="B677">
        <v>66.900000000000006</v>
      </c>
      <c r="C677">
        <v>117069</v>
      </c>
      <c r="D677">
        <v>5.8</v>
      </c>
    </row>
    <row r="678" spans="1:4" x14ac:dyDescent="0.2">
      <c r="A678" s="64">
        <v>34820</v>
      </c>
      <c r="B678">
        <v>66.5</v>
      </c>
      <c r="C678">
        <v>117049</v>
      </c>
      <c r="D678">
        <v>5.6</v>
      </c>
    </row>
    <row r="679" spans="1:4" x14ac:dyDescent="0.2">
      <c r="A679" s="64">
        <v>34851</v>
      </c>
      <c r="B679">
        <v>66.5</v>
      </c>
      <c r="C679">
        <v>117286</v>
      </c>
      <c r="D679">
        <v>5.6</v>
      </c>
    </row>
    <row r="680" spans="1:4" x14ac:dyDescent="0.2">
      <c r="A680" s="64">
        <v>34881</v>
      </c>
      <c r="B680">
        <v>66.599999999999994</v>
      </c>
      <c r="C680">
        <v>117380</v>
      </c>
      <c r="D680">
        <v>5.7</v>
      </c>
    </row>
    <row r="681" spans="1:4" x14ac:dyDescent="0.2">
      <c r="A681" s="64">
        <v>34912</v>
      </c>
      <c r="B681">
        <v>66.599999999999994</v>
      </c>
      <c r="C681">
        <v>117634</v>
      </c>
      <c r="D681">
        <v>5.7</v>
      </c>
    </row>
    <row r="682" spans="1:4" x14ac:dyDescent="0.2">
      <c r="A682" s="64">
        <v>34943</v>
      </c>
      <c r="B682">
        <v>66.599999999999994</v>
      </c>
      <c r="C682">
        <v>117875</v>
      </c>
      <c r="D682">
        <v>5.6</v>
      </c>
    </row>
    <row r="683" spans="1:4" x14ac:dyDescent="0.2">
      <c r="A683" s="64">
        <v>34973</v>
      </c>
      <c r="B683">
        <v>66.599999999999994</v>
      </c>
      <c r="C683">
        <v>118031</v>
      </c>
      <c r="D683">
        <v>5.5</v>
      </c>
    </row>
    <row r="684" spans="1:4" x14ac:dyDescent="0.2">
      <c r="A684" s="64">
        <v>35004</v>
      </c>
      <c r="B684">
        <v>66.5</v>
      </c>
      <c r="C684">
        <v>118175</v>
      </c>
      <c r="D684">
        <v>5.6</v>
      </c>
    </row>
    <row r="685" spans="1:4" x14ac:dyDescent="0.2">
      <c r="A685" s="64">
        <v>35034</v>
      </c>
      <c r="B685">
        <v>66.400000000000006</v>
      </c>
      <c r="C685">
        <v>118320</v>
      </c>
      <c r="D685">
        <v>5.6</v>
      </c>
    </row>
    <row r="686" spans="1:4" x14ac:dyDescent="0.2">
      <c r="A686" s="64">
        <v>35065</v>
      </c>
      <c r="B686">
        <v>66.400000000000006</v>
      </c>
      <c r="C686">
        <v>118316</v>
      </c>
      <c r="D686">
        <v>5.6</v>
      </c>
    </row>
    <row r="687" spans="1:4" x14ac:dyDescent="0.2">
      <c r="A687" s="64">
        <v>35096</v>
      </c>
      <c r="B687">
        <v>66.599999999999994</v>
      </c>
      <c r="C687">
        <v>118739</v>
      </c>
      <c r="D687">
        <v>5.5</v>
      </c>
    </row>
    <row r="688" spans="1:4" x14ac:dyDescent="0.2">
      <c r="A688" s="64">
        <v>35125</v>
      </c>
      <c r="B688">
        <v>66.599999999999994</v>
      </c>
      <c r="C688">
        <v>118993</v>
      </c>
      <c r="D688">
        <v>5.5</v>
      </c>
    </row>
    <row r="689" spans="1:4" x14ac:dyDescent="0.2">
      <c r="A689" s="64">
        <v>35156</v>
      </c>
      <c r="B689">
        <v>66.7</v>
      </c>
      <c r="C689">
        <v>119158</v>
      </c>
      <c r="D689">
        <v>5.6</v>
      </c>
    </row>
    <row r="690" spans="1:4" x14ac:dyDescent="0.2">
      <c r="A690" s="64">
        <v>35186</v>
      </c>
      <c r="B690">
        <v>66.7</v>
      </c>
      <c r="C690">
        <v>119486</v>
      </c>
      <c r="D690">
        <v>5.6</v>
      </c>
    </row>
    <row r="691" spans="1:4" x14ac:dyDescent="0.2">
      <c r="A691" s="64">
        <v>35217</v>
      </c>
      <c r="B691">
        <v>66.7</v>
      </c>
      <c r="C691">
        <v>119769</v>
      </c>
      <c r="D691">
        <v>5.3</v>
      </c>
    </row>
    <row r="692" spans="1:4" x14ac:dyDescent="0.2">
      <c r="A692" s="64">
        <v>35247</v>
      </c>
      <c r="B692">
        <v>66.900000000000006</v>
      </c>
      <c r="C692">
        <v>120015</v>
      </c>
      <c r="D692">
        <v>5.5</v>
      </c>
    </row>
    <row r="693" spans="1:4" x14ac:dyDescent="0.2">
      <c r="A693" s="64">
        <v>35278</v>
      </c>
      <c r="B693">
        <v>66.7</v>
      </c>
      <c r="C693">
        <v>120199</v>
      </c>
      <c r="D693">
        <v>5.0999999999999996</v>
      </c>
    </row>
    <row r="694" spans="1:4" x14ac:dyDescent="0.2">
      <c r="A694" s="64">
        <v>35309</v>
      </c>
      <c r="B694">
        <v>66.900000000000006</v>
      </c>
      <c r="C694">
        <v>120410</v>
      </c>
      <c r="D694">
        <v>5.2</v>
      </c>
    </row>
    <row r="695" spans="1:4" x14ac:dyDescent="0.2">
      <c r="A695" s="64">
        <v>35339</v>
      </c>
      <c r="B695">
        <v>67</v>
      </c>
      <c r="C695">
        <v>120665</v>
      </c>
      <c r="D695">
        <v>5.2</v>
      </c>
    </row>
    <row r="696" spans="1:4" x14ac:dyDescent="0.2">
      <c r="A696" s="64">
        <v>35370</v>
      </c>
      <c r="B696">
        <v>67</v>
      </c>
      <c r="C696">
        <v>120961</v>
      </c>
      <c r="D696">
        <v>5.4</v>
      </c>
    </row>
    <row r="697" spans="1:4" x14ac:dyDescent="0.2">
      <c r="A697" s="64">
        <v>35400</v>
      </c>
      <c r="B697">
        <v>67</v>
      </c>
      <c r="C697">
        <v>121143</v>
      </c>
      <c r="D697">
        <v>5.4</v>
      </c>
    </row>
    <row r="698" spans="1:4" x14ac:dyDescent="0.2">
      <c r="A698" s="64">
        <v>35431</v>
      </c>
      <c r="B698">
        <v>67</v>
      </c>
      <c r="C698">
        <v>121363</v>
      </c>
      <c r="D698">
        <v>5.3</v>
      </c>
    </row>
    <row r="699" spans="1:4" x14ac:dyDescent="0.2">
      <c r="A699" s="64">
        <v>35462</v>
      </c>
      <c r="B699">
        <v>66.900000000000006</v>
      </c>
      <c r="C699">
        <v>121675</v>
      </c>
      <c r="D699">
        <v>5.2</v>
      </c>
    </row>
    <row r="700" spans="1:4" x14ac:dyDescent="0.2">
      <c r="A700" s="64">
        <v>35490</v>
      </c>
      <c r="B700">
        <v>67.099999999999994</v>
      </c>
      <c r="C700">
        <v>121990</v>
      </c>
      <c r="D700">
        <v>5.2</v>
      </c>
    </row>
    <row r="701" spans="1:4" x14ac:dyDescent="0.2">
      <c r="A701" s="64">
        <v>35521</v>
      </c>
      <c r="B701">
        <v>67.099999999999994</v>
      </c>
      <c r="C701">
        <v>122286</v>
      </c>
      <c r="D701">
        <v>5.0999999999999996</v>
      </c>
    </row>
    <row r="702" spans="1:4" x14ac:dyDescent="0.2">
      <c r="A702" s="64">
        <v>35551</v>
      </c>
      <c r="B702">
        <v>67.099999999999994</v>
      </c>
      <c r="C702">
        <v>122546</v>
      </c>
      <c r="D702">
        <v>4.9000000000000004</v>
      </c>
    </row>
    <row r="703" spans="1:4" x14ac:dyDescent="0.2">
      <c r="A703" s="64">
        <v>35582</v>
      </c>
      <c r="B703">
        <v>67.099999999999994</v>
      </c>
      <c r="C703">
        <v>122814</v>
      </c>
      <c r="D703">
        <v>5</v>
      </c>
    </row>
    <row r="704" spans="1:4" x14ac:dyDescent="0.2">
      <c r="A704" s="64">
        <v>35612</v>
      </c>
      <c r="B704">
        <v>67.2</v>
      </c>
      <c r="C704">
        <v>123111</v>
      </c>
      <c r="D704">
        <v>4.9000000000000004</v>
      </c>
    </row>
    <row r="705" spans="1:4" x14ac:dyDescent="0.2">
      <c r="A705" s="64">
        <v>35643</v>
      </c>
      <c r="B705">
        <v>67.2</v>
      </c>
      <c r="C705">
        <v>123093</v>
      </c>
      <c r="D705">
        <v>4.8</v>
      </c>
    </row>
    <row r="706" spans="1:4" x14ac:dyDescent="0.2">
      <c r="A706" s="64">
        <v>35674</v>
      </c>
      <c r="B706">
        <v>67.099999999999994</v>
      </c>
      <c r="C706">
        <v>123585</v>
      </c>
      <c r="D706">
        <v>4.9000000000000004</v>
      </c>
    </row>
    <row r="707" spans="1:4" x14ac:dyDescent="0.2">
      <c r="A707" s="64">
        <v>35704</v>
      </c>
      <c r="B707">
        <v>67.099999999999994</v>
      </c>
      <c r="C707">
        <v>123929</v>
      </c>
      <c r="D707">
        <v>4.7</v>
      </c>
    </row>
    <row r="708" spans="1:4" x14ac:dyDescent="0.2">
      <c r="A708" s="64">
        <v>35735</v>
      </c>
      <c r="B708">
        <v>67.2</v>
      </c>
      <c r="C708">
        <v>124235</v>
      </c>
      <c r="D708">
        <v>4.5999999999999996</v>
      </c>
    </row>
    <row r="709" spans="1:4" x14ac:dyDescent="0.2">
      <c r="A709" s="64">
        <v>35765</v>
      </c>
      <c r="B709">
        <v>67.2</v>
      </c>
      <c r="C709">
        <v>124549</v>
      </c>
      <c r="D709">
        <v>4.7</v>
      </c>
    </row>
    <row r="710" spans="1:4" x14ac:dyDescent="0.2">
      <c r="A710" s="64">
        <v>35796</v>
      </c>
      <c r="B710">
        <v>67.099999999999994</v>
      </c>
      <c r="C710">
        <v>124812</v>
      </c>
      <c r="D710">
        <v>4.5999999999999996</v>
      </c>
    </row>
    <row r="711" spans="1:4" x14ac:dyDescent="0.2">
      <c r="A711" s="64">
        <v>35827</v>
      </c>
      <c r="B711">
        <v>67.099999999999994</v>
      </c>
      <c r="C711">
        <v>125016</v>
      </c>
      <c r="D711">
        <v>4.5999999999999996</v>
      </c>
    </row>
    <row r="712" spans="1:4" x14ac:dyDescent="0.2">
      <c r="A712" s="64">
        <v>35855</v>
      </c>
      <c r="B712">
        <v>67.099999999999994</v>
      </c>
      <c r="C712">
        <v>125164</v>
      </c>
      <c r="D712">
        <v>4.7</v>
      </c>
    </row>
    <row r="713" spans="1:4" x14ac:dyDescent="0.2">
      <c r="A713" s="64">
        <v>35886</v>
      </c>
      <c r="B713">
        <v>67</v>
      </c>
      <c r="C713">
        <v>125442</v>
      </c>
      <c r="D713">
        <v>4.3</v>
      </c>
    </row>
    <row r="714" spans="1:4" x14ac:dyDescent="0.2">
      <c r="A714" s="64">
        <v>35916</v>
      </c>
      <c r="B714">
        <v>67</v>
      </c>
      <c r="C714">
        <v>125844</v>
      </c>
      <c r="D714">
        <v>4.4000000000000004</v>
      </c>
    </row>
    <row r="715" spans="1:4" x14ac:dyDescent="0.2">
      <c r="A715" s="64">
        <v>35947</v>
      </c>
      <c r="B715">
        <v>67</v>
      </c>
      <c r="C715">
        <v>126076</v>
      </c>
      <c r="D715">
        <v>4.5</v>
      </c>
    </row>
    <row r="716" spans="1:4" x14ac:dyDescent="0.2">
      <c r="A716" s="64">
        <v>35977</v>
      </c>
      <c r="B716">
        <v>67</v>
      </c>
      <c r="C716">
        <v>126205</v>
      </c>
      <c r="D716">
        <v>4.5</v>
      </c>
    </row>
    <row r="717" spans="1:4" x14ac:dyDescent="0.2">
      <c r="A717" s="64">
        <v>36008</v>
      </c>
      <c r="B717">
        <v>67</v>
      </c>
      <c r="C717">
        <v>126544</v>
      </c>
      <c r="D717">
        <v>4.5</v>
      </c>
    </row>
    <row r="718" spans="1:4" x14ac:dyDescent="0.2">
      <c r="A718" s="64">
        <v>36039</v>
      </c>
      <c r="B718">
        <v>67.2</v>
      </c>
      <c r="C718">
        <v>126752</v>
      </c>
      <c r="D718">
        <v>4.5999999999999996</v>
      </c>
    </row>
    <row r="719" spans="1:4" x14ac:dyDescent="0.2">
      <c r="A719" s="64">
        <v>36069</v>
      </c>
      <c r="B719">
        <v>67.2</v>
      </c>
      <c r="C719">
        <v>126954</v>
      </c>
      <c r="D719">
        <v>4.5</v>
      </c>
    </row>
    <row r="720" spans="1:4" x14ac:dyDescent="0.2">
      <c r="A720" s="64">
        <v>36100</v>
      </c>
      <c r="B720">
        <v>67.099999999999994</v>
      </c>
      <c r="C720">
        <v>127231</v>
      </c>
      <c r="D720">
        <v>4.4000000000000004</v>
      </c>
    </row>
    <row r="721" spans="1:4" x14ac:dyDescent="0.2">
      <c r="A721" s="64">
        <v>36130</v>
      </c>
      <c r="B721">
        <v>67.2</v>
      </c>
      <c r="C721">
        <v>127596</v>
      </c>
      <c r="D721">
        <v>4.4000000000000004</v>
      </c>
    </row>
    <row r="722" spans="1:4" x14ac:dyDescent="0.2">
      <c r="A722" s="64">
        <v>36161</v>
      </c>
      <c r="B722">
        <v>67.2</v>
      </c>
      <c r="C722">
        <v>127702</v>
      </c>
      <c r="D722">
        <v>4.3</v>
      </c>
    </row>
    <row r="723" spans="1:4" x14ac:dyDescent="0.2">
      <c r="A723" s="64">
        <v>36192</v>
      </c>
      <c r="B723">
        <v>67.2</v>
      </c>
      <c r="C723">
        <v>128120</v>
      </c>
      <c r="D723">
        <v>4.4000000000000004</v>
      </c>
    </row>
    <row r="724" spans="1:4" x14ac:dyDescent="0.2">
      <c r="A724" s="64">
        <v>36220</v>
      </c>
      <c r="B724">
        <v>67</v>
      </c>
      <c r="C724">
        <v>128227</v>
      </c>
      <c r="D724">
        <v>4.2</v>
      </c>
    </row>
    <row r="725" spans="1:4" x14ac:dyDescent="0.2">
      <c r="A725" s="64">
        <v>36251</v>
      </c>
      <c r="B725">
        <v>67.099999999999994</v>
      </c>
      <c r="C725">
        <v>128597</v>
      </c>
      <c r="D725">
        <v>4.3</v>
      </c>
    </row>
    <row r="726" spans="1:4" x14ac:dyDescent="0.2">
      <c r="A726" s="64">
        <v>36281</v>
      </c>
      <c r="B726">
        <v>67.099999999999994</v>
      </c>
      <c r="C726">
        <v>128808</v>
      </c>
      <c r="D726">
        <v>4.2</v>
      </c>
    </row>
    <row r="727" spans="1:4" x14ac:dyDescent="0.2">
      <c r="A727" s="64">
        <v>36312</v>
      </c>
      <c r="B727">
        <v>67.099999999999994</v>
      </c>
      <c r="C727">
        <v>129089</v>
      </c>
      <c r="D727">
        <v>4.3</v>
      </c>
    </row>
    <row r="728" spans="1:4" x14ac:dyDescent="0.2">
      <c r="A728" s="64">
        <v>36342</v>
      </c>
      <c r="B728">
        <v>67.099999999999994</v>
      </c>
      <c r="C728">
        <v>129414</v>
      </c>
      <c r="D728">
        <v>4.3</v>
      </c>
    </row>
    <row r="729" spans="1:4" x14ac:dyDescent="0.2">
      <c r="A729" s="64">
        <v>36373</v>
      </c>
      <c r="B729">
        <v>67</v>
      </c>
      <c r="C729">
        <v>129569</v>
      </c>
      <c r="D729">
        <v>4.2</v>
      </c>
    </row>
    <row r="730" spans="1:4" x14ac:dyDescent="0.2">
      <c r="A730" s="64">
        <v>36404</v>
      </c>
      <c r="B730">
        <v>67</v>
      </c>
      <c r="C730">
        <v>129772</v>
      </c>
      <c r="D730">
        <v>4.2</v>
      </c>
    </row>
    <row r="731" spans="1:4" x14ac:dyDescent="0.2">
      <c r="A731" s="64">
        <v>36434</v>
      </c>
      <c r="B731">
        <v>67</v>
      </c>
      <c r="C731">
        <v>130177</v>
      </c>
      <c r="D731">
        <v>4.0999999999999996</v>
      </c>
    </row>
    <row r="732" spans="1:4" x14ac:dyDescent="0.2">
      <c r="A732" s="64">
        <v>36465</v>
      </c>
      <c r="B732">
        <v>67.099999999999994</v>
      </c>
      <c r="C732">
        <v>130466</v>
      </c>
      <c r="D732">
        <v>4.0999999999999996</v>
      </c>
    </row>
    <row r="733" spans="1:4" x14ac:dyDescent="0.2">
      <c r="A733" s="64">
        <v>36495</v>
      </c>
      <c r="B733">
        <v>67.099999999999994</v>
      </c>
      <c r="C733">
        <v>130772</v>
      </c>
      <c r="D733">
        <v>4</v>
      </c>
    </row>
    <row r="734" spans="1:4" x14ac:dyDescent="0.2">
      <c r="A734" s="64">
        <v>36526</v>
      </c>
      <c r="B734">
        <v>67.3</v>
      </c>
      <c r="C734">
        <v>131005</v>
      </c>
      <c r="D734">
        <v>4</v>
      </c>
    </row>
    <row r="735" spans="1:4" x14ac:dyDescent="0.2">
      <c r="A735" s="64">
        <v>36557</v>
      </c>
      <c r="B735">
        <v>67.3</v>
      </c>
      <c r="C735">
        <v>131124</v>
      </c>
      <c r="D735">
        <v>4.0999999999999996</v>
      </c>
    </row>
    <row r="736" spans="1:4" x14ac:dyDescent="0.2">
      <c r="A736" s="64">
        <v>36586</v>
      </c>
      <c r="B736">
        <v>67.3</v>
      </c>
      <c r="C736">
        <v>131596</v>
      </c>
      <c r="D736">
        <v>4</v>
      </c>
    </row>
    <row r="737" spans="1:4" x14ac:dyDescent="0.2">
      <c r="A737" s="64">
        <v>36617</v>
      </c>
      <c r="B737">
        <v>67.3</v>
      </c>
      <c r="C737">
        <v>131888</v>
      </c>
      <c r="D737">
        <v>3.8</v>
      </c>
    </row>
    <row r="738" spans="1:4" x14ac:dyDescent="0.2">
      <c r="A738" s="64">
        <v>36647</v>
      </c>
      <c r="B738">
        <v>67.099999999999994</v>
      </c>
      <c r="C738">
        <v>132105</v>
      </c>
      <c r="D738">
        <v>4</v>
      </c>
    </row>
    <row r="739" spans="1:4" x14ac:dyDescent="0.2">
      <c r="A739" s="64">
        <v>36678</v>
      </c>
      <c r="B739">
        <v>67.099999999999994</v>
      </c>
      <c r="C739">
        <v>132061</v>
      </c>
      <c r="D739">
        <v>4</v>
      </c>
    </row>
    <row r="740" spans="1:4" x14ac:dyDescent="0.2">
      <c r="A740" s="64">
        <v>36708</v>
      </c>
      <c r="B740">
        <v>66.900000000000006</v>
      </c>
      <c r="C740">
        <v>132236</v>
      </c>
      <c r="D740">
        <v>4</v>
      </c>
    </row>
    <row r="741" spans="1:4" x14ac:dyDescent="0.2">
      <c r="A741" s="64">
        <v>36739</v>
      </c>
      <c r="B741">
        <v>66.900000000000006</v>
      </c>
      <c r="C741">
        <v>132230</v>
      </c>
      <c r="D741">
        <v>4.0999999999999996</v>
      </c>
    </row>
    <row r="742" spans="1:4" x14ac:dyDescent="0.2">
      <c r="A742" s="64">
        <v>36770</v>
      </c>
      <c r="B742">
        <v>66.900000000000006</v>
      </c>
      <c r="C742">
        <v>132353</v>
      </c>
      <c r="D742">
        <v>3.9</v>
      </c>
    </row>
    <row r="743" spans="1:4" x14ac:dyDescent="0.2">
      <c r="A743" s="64">
        <v>36800</v>
      </c>
      <c r="B743">
        <v>66.8</v>
      </c>
      <c r="C743">
        <v>132351</v>
      </c>
      <c r="D743">
        <v>3.9</v>
      </c>
    </row>
    <row r="744" spans="1:4" x14ac:dyDescent="0.2">
      <c r="A744" s="64">
        <v>36831</v>
      </c>
      <c r="B744">
        <v>66.900000000000006</v>
      </c>
      <c r="C744">
        <v>132556</v>
      </c>
      <c r="D744">
        <v>3.9</v>
      </c>
    </row>
    <row r="745" spans="1:4" x14ac:dyDescent="0.2">
      <c r="A745" s="64">
        <v>36861</v>
      </c>
      <c r="B745">
        <v>67</v>
      </c>
      <c r="C745">
        <v>132709</v>
      </c>
      <c r="D745">
        <v>3.9</v>
      </c>
    </row>
    <row r="746" spans="1:4" x14ac:dyDescent="0.2">
      <c r="A746" s="64">
        <v>36892</v>
      </c>
      <c r="B746">
        <v>67.2</v>
      </c>
      <c r="C746">
        <v>132698</v>
      </c>
      <c r="D746">
        <v>4.2</v>
      </c>
    </row>
    <row r="747" spans="1:4" x14ac:dyDescent="0.2">
      <c r="A747" s="64">
        <v>36923</v>
      </c>
      <c r="B747">
        <v>67.099999999999994</v>
      </c>
      <c r="C747">
        <v>132789</v>
      </c>
      <c r="D747">
        <v>4.2</v>
      </c>
    </row>
    <row r="748" spans="1:4" x14ac:dyDescent="0.2">
      <c r="A748" s="64">
        <v>36951</v>
      </c>
      <c r="B748">
        <v>67.2</v>
      </c>
      <c r="C748">
        <v>132747</v>
      </c>
      <c r="D748">
        <v>4.3</v>
      </c>
    </row>
    <row r="749" spans="1:4" x14ac:dyDescent="0.2">
      <c r="A749" s="64">
        <v>36982</v>
      </c>
      <c r="B749">
        <v>66.900000000000006</v>
      </c>
      <c r="C749">
        <v>132463</v>
      </c>
      <c r="D749">
        <v>4.4000000000000004</v>
      </c>
    </row>
    <row r="750" spans="1:4" x14ac:dyDescent="0.2">
      <c r="A750" s="64">
        <v>37012</v>
      </c>
      <c r="B750">
        <v>66.7</v>
      </c>
      <c r="C750">
        <v>132410</v>
      </c>
      <c r="D750">
        <v>4.3</v>
      </c>
    </row>
    <row r="751" spans="1:4" x14ac:dyDescent="0.2">
      <c r="A751" s="64">
        <v>37043</v>
      </c>
      <c r="B751">
        <v>66.7</v>
      </c>
      <c r="C751">
        <v>132299</v>
      </c>
      <c r="D751">
        <v>4.5</v>
      </c>
    </row>
    <row r="752" spans="1:4" x14ac:dyDescent="0.2">
      <c r="A752" s="64">
        <v>37073</v>
      </c>
      <c r="B752">
        <v>66.8</v>
      </c>
      <c r="C752">
        <v>132177</v>
      </c>
      <c r="D752">
        <v>4.5999999999999996</v>
      </c>
    </row>
    <row r="753" spans="1:4" x14ac:dyDescent="0.2">
      <c r="A753" s="64">
        <v>37104</v>
      </c>
      <c r="B753">
        <v>66.5</v>
      </c>
      <c r="C753">
        <v>132028</v>
      </c>
      <c r="D753">
        <v>4.9000000000000004</v>
      </c>
    </row>
    <row r="754" spans="1:4" x14ac:dyDescent="0.2">
      <c r="A754" s="64">
        <v>37135</v>
      </c>
      <c r="B754">
        <v>66.8</v>
      </c>
      <c r="C754">
        <v>131771</v>
      </c>
      <c r="D754">
        <v>5</v>
      </c>
    </row>
    <row r="755" spans="1:4" x14ac:dyDescent="0.2">
      <c r="A755" s="64">
        <v>37165</v>
      </c>
      <c r="B755">
        <v>66.7</v>
      </c>
      <c r="C755">
        <v>131454</v>
      </c>
      <c r="D755">
        <v>5.3</v>
      </c>
    </row>
    <row r="756" spans="1:4" x14ac:dyDescent="0.2">
      <c r="A756" s="64">
        <v>37196</v>
      </c>
      <c r="B756">
        <v>66.7</v>
      </c>
      <c r="C756">
        <v>131142</v>
      </c>
      <c r="D756">
        <v>5.5</v>
      </c>
    </row>
    <row r="757" spans="1:4" x14ac:dyDescent="0.2">
      <c r="A757" s="64">
        <v>37226</v>
      </c>
      <c r="B757">
        <v>66.7</v>
      </c>
      <c r="C757">
        <v>130982</v>
      </c>
      <c r="D757">
        <v>5.7</v>
      </c>
    </row>
    <row r="758" spans="1:4" x14ac:dyDescent="0.2">
      <c r="A758" s="64">
        <v>37257</v>
      </c>
      <c r="B758">
        <v>66.5</v>
      </c>
      <c r="C758">
        <v>130852</v>
      </c>
      <c r="D758">
        <v>5.7</v>
      </c>
    </row>
    <row r="759" spans="1:4" x14ac:dyDescent="0.2">
      <c r="A759" s="64">
        <v>37288</v>
      </c>
      <c r="B759">
        <v>66.8</v>
      </c>
      <c r="C759">
        <v>130736</v>
      </c>
      <c r="D759">
        <v>5.7</v>
      </c>
    </row>
    <row r="760" spans="1:4" x14ac:dyDescent="0.2">
      <c r="A760" s="64">
        <v>37316</v>
      </c>
      <c r="B760">
        <v>66.599999999999994</v>
      </c>
      <c r="C760">
        <v>130717</v>
      </c>
      <c r="D760">
        <v>5.7</v>
      </c>
    </row>
    <row r="761" spans="1:4" x14ac:dyDescent="0.2">
      <c r="A761" s="64">
        <v>37347</v>
      </c>
      <c r="B761">
        <v>66.7</v>
      </c>
      <c r="C761">
        <v>130623</v>
      </c>
      <c r="D761">
        <v>5.9</v>
      </c>
    </row>
    <row r="762" spans="1:4" x14ac:dyDescent="0.2">
      <c r="A762" s="64">
        <v>37377</v>
      </c>
      <c r="B762">
        <v>66.7</v>
      </c>
      <c r="C762">
        <v>130634</v>
      </c>
      <c r="D762">
        <v>5.8</v>
      </c>
    </row>
    <row r="763" spans="1:4" x14ac:dyDescent="0.2">
      <c r="A763" s="64">
        <v>37408</v>
      </c>
      <c r="B763">
        <v>66.599999999999994</v>
      </c>
      <c r="C763">
        <v>130684</v>
      </c>
      <c r="D763">
        <v>5.8</v>
      </c>
    </row>
    <row r="764" spans="1:4" x14ac:dyDescent="0.2">
      <c r="A764" s="64">
        <v>37438</v>
      </c>
      <c r="B764">
        <v>66.5</v>
      </c>
      <c r="C764">
        <v>130590</v>
      </c>
      <c r="D764">
        <v>5.8</v>
      </c>
    </row>
    <row r="765" spans="1:4" x14ac:dyDescent="0.2">
      <c r="A765" s="64">
        <v>37469</v>
      </c>
      <c r="B765">
        <v>66.599999999999994</v>
      </c>
      <c r="C765">
        <v>130587</v>
      </c>
      <c r="D765">
        <v>5.7</v>
      </c>
    </row>
    <row r="766" spans="1:4" x14ac:dyDescent="0.2">
      <c r="A766" s="64">
        <v>37500</v>
      </c>
      <c r="B766">
        <v>66.7</v>
      </c>
      <c r="C766">
        <v>130501</v>
      </c>
      <c r="D766">
        <v>5.7</v>
      </c>
    </row>
    <row r="767" spans="1:4" x14ac:dyDescent="0.2">
      <c r="A767" s="64">
        <v>37530</v>
      </c>
      <c r="B767">
        <v>66.599999999999994</v>
      </c>
      <c r="C767">
        <v>130628</v>
      </c>
      <c r="D767">
        <v>5.7</v>
      </c>
    </row>
    <row r="768" spans="1:4" x14ac:dyDescent="0.2">
      <c r="A768" s="64">
        <v>37561</v>
      </c>
      <c r="B768">
        <v>66.400000000000006</v>
      </c>
      <c r="C768">
        <v>130615</v>
      </c>
      <c r="D768">
        <v>5.9</v>
      </c>
    </row>
    <row r="769" spans="1:4" x14ac:dyDescent="0.2">
      <c r="A769" s="64">
        <v>37591</v>
      </c>
      <c r="B769">
        <v>66.3</v>
      </c>
      <c r="C769">
        <v>130472</v>
      </c>
      <c r="D769">
        <v>6</v>
      </c>
    </row>
    <row r="770" spans="1:4" x14ac:dyDescent="0.2">
      <c r="A770" s="64">
        <v>37622</v>
      </c>
      <c r="B770">
        <v>66.400000000000006</v>
      </c>
      <c r="C770">
        <v>130580</v>
      </c>
      <c r="D770">
        <v>5.8</v>
      </c>
    </row>
    <row r="771" spans="1:4" x14ac:dyDescent="0.2">
      <c r="A771" s="64">
        <v>37653</v>
      </c>
      <c r="B771">
        <v>66.400000000000006</v>
      </c>
      <c r="C771">
        <v>130444</v>
      </c>
      <c r="D771">
        <v>5.9</v>
      </c>
    </row>
    <row r="772" spans="1:4" x14ac:dyDescent="0.2">
      <c r="A772" s="64">
        <v>37681</v>
      </c>
      <c r="B772">
        <v>66.3</v>
      </c>
      <c r="C772">
        <v>130232</v>
      </c>
      <c r="D772">
        <v>5.9</v>
      </c>
    </row>
    <row r="773" spans="1:4" x14ac:dyDescent="0.2">
      <c r="A773" s="64">
        <v>37712</v>
      </c>
      <c r="B773">
        <v>66.400000000000006</v>
      </c>
      <c r="C773">
        <v>130177</v>
      </c>
      <c r="D773">
        <v>6</v>
      </c>
    </row>
    <row r="774" spans="1:4" x14ac:dyDescent="0.2">
      <c r="A774" s="64">
        <v>37742</v>
      </c>
      <c r="B774">
        <v>66.400000000000006</v>
      </c>
      <c r="C774">
        <v>130196</v>
      </c>
      <c r="D774">
        <v>6.1</v>
      </c>
    </row>
    <row r="775" spans="1:4" x14ac:dyDescent="0.2">
      <c r="A775" s="64">
        <v>37773</v>
      </c>
      <c r="B775">
        <v>66.5</v>
      </c>
      <c r="C775">
        <v>130194</v>
      </c>
      <c r="D775">
        <v>6.3</v>
      </c>
    </row>
    <row r="776" spans="1:4" x14ac:dyDescent="0.2">
      <c r="A776" s="64">
        <v>37803</v>
      </c>
      <c r="B776">
        <v>66.2</v>
      </c>
      <c r="C776">
        <v>130191</v>
      </c>
      <c r="D776">
        <v>6.2</v>
      </c>
    </row>
    <row r="777" spans="1:4" x14ac:dyDescent="0.2">
      <c r="A777" s="64">
        <v>37834</v>
      </c>
      <c r="B777">
        <v>66.099999999999994</v>
      </c>
      <c r="C777">
        <v>130149</v>
      </c>
      <c r="D777">
        <v>6.1</v>
      </c>
    </row>
    <row r="778" spans="1:4" x14ac:dyDescent="0.2">
      <c r="A778" s="64">
        <v>37865</v>
      </c>
      <c r="B778">
        <v>66.099999999999994</v>
      </c>
      <c r="C778">
        <v>130254</v>
      </c>
      <c r="D778">
        <v>6.1</v>
      </c>
    </row>
    <row r="779" spans="1:4" x14ac:dyDescent="0.2">
      <c r="A779" s="64">
        <v>37895</v>
      </c>
      <c r="B779">
        <v>66.099999999999994</v>
      </c>
      <c r="C779">
        <v>130454</v>
      </c>
      <c r="D779">
        <v>6</v>
      </c>
    </row>
    <row r="780" spans="1:4" x14ac:dyDescent="0.2">
      <c r="A780" s="64">
        <v>37926</v>
      </c>
      <c r="B780">
        <v>66.099999999999994</v>
      </c>
      <c r="C780">
        <v>130474</v>
      </c>
      <c r="D780">
        <v>5.8</v>
      </c>
    </row>
    <row r="781" spans="1:4" x14ac:dyDescent="0.2">
      <c r="A781" s="64">
        <v>37956</v>
      </c>
      <c r="B781">
        <v>65.900000000000006</v>
      </c>
      <c r="C781">
        <v>130588</v>
      </c>
      <c r="D781">
        <v>5.7</v>
      </c>
    </row>
    <row r="782" spans="1:4" x14ac:dyDescent="0.2">
      <c r="A782" s="64">
        <v>37987</v>
      </c>
      <c r="B782">
        <v>66.099999999999994</v>
      </c>
      <c r="C782">
        <v>130769</v>
      </c>
      <c r="D782">
        <v>5.7</v>
      </c>
    </row>
    <row r="783" spans="1:4" x14ac:dyDescent="0.2">
      <c r="A783" s="64">
        <v>38018</v>
      </c>
      <c r="B783">
        <v>66</v>
      </c>
      <c r="C783">
        <v>130825</v>
      </c>
      <c r="D783">
        <v>5.6</v>
      </c>
    </row>
    <row r="784" spans="1:4" x14ac:dyDescent="0.2">
      <c r="A784" s="64">
        <v>38047</v>
      </c>
      <c r="B784">
        <v>66</v>
      </c>
      <c r="C784">
        <v>131142</v>
      </c>
      <c r="D784">
        <v>5.8</v>
      </c>
    </row>
    <row r="785" spans="1:4" x14ac:dyDescent="0.2">
      <c r="A785" s="64">
        <v>38078</v>
      </c>
      <c r="B785">
        <v>65.900000000000006</v>
      </c>
      <c r="C785">
        <v>131411</v>
      </c>
      <c r="D785">
        <v>5.6</v>
      </c>
    </row>
    <row r="786" spans="1:4" x14ac:dyDescent="0.2">
      <c r="A786" s="64">
        <v>38108</v>
      </c>
      <c r="B786">
        <v>66</v>
      </c>
      <c r="C786">
        <v>131694</v>
      </c>
      <c r="D786">
        <v>5.6</v>
      </c>
    </row>
    <row r="787" spans="1:4" x14ac:dyDescent="0.2">
      <c r="A787" s="64">
        <v>38139</v>
      </c>
      <c r="B787">
        <v>66.099999999999994</v>
      </c>
      <c r="C787">
        <v>131793</v>
      </c>
      <c r="D787">
        <v>5.6</v>
      </c>
    </row>
    <row r="788" spans="1:4" x14ac:dyDescent="0.2">
      <c r="A788" s="64">
        <v>38169</v>
      </c>
      <c r="B788">
        <v>66.099999999999994</v>
      </c>
      <c r="C788">
        <v>131848</v>
      </c>
      <c r="D788">
        <v>5.5</v>
      </c>
    </row>
    <row r="789" spans="1:4" x14ac:dyDescent="0.2">
      <c r="A789" s="64">
        <v>38200</v>
      </c>
      <c r="B789">
        <v>66</v>
      </c>
      <c r="C789">
        <v>131937</v>
      </c>
      <c r="D789">
        <v>5.4</v>
      </c>
    </row>
    <row r="790" spans="1:4" x14ac:dyDescent="0.2">
      <c r="A790" s="64">
        <v>38231</v>
      </c>
      <c r="B790">
        <v>65.8</v>
      </c>
      <c r="C790">
        <v>132093</v>
      </c>
      <c r="D790">
        <v>5.4</v>
      </c>
    </row>
    <row r="791" spans="1:4" x14ac:dyDescent="0.2">
      <c r="A791" s="64">
        <v>38261</v>
      </c>
      <c r="B791">
        <v>65.900000000000006</v>
      </c>
      <c r="C791">
        <v>132447</v>
      </c>
      <c r="D791">
        <v>5.5</v>
      </c>
    </row>
    <row r="792" spans="1:4" x14ac:dyDescent="0.2">
      <c r="A792" s="64">
        <v>38292</v>
      </c>
      <c r="B792">
        <v>66</v>
      </c>
      <c r="C792">
        <v>132503</v>
      </c>
      <c r="D792">
        <v>5.4</v>
      </c>
    </row>
    <row r="793" spans="1:4" x14ac:dyDescent="0.2">
      <c r="A793" s="64">
        <v>38322</v>
      </c>
      <c r="B793">
        <v>65.900000000000006</v>
      </c>
      <c r="C793">
        <v>132624</v>
      </c>
      <c r="D793">
        <v>5.4</v>
      </c>
    </row>
    <row r="794" spans="1:4" x14ac:dyDescent="0.2">
      <c r="A794" s="64">
        <v>38353</v>
      </c>
      <c r="B794">
        <v>65.8</v>
      </c>
      <c r="C794">
        <v>132774</v>
      </c>
      <c r="D794">
        <v>5.3</v>
      </c>
    </row>
    <row r="795" spans="1:4" x14ac:dyDescent="0.2">
      <c r="A795" s="64">
        <v>38384</v>
      </c>
      <c r="B795">
        <v>65.900000000000006</v>
      </c>
      <c r="C795">
        <v>133032</v>
      </c>
      <c r="D795">
        <v>5.4</v>
      </c>
    </row>
    <row r="796" spans="1:4" x14ac:dyDescent="0.2">
      <c r="A796" s="64">
        <v>38412</v>
      </c>
      <c r="B796">
        <v>65.900000000000006</v>
      </c>
      <c r="C796">
        <v>133156</v>
      </c>
      <c r="D796">
        <v>5.2</v>
      </c>
    </row>
    <row r="797" spans="1:4" x14ac:dyDescent="0.2">
      <c r="A797" s="64">
        <v>38443</v>
      </c>
      <c r="B797">
        <v>66.099999999999994</v>
      </c>
      <c r="C797">
        <v>133518</v>
      </c>
      <c r="D797">
        <v>5.2</v>
      </c>
    </row>
    <row r="798" spans="1:4" x14ac:dyDescent="0.2">
      <c r="A798" s="64">
        <v>38473</v>
      </c>
      <c r="B798">
        <v>66.099999999999994</v>
      </c>
      <c r="C798">
        <v>133690</v>
      </c>
      <c r="D798">
        <v>5.0999999999999996</v>
      </c>
    </row>
    <row r="799" spans="1:4" x14ac:dyDescent="0.2">
      <c r="A799" s="64">
        <v>38504</v>
      </c>
      <c r="B799">
        <v>66.099999999999994</v>
      </c>
      <c r="C799">
        <v>133942</v>
      </c>
      <c r="D799">
        <v>5</v>
      </c>
    </row>
    <row r="800" spans="1:4" x14ac:dyDescent="0.2">
      <c r="A800" s="64">
        <v>38534</v>
      </c>
      <c r="B800">
        <v>66.099999999999994</v>
      </c>
      <c r="C800">
        <v>134296</v>
      </c>
      <c r="D800">
        <v>5</v>
      </c>
    </row>
    <row r="801" spans="1:4" x14ac:dyDescent="0.2">
      <c r="A801" s="64">
        <v>38565</v>
      </c>
      <c r="B801">
        <v>66.2</v>
      </c>
      <c r="C801">
        <v>134498</v>
      </c>
      <c r="D801">
        <v>4.9000000000000004</v>
      </c>
    </row>
    <row r="802" spans="1:4" x14ac:dyDescent="0.2">
      <c r="A802" s="64">
        <v>38596</v>
      </c>
      <c r="B802">
        <v>66.099999999999994</v>
      </c>
      <c r="C802">
        <v>134566</v>
      </c>
      <c r="D802">
        <v>5</v>
      </c>
    </row>
    <row r="803" spans="1:4" x14ac:dyDescent="0.2">
      <c r="A803" s="64">
        <v>38626</v>
      </c>
      <c r="B803">
        <v>66.099999999999994</v>
      </c>
      <c r="C803">
        <v>134655</v>
      </c>
      <c r="D803">
        <v>5</v>
      </c>
    </row>
    <row r="804" spans="1:4" x14ac:dyDescent="0.2">
      <c r="A804" s="64">
        <v>38657</v>
      </c>
      <c r="B804">
        <v>66</v>
      </c>
      <c r="C804">
        <v>134993</v>
      </c>
      <c r="D804">
        <v>5</v>
      </c>
    </row>
    <row r="805" spans="1:4" x14ac:dyDescent="0.2">
      <c r="A805" s="64">
        <v>38687</v>
      </c>
      <c r="B805">
        <v>66</v>
      </c>
      <c r="C805">
        <v>135149</v>
      </c>
      <c r="D805">
        <v>4.9000000000000004</v>
      </c>
    </row>
    <row r="806" spans="1:4" x14ac:dyDescent="0.2">
      <c r="A806" s="64">
        <v>38718</v>
      </c>
      <c r="B806">
        <v>66</v>
      </c>
      <c r="C806">
        <v>135429</v>
      </c>
      <c r="D806">
        <v>4.7</v>
      </c>
    </row>
    <row r="807" spans="1:4" x14ac:dyDescent="0.2">
      <c r="A807" s="64">
        <v>38749</v>
      </c>
      <c r="B807">
        <v>66.099999999999994</v>
      </c>
      <c r="C807">
        <v>135737</v>
      </c>
      <c r="D807">
        <v>4.8</v>
      </c>
    </row>
    <row r="808" spans="1:4" x14ac:dyDescent="0.2">
      <c r="A808" s="64">
        <v>38777</v>
      </c>
      <c r="B808">
        <v>66.2</v>
      </c>
      <c r="C808">
        <v>136047</v>
      </c>
      <c r="D808">
        <v>4.7</v>
      </c>
    </row>
    <row r="809" spans="1:4" x14ac:dyDescent="0.2">
      <c r="A809" s="64">
        <v>38808</v>
      </c>
      <c r="B809">
        <v>66.099999999999994</v>
      </c>
      <c r="C809">
        <v>136205</v>
      </c>
      <c r="D809">
        <v>4.7</v>
      </c>
    </row>
    <row r="810" spans="1:4" x14ac:dyDescent="0.2">
      <c r="A810" s="64">
        <v>38838</v>
      </c>
      <c r="B810">
        <v>66.099999999999994</v>
      </c>
      <c r="C810">
        <v>136244</v>
      </c>
      <c r="D810">
        <v>4.5999999999999996</v>
      </c>
    </row>
    <row r="811" spans="1:4" x14ac:dyDescent="0.2">
      <c r="A811" s="64">
        <v>38869</v>
      </c>
      <c r="B811">
        <v>66.2</v>
      </c>
      <c r="C811">
        <v>136325</v>
      </c>
      <c r="D811">
        <v>4.5999999999999996</v>
      </c>
    </row>
    <row r="812" spans="1:4" x14ac:dyDescent="0.2">
      <c r="A812" s="64">
        <v>38899</v>
      </c>
      <c r="B812">
        <v>66.099999999999994</v>
      </c>
      <c r="C812">
        <v>136520</v>
      </c>
      <c r="D812">
        <v>4.7</v>
      </c>
    </row>
    <row r="813" spans="1:4" x14ac:dyDescent="0.2">
      <c r="A813" s="64">
        <v>38930</v>
      </c>
      <c r="B813">
        <v>66.2</v>
      </c>
      <c r="C813">
        <v>136694</v>
      </c>
      <c r="D813">
        <v>4.7</v>
      </c>
    </row>
    <row r="814" spans="1:4" x14ac:dyDescent="0.2">
      <c r="A814" s="64">
        <v>38961</v>
      </c>
      <c r="B814">
        <v>66.099999999999994</v>
      </c>
      <c r="C814">
        <v>136843</v>
      </c>
      <c r="D814">
        <v>4.5</v>
      </c>
    </row>
    <row r="815" spans="1:4" x14ac:dyDescent="0.2">
      <c r="A815" s="64">
        <v>38991</v>
      </c>
      <c r="B815">
        <v>66.2</v>
      </c>
      <c r="C815">
        <v>136852</v>
      </c>
      <c r="D815">
        <v>4.4000000000000004</v>
      </c>
    </row>
    <row r="816" spans="1:4" x14ac:dyDescent="0.2">
      <c r="A816" s="64">
        <v>39022</v>
      </c>
      <c r="B816">
        <v>66.3</v>
      </c>
      <c r="C816">
        <v>137063</v>
      </c>
      <c r="D816">
        <v>4.5</v>
      </c>
    </row>
    <row r="817" spans="1:4" x14ac:dyDescent="0.2">
      <c r="A817" s="64">
        <v>39052</v>
      </c>
      <c r="B817">
        <v>66.400000000000006</v>
      </c>
      <c r="C817">
        <v>137249</v>
      </c>
      <c r="D817">
        <v>4.4000000000000004</v>
      </c>
    </row>
    <row r="818" spans="1:4" x14ac:dyDescent="0.2">
      <c r="A818" s="64">
        <v>39083</v>
      </c>
      <c r="B818">
        <v>66.400000000000006</v>
      </c>
      <c r="C818">
        <v>137477</v>
      </c>
      <c r="D818">
        <v>4.5999999999999996</v>
      </c>
    </row>
    <row r="819" spans="1:4" x14ac:dyDescent="0.2">
      <c r="A819" s="64">
        <v>39114</v>
      </c>
      <c r="B819">
        <v>66.3</v>
      </c>
      <c r="C819">
        <v>137558</v>
      </c>
      <c r="D819">
        <v>4.5</v>
      </c>
    </row>
    <row r="820" spans="1:4" x14ac:dyDescent="0.2">
      <c r="A820" s="64">
        <v>39142</v>
      </c>
      <c r="B820">
        <v>66.2</v>
      </c>
      <c r="C820">
        <v>137793</v>
      </c>
      <c r="D820">
        <v>4.4000000000000004</v>
      </c>
    </row>
    <row r="821" spans="1:4" x14ac:dyDescent="0.2">
      <c r="A821" s="64">
        <v>39173</v>
      </c>
      <c r="B821">
        <v>65.900000000000006</v>
      </c>
      <c r="C821">
        <v>137842</v>
      </c>
      <c r="D821">
        <v>4.5</v>
      </c>
    </row>
    <row r="822" spans="1:4" x14ac:dyDescent="0.2">
      <c r="A822" s="64">
        <v>39203</v>
      </c>
      <c r="B822">
        <v>66</v>
      </c>
      <c r="C822">
        <v>137993</v>
      </c>
      <c r="D822">
        <v>4.4000000000000004</v>
      </c>
    </row>
    <row r="823" spans="1:4" x14ac:dyDescent="0.2">
      <c r="A823" s="64">
        <v>39234</v>
      </c>
      <c r="B823">
        <v>66</v>
      </c>
      <c r="C823">
        <v>138069</v>
      </c>
      <c r="D823">
        <v>4.5999999999999996</v>
      </c>
    </row>
    <row r="824" spans="1:4" x14ac:dyDescent="0.2">
      <c r="A824" s="64">
        <v>39264</v>
      </c>
      <c r="B824">
        <v>66</v>
      </c>
      <c r="C824">
        <v>138038</v>
      </c>
      <c r="D824">
        <v>4.7</v>
      </c>
    </row>
    <row r="825" spans="1:4" x14ac:dyDescent="0.2">
      <c r="A825" s="64">
        <v>39295</v>
      </c>
      <c r="B825">
        <v>65.8</v>
      </c>
      <c r="C825">
        <v>138015</v>
      </c>
      <c r="D825">
        <v>4.5999999999999996</v>
      </c>
    </row>
    <row r="826" spans="1:4" x14ac:dyDescent="0.2">
      <c r="A826" s="64">
        <v>39326</v>
      </c>
      <c r="B826">
        <v>66</v>
      </c>
      <c r="C826">
        <v>138095</v>
      </c>
      <c r="D826">
        <v>4.7</v>
      </c>
    </row>
    <row r="827" spans="1:4" x14ac:dyDescent="0.2">
      <c r="A827" s="64">
        <v>39356</v>
      </c>
      <c r="B827">
        <v>65.8</v>
      </c>
      <c r="C827">
        <v>138174</v>
      </c>
      <c r="D827">
        <v>4.7</v>
      </c>
    </row>
    <row r="828" spans="1:4" x14ac:dyDescent="0.2">
      <c r="A828" s="64">
        <v>39387</v>
      </c>
      <c r="B828">
        <v>66</v>
      </c>
      <c r="C828">
        <v>138284</v>
      </c>
      <c r="D828">
        <v>4.7</v>
      </c>
    </row>
    <row r="829" spans="1:4" x14ac:dyDescent="0.2">
      <c r="A829" s="64">
        <v>39417</v>
      </c>
      <c r="B829">
        <v>66</v>
      </c>
      <c r="C829">
        <v>138392</v>
      </c>
      <c r="D829">
        <v>5</v>
      </c>
    </row>
    <row r="830" spans="1:4" x14ac:dyDescent="0.2">
      <c r="A830" s="64">
        <v>39448</v>
      </c>
      <c r="B830">
        <v>66.2</v>
      </c>
      <c r="C830">
        <v>138403</v>
      </c>
      <c r="D830">
        <v>5</v>
      </c>
    </row>
    <row r="831" spans="1:4" x14ac:dyDescent="0.2">
      <c r="A831" s="64">
        <v>39479</v>
      </c>
      <c r="B831">
        <v>66</v>
      </c>
      <c r="C831">
        <v>138324</v>
      </c>
      <c r="D831">
        <v>4.9000000000000004</v>
      </c>
    </row>
    <row r="832" spans="1:4" x14ac:dyDescent="0.2">
      <c r="A832" s="64">
        <v>39508</v>
      </c>
      <c r="B832">
        <v>66.099999999999994</v>
      </c>
      <c r="C832">
        <v>138275</v>
      </c>
      <c r="D832">
        <v>5.0999999999999996</v>
      </c>
    </row>
    <row r="833" spans="1:4" x14ac:dyDescent="0.2">
      <c r="A833" s="64">
        <v>39539</v>
      </c>
      <c r="B833">
        <v>65.900000000000006</v>
      </c>
      <c r="C833">
        <v>138035</v>
      </c>
      <c r="D833">
        <v>5</v>
      </c>
    </row>
    <row r="834" spans="1:4" x14ac:dyDescent="0.2">
      <c r="A834" s="64">
        <v>39569</v>
      </c>
      <c r="B834">
        <v>66.099999999999994</v>
      </c>
      <c r="C834">
        <v>137858</v>
      </c>
      <c r="D834">
        <v>5.4</v>
      </c>
    </row>
    <row r="835" spans="1:4" x14ac:dyDescent="0.2">
      <c r="A835" s="64">
        <v>39600</v>
      </c>
      <c r="B835">
        <v>66.099999999999994</v>
      </c>
      <c r="C835">
        <v>137687</v>
      </c>
      <c r="D835">
        <v>5.6</v>
      </c>
    </row>
    <row r="836" spans="1:4" x14ac:dyDescent="0.2">
      <c r="A836" s="64">
        <v>39630</v>
      </c>
      <c r="B836">
        <v>66.099999999999994</v>
      </c>
      <c r="C836">
        <v>137491</v>
      </c>
      <c r="D836">
        <v>5.8</v>
      </c>
    </row>
    <row r="837" spans="1:4" x14ac:dyDescent="0.2">
      <c r="A837" s="64">
        <v>39661</v>
      </c>
      <c r="B837">
        <v>66.099999999999994</v>
      </c>
      <c r="C837">
        <v>137213</v>
      </c>
      <c r="D837">
        <v>6.1</v>
      </c>
    </row>
    <row r="838" spans="1:4" x14ac:dyDescent="0.2">
      <c r="A838" s="64">
        <v>39692</v>
      </c>
      <c r="B838">
        <v>66</v>
      </c>
      <c r="C838">
        <v>136753</v>
      </c>
      <c r="D838">
        <v>6.1</v>
      </c>
    </row>
    <row r="839" spans="1:4" x14ac:dyDescent="0.2">
      <c r="A839" s="64">
        <v>39722</v>
      </c>
      <c r="B839">
        <v>66</v>
      </c>
      <c r="C839">
        <v>136272</v>
      </c>
      <c r="D839">
        <v>6.5</v>
      </c>
    </row>
    <row r="840" spans="1:4" x14ac:dyDescent="0.2">
      <c r="A840" s="64">
        <v>39753</v>
      </c>
      <c r="B840">
        <v>65.900000000000006</v>
      </c>
      <c r="C840">
        <v>135545</v>
      </c>
      <c r="D840">
        <v>6.8</v>
      </c>
    </row>
    <row r="841" spans="1:4" x14ac:dyDescent="0.2">
      <c r="A841" s="64">
        <v>39783</v>
      </c>
      <c r="B841">
        <v>65.8</v>
      </c>
      <c r="C841">
        <v>134839</v>
      </c>
      <c r="D841">
        <v>7.3</v>
      </c>
    </row>
    <row r="842" spans="1:4" x14ac:dyDescent="0.2">
      <c r="A842" s="64">
        <v>39814</v>
      </c>
      <c r="B842">
        <v>65.7</v>
      </c>
      <c r="C842">
        <v>134055</v>
      </c>
      <c r="D842">
        <v>7.8</v>
      </c>
    </row>
    <row r="843" spans="1:4" x14ac:dyDescent="0.2">
      <c r="A843" s="64">
        <v>39845</v>
      </c>
      <c r="B843">
        <v>65.8</v>
      </c>
      <c r="C843">
        <v>133312</v>
      </c>
      <c r="D843">
        <v>8.3000000000000007</v>
      </c>
    </row>
    <row r="844" spans="1:4" x14ac:dyDescent="0.2">
      <c r="A844" s="64">
        <v>39873</v>
      </c>
      <c r="B844">
        <v>65.599999999999994</v>
      </c>
      <c r="C844">
        <v>132512</v>
      </c>
      <c r="D844">
        <v>8.6999999999999993</v>
      </c>
    </row>
    <row r="845" spans="1:4" x14ac:dyDescent="0.2">
      <c r="A845" s="64">
        <v>39904</v>
      </c>
      <c r="B845">
        <v>65.7</v>
      </c>
      <c r="C845">
        <v>131817</v>
      </c>
      <c r="D845">
        <v>9</v>
      </c>
    </row>
    <row r="846" spans="1:4" x14ac:dyDescent="0.2">
      <c r="A846" s="64">
        <v>39934</v>
      </c>
      <c r="B846">
        <v>65.7</v>
      </c>
      <c r="C846">
        <v>131475</v>
      </c>
      <c r="D846">
        <v>9.4</v>
      </c>
    </row>
    <row r="847" spans="1:4" x14ac:dyDescent="0.2">
      <c r="A847" s="64">
        <v>39965</v>
      </c>
      <c r="B847">
        <v>65.7</v>
      </c>
      <c r="C847">
        <v>131008</v>
      </c>
      <c r="D847">
        <v>9.5</v>
      </c>
    </row>
    <row r="848" spans="1:4" x14ac:dyDescent="0.2">
      <c r="A848" s="64">
        <v>39995</v>
      </c>
      <c r="B848">
        <v>65.5</v>
      </c>
      <c r="C848">
        <v>130668</v>
      </c>
      <c r="D848">
        <v>9.5</v>
      </c>
    </row>
    <row r="849" spans="1:4" x14ac:dyDescent="0.2">
      <c r="A849" s="64">
        <v>40026</v>
      </c>
      <c r="B849">
        <v>65.400000000000006</v>
      </c>
      <c r="C849">
        <v>130485</v>
      </c>
      <c r="D849">
        <v>9.6</v>
      </c>
    </row>
    <row r="850" spans="1:4" x14ac:dyDescent="0.2">
      <c r="A850" s="64">
        <v>40057</v>
      </c>
      <c r="B850">
        <v>65.099999999999994</v>
      </c>
      <c r="C850">
        <v>130244</v>
      </c>
      <c r="D850">
        <v>9.8000000000000007</v>
      </c>
    </row>
    <row r="851" spans="1:4" x14ac:dyDescent="0.2">
      <c r="A851" s="64">
        <v>40087</v>
      </c>
      <c r="B851">
        <v>65</v>
      </c>
      <c r="C851">
        <v>130045</v>
      </c>
      <c r="D851">
        <v>10</v>
      </c>
    </row>
    <row r="852" spans="1:4" x14ac:dyDescent="0.2">
      <c r="A852" s="64">
        <v>40118</v>
      </c>
      <c r="B852">
        <v>65</v>
      </c>
      <c r="C852">
        <v>130057</v>
      </c>
      <c r="D852">
        <v>9.9</v>
      </c>
    </row>
    <row r="853" spans="1:4" x14ac:dyDescent="0.2">
      <c r="A853" s="64">
        <v>40148</v>
      </c>
      <c r="B853">
        <v>64.599999999999994</v>
      </c>
      <c r="C853">
        <v>129788</v>
      </c>
      <c r="D853">
        <v>9.9</v>
      </c>
    </row>
    <row r="854" spans="1:4" x14ac:dyDescent="0.2">
      <c r="A854" s="64">
        <v>40179</v>
      </c>
      <c r="B854">
        <v>64.8</v>
      </c>
      <c r="C854">
        <v>129790</v>
      </c>
      <c r="D854">
        <v>9.8000000000000007</v>
      </c>
    </row>
    <row r="855" spans="1:4" x14ac:dyDescent="0.2">
      <c r="A855" s="64">
        <v>40210</v>
      </c>
      <c r="B855">
        <v>64.900000000000006</v>
      </c>
      <c r="C855">
        <v>129698</v>
      </c>
      <c r="D855">
        <v>9.8000000000000007</v>
      </c>
    </row>
    <row r="856" spans="1:4" x14ac:dyDescent="0.2">
      <c r="A856" s="64">
        <v>40238</v>
      </c>
      <c r="B856">
        <v>64.900000000000006</v>
      </c>
      <c r="C856">
        <v>129879</v>
      </c>
      <c r="D856">
        <v>9.9</v>
      </c>
    </row>
    <row r="857" spans="1:4" x14ac:dyDescent="0.2">
      <c r="A857" s="64">
        <v>40269</v>
      </c>
      <c r="B857">
        <v>65.2</v>
      </c>
      <c r="C857">
        <v>130110</v>
      </c>
      <c r="D857">
        <v>9.9</v>
      </c>
    </row>
    <row r="858" spans="1:4" x14ac:dyDescent="0.2">
      <c r="A858" s="64">
        <v>40299</v>
      </c>
      <c r="B858">
        <v>64.900000000000006</v>
      </c>
      <c r="C858">
        <v>130650</v>
      </c>
      <c r="D858">
        <v>9.6</v>
      </c>
    </row>
    <row r="859" spans="1:4" x14ac:dyDescent="0.2">
      <c r="A859" s="64">
        <v>40330</v>
      </c>
      <c r="B859">
        <v>64.599999999999994</v>
      </c>
      <c r="C859">
        <v>130511</v>
      </c>
      <c r="D859">
        <v>9.4</v>
      </c>
    </row>
    <row r="860" spans="1:4" x14ac:dyDescent="0.2">
      <c r="A860" s="64">
        <v>40360</v>
      </c>
      <c r="B860">
        <v>64.599999999999994</v>
      </c>
      <c r="C860">
        <v>130427</v>
      </c>
      <c r="D860">
        <v>9.4</v>
      </c>
    </row>
    <row r="861" spans="1:4" x14ac:dyDescent="0.2">
      <c r="A861" s="64">
        <v>40391</v>
      </c>
      <c r="B861">
        <v>64.7</v>
      </c>
      <c r="C861">
        <v>130422</v>
      </c>
      <c r="D861">
        <v>9.5</v>
      </c>
    </row>
    <row r="862" spans="1:4" x14ac:dyDescent="0.2">
      <c r="A862" s="64">
        <v>40422</v>
      </c>
      <c r="B862">
        <v>64.599999999999994</v>
      </c>
      <c r="C862">
        <v>130357</v>
      </c>
      <c r="D862">
        <v>9.5</v>
      </c>
    </row>
    <row r="863" spans="1:4" x14ac:dyDescent="0.2">
      <c r="A863" s="64">
        <v>40452</v>
      </c>
      <c r="B863">
        <v>64.400000000000006</v>
      </c>
      <c r="C863">
        <v>130625</v>
      </c>
      <c r="D863">
        <v>9.4</v>
      </c>
    </row>
    <row r="864" spans="1:4" x14ac:dyDescent="0.2">
      <c r="A864" s="64">
        <v>40483</v>
      </c>
      <c r="B864">
        <v>64.599999999999994</v>
      </c>
      <c r="C864">
        <v>130750</v>
      </c>
      <c r="D864">
        <v>9.8000000000000007</v>
      </c>
    </row>
    <row r="865" spans="1:4" x14ac:dyDescent="0.2">
      <c r="A865" s="64">
        <v>40513</v>
      </c>
      <c r="B865">
        <v>64.3</v>
      </c>
      <c r="C865">
        <v>130822</v>
      </c>
      <c r="D865">
        <v>9.3000000000000007</v>
      </c>
    </row>
    <row r="866" spans="1:4" x14ac:dyDescent="0.2">
      <c r="A866" s="64">
        <v>40544</v>
      </c>
      <c r="B866">
        <v>64.2</v>
      </c>
      <c r="C866">
        <v>130841</v>
      </c>
      <c r="D866">
        <v>9.1</v>
      </c>
    </row>
    <row r="867" spans="1:4" x14ac:dyDescent="0.2">
      <c r="A867" s="64">
        <v>40575</v>
      </c>
      <c r="B867">
        <v>64.099999999999994</v>
      </c>
      <c r="C867">
        <v>131053</v>
      </c>
      <c r="D867">
        <v>9</v>
      </c>
    </row>
    <row r="868" spans="1:4" x14ac:dyDescent="0.2">
      <c r="A868" s="64">
        <v>40603</v>
      </c>
      <c r="B868">
        <v>64.2</v>
      </c>
      <c r="C868">
        <v>131288</v>
      </c>
      <c r="D868">
        <v>9</v>
      </c>
    </row>
    <row r="869" spans="1:4" x14ac:dyDescent="0.2">
      <c r="A869" s="64">
        <v>40634</v>
      </c>
      <c r="B869">
        <v>64.2</v>
      </c>
      <c r="C869">
        <v>131602</v>
      </c>
      <c r="D869">
        <v>9.1</v>
      </c>
    </row>
    <row r="870" spans="1:4" x14ac:dyDescent="0.2">
      <c r="A870" s="64">
        <v>40664</v>
      </c>
      <c r="B870">
        <v>64.099999999999994</v>
      </c>
      <c r="C870">
        <v>131703</v>
      </c>
      <c r="D870">
        <v>9</v>
      </c>
    </row>
    <row r="871" spans="1:4" x14ac:dyDescent="0.2">
      <c r="A871" s="64">
        <v>40695</v>
      </c>
      <c r="B871">
        <v>64</v>
      </c>
      <c r="C871">
        <v>131939</v>
      </c>
      <c r="D871">
        <v>9.1</v>
      </c>
    </row>
    <row r="872" spans="1:4" x14ac:dyDescent="0.2">
      <c r="A872" s="64">
        <v>40725</v>
      </c>
      <c r="B872">
        <v>64</v>
      </c>
      <c r="C872">
        <v>131999</v>
      </c>
      <c r="D872">
        <v>9</v>
      </c>
    </row>
    <row r="873" spans="1:4" x14ac:dyDescent="0.2">
      <c r="A873" s="64">
        <v>40756</v>
      </c>
      <c r="B873">
        <v>64.099999999999994</v>
      </c>
      <c r="C873">
        <v>132125</v>
      </c>
      <c r="D873">
        <v>9</v>
      </c>
    </row>
    <row r="874" spans="1:4" x14ac:dyDescent="0.2">
      <c r="A874" s="64">
        <v>40787</v>
      </c>
      <c r="B874">
        <v>64.2</v>
      </c>
      <c r="C874">
        <v>132358</v>
      </c>
      <c r="D874">
        <v>9</v>
      </c>
    </row>
    <row r="875" spans="1:4" x14ac:dyDescent="0.2">
      <c r="A875" s="64">
        <v>40817</v>
      </c>
      <c r="B875">
        <v>64.099999999999994</v>
      </c>
      <c r="C875">
        <v>132562</v>
      </c>
      <c r="D875">
        <v>8.8000000000000007</v>
      </c>
    </row>
    <row r="876" spans="1:4" x14ac:dyDescent="0.2">
      <c r="A876" s="64">
        <v>40848</v>
      </c>
      <c r="B876">
        <v>64.099999999999994</v>
      </c>
      <c r="C876">
        <v>132694</v>
      </c>
      <c r="D876">
        <v>8.6</v>
      </c>
    </row>
    <row r="877" spans="1:4" x14ac:dyDescent="0.2">
      <c r="A877" s="64">
        <v>40878</v>
      </c>
      <c r="B877">
        <v>64</v>
      </c>
      <c r="C877">
        <v>132896</v>
      </c>
      <c r="D877">
        <v>8.5</v>
      </c>
    </row>
    <row r="878" spans="1:4" x14ac:dyDescent="0.2">
      <c r="A878" s="64">
        <v>40909</v>
      </c>
      <c r="B878">
        <v>63.7</v>
      </c>
      <c r="C878">
        <v>133250</v>
      </c>
      <c r="D878">
        <v>8.3000000000000007</v>
      </c>
    </row>
    <row r="879" spans="1:4" x14ac:dyDescent="0.2">
      <c r="A879" s="64">
        <v>40940</v>
      </c>
      <c r="B879">
        <v>63.8</v>
      </c>
      <c r="C879">
        <v>133512</v>
      </c>
      <c r="D879">
        <v>8.3000000000000007</v>
      </c>
    </row>
    <row r="880" spans="1:4" x14ac:dyDescent="0.2">
      <c r="A880" s="64">
        <v>40969</v>
      </c>
      <c r="B880">
        <v>63.8</v>
      </c>
      <c r="C880">
        <v>133752</v>
      </c>
      <c r="D880">
        <v>8.1999999999999993</v>
      </c>
    </row>
    <row r="881" spans="1:4" x14ac:dyDescent="0.2">
      <c r="A881" s="64">
        <v>41000</v>
      </c>
      <c r="B881">
        <v>63.7</v>
      </c>
      <c r="C881">
        <v>133834</v>
      </c>
      <c r="D881">
        <v>8.1999999999999993</v>
      </c>
    </row>
    <row r="882" spans="1:4" x14ac:dyDescent="0.2">
      <c r="A882" s="64">
        <v>41030</v>
      </c>
      <c r="B882">
        <v>63.7</v>
      </c>
      <c r="C882">
        <v>133934</v>
      </c>
      <c r="D882">
        <v>8.1999999999999993</v>
      </c>
    </row>
    <row r="883" spans="1:4" x14ac:dyDescent="0.2">
      <c r="A883" s="64">
        <v>41061</v>
      </c>
      <c r="B883">
        <v>63.8</v>
      </c>
      <c r="C883">
        <v>134007</v>
      </c>
      <c r="D883">
        <v>8.1999999999999993</v>
      </c>
    </row>
    <row r="884" spans="1:4" x14ac:dyDescent="0.2">
      <c r="A884" s="64">
        <v>41091</v>
      </c>
      <c r="B884">
        <v>63.7</v>
      </c>
      <c r="C884">
        <v>134159</v>
      </c>
      <c r="D884">
        <v>8.1999999999999993</v>
      </c>
    </row>
    <row r="885" spans="1:4" x14ac:dyDescent="0.2">
      <c r="A885" s="64">
        <v>41122</v>
      </c>
      <c r="B885">
        <v>63.5</v>
      </c>
      <c r="C885">
        <v>134331</v>
      </c>
      <c r="D885">
        <v>8.1</v>
      </c>
    </row>
    <row r="886" spans="1:4" x14ac:dyDescent="0.2">
      <c r="A886" s="64">
        <v>41153</v>
      </c>
      <c r="B886">
        <v>63.6</v>
      </c>
      <c r="C886">
        <v>134518</v>
      </c>
      <c r="D886">
        <v>7.8</v>
      </c>
    </row>
    <row r="887" spans="1:4" x14ac:dyDescent="0.2">
      <c r="A887" s="64">
        <v>41183</v>
      </c>
      <c r="B887">
        <v>63.8</v>
      </c>
      <c r="C887">
        <v>134677</v>
      </c>
      <c r="D887">
        <v>7.8</v>
      </c>
    </row>
    <row r="888" spans="1:4" x14ac:dyDescent="0.2">
      <c r="A888" s="64">
        <v>41214</v>
      </c>
      <c r="B888">
        <v>63.6</v>
      </c>
      <c r="C888">
        <v>134833</v>
      </c>
      <c r="D888">
        <v>7.7</v>
      </c>
    </row>
    <row r="889" spans="1:4" x14ac:dyDescent="0.2">
      <c r="A889" s="64">
        <v>41244</v>
      </c>
      <c r="B889">
        <v>63.7</v>
      </c>
      <c r="C889">
        <v>135072</v>
      </c>
      <c r="D889">
        <v>7.9</v>
      </c>
    </row>
    <row r="890" spans="1:4" x14ac:dyDescent="0.2">
      <c r="A890" s="64">
        <v>41275</v>
      </c>
      <c r="B890">
        <v>63.7</v>
      </c>
      <c r="C890">
        <v>135263</v>
      </c>
      <c r="D890">
        <v>8</v>
      </c>
    </row>
    <row r="891" spans="1:4" x14ac:dyDescent="0.2">
      <c r="A891" s="64">
        <v>41306</v>
      </c>
      <c r="B891">
        <v>63.4</v>
      </c>
      <c r="C891">
        <v>135541</v>
      </c>
      <c r="D891">
        <v>7.7</v>
      </c>
    </row>
    <row r="892" spans="1:4" x14ac:dyDescent="0.2">
      <c r="A892" s="64">
        <v>41334</v>
      </c>
      <c r="B892">
        <v>63.3</v>
      </c>
      <c r="C892">
        <v>135680</v>
      </c>
      <c r="D892">
        <v>7.5</v>
      </c>
    </row>
    <row r="893" spans="1:4" x14ac:dyDescent="0.2">
      <c r="A893" s="64">
        <v>41365</v>
      </c>
      <c r="B893">
        <v>63.4</v>
      </c>
      <c r="C893">
        <v>135871</v>
      </c>
      <c r="D893">
        <v>7.6</v>
      </c>
    </row>
    <row r="894" spans="1:4" x14ac:dyDescent="0.2">
      <c r="A894" s="64">
        <v>41395</v>
      </c>
      <c r="B894">
        <v>63.4</v>
      </c>
      <c r="C894">
        <v>136093</v>
      </c>
      <c r="D894">
        <v>7.5</v>
      </c>
    </row>
    <row r="895" spans="1:4" x14ac:dyDescent="0.2">
      <c r="A895" s="64">
        <v>41426</v>
      </c>
      <c r="B895">
        <v>63.4</v>
      </c>
      <c r="C895">
        <v>136274</v>
      </c>
      <c r="D895">
        <v>7.5</v>
      </c>
    </row>
    <row r="896" spans="1:4" x14ac:dyDescent="0.2">
      <c r="A896" s="64">
        <v>41456</v>
      </c>
      <c r="B896">
        <v>63.3</v>
      </c>
      <c r="C896">
        <v>136386</v>
      </c>
      <c r="D896">
        <v>7.3</v>
      </c>
    </row>
    <row r="897" spans="1:4" x14ac:dyDescent="0.2">
      <c r="A897" s="64">
        <v>41487</v>
      </c>
      <c r="B897">
        <v>63.3</v>
      </c>
      <c r="C897">
        <v>136628</v>
      </c>
      <c r="D897">
        <v>7.2</v>
      </c>
    </row>
    <row r="898" spans="1:4" x14ac:dyDescent="0.2">
      <c r="A898" s="64">
        <v>41518</v>
      </c>
      <c r="B898">
        <v>63.2</v>
      </c>
      <c r="C898">
        <v>136815</v>
      </c>
      <c r="D898">
        <v>7.2</v>
      </c>
    </row>
    <row r="899" spans="1:4" x14ac:dyDescent="0.2">
      <c r="A899" s="64">
        <v>41548</v>
      </c>
      <c r="B899">
        <v>62.8</v>
      </c>
      <c r="C899">
        <v>137040</v>
      </c>
      <c r="D899">
        <v>7.2</v>
      </c>
    </row>
    <row r="900" spans="1:4" x14ac:dyDescent="0.2">
      <c r="A900" s="64">
        <v>41579</v>
      </c>
      <c r="B900">
        <v>63</v>
      </c>
      <c r="C900">
        <v>137304</v>
      </c>
      <c r="D900">
        <v>6.9</v>
      </c>
    </row>
    <row r="901" spans="1:4" x14ac:dyDescent="0.2">
      <c r="A901" s="64">
        <v>41609</v>
      </c>
      <c r="B901">
        <v>62.9</v>
      </c>
      <c r="C901">
        <v>137373</v>
      </c>
      <c r="D901">
        <v>6.7</v>
      </c>
    </row>
    <row r="902" spans="1:4" x14ac:dyDescent="0.2">
      <c r="A902" s="64">
        <v>41640</v>
      </c>
      <c r="B902">
        <v>62.9</v>
      </c>
      <c r="C902">
        <v>137548</v>
      </c>
      <c r="D902">
        <v>6.6</v>
      </c>
    </row>
    <row r="903" spans="1:4" x14ac:dyDescent="0.2">
      <c r="A903" s="64">
        <v>41671</v>
      </c>
      <c r="B903">
        <v>62.9</v>
      </c>
      <c r="C903">
        <v>137714</v>
      </c>
      <c r="D903">
        <v>6.7</v>
      </c>
    </row>
    <row r="904" spans="1:4" x14ac:dyDescent="0.2">
      <c r="A904" s="64">
        <v>41699</v>
      </c>
      <c r="B904">
        <v>63.1</v>
      </c>
      <c r="C904">
        <v>137968</v>
      </c>
      <c r="D904">
        <v>6.7</v>
      </c>
    </row>
    <row r="905" spans="1:4" x14ac:dyDescent="0.2">
      <c r="A905" s="64">
        <v>41730</v>
      </c>
      <c r="B905">
        <v>62.8</v>
      </c>
      <c r="C905">
        <v>138293</v>
      </c>
      <c r="D905">
        <v>6.2</v>
      </c>
    </row>
    <row r="906" spans="1:4" x14ac:dyDescent="0.2">
      <c r="A906" s="64">
        <v>41760</v>
      </c>
      <c r="B906">
        <v>62.9</v>
      </c>
      <c r="C906">
        <v>138511</v>
      </c>
      <c r="D906">
        <v>6.3</v>
      </c>
    </row>
    <row r="907" spans="1:4" x14ac:dyDescent="0.2">
      <c r="A907" s="64">
        <v>41791</v>
      </c>
      <c r="B907">
        <v>62.8</v>
      </c>
      <c r="C907">
        <v>138837</v>
      </c>
      <c r="D907">
        <v>6.1</v>
      </c>
    </row>
    <row r="908" spans="1:4" x14ac:dyDescent="0.2">
      <c r="A908" s="64">
        <v>41821</v>
      </c>
      <c r="B908">
        <v>62.9</v>
      </c>
      <c r="C908">
        <v>139069</v>
      </c>
      <c r="D908">
        <v>6.2</v>
      </c>
    </row>
    <row r="909" spans="1:4" x14ac:dyDescent="0.2">
      <c r="A909" s="64">
        <v>41852</v>
      </c>
      <c r="B909">
        <v>62.9</v>
      </c>
      <c r="C909">
        <v>139257</v>
      </c>
      <c r="D909">
        <v>6.1</v>
      </c>
    </row>
    <row r="910" spans="1:4" x14ac:dyDescent="0.2">
      <c r="A910" s="64">
        <v>41883</v>
      </c>
      <c r="B910">
        <v>62.8</v>
      </c>
      <c r="C910">
        <v>139566</v>
      </c>
      <c r="D910">
        <v>5.9</v>
      </c>
    </row>
    <row r="911" spans="1:4" x14ac:dyDescent="0.2">
      <c r="A911" s="64">
        <v>41913</v>
      </c>
      <c r="B911">
        <v>62.9</v>
      </c>
      <c r="C911">
        <v>139818</v>
      </c>
      <c r="D911">
        <v>5.7</v>
      </c>
    </row>
    <row r="912" spans="1:4" x14ac:dyDescent="0.2">
      <c r="A912" s="64">
        <v>41944</v>
      </c>
      <c r="B912">
        <v>62.9</v>
      </c>
      <c r="C912">
        <v>140109</v>
      </c>
      <c r="D912">
        <v>5.8</v>
      </c>
    </row>
    <row r="913" spans="1:4" x14ac:dyDescent="0.2">
      <c r="A913" s="64">
        <v>41974</v>
      </c>
      <c r="B913">
        <v>62.8</v>
      </c>
      <c r="C913">
        <v>140377</v>
      </c>
      <c r="D913">
        <v>5.6</v>
      </c>
    </row>
    <row r="914" spans="1:4" x14ac:dyDescent="0.2">
      <c r="A914" s="64">
        <v>42005</v>
      </c>
      <c r="B914">
        <v>62.9</v>
      </c>
      <c r="C914">
        <v>140568</v>
      </c>
      <c r="D914">
        <v>5.7</v>
      </c>
    </row>
    <row r="915" spans="1:4" x14ac:dyDescent="0.2">
      <c r="A915" s="64">
        <v>42036</v>
      </c>
      <c r="B915">
        <v>62.7</v>
      </c>
      <c r="C915">
        <v>140839</v>
      </c>
      <c r="D915">
        <v>5.5</v>
      </c>
    </row>
    <row r="916" spans="1:4" x14ac:dyDescent="0.2">
      <c r="A916" s="64">
        <v>42064</v>
      </c>
      <c r="B916">
        <v>62.6</v>
      </c>
      <c r="C916">
        <v>140910</v>
      </c>
      <c r="D916">
        <v>5.4</v>
      </c>
    </row>
    <row r="917" spans="1:4" x14ac:dyDescent="0.2">
      <c r="A917" s="64">
        <v>42095</v>
      </c>
      <c r="B917">
        <v>62.8</v>
      </c>
      <c r="C917">
        <v>141194</v>
      </c>
      <c r="D917">
        <v>5.4</v>
      </c>
    </row>
    <row r="918" spans="1:4" x14ac:dyDescent="0.2">
      <c r="A918" s="64">
        <v>42125</v>
      </c>
      <c r="B918">
        <v>62.9</v>
      </c>
      <c r="C918">
        <v>141525</v>
      </c>
      <c r="D918">
        <v>5.6</v>
      </c>
    </row>
    <row r="919" spans="1:4" x14ac:dyDescent="0.2">
      <c r="A919" s="64">
        <v>42156</v>
      </c>
      <c r="B919">
        <v>62.7</v>
      </c>
      <c r="C919">
        <v>141699</v>
      </c>
      <c r="D919">
        <v>5.3</v>
      </c>
    </row>
    <row r="920" spans="1:4" x14ac:dyDescent="0.2">
      <c r="A920" s="64">
        <v>42186</v>
      </c>
      <c r="B920">
        <v>62.6</v>
      </c>
      <c r="C920">
        <v>142001</v>
      </c>
      <c r="D920">
        <v>5.2</v>
      </c>
    </row>
    <row r="921" spans="1:4" x14ac:dyDescent="0.2">
      <c r="A921" s="64">
        <v>42217</v>
      </c>
      <c r="B921">
        <v>62.6</v>
      </c>
      <c r="C921">
        <v>142126</v>
      </c>
      <c r="D921">
        <v>5.0999999999999996</v>
      </c>
    </row>
    <row r="922" spans="1:4" x14ac:dyDescent="0.2">
      <c r="A922" s="64">
        <v>42248</v>
      </c>
      <c r="B922">
        <v>62.4</v>
      </c>
      <c r="C922">
        <v>142281</v>
      </c>
      <c r="D922">
        <v>5</v>
      </c>
    </row>
    <row r="923" spans="1:4" x14ac:dyDescent="0.2">
      <c r="A923" s="64">
        <v>42278</v>
      </c>
      <c r="B923">
        <v>62.5</v>
      </c>
      <c r="C923">
        <v>142587</v>
      </c>
      <c r="D923">
        <v>5</v>
      </c>
    </row>
    <row r="924" spans="1:4" x14ac:dyDescent="0.2">
      <c r="A924" s="64">
        <v>42309</v>
      </c>
      <c r="B924">
        <v>62.5</v>
      </c>
      <c r="C924">
        <v>142824</v>
      </c>
      <c r="D924">
        <v>5.0999999999999996</v>
      </c>
    </row>
    <row r="925" spans="1:4" x14ac:dyDescent="0.2">
      <c r="A925" s="64">
        <v>42339</v>
      </c>
      <c r="B925">
        <v>62.7</v>
      </c>
      <c r="C925">
        <v>143097</v>
      </c>
      <c r="D925">
        <v>5</v>
      </c>
    </row>
    <row r="926" spans="1:4" x14ac:dyDescent="0.2">
      <c r="A926" s="64">
        <v>42370</v>
      </c>
      <c r="B926">
        <v>62.7</v>
      </c>
      <c r="C926">
        <v>143205</v>
      </c>
      <c r="D926">
        <v>4.8</v>
      </c>
    </row>
    <row r="927" spans="1:4" x14ac:dyDescent="0.2">
      <c r="A927" s="64">
        <v>42401</v>
      </c>
      <c r="B927">
        <v>62.8</v>
      </c>
      <c r="C927">
        <v>143417</v>
      </c>
      <c r="D927">
        <v>4.9000000000000004</v>
      </c>
    </row>
    <row r="928" spans="1:4" x14ac:dyDescent="0.2">
      <c r="A928" s="64">
        <v>42430</v>
      </c>
      <c r="B928">
        <v>63</v>
      </c>
      <c r="C928">
        <v>143654</v>
      </c>
      <c r="D928">
        <v>5</v>
      </c>
    </row>
    <row r="929" spans="1:4" x14ac:dyDescent="0.2">
      <c r="A929" s="64">
        <v>42461</v>
      </c>
      <c r="B929">
        <v>62.9</v>
      </c>
      <c r="C929">
        <v>143851</v>
      </c>
      <c r="D929">
        <v>5.0999999999999996</v>
      </c>
    </row>
    <row r="930" spans="1:4" x14ac:dyDescent="0.2">
      <c r="A930" s="64">
        <v>42491</v>
      </c>
      <c r="B930">
        <v>62.7</v>
      </c>
      <c r="C930">
        <v>143892</v>
      </c>
      <c r="D930">
        <v>4.8</v>
      </c>
    </row>
    <row r="931" spans="1:4" x14ac:dyDescent="0.2">
      <c r="A931" s="64">
        <v>42522</v>
      </c>
      <c r="B931">
        <v>62.7</v>
      </c>
      <c r="C931">
        <v>144150</v>
      </c>
      <c r="D931">
        <v>4.9000000000000004</v>
      </c>
    </row>
    <row r="932" spans="1:4" x14ac:dyDescent="0.2">
      <c r="A932" s="64">
        <v>42552</v>
      </c>
      <c r="B932">
        <v>62.8</v>
      </c>
      <c r="C932">
        <v>144521</v>
      </c>
      <c r="D932">
        <v>4.8</v>
      </c>
    </row>
    <row r="933" spans="1:4" x14ac:dyDescent="0.2">
      <c r="A933" s="64">
        <v>42583</v>
      </c>
      <c r="B933">
        <v>62.9</v>
      </c>
      <c r="C933">
        <v>144664</v>
      </c>
      <c r="D933">
        <v>4.9000000000000004</v>
      </c>
    </row>
    <row r="934" spans="1:4" x14ac:dyDescent="0.2">
      <c r="A934" s="64">
        <v>42614</v>
      </c>
      <c r="B934">
        <v>62.9</v>
      </c>
      <c r="C934">
        <v>144953</v>
      </c>
      <c r="D934">
        <v>5</v>
      </c>
    </row>
    <row r="935" spans="1:4" x14ac:dyDescent="0.2">
      <c r="A935" s="64">
        <v>42644</v>
      </c>
      <c r="B935">
        <v>62.8</v>
      </c>
      <c r="C935">
        <v>145071</v>
      </c>
      <c r="D935">
        <v>4.9000000000000004</v>
      </c>
    </row>
    <row r="936" spans="1:4" x14ac:dyDescent="0.2">
      <c r="A936" s="64">
        <v>42675</v>
      </c>
      <c r="B936">
        <v>62.7</v>
      </c>
      <c r="C936">
        <v>145201</v>
      </c>
      <c r="D936">
        <v>4.7</v>
      </c>
    </row>
    <row r="937" spans="1:4" x14ac:dyDescent="0.2">
      <c r="A937" s="64">
        <v>42705</v>
      </c>
      <c r="B937">
        <v>62.7</v>
      </c>
      <c r="C937">
        <v>145415</v>
      </c>
      <c r="D937">
        <v>4.7</v>
      </c>
    </row>
    <row r="938" spans="1:4" x14ac:dyDescent="0.2">
      <c r="A938" s="64">
        <v>42736</v>
      </c>
      <c r="B938">
        <v>62.8</v>
      </c>
      <c r="C938">
        <v>145612</v>
      </c>
      <c r="D938">
        <v>4.7</v>
      </c>
    </row>
    <row r="939" spans="1:4" x14ac:dyDescent="0.2">
      <c r="A939" s="64">
        <v>42767</v>
      </c>
      <c r="B939">
        <v>62.8</v>
      </c>
      <c r="C939">
        <v>145795</v>
      </c>
      <c r="D939">
        <v>4.5999999999999996</v>
      </c>
    </row>
    <row r="940" spans="1:4" x14ac:dyDescent="0.2">
      <c r="A940" s="64">
        <v>42795</v>
      </c>
      <c r="B940">
        <v>63</v>
      </c>
      <c r="C940">
        <v>145934</v>
      </c>
      <c r="D940">
        <v>4.4000000000000004</v>
      </c>
    </row>
    <row r="941" spans="1:4" x14ac:dyDescent="0.2">
      <c r="A941" s="64">
        <v>42826</v>
      </c>
      <c r="B941">
        <v>63</v>
      </c>
      <c r="C941">
        <v>146154</v>
      </c>
      <c r="D941">
        <v>4.5</v>
      </c>
    </row>
    <row r="942" spans="1:4" x14ac:dyDescent="0.2">
      <c r="A942" s="64">
        <v>42856</v>
      </c>
      <c r="B942">
        <v>62.8</v>
      </c>
      <c r="C942">
        <v>146295</v>
      </c>
      <c r="D942">
        <v>4.4000000000000004</v>
      </c>
    </row>
    <row r="943" spans="1:4" x14ac:dyDescent="0.2">
      <c r="A943" s="64">
        <v>42887</v>
      </c>
      <c r="B943">
        <v>62.8</v>
      </c>
      <c r="C943">
        <v>146506</v>
      </c>
      <c r="D943">
        <v>4.3</v>
      </c>
    </row>
    <row r="944" spans="1:4" x14ac:dyDescent="0.2">
      <c r="A944" s="64">
        <v>42917</v>
      </c>
      <c r="B944">
        <v>62.9</v>
      </c>
      <c r="C944">
        <v>146734</v>
      </c>
      <c r="D944">
        <v>4.3</v>
      </c>
    </row>
    <row r="945" spans="1:4" x14ac:dyDescent="0.2">
      <c r="A945" s="64">
        <v>42948</v>
      </c>
      <c r="B945">
        <v>62.9</v>
      </c>
      <c r="C945">
        <v>146924</v>
      </c>
      <c r="D945">
        <v>4.4000000000000004</v>
      </c>
    </row>
    <row r="946" spans="1:4" x14ac:dyDescent="0.2">
      <c r="A946" s="64">
        <v>42979</v>
      </c>
      <c r="B946">
        <v>63</v>
      </c>
      <c r="C946">
        <v>146966</v>
      </c>
      <c r="D946">
        <v>4.2</v>
      </c>
    </row>
    <row r="947" spans="1:4" x14ac:dyDescent="0.2">
      <c r="A947" s="64">
        <v>43009</v>
      </c>
      <c r="B947">
        <v>62.7</v>
      </c>
      <c r="C947">
        <v>147215</v>
      </c>
      <c r="D947">
        <v>4.0999999999999996</v>
      </c>
    </row>
    <row r="948" spans="1:4" x14ac:dyDescent="0.2">
      <c r="A948" s="64">
        <v>43040</v>
      </c>
      <c r="B948">
        <v>62.7</v>
      </c>
      <c r="C948">
        <v>147411</v>
      </c>
      <c r="D948">
        <v>4.2</v>
      </c>
    </row>
    <row r="949" spans="1:4" x14ac:dyDescent="0.2">
      <c r="A949" s="64">
        <v>43070</v>
      </c>
      <c r="B949">
        <v>62.7</v>
      </c>
      <c r="C949">
        <v>147590</v>
      </c>
      <c r="D949">
        <v>4.0999999999999996</v>
      </c>
    </row>
    <row r="950" spans="1:4" x14ac:dyDescent="0.2">
      <c r="A950" s="64">
        <v>43101</v>
      </c>
      <c r="B950">
        <v>62.7</v>
      </c>
      <c r="C950">
        <v>147671</v>
      </c>
      <c r="D950">
        <v>4</v>
      </c>
    </row>
    <row r="951" spans="1:4" x14ac:dyDescent="0.2">
      <c r="A951" s="64">
        <v>43132</v>
      </c>
      <c r="B951">
        <v>63</v>
      </c>
      <c r="C951">
        <v>148049</v>
      </c>
      <c r="D951">
        <v>4.0999999999999996</v>
      </c>
    </row>
    <row r="952" spans="1:4" x14ac:dyDescent="0.2">
      <c r="A952" s="64">
        <v>43160</v>
      </c>
      <c r="B952">
        <v>62.9</v>
      </c>
      <c r="C952">
        <v>148244</v>
      </c>
      <c r="D952">
        <v>4</v>
      </c>
    </row>
    <row r="953" spans="1:4" x14ac:dyDescent="0.2">
      <c r="A953" s="64">
        <v>43191</v>
      </c>
      <c r="B953">
        <v>62.9</v>
      </c>
      <c r="C953">
        <v>148397</v>
      </c>
      <c r="D953">
        <v>4</v>
      </c>
    </row>
    <row r="954" spans="1:4" x14ac:dyDescent="0.2">
      <c r="A954" s="64">
        <v>43221</v>
      </c>
      <c r="B954">
        <v>62.9</v>
      </c>
      <c r="C954">
        <v>148667</v>
      </c>
      <c r="D954">
        <v>3.8</v>
      </c>
    </row>
    <row r="955" spans="1:4" x14ac:dyDescent="0.2">
      <c r="A955" s="64">
        <v>43252</v>
      </c>
      <c r="B955">
        <v>63</v>
      </c>
      <c r="C955">
        <v>148881</v>
      </c>
      <c r="D955">
        <v>4</v>
      </c>
    </row>
    <row r="956" spans="1:4" x14ac:dyDescent="0.2">
      <c r="A956" s="64">
        <v>43282</v>
      </c>
      <c r="B956">
        <v>63</v>
      </c>
      <c r="C956">
        <v>149030</v>
      </c>
      <c r="D956">
        <v>3.8</v>
      </c>
    </row>
    <row r="957" spans="1:4" x14ac:dyDescent="0.2">
      <c r="A957" s="64">
        <v>43313</v>
      </c>
      <c r="B957">
        <v>62.7</v>
      </c>
      <c r="C957">
        <v>149259</v>
      </c>
      <c r="D957">
        <v>3.8</v>
      </c>
    </row>
    <row r="958" spans="1:4" x14ac:dyDescent="0.2">
      <c r="A958" s="64">
        <v>43344</v>
      </c>
      <c r="B958">
        <v>62.7</v>
      </c>
      <c r="C958">
        <v>149364</v>
      </c>
      <c r="D958">
        <v>3.7</v>
      </c>
    </row>
    <row r="959" spans="1:4" x14ac:dyDescent="0.2">
      <c r="A959" s="64">
        <v>43374</v>
      </c>
      <c r="B959">
        <v>62.8</v>
      </c>
      <c r="C959">
        <v>149576</v>
      </c>
      <c r="D959">
        <v>3.8</v>
      </c>
    </row>
    <row r="960" spans="1:4" x14ac:dyDescent="0.2">
      <c r="A960" s="64">
        <v>43405</v>
      </c>
      <c r="B960">
        <v>62.9</v>
      </c>
      <c r="C960">
        <v>149668</v>
      </c>
      <c r="D960">
        <v>3.8</v>
      </c>
    </row>
    <row r="961" spans="1:4" x14ac:dyDescent="0.2">
      <c r="A961" s="64">
        <v>43435</v>
      </c>
      <c r="B961">
        <v>63</v>
      </c>
      <c r="C961">
        <v>149908</v>
      </c>
      <c r="D961">
        <v>3.9</v>
      </c>
    </row>
    <row r="962" spans="1:4" x14ac:dyDescent="0.2">
      <c r="A962" s="64">
        <v>43466</v>
      </c>
      <c r="B962">
        <v>63.1</v>
      </c>
      <c r="C962">
        <v>150145</v>
      </c>
      <c r="D962">
        <v>4</v>
      </c>
    </row>
    <row r="963" spans="1:4" x14ac:dyDescent="0.2">
      <c r="A963" s="64">
        <v>43497</v>
      </c>
      <c r="B963">
        <v>63.1</v>
      </c>
      <c r="C963">
        <v>150095</v>
      </c>
      <c r="D963">
        <v>3.8</v>
      </c>
    </row>
    <row r="964" spans="1:4" x14ac:dyDescent="0.2">
      <c r="A964" s="64">
        <v>43525</v>
      </c>
      <c r="B964">
        <v>63.1</v>
      </c>
      <c r="C964">
        <v>150263</v>
      </c>
      <c r="D964">
        <v>3.8</v>
      </c>
    </row>
    <row r="965" spans="1:4" x14ac:dyDescent="0.2">
      <c r="A965" s="64">
        <v>43556</v>
      </c>
      <c r="B965">
        <v>62.9</v>
      </c>
      <c r="C965">
        <v>150482</v>
      </c>
      <c r="D965">
        <v>3.7</v>
      </c>
    </row>
    <row r="966" spans="1:4" x14ac:dyDescent="0.2">
      <c r="A966" s="64">
        <v>43586</v>
      </c>
      <c r="B966">
        <v>62.9</v>
      </c>
      <c r="C966">
        <v>150545</v>
      </c>
      <c r="D966">
        <v>3.7</v>
      </c>
    </row>
    <row r="967" spans="1:4" x14ac:dyDescent="0.2">
      <c r="A967" s="64">
        <v>43617</v>
      </c>
      <c r="B967">
        <v>62.9</v>
      </c>
      <c r="C967">
        <v>150720</v>
      </c>
      <c r="D967">
        <v>3.6</v>
      </c>
    </row>
    <row r="968" spans="1:4" x14ac:dyDescent="0.2">
      <c r="A968" s="64">
        <v>43647</v>
      </c>
      <c r="B968">
        <v>63.1</v>
      </c>
      <c r="C968">
        <v>150913</v>
      </c>
      <c r="D968">
        <v>3.6</v>
      </c>
    </row>
    <row r="969" spans="1:4" x14ac:dyDescent="0.2">
      <c r="A969" s="64">
        <v>43678</v>
      </c>
      <c r="B969">
        <v>63.2</v>
      </c>
      <c r="C969">
        <v>151108</v>
      </c>
      <c r="D969">
        <v>3.7</v>
      </c>
    </row>
    <row r="970" spans="1:4" x14ac:dyDescent="0.2">
      <c r="A970" s="64">
        <v>43709</v>
      </c>
      <c r="B970">
        <v>63.1</v>
      </c>
      <c r="C970">
        <v>151329</v>
      </c>
      <c r="D970">
        <v>3.5</v>
      </c>
    </row>
    <row r="971" spans="1:4" x14ac:dyDescent="0.2">
      <c r="A971" s="64">
        <v>43739</v>
      </c>
      <c r="B971">
        <v>63.2</v>
      </c>
      <c r="C971">
        <v>151524</v>
      </c>
      <c r="D971">
        <v>3.6</v>
      </c>
    </row>
    <row r="972" spans="1:4" x14ac:dyDescent="0.2">
      <c r="A972" s="64">
        <v>43770</v>
      </c>
      <c r="B972">
        <v>63.2</v>
      </c>
      <c r="C972">
        <v>151758</v>
      </c>
      <c r="D972">
        <v>3.6</v>
      </c>
    </row>
    <row r="973" spans="1:4" x14ac:dyDescent="0.2">
      <c r="A973" s="64">
        <v>43800</v>
      </c>
      <c r="B973">
        <v>63.3</v>
      </c>
      <c r="C973">
        <v>151919</v>
      </c>
      <c r="D973">
        <v>3.6</v>
      </c>
    </row>
    <row r="974" spans="1:4" x14ac:dyDescent="0.2">
      <c r="A974" s="64">
        <v>43831</v>
      </c>
      <c r="B974">
        <v>63.4</v>
      </c>
      <c r="C974">
        <v>152234</v>
      </c>
      <c r="D974">
        <v>3.5</v>
      </c>
    </row>
    <row r="975" spans="1:4" x14ac:dyDescent="0.2">
      <c r="A975" s="64">
        <v>43862</v>
      </c>
      <c r="B975">
        <v>63.3</v>
      </c>
      <c r="C975">
        <v>152523</v>
      </c>
      <c r="D975">
        <v>3.5</v>
      </c>
    </row>
    <row r="976" spans="1:4" x14ac:dyDescent="0.2">
      <c r="A976" s="64">
        <v>43891</v>
      </c>
      <c r="B976">
        <v>62.6</v>
      </c>
      <c r="C976">
        <v>150840</v>
      </c>
      <c r="D976">
        <v>4.4000000000000004</v>
      </c>
    </row>
    <row r="977" spans="1:4" x14ac:dyDescent="0.2">
      <c r="A977" s="64">
        <v>43922</v>
      </c>
      <c r="B977">
        <v>60.2</v>
      </c>
      <c r="C977">
        <v>130161</v>
      </c>
      <c r="D977">
        <v>14.8</v>
      </c>
    </row>
    <row r="978" spans="1:4" x14ac:dyDescent="0.2">
      <c r="A978" s="64">
        <v>43952</v>
      </c>
      <c r="B978">
        <v>60.8</v>
      </c>
      <c r="C978">
        <v>132994</v>
      </c>
      <c r="D978">
        <v>13.3</v>
      </c>
    </row>
    <row r="979" spans="1:4" x14ac:dyDescent="0.2">
      <c r="A979" s="64">
        <v>43983</v>
      </c>
      <c r="B979">
        <v>61.4</v>
      </c>
      <c r="C979">
        <v>137840</v>
      </c>
      <c r="D979">
        <v>11.1</v>
      </c>
    </row>
    <row r="980" spans="1:4" x14ac:dyDescent="0.2">
      <c r="A980" s="64">
        <v>44013</v>
      </c>
      <c r="B980">
        <v>61.5</v>
      </c>
      <c r="C980">
        <v>139566</v>
      </c>
      <c r="D980">
        <v>10.199999999999999</v>
      </c>
    </row>
    <row r="981" spans="1:4" x14ac:dyDescent="0.2">
      <c r="A981" s="64">
        <v>44044</v>
      </c>
      <c r="B981">
        <v>61.7</v>
      </c>
      <c r="C981">
        <v>141149</v>
      </c>
      <c r="D981">
        <v>8.4</v>
      </c>
    </row>
    <row r="982" spans="1:4" x14ac:dyDescent="0.2">
      <c r="A982" s="64">
        <v>44075</v>
      </c>
      <c r="B982">
        <v>61.4</v>
      </c>
      <c r="C982">
        <v>141865</v>
      </c>
      <c r="D982">
        <v>7.8</v>
      </c>
    </row>
    <row r="983" spans="1:4" x14ac:dyDescent="0.2">
      <c r="A983" s="64">
        <v>44105</v>
      </c>
      <c r="B983">
        <v>61.6</v>
      </c>
      <c r="C983">
        <v>142545</v>
      </c>
      <c r="D983">
        <v>6.9</v>
      </c>
    </row>
    <row r="984" spans="1:4" x14ac:dyDescent="0.2">
      <c r="A984" s="64">
        <v>44136</v>
      </c>
      <c r="B984">
        <v>61.5</v>
      </c>
      <c r="C984">
        <v>142809</v>
      </c>
      <c r="D984">
        <v>6.7</v>
      </c>
    </row>
    <row r="985" spans="1:4" x14ac:dyDescent="0.2">
      <c r="A985" s="64">
        <v>44166</v>
      </c>
      <c r="B985">
        <v>61.5</v>
      </c>
      <c r="C985">
        <v>142503</v>
      </c>
      <c r="D985">
        <v>6.7</v>
      </c>
    </row>
    <row r="986" spans="1:4" x14ac:dyDescent="0.2">
      <c r="A986" s="64">
        <v>44197</v>
      </c>
      <c r="B986">
        <v>61.4</v>
      </c>
      <c r="C986">
        <v>142736</v>
      </c>
      <c r="D986">
        <v>6.3</v>
      </c>
    </row>
    <row r="987" spans="1:4" x14ac:dyDescent="0.2">
      <c r="A987" s="64">
        <v>44228</v>
      </c>
      <c r="B987">
        <v>61.4</v>
      </c>
      <c r="C987">
        <v>143272</v>
      </c>
      <c r="D987">
        <v>6.2</v>
      </c>
    </row>
    <row r="988" spans="1:4" x14ac:dyDescent="0.2">
      <c r="A988" s="64">
        <v>44256</v>
      </c>
      <c r="B988">
        <v>61.5</v>
      </c>
      <c r="C988">
        <v>144057</v>
      </c>
      <c r="D988">
        <v>6</v>
      </c>
    </row>
    <row r="989" spans="1:4" x14ac:dyDescent="0.2">
      <c r="A989" s="64">
        <v>44287</v>
      </c>
      <c r="B989">
        <v>61.7</v>
      </c>
      <c r="C989">
        <v>144326</v>
      </c>
      <c r="D989">
        <v>6.1</v>
      </c>
    </row>
    <row r="990" spans="1:4" x14ac:dyDescent="0.2">
      <c r="A990" s="64">
        <v>44317</v>
      </c>
      <c r="B990">
        <v>61.6</v>
      </c>
      <c r="C990">
        <v>144940</v>
      </c>
      <c r="D990">
        <v>5.8</v>
      </c>
    </row>
    <row r="991" spans="1:4" x14ac:dyDescent="0.2">
      <c r="A991" s="64">
        <v>44348</v>
      </c>
      <c r="B991">
        <v>61.6</v>
      </c>
      <c r="C991">
        <v>145902</v>
      </c>
      <c r="D991">
        <v>5.9</v>
      </c>
    </row>
    <row r="992" spans="1:4" x14ac:dyDescent="0.2">
      <c r="A992" s="64">
        <v>44378</v>
      </c>
      <c r="B992">
        <v>61.7</v>
      </c>
      <c r="C992">
        <v>146993</v>
      </c>
      <c r="D992">
        <v>5.4</v>
      </c>
    </row>
    <row r="993" spans="1:4" x14ac:dyDescent="0.2">
      <c r="A993" s="64">
        <v>44409</v>
      </c>
      <c r="B993">
        <v>61.7</v>
      </c>
      <c r="C993">
        <v>147476</v>
      </c>
      <c r="D993">
        <v>5.2</v>
      </c>
    </row>
    <row r="994" spans="1:4" x14ac:dyDescent="0.2">
      <c r="A994" s="64">
        <v>44440</v>
      </c>
      <c r="B994">
        <v>61.6</v>
      </c>
      <c r="C994">
        <v>147855</v>
      </c>
      <c r="D994">
        <v>4.8</v>
      </c>
    </row>
    <row r="995" spans="1:4" x14ac:dyDescent="0.2">
      <c r="A995" s="64">
        <v>44470</v>
      </c>
      <c r="B995">
        <v>61.6</v>
      </c>
      <c r="C995">
        <v>148401</v>
      </c>
      <c r="D995">
        <v>4.5999999999999996</v>
      </c>
    </row>
    <row r="996" spans="1:4" x14ac:dyDescent="0.2">
      <c r="A996" s="64">
        <v>44501</v>
      </c>
      <c r="B996">
        <v>61.8</v>
      </c>
      <c r="C996">
        <v>148611</v>
      </c>
      <c r="D996">
        <v>4.2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tint="0.499984740745262"/>
  </sheetPr>
  <dimension ref="A1:C2868"/>
  <sheetViews>
    <sheetView workbookViewId="0">
      <pane ySplit="1" topLeftCell="A2" activePane="bottomLeft" state="frozen"/>
      <selection activeCell="A2" sqref="A2"/>
      <selection pane="bottomLeft" activeCell="A2" sqref="A2"/>
    </sheetView>
  </sheetViews>
  <sheetFormatPr baseColWidth="10" defaultColWidth="8.83203125" defaultRowHeight="15" x14ac:dyDescent="0.2"/>
  <cols>
    <col min="1" max="1" width="16.33203125" style="51" customWidth="1"/>
    <col min="2" max="2" width="10.6640625" style="51" customWidth="1"/>
    <col min="3" max="5" width="8.83203125" style="51" customWidth="1"/>
    <col min="6" max="16384" width="8.83203125" style="51"/>
  </cols>
  <sheetData>
    <row r="1" spans="1:3" x14ac:dyDescent="0.2">
      <c r="A1" t="s">
        <v>36</v>
      </c>
      <c r="B1" t="s">
        <v>22</v>
      </c>
      <c r="C1" t="s">
        <v>24</v>
      </c>
    </row>
    <row r="2" spans="1:3" x14ac:dyDescent="0.2">
      <c r="A2" s="64">
        <v>24479</v>
      </c>
      <c r="B2">
        <v>1134000</v>
      </c>
      <c r="C2">
        <v>208000</v>
      </c>
    </row>
    <row r="3" spans="1:3" x14ac:dyDescent="0.2">
      <c r="A3" s="64">
        <v>24486</v>
      </c>
      <c r="B3">
        <v>1119000</v>
      </c>
      <c r="C3">
        <v>207000</v>
      </c>
    </row>
    <row r="4" spans="1:3" x14ac:dyDescent="0.2">
      <c r="A4" s="64">
        <v>24493</v>
      </c>
      <c r="B4">
        <v>1119000</v>
      </c>
      <c r="C4">
        <v>217000</v>
      </c>
    </row>
    <row r="5" spans="1:3" x14ac:dyDescent="0.2">
      <c r="A5" s="64">
        <v>24500</v>
      </c>
      <c r="B5">
        <v>1103000</v>
      </c>
      <c r="C5">
        <v>204000</v>
      </c>
    </row>
    <row r="6" spans="1:3" x14ac:dyDescent="0.2">
      <c r="A6" s="64">
        <v>24507</v>
      </c>
      <c r="B6">
        <v>1131000</v>
      </c>
      <c r="C6">
        <v>216000</v>
      </c>
    </row>
    <row r="7" spans="1:3" x14ac:dyDescent="0.2">
      <c r="A7" s="64">
        <v>24514</v>
      </c>
      <c r="B7">
        <v>1153000</v>
      </c>
      <c r="C7">
        <v>229000</v>
      </c>
    </row>
    <row r="8" spans="1:3" x14ac:dyDescent="0.2">
      <c r="A8" s="64">
        <v>24521</v>
      </c>
      <c r="B8">
        <v>1167000</v>
      </c>
      <c r="C8">
        <v>229000</v>
      </c>
    </row>
    <row r="9" spans="1:3" x14ac:dyDescent="0.2">
      <c r="A9" s="64">
        <v>24528</v>
      </c>
      <c r="B9">
        <v>1199000</v>
      </c>
      <c r="C9">
        <v>242000</v>
      </c>
    </row>
    <row r="10" spans="1:3" x14ac:dyDescent="0.2">
      <c r="A10" s="64">
        <v>24535</v>
      </c>
      <c r="B10">
        <v>1235000</v>
      </c>
      <c r="C10">
        <v>310000</v>
      </c>
    </row>
    <row r="11" spans="1:3" x14ac:dyDescent="0.2">
      <c r="A11" s="64">
        <v>24542</v>
      </c>
      <c r="B11">
        <v>1234000</v>
      </c>
      <c r="C11">
        <v>241000</v>
      </c>
    </row>
    <row r="12" spans="1:3" x14ac:dyDescent="0.2">
      <c r="A12" s="64">
        <v>24549</v>
      </c>
      <c r="B12">
        <v>1236000</v>
      </c>
      <c r="C12">
        <v>245000</v>
      </c>
    </row>
    <row r="13" spans="1:3" x14ac:dyDescent="0.2">
      <c r="A13" s="64">
        <v>24556</v>
      </c>
      <c r="B13">
        <v>1268000</v>
      </c>
      <c r="C13">
        <v>247000</v>
      </c>
    </row>
    <row r="14" spans="1:3" x14ac:dyDescent="0.2">
      <c r="A14" s="64">
        <v>24563</v>
      </c>
      <c r="B14">
        <v>1291000</v>
      </c>
      <c r="C14">
        <v>259000</v>
      </c>
    </row>
    <row r="15" spans="1:3" x14ac:dyDescent="0.2">
      <c r="A15" s="64">
        <v>24570</v>
      </c>
      <c r="B15">
        <v>1273000</v>
      </c>
      <c r="C15">
        <v>257000</v>
      </c>
    </row>
    <row r="16" spans="1:3" x14ac:dyDescent="0.2">
      <c r="A16" s="64">
        <v>24577</v>
      </c>
      <c r="B16">
        <v>1278000</v>
      </c>
      <c r="C16">
        <v>299000</v>
      </c>
    </row>
    <row r="17" spans="1:3" x14ac:dyDescent="0.2">
      <c r="A17" s="64">
        <v>24584</v>
      </c>
      <c r="B17">
        <v>1277000</v>
      </c>
      <c r="C17">
        <v>245000</v>
      </c>
    </row>
    <row r="18" spans="1:3" x14ac:dyDescent="0.2">
      <c r="A18" s="64">
        <v>24591</v>
      </c>
      <c r="B18">
        <v>1286000</v>
      </c>
      <c r="C18">
        <v>255000</v>
      </c>
    </row>
    <row r="19" spans="1:3" x14ac:dyDescent="0.2">
      <c r="A19" s="64">
        <v>24598</v>
      </c>
      <c r="B19">
        <v>1308000</v>
      </c>
      <c r="C19">
        <v>254000</v>
      </c>
    </row>
    <row r="20" spans="1:3" x14ac:dyDescent="0.2">
      <c r="A20" s="64">
        <v>24605</v>
      </c>
      <c r="B20">
        <v>1284000</v>
      </c>
      <c r="C20">
        <v>231000</v>
      </c>
    </row>
    <row r="21" spans="1:3" x14ac:dyDescent="0.2">
      <c r="A21" s="64">
        <v>24612</v>
      </c>
      <c r="B21">
        <v>1265000</v>
      </c>
      <c r="C21">
        <v>230000</v>
      </c>
    </row>
    <row r="22" spans="1:3" x14ac:dyDescent="0.2">
      <c r="A22" s="64">
        <v>24619</v>
      </c>
      <c r="B22">
        <v>1253000</v>
      </c>
      <c r="C22">
        <v>228000</v>
      </c>
    </row>
    <row r="23" spans="1:3" x14ac:dyDescent="0.2">
      <c r="A23" s="64">
        <v>24626</v>
      </c>
      <c r="B23">
        <v>1265000</v>
      </c>
      <c r="C23">
        <v>248000</v>
      </c>
    </row>
    <row r="24" spans="1:3" x14ac:dyDescent="0.2">
      <c r="A24" s="64">
        <v>24633</v>
      </c>
      <c r="B24">
        <v>1251000</v>
      </c>
      <c r="C24">
        <v>238000</v>
      </c>
    </row>
    <row r="25" spans="1:3" x14ac:dyDescent="0.2">
      <c r="A25" s="64">
        <v>24640</v>
      </c>
      <c r="B25">
        <v>1248000</v>
      </c>
      <c r="C25">
        <v>224000</v>
      </c>
    </row>
    <row r="26" spans="1:3" x14ac:dyDescent="0.2">
      <c r="A26" s="64">
        <v>24647</v>
      </c>
      <c r="B26">
        <v>1220000</v>
      </c>
      <c r="C26">
        <v>218000</v>
      </c>
    </row>
    <row r="27" spans="1:3" x14ac:dyDescent="0.2">
      <c r="A27" s="64">
        <v>24654</v>
      </c>
      <c r="B27">
        <v>1193000</v>
      </c>
      <c r="C27">
        <v>209000</v>
      </c>
    </row>
    <row r="28" spans="1:3" x14ac:dyDescent="0.2">
      <c r="A28" s="64">
        <v>24661</v>
      </c>
      <c r="B28">
        <v>1248000</v>
      </c>
      <c r="C28">
        <v>240000</v>
      </c>
    </row>
    <row r="29" spans="1:3" x14ac:dyDescent="0.2">
      <c r="A29" s="64">
        <v>24668</v>
      </c>
      <c r="B29">
        <v>1258000</v>
      </c>
      <c r="C29">
        <v>241000</v>
      </c>
    </row>
    <row r="30" spans="1:3" x14ac:dyDescent="0.2">
      <c r="A30" s="64">
        <v>24675</v>
      </c>
      <c r="B30">
        <v>1252000</v>
      </c>
      <c r="C30">
        <v>240000</v>
      </c>
    </row>
    <row r="31" spans="1:3" x14ac:dyDescent="0.2">
      <c r="A31" s="64">
        <v>24682</v>
      </c>
      <c r="B31">
        <v>1280000</v>
      </c>
      <c r="C31">
        <v>209000</v>
      </c>
    </row>
    <row r="32" spans="1:3" x14ac:dyDescent="0.2">
      <c r="A32" s="64">
        <v>24689</v>
      </c>
      <c r="B32">
        <v>1240000</v>
      </c>
      <c r="C32">
        <v>221000</v>
      </c>
    </row>
    <row r="33" spans="1:3" x14ac:dyDescent="0.2">
      <c r="A33" s="64">
        <v>24696</v>
      </c>
      <c r="B33">
        <v>1215000</v>
      </c>
      <c r="C33">
        <v>202000</v>
      </c>
    </row>
    <row r="34" spans="1:3" x14ac:dyDescent="0.2">
      <c r="A34" s="64">
        <v>24703</v>
      </c>
      <c r="B34">
        <v>1202000</v>
      </c>
      <c r="C34">
        <v>215000</v>
      </c>
    </row>
    <row r="35" spans="1:3" x14ac:dyDescent="0.2">
      <c r="A35" s="64">
        <v>24710</v>
      </c>
      <c r="B35">
        <v>1180000</v>
      </c>
      <c r="C35">
        <v>213000</v>
      </c>
    </row>
    <row r="36" spans="1:3" x14ac:dyDescent="0.2">
      <c r="A36" s="64">
        <v>24717</v>
      </c>
      <c r="B36">
        <v>1204000</v>
      </c>
      <c r="C36">
        <v>218000</v>
      </c>
    </row>
    <row r="37" spans="1:3" x14ac:dyDescent="0.2">
      <c r="A37" s="64">
        <v>24724</v>
      </c>
      <c r="B37">
        <v>1189000</v>
      </c>
      <c r="C37">
        <v>231000</v>
      </c>
    </row>
    <row r="38" spans="1:3" x14ac:dyDescent="0.2">
      <c r="A38" s="64">
        <v>24731</v>
      </c>
      <c r="B38">
        <v>1179000</v>
      </c>
      <c r="C38">
        <v>220000</v>
      </c>
    </row>
    <row r="39" spans="1:3" x14ac:dyDescent="0.2">
      <c r="A39" s="64">
        <v>24738</v>
      </c>
      <c r="B39">
        <v>1178000</v>
      </c>
      <c r="C39">
        <v>209000</v>
      </c>
    </row>
    <row r="40" spans="1:3" x14ac:dyDescent="0.2">
      <c r="A40" s="64">
        <v>24745</v>
      </c>
      <c r="B40">
        <v>1157000</v>
      </c>
      <c r="C40">
        <v>204000</v>
      </c>
    </row>
    <row r="41" spans="1:3" x14ac:dyDescent="0.2">
      <c r="A41" s="64">
        <v>24752</v>
      </c>
      <c r="B41">
        <v>1165000</v>
      </c>
      <c r="C41">
        <v>231000</v>
      </c>
    </row>
    <row r="42" spans="1:3" x14ac:dyDescent="0.2">
      <c r="A42" s="64">
        <v>24759</v>
      </c>
      <c r="B42">
        <v>1189000</v>
      </c>
      <c r="C42">
        <v>206000</v>
      </c>
    </row>
    <row r="43" spans="1:3" x14ac:dyDescent="0.2">
      <c r="A43" s="64">
        <v>24766</v>
      </c>
      <c r="B43">
        <v>1174000</v>
      </c>
      <c r="C43">
        <v>223000</v>
      </c>
    </row>
    <row r="44" spans="1:3" x14ac:dyDescent="0.2">
      <c r="A44" s="64">
        <v>24773</v>
      </c>
      <c r="B44">
        <v>1161000</v>
      </c>
      <c r="C44">
        <v>207000</v>
      </c>
    </row>
    <row r="45" spans="1:3" x14ac:dyDescent="0.2">
      <c r="A45" s="64">
        <v>24780</v>
      </c>
      <c r="B45">
        <v>1176000</v>
      </c>
      <c r="C45">
        <v>222000</v>
      </c>
    </row>
    <row r="46" spans="1:3" x14ac:dyDescent="0.2">
      <c r="A46" s="64">
        <v>24787</v>
      </c>
      <c r="B46">
        <v>1142000</v>
      </c>
      <c r="C46">
        <v>214000</v>
      </c>
    </row>
    <row r="47" spans="1:3" x14ac:dyDescent="0.2">
      <c r="A47" s="64">
        <v>24794</v>
      </c>
      <c r="B47">
        <v>1133000</v>
      </c>
      <c r="C47">
        <v>198000</v>
      </c>
    </row>
    <row r="48" spans="1:3" x14ac:dyDescent="0.2">
      <c r="A48" s="64">
        <v>24801</v>
      </c>
      <c r="B48">
        <v>1142000</v>
      </c>
      <c r="C48">
        <v>191000</v>
      </c>
    </row>
    <row r="49" spans="1:3" x14ac:dyDescent="0.2">
      <c r="A49" s="64">
        <v>24808</v>
      </c>
      <c r="B49">
        <v>1150000</v>
      </c>
      <c r="C49">
        <v>196000</v>
      </c>
    </row>
    <row r="50" spans="1:3" x14ac:dyDescent="0.2">
      <c r="A50" s="64">
        <v>24815</v>
      </c>
      <c r="B50">
        <v>1153000</v>
      </c>
      <c r="C50">
        <v>221000</v>
      </c>
    </row>
    <row r="51" spans="1:3" x14ac:dyDescent="0.2">
      <c r="A51" s="64">
        <v>24822</v>
      </c>
      <c r="B51">
        <v>1188000</v>
      </c>
      <c r="C51">
        <v>204000</v>
      </c>
    </row>
    <row r="52" spans="1:3" x14ac:dyDescent="0.2">
      <c r="A52" s="64">
        <v>24829</v>
      </c>
      <c r="B52">
        <v>1195000</v>
      </c>
      <c r="C52">
        <v>219000</v>
      </c>
    </row>
    <row r="53" spans="1:3" x14ac:dyDescent="0.2">
      <c r="A53" s="64">
        <v>24836</v>
      </c>
      <c r="B53">
        <v>1167000</v>
      </c>
      <c r="C53">
        <v>216000</v>
      </c>
    </row>
    <row r="54" spans="1:3" x14ac:dyDescent="0.2">
      <c r="A54" s="64">
        <v>24843</v>
      </c>
      <c r="B54">
        <v>1158000</v>
      </c>
      <c r="C54">
        <v>222000</v>
      </c>
    </row>
    <row r="55" spans="1:3" x14ac:dyDescent="0.2">
      <c r="A55" s="64">
        <v>24850</v>
      </c>
      <c r="B55">
        <v>1187000</v>
      </c>
      <c r="C55">
        <v>222000</v>
      </c>
    </row>
    <row r="56" spans="1:3" x14ac:dyDescent="0.2">
      <c r="A56" s="64">
        <v>24857</v>
      </c>
      <c r="B56">
        <v>1191000</v>
      </c>
      <c r="C56">
        <v>221000</v>
      </c>
    </row>
    <row r="57" spans="1:3" x14ac:dyDescent="0.2">
      <c r="A57" s="64">
        <v>24864</v>
      </c>
      <c r="B57">
        <v>1157000</v>
      </c>
      <c r="C57">
        <v>198000</v>
      </c>
    </row>
    <row r="58" spans="1:3" x14ac:dyDescent="0.2">
      <c r="A58" s="64">
        <v>24871</v>
      </c>
      <c r="B58">
        <v>1173000</v>
      </c>
      <c r="C58">
        <v>244000</v>
      </c>
    </row>
    <row r="59" spans="1:3" x14ac:dyDescent="0.2">
      <c r="A59" s="64">
        <v>24878</v>
      </c>
      <c r="B59">
        <v>1175000</v>
      </c>
      <c r="C59">
        <v>210000</v>
      </c>
    </row>
    <row r="60" spans="1:3" x14ac:dyDescent="0.2">
      <c r="A60" s="64">
        <v>24885</v>
      </c>
      <c r="B60">
        <v>1143000</v>
      </c>
      <c r="C60">
        <v>196000</v>
      </c>
    </row>
    <row r="61" spans="1:3" x14ac:dyDescent="0.2">
      <c r="A61" s="64">
        <v>24892</v>
      </c>
      <c r="B61">
        <v>1165000</v>
      </c>
      <c r="C61">
        <v>193000</v>
      </c>
    </row>
    <row r="62" spans="1:3" x14ac:dyDescent="0.2">
      <c r="A62" s="64">
        <v>24899</v>
      </c>
      <c r="B62">
        <v>1151000</v>
      </c>
      <c r="C62">
        <v>190000</v>
      </c>
    </row>
    <row r="63" spans="1:3" x14ac:dyDescent="0.2">
      <c r="A63" s="64">
        <v>24906</v>
      </c>
      <c r="B63">
        <v>1147000</v>
      </c>
      <c r="C63">
        <v>204000</v>
      </c>
    </row>
    <row r="64" spans="1:3" x14ac:dyDescent="0.2">
      <c r="A64" s="64">
        <v>24913</v>
      </c>
      <c r="B64">
        <v>1143000</v>
      </c>
      <c r="C64">
        <v>190000</v>
      </c>
    </row>
    <row r="65" spans="1:3" x14ac:dyDescent="0.2">
      <c r="A65" s="64">
        <v>24920</v>
      </c>
      <c r="B65">
        <v>1136000</v>
      </c>
      <c r="C65">
        <v>200000</v>
      </c>
    </row>
    <row r="66" spans="1:3" x14ac:dyDescent="0.2">
      <c r="A66" s="64">
        <v>24927</v>
      </c>
      <c r="B66">
        <v>1119000</v>
      </c>
      <c r="C66">
        <v>192000</v>
      </c>
    </row>
    <row r="67" spans="1:3" x14ac:dyDescent="0.2">
      <c r="A67" s="64">
        <v>24934</v>
      </c>
      <c r="B67">
        <v>1079000</v>
      </c>
      <c r="C67">
        <v>191000</v>
      </c>
    </row>
    <row r="68" spans="1:3" x14ac:dyDescent="0.2">
      <c r="A68" s="64">
        <v>24941</v>
      </c>
      <c r="B68">
        <v>1079000</v>
      </c>
      <c r="C68">
        <v>171000</v>
      </c>
    </row>
    <row r="69" spans="1:3" x14ac:dyDescent="0.2">
      <c r="A69" s="64">
        <v>24948</v>
      </c>
      <c r="B69">
        <v>1059000</v>
      </c>
      <c r="C69">
        <v>183000</v>
      </c>
    </row>
    <row r="70" spans="1:3" x14ac:dyDescent="0.2">
      <c r="A70" s="64">
        <v>24955</v>
      </c>
      <c r="B70">
        <v>1087000</v>
      </c>
      <c r="C70">
        <v>251000</v>
      </c>
    </row>
    <row r="71" spans="1:3" x14ac:dyDescent="0.2">
      <c r="A71" s="64">
        <v>24962</v>
      </c>
      <c r="B71">
        <v>1079000</v>
      </c>
      <c r="C71">
        <v>209000</v>
      </c>
    </row>
    <row r="72" spans="1:3" x14ac:dyDescent="0.2">
      <c r="A72" s="64">
        <v>24969</v>
      </c>
      <c r="B72">
        <v>1091000</v>
      </c>
      <c r="C72">
        <v>194000</v>
      </c>
    </row>
    <row r="73" spans="1:3" x14ac:dyDescent="0.2">
      <c r="A73" s="64">
        <v>24976</v>
      </c>
      <c r="B73">
        <v>1071000</v>
      </c>
      <c r="C73">
        <v>199000</v>
      </c>
    </row>
    <row r="74" spans="1:3" x14ac:dyDescent="0.2">
      <c r="A74" s="64">
        <v>24983</v>
      </c>
      <c r="B74">
        <v>1073000</v>
      </c>
      <c r="C74">
        <v>194000</v>
      </c>
    </row>
    <row r="75" spans="1:3" x14ac:dyDescent="0.2">
      <c r="A75" s="64">
        <v>24990</v>
      </c>
      <c r="B75">
        <v>1063000</v>
      </c>
      <c r="C75">
        <v>199000</v>
      </c>
    </row>
    <row r="76" spans="1:3" x14ac:dyDescent="0.2">
      <c r="A76" s="64">
        <v>24997</v>
      </c>
      <c r="B76">
        <v>1097000</v>
      </c>
      <c r="C76">
        <v>192000</v>
      </c>
    </row>
    <row r="77" spans="1:3" x14ac:dyDescent="0.2">
      <c r="A77" s="64">
        <v>25004</v>
      </c>
      <c r="B77">
        <v>1071000</v>
      </c>
      <c r="C77">
        <v>194000</v>
      </c>
    </row>
    <row r="78" spans="1:3" x14ac:dyDescent="0.2">
      <c r="A78" s="64">
        <v>25011</v>
      </c>
      <c r="B78">
        <v>1060000</v>
      </c>
      <c r="C78">
        <v>189000</v>
      </c>
    </row>
    <row r="79" spans="1:3" x14ac:dyDescent="0.2">
      <c r="A79" s="64">
        <v>25018</v>
      </c>
      <c r="B79">
        <v>1038000</v>
      </c>
      <c r="C79">
        <v>194000</v>
      </c>
    </row>
    <row r="80" spans="1:3" x14ac:dyDescent="0.2">
      <c r="A80" s="64">
        <v>25025</v>
      </c>
      <c r="B80">
        <v>1097000</v>
      </c>
      <c r="C80">
        <v>214000</v>
      </c>
    </row>
    <row r="81" spans="1:3" x14ac:dyDescent="0.2">
      <c r="A81" s="64">
        <v>25032</v>
      </c>
      <c r="B81">
        <v>1076000</v>
      </c>
      <c r="C81">
        <v>186000</v>
      </c>
    </row>
    <row r="82" spans="1:3" x14ac:dyDescent="0.2">
      <c r="A82" s="64">
        <v>25039</v>
      </c>
      <c r="B82">
        <v>1033000</v>
      </c>
      <c r="C82">
        <v>180000</v>
      </c>
    </row>
    <row r="83" spans="1:3" x14ac:dyDescent="0.2">
      <c r="A83" s="64">
        <v>25046</v>
      </c>
      <c r="B83">
        <v>1036000</v>
      </c>
      <c r="C83">
        <v>205000</v>
      </c>
    </row>
    <row r="84" spans="1:3" x14ac:dyDescent="0.2">
      <c r="A84" s="64">
        <v>25053</v>
      </c>
      <c r="B84">
        <v>1072000</v>
      </c>
      <c r="C84">
        <v>206000</v>
      </c>
    </row>
    <row r="85" spans="1:3" x14ac:dyDescent="0.2">
      <c r="A85" s="64">
        <v>25060</v>
      </c>
      <c r="B85">
        <v>1088000</v>
      </c>
      <c r="C85">
        <v>218000</v>
      </c>
    </row>
    <row r="86" spans="1:3" x14ac:dyDescent="0.2">
      <c r="A86" s="64">
        <v>25067</v>
      </c>
      <c r="B86">
        <v>1107000</v>
      </c>
      <c r="C86">
        <v>192000</v>
      </c>
    </row>
    <row r="87" spans="1:3" x14ac:dyDescent="0.2">
      <c r="A87" s="64">
        <v>25074</v>
      </c>
      <c r="B87">
        <v>1094000</v>
      </c>
      <c r="C87">
        <v>193000</v>
      </c>
    </row>
    <row r="88" spans="1:3" x14ac:dyDescent="0.2">
      <c r="A88" s="64">
        <v>25081</v>
      </c>
      <c r="B88">
        <v>1064000</v>
      </c>
      <c r="C88">
        <v>188000</v>
      </c>
    </row>
    <row r="89" spans="1:3" x14ac:dyDescent="0.2">
      <c r="A89" s="64">
        <v>25088</v>
      </c>
      <c r="B89">
        <v>1067000</v>
      </c>
      <c r="C89">
        <v>189000</v>
      </c>
    </row>
    <row r="90" spans="1:3" x14ac:dyDescent="0.2">
      <c r="A90" s="64">
        <v>25095</v>
      </c>
      <c r="B90">
        <v>1044000</v>
      </c>
      <c r="C90">
        <v>195000</v>
      </c>
    </row>
    <row r="91" spans="1:3" x14ac:dyDescent="0.2">
      <c r="A91" s="64">
        <v>25102</v>
      </c>
      <c r="B91">
        <v>1047000</v>
      </c>
      <c r="C91">
        <v>191000</v>
      </c>
    </row>
    <row r="92" spans="1:3" x14ac:dyDescent="0.2">
      <c r="A92" s="64">
        <v>25109</v>
      </c>
      <c r="B92">
        <v>1048000</v>
      </c>
      <c r="C92">
        <v>189000</v>
      </c>
    </row>
    <row r="93" spans="1:3" x14ac:dyDescent="0.2">
      <c r="A93" s="64">
        <v>25116</v>
      </c>
      <c r="B93">
        <v>1060000</v>
      </c>
      <c r="C93">
        <v>185000</v>
      </c>
    </row>
    <row r="94" spans="1:3" x14ac:dyDescent="0.2">
      <c r="A94" s="64">
        <v>25123</v>
      </c>
      <c r="B94">
        <v>1045000</v>
      </c>
      <c r="C94">
        <v>186000</v>
      </c>
    </row>
    <row r="95" spans="1:3" x14ac:dyDescent="0.2">
      <c r="A95" s="64">
        <v>25130</v>
      </c>
      <c r="B95">
        <v>1035000</v>
      </c>
      <c r="C95">
        <v>191000</v>
      </c>
    </row>
    <row r="96" spans="1:3" x14ac:dyDescent="0.2">
      <c r="A96" s="64">
        <v>25137</v>
      </c>
      <c r="B96">
        <v>1033000</v>
      </c>
      <c r="C96">
        <v>182000</v>
      </c>
    </row>
    <row r="97" spans="1:3" x14ac:dyDescent="0.2">
      <c r="A97" s="64">
        <v>25144</v>
      </c>
      <c r="B97">
        <v>1028000</v>
      </c>
      <c r="C97">
        <v>181000</v>
      </c>
    </row>
    <row r="98" spans="1:3" x14ac:dyDescent="0.2">
      <c r="A98" s="64">
        <v>25151</v>
      </c>
      <c r="B98">
        <v>1028000</v>
      </c>
      <c r="C98">
        <v>183000</v>
      </c>
    </row>
    <row r="99" spans="1:3" x14ac:dyDescent="0.2">
      <c r="A99" s="64">
        <v>25158</v>
      </c>
      <c r="B99">
        <v>1076000</v>
      </c>
      <c r="C99">
        <v>192000</v>
      </c>
    </row>
    <row r="100" spans="1:3" x14ac:dyDescent="0.2">
      <c r="A100" s="64">
        <v>25165</v>
      </c>
      <c r="B100">
        <v>1023000</v>
      </c>
      <c r="C100">
        <v>199000</v>
      </c>
    </row>
    <row r="101" spans="1:3" x14ac:dyDescent="0.2">
      <c r="A101" s="64">
        <v>25172</v>
      </c>
      <c r="B101">
        <v>1056000</v>
      </c>
      <c r="C101">
        <v>162000</v>
      </c>
    </row>
    <row r="102" spans="1:3" x14ac:dyDescent="0.2">
      <c r="A102" s="64">
        <v>25179</v>
      </c>
      <c r="B102">
        <v>1063000</v>
      </c>
      <c r="C102">
        <v>188000</v>
      </c>
    </row>
    <row r="103" spans="1:3" x14ac:dyDescent="0.2">
      <c r="A103" s="64">
        <v>25186</v>
      </c>
      <c r="B103">
        <v>1061000</v>
      </c>
      <c r="C103">
        <v>195000</v>
      </c>
    </row>
    <row r="104" spans="1:3" x14ac:dyDescent="0.2">
      <c r="A104" s="64">
        <v>25193</v>
      </c>
      <c r="B104">
        <v>1063000</v>
      </c>
      <c r="C104">
        <v>192000</v>
      </c>
    </row>
    <row r="105" spans="1:3" x14ac:dyDescent="0.2">
      <c r="A105" s="64">
        <v>25200</v>
      </c>
      <c r="B105">
        <v>1116000</v>
      </c>
      <c r="C105">
        <v>223000</v>
      </c>
    </row>
    <row r="106" spans="1:3" x14ac:dyDescent="0.2">
      <c r="A106" s="64">
        <v>25207</v>
      </c>
      <c r="B106">
        <v>1118000</v>
      </c>
      <c r="C106">
        <v>190000</v>
      </c>
    </row>
    <row r="107" spans="1:3" x14ac:dyDescent="0.2">
      <c r="A107" s="64">
        <v>25214</v>
      </c>
      <c r="B107">
        <v>1099000</v>
      </c>
      <c r="C107">
        <v>191000</v>
      </c>
    </row>
    <row r="108" spans="1:3" x14ac:dyDescent="0.2">
      <c r="A108" s="64">
        <v>25221</v>
      </c>
      <c r="B108">
        <v>1072000</v>
      </c>
      <c r="C108">
        <v>192000</v>
      </c>
    </row>
    <row r="109" spans="1:3" x14ac:dyDescent="0.2">
      <c r="A109" s="64">
        <v>25228</v>
      </c>
      <c r="B109">
        <v>1077000</v>
      </c>
      <c r="C109">
        <v>193000</v>
      </c>
    </row>
    <row r="110" spans="1:3" x14ac:dyDescent="0.2">
      <c r="A110" s="64">
        <v>25235</v>
      </c>
      <c r="B110">
        <v>1099000</v>
      </c>
      <c r="C110">
        <v>203000</v>
      </c>
    </row>
    <row r="111" spans="1:3" x14ac:dyDescent="0.2">
      <c r="A111" s="64">
        <v>25242</v>
      </c>
      <c r="B111">
        <v>1088000</v>
      </c>
      <c r="C111">
        <v>197000</v>
      </c>
    </row>
    <row r="112" spans="1:3" x14ac:dyDescent="0.2">
      <c r="A112" s="64">
        <v>25249</v>
      </c>
      <c r="B112">
        <v>1115000</v>
      </c>
      <c r="C112">
        <v>192000</v>
      </c>
    </row>
    <row r="113" spans="1:3" x14ac:dyDescent="0.2">
      <c r="A113" s="64">
        <v>25256</v>
      </c>
      <c r="B113">
        <v>1092000</v>
      </c>
      <c r="C113">
        <v>192000</v>
      </c>
    </row>
    <row r="114" spans="1:3" x14ac:dyDescent="0.2">
      <c r="A114" s="64">
        <v>25263</v>
      </c>
      <c r="B114">
        <v>1098000</v>
      </c>
      <c r="C114">
        <v>201000</v>
      </c>
    </row>
    <row r="115" spans="1:3" x14ac:dyDescent="0.2">
      <c r="A115" s="64">
        <v>25270</v>
      </c>
      <c r="B115">
        <v>1099000</v>
      </c>
      <c r="C115">
        <v>191000</v>
      </c>
    </row>
    <row r="116" spans="1:3" x14ac:dyDescent="0.2">
      <c r="A116" s="64">
        <v>25277</v>
      </c>
      <c r="B116">
        <v>1080000</v>
      </c>
      <c r="C116">
        <v>189000</v>
      </c>
    </row>
    <row r="117" spans="1:3" x14ac:dyDescent="0.2">
      <c r="A117" s="64">
        <v>25284</v>
      </c>
      <c r="B117">
        <v>1071000</v>
      </c>
      <c r="C117">
        <v>181000</v>
      </c>
    </row>
    <row r="118" spans="1:3" x14ac:dyDescent="0.2">
      <c r="A118" s="64">
        <v>25291</v>
      </c>
      <c r="B118">
        <v>1041000</v>
      </c>
      <c r="C118">
        <v>183000</v>
      </c>
    </row>
    <row r="119" spans="1:3" x14ac:dyDescent="0.2">
      <c r="A119" s="64">
        <v>25298</v>
      </c>
      <c r="B119">
        <v>1076000</v>
      </c>
      <c r="C119">
        <v>182000</v>
      </c>
    </row>
    <row r="120" spans="1:3" x14ac:dyDescent="0.2">
      <c r="A120" s="64">
        <v>25305</v>
      </c>
      <c r="B120">
        <v>1050000</v>
      </c>
      <c r="C120">
        <v>190000</v>
      </c>
    </row>
    <row r="121" spans="1:3" x14ac:dyDescent="0.2">
      <c r="A121" s="64">
        <v>25312</v>
      </c>
      <c r="B121">
        <v>1025000</v>
      </c>
      <c r="C121">
        <v>187000</v>
      </c>
    </row>
    <row r="122" spans="1:3" x14ac:dyDescent="0.2">
      <c r="A122" s="64">
        <v>25319</v>
      </c>
      <c r="B122">
        <v>992000</v>
      </c>
      <c r="C122">
        <v>177000</v>
      </c>
    </row>
    <row r="123" spans="1:3" x14ac:dyDescent="0.2">
      <c r="A123" s="64">
        <v>25326</v>
      </c>
      <c r="B123">
        <v>1003000</v>
      </c>
      <c r="C123">
        <v>177000</v>
      </c>
    </row>
    <row r="124" spans="1:3" x14ac:dyDescent="0.2">
      <c r="A124" s="64">
        <v>25333</v>
      </c>
      <c r="B124">
        <v>1018000</v>
      </c>
      <c r="C124">
        <v>183000</v>
      </c>
    </row>
    <row r="125" spans="1:3" x14ac:dyDescent="0.2">
      <c r="A125" s="64">
        <v>25340</v>
      </c>
      <c r="B125">
        <v>1007000</v>
      </c>
      <c r="C125">
        <v>179000</v>
      </c>
    </row>
    <row r="126" spans="1:3" x14ac:dyDescent="0.2">
      <c r="A126" s="64">
        <v>25347</v>
      </c>
      <c r="B126">
        <v>1006000</v>
      </c>
      <c r="C126">
        <v>180000</v>
      </c>
    </row>
    <row r="127" spans="1:3" x14ac:dyDescent="0.2">
      <c r="A127" s="64">
        <v>25354</v>
      </c>
      <c r="B127">
        <v>988000</v>
      </c>
      <c r="C127">
        <v>187000</v>
      </c>
    </row>
    <row r="128" spans="1:3" x14ac:dyDescent="0.2">
      <c r="A128" s="64">
        <v>25361</v>
      </c>
      <c r="B128">
        <v>992000</v>
      </c>
      <c r="C128">
        <v>192000</v>
      </c>
    </row>
    <row r="129" spans="1:3" x14ac:dyDescent="0.2">
      <c r="A129" s="64">
        <v>25368</v>
      </c>
      <c r="B129">
        <v>1010000</v>
      </c>
      <c r="C129">
        <v>182000</v>
      </c>
    </row>
    <row r="130" spans="1:3" x14ac:dyDescent="0.2">
      <c r="A130" s="64">
        <v>25375</v>
      </c>
      <c r="B130">
        <v>1012000</v>
      </c>
      <c r="C130">
        <v>191000</v>
      </c>
    </row>
    <row r="131" spans="1:3" x14ac:dyDescent="0.2">
      <c r="A131" s="64">
        <v>25382</v>
      </c>
      <c r="B131">
        <v>1021000</v>
      </c>
      <c r="C131">
        <v>203000</v>
      </c>
    </row>
    <row r="132" spans="1:3" x14ac:dyDescent="0.2">
      <c r="A132" s="64">
        <v>25389</v>
      </c>
      <c r="B132">
        <v>1072000</v>
      </c>
      <c r="C132">
        <v>227000</v>
      </c>
    </row>
    <row r="133" spans="1:3" x14ac:dyDescent="0.2">
      <c r="A133" s="64">
        <v>25396</v>
      </c>
      <c r="B133">
        <v>1092000</v>
      </c>
      <c r="C133">
        <v>210000</v>
      </c>
    </row>
    <row r="134" spans="1:3" x14ac:dyDescent="0.2">
      <c r="A134" s="64">
        <v>25403</v>
      </c>
      <c r="B134">
        <v>1072000</v>
      </c>
      <c r="C134">
        <v>206000</v>
      </c>
    </row>
    <row r="135" spans="1:3" x14ac:dyDescent="0.2">
      <c r="A135" s="64">
        <v>25410</v>
      </c>
      <c r="B135">
        <v>1110000</v>
      </c>
      <c r="C135">
        <v>192000</v>
      </c>
    </row>
    <row r="136" spans="1:3" x14ac:dyDescent="0.2">
      <c r="A136" s="64">
        <v>25417</v>
      </c>
      <c r="B136">
        <v>1126000</v>
      </c>
      <c r="C136">
        <v>196000</v>
      </c>
    </row>
    <row r="137" spans="1:3" x14ac:dyDescent="0.2">
      <c r="A137" s="64">
        <v>25424</v>
      </c>
      <c r="B137">
        <v>1093000</v>
      </c>
      <c r="C137">
        <v>203000</v>
      </c>
    </row>
    <row r="138" spans="1:3" x14ac:dyDescent="0.2">
      <c r="A138" s="64">
        <v>25431</v>
      </c>
      <c r="B138">
        <v>1067000</v>
      </c>
      <c r="C138">
        <v>199000</v>
      </c>
    </row>
    <row r="139" spans="1:3" x14ac:dyDescent="0.2">
      <c r="A139" s="64">
        <v>25438</v>
      </c>
      <c r="B139">
        <v>1060000</v>
      </c>
      <c r="C139">
        <v>199000</v>
      </c>
    </row>
    <row r="140" spans="1:3" x14ac:dyDescent="0.2">
      <c r="A140" s="64">
        <v>25445</v>
      </c>
      <c r="B140">
        <v>1074000</v>
      </c>
      <c r="C140">
        <v>195000</v>
      </c>
    </row>
    <row r="141" spans="1:3" x14ac:dyDescent="0.2">
      <c r="A141" s="64">
        <v>25452</v>
      </c>
      <c r="B141">
        <v>1111000</v>
      </c>
      <c r="C141">
        <v>182000</v>
      </c>
    </row>
    <row r="142" spans="1:3" x14ac:dyDescent="0.2">
      <c r="A142" s="64">
        <v>25459</v>
      </c>
      <c r="B142">
        <v>1082000</v>
      </c>
      <c r="C142">
        <v>209000</v>
      </c>
    </row>
    <row r="143" spans="1:3" x14ac:dyDescent="0.2">
      <c r="A143" s="64">
        <v>25466</v>
      </c>
      <c r="B143">
        <v>1083000</v>
      </c>
      <c r="C143">
        <v>195000</v>
      </c>
    </row>
    <row r="144" spans="1:3" x14ac:dyDescent="0.2">
      <c r="A144" s="64">
        <v>25473</v>
      </c>
      <c r="B144">
        <v>1086000</v>
      </c>
      <c r="C144">
        <v>193000</v>
      </c>
    </row>
    <row r="145" spans="1:3" x14ac:dyDescent="0.2">
      <c r="A145" s="64">
        <v>25480</v>
      </c>
      <c r="B145">
        <v>1103000</v>
      </c>
      <c r="C145">
        <v>193000</v>
      </c>
    </row>
    <row r="146" spans="1:3" x14ac:dyDescent="0.2">
      <c r="A146" s="64">
        <v>25487</v>
      </c>
      <c r="B146">
        <v>1100000</v>
      </c>
      <c r="C146">
        <v>200000</v>
      </c>
    </row>
    <row r="147" spans="1:3" x14ac:dyDescent="0.2">
      <c r="A147" s="64">
        <v>25494</v>
      </c>
      <c r="B147">
        <v>1118000</v>
      </c>
      <c r="C147">
        <v>199000</v>
      </c>
    </row>
    <row r="148" spans="1:3" x14ac:dyDescent="0.2">
      <c r="A148" s="64">
        <v>25501</v>
      </c>
      <c r="B148">
        <v>1136000</v>
      </c>
      <c r="C148">
        <v>205000</v>
      </c>
    </row>
    <row r="149" spans="1:3" x14ac:dyDescent="0.2">
      <c r="A149" s="64">
        <v>25508</v>
      </c>
      <c r="B149">
        <v>1143000</v>
      </c>
      <c r="C149">
        <v>198000</v>
      </c>
    </row>
    <row r="150" spans="1:3" x14ac:dyDescent="0.2">
      <c r="A150" s="64">
        <v>25515</v>
      </c>
      <c r="B150">
        <v>1146000</v>
      </c>
      <c r="C150">
        <v>211000</v>
      </c>
    </row>
    <row r="151" spans="1:3" x14ac:dyDescent="0.2">
      <c r="A151" s="64">
        <v>25522</v>
      </c>
      <c r="B151">
        <v>1181000</v>
      </c>
      <c r="C151">
        <v>197000</v>
      </c>
    </row>
    <row r="152" spans="1:3" x14ac:dyDescent="0.2">
      <c r="A152" s="64">
        <v>25529</v>
      </c>
      <c r="B152">
        <v>1158000</v>
      </c>
      <c r="C152">
        <v>217000</v>
      </c>
    </row>
    <row r="153" spans="1:3" x14ac:dyDescent="0.2">
      <c r="A153" s="64">
        <v>25536</v>
      </c>
      <c r="B153">
        <v>1211000</v>
      </c>
      <c r="C153">
        <v>202000</v>
      </c>
    </row>
    <row r="154" spans="1:3" x14ac:dyDescent="0.2">
      <c r="A154" s="64">
        <v>25543</v>
      </c>
      <c r="B154">
        <v>1226000</v>
      </c>
      <c r="C154">
        <v>202000</v>
      </c>
    </row>
    <row r="155" spans="1:3" x14ac:dyDescent="0.2">
      <c r="A155" s="64">
        <v>25550</v>
      </c>
      <c r="B155">
        <v>1233000</v>
      </c>
      <c r="C155">
        <v>222000</v>
      </c>
    </row>
    <row r="156" spans="1:3" x14ac:dyDescent="0.2">
      <c r="A156" s="64">
        <v>25557</v>
      </c>
      <c r="B156">
        <v>1252000</v>
      </c>
      <c r="C156">
        <v>232000</v>
      </c>
    </row>
    <row r="157" spans="1:3" x14ac:dyDescent="0.2">
      <c r="A157" s="64">
        <v>25564</v>
      </c>
      <c r="B157">
        <v>1304000</v>
      </c>
      <c r="C157">
        <v>223000</v>
      </c>
    </row>
    <row r="158" spans="1:3" x14ac:dyDescent="0.2">
      <c r="A158" s="64">
        <v>25571</v>
      </c>
      <c r="B158">
        <v>1332000</v>
      </c>
      <c r="C158">
        <v>230000</v>
      </c>
    </row>
    <row r="159" spans="1:3" x14ac:dyDescent="0.2">
      <c r="A159" s="64">
        <v>25578</v>
      </c>
      <c r="B159">
        <v>1353000</v>
      </c>
      <c r="C159">
        <v>242000</v>
      </c>
    </row>
    <row r="160" spans="1:3" x14ac:dyDescent="0.2">
      <c r="A160" s="64">
        <v>25585</v>
      </c>
      <c r="B160">
        <v>1371000</v>
      </c>
      <c r="C160">
        <v>268000</v>
      </c>
    </row>
    <row r="161" spans="1:3" x14ac:dyDescent="0.2">
      <c r="A161" s="64">
        <v>25592</v>
      </c>
      <c r="B161">
        <v>1388000</v>
      </c>
      <c r="C161">
        <v>256000</v>
      </c>
    </row>
    <row r="162" spans="1:3" x14ac:dyDescent="0.2">
      <c r="A162" s="64">
        <v>25599</v>
      </c>
      <c r="B162">
        <v>1385000</v>
      </c>
      <c r="C162">
        <v>239000</v>
      </c>
    </row>
    <row r="163" spans="1:3" x14ac:dyDescent="0.2">
      <c r="A163" s="64">
        <v>25606</v>
      </c>
      <c r="B163">
        <v>1397000</v>
      </c>
      <c r="C163">
        <v>256000</v>
      </c>
    </row>
    <row r="164" spans="1:3" x14ac:dyDescent="0.2">
      <c r="A164" s="64">
        <v>25613</v>
      </c>
      <c r="B164">
        <v>1445000</v>
      </c>
      <c r="C164">
        <v>265000</v>
      </c>
    </row>
    <row r="165" spans="1:3" x14ac:dyDescent="0.2">
      <c r="A165" s="64">
        <v>25620</v>
      </c>
      <c r="B165">
        <v>1412000</v>
      </c>
      <c r="C165">
        <v>271000</v>
      </c>
    </row>
    <row r="166" spans="1:3" x14ac:dyDescent="0.2">
      <c r="A166" s="64">
        <v>25627</v>
      </c>
      <c r="B166">
        <v>1430000</v>
      </c>
      <c r="C166">
        <v>242000</v>
      </c>
    </row>
    <row r="167" spans="1:3" x14ac:dyDescent="0.2">
      <c r="A167" s="64">
        <v>25634</v>
      </c>
      <c r="B167">
        <v>1443000</v>
      </c>
      <c r="C167">
        <v>262000</v>
      </c>
    </row>
    <row r="168" spans="1:3" x14ac:dyDescent="0.2">
      <c r="A168" s="64">
        <v>25641</v>
      </c>
      <c r="B168">
        <v>1456000</v>
      </c>
      <c r="C168">
        <v>271000</v>
      </c>
    </row>
    <row r="169" spans="1:3" x14ac:dyDescent="0.2">
      <c r="A169" s="64">
        <v>25648</v>
      </c>
      <c r="B169">
        <v>1498000</v>
      </c>
      <c r="C169">
        <v>264000</v>
      </c>
    </row>
    <row r="170" spans="1:3" x14ac:dyDescent="0.2">
      <c r="A170" s="64">
        <v>25655</v>
      </c>
      <c r="B170">
        <v>1537000</v>
      </c>
      <c r="C170">
        <v>276000</v>
      </c>
    </row>
    <row r="171" spans="1:3" x14ac:dyDescent="0.2">
      <c r="A171" s="64">
        <v>25662</v>
      </c>
      <c r="B171">
        <v>1573000</v>
      </c>
      <c r="C171">
        <v>273000</v>
      </c>
    </row>
    <row r="172" spans="1:3" x14ac:dyDescent="0.2">
      <c r="A172" s="64">
        <v>25669</v>
      </c>
      <c r="B172">
        <v>1586000</v>
      </c>
      <c r="C172">
        <v>305000</v>
      </c>
    </row>
    <row r="173" spans="1:3" x14ac:dyDescent="0.2">
      <c r="A173" s="64">
        <v>25676</v>
      </c>
      <c r="B173">
        <v>1653000</v>
      </c>
      <c r="C173">
        <v>374000</v>
      </c>
    </row>
    <row r="174" spans="1:3" x14ac:dyDescent="0.2">
      <c r="A174" s="64">
        <v>25683</v>
      </c>
      <c r="B174">
        <v>1748000</v>
      </c>
      <c r="C174">
        <v>349000</v>
      </c>
    </row>
    <row r="175" spans="1:3" x14ac:dyDescent="0.2">
      <c r="A175" s="64">
        <v>25690</v>
      </c>
      <c r="B175">
        <v>1811000</v>
      </c>
      <c r="C175">
        <v>334000</v>
      </c>
    </row>
    <row r="176" spans="1:3" x14ac:dyDescent="0.2">
      <c r="A176" s="64">
        <v>25697</v>
      </c>
      <c r="B176">
        <v>1847000</v>
      </c>
      <c r="C176">
        <v>318000</v>
      </c>
    </row>
    <row r="177" spans="1:3" x14ac:dyDescent="0.2">
      <c r="A177" s="64">
        <v>25704</v>
      </c>
      <c r="B177">
        <v>1840000</v>
      </c>
      <c r="C177">
        <v>303000</v>
      </c>
    </row>
    <row r="178" spans="1:3" x14ac:dyDescent="0.2">
      <c r="A178" s="64">
        <v>25711</v>
      </c>
      <c r="B178">
        <v>1827000</v>
      </c>
      <c r="C178">
        <v>296000</v>
      </c>
    </row>
    <row r="179" spans="1:3" x14ac:dyDescent="0.2">
      <c r="A179" s="64">
        <v>25718</v>
      </c>
      <c r="B179">
        <v>1807000</v>
      </c>
      <c r="C179">
        <v>301000</v>
      </c>
    </row>
    <row r="180" spans="1:3" x14ac:dyDescent="0.2">
      <c r="A180" s="64">
        <v>25725</v>
      </c>
      <c r="B180">
        <v>1817000</v>
      </c>
      <c r="C180">
        <v>301000</v>
      </c>
    </row>
    <row r="181" spans="1:3" x14ac:dyDescent="0.2">
      <c r="A181" s="64">
        <v>25732</v>
      </c>
      <c r="B181">
        <v>1852000</v>
      </c>
      <c r="C181">
        <v>298000</v>
      </c>
    </row>
    <row r="182" spans="1:3" x14ac:dyDescent="0.2">
      <c r="A182" s="64">
        <v>25739</v>
      </c>
      <c r="B182">
        <v>1864000</v>
      </c>
      <c r="C182">
        <v>296000</v>
      </c>
    </row>
    <row r="183" spans="1:3" x14ac:dyDescent="0.2">
      <c r="A183" s="64">
        <v>25746</v>
      </c>
      <c r="B183">
        <v>1866000</v>
      </c>
      <c r="C183">
        <v>291000</v>
      </c>
    </row>
    <row r="184" spans="1:3" x14ac:dyDescent="0.2">
      <c r="A184" s="64">
        <v>25753</v>
      </c>
      <c r="B184">
        <v>1853000</v>
      </c>
      <c r="C184">
        <v>277000</v>
      </c>
    </row>
    <row r="185" spans="1:3" x14ac:dyDescent="0.2">
      <c r="A185" s="64">
        <v>25760</v>
      </c>
      <c r="B185">
        <v>1868000</v>
      </c>
      <c r="C185">
        <v>288000</v>
      </c>
    </row>
    <row r="186" spans="1:3" x14ac:dyDescent="0.2">
      <c r="A186" s="64">
        <v>25767</v>
      </c>
      <c r="B186">
        <v>1877000</v>
      </c>
      <c r="C186">
        <v>294000</v>
      </c>
    </row>
    <row r="187" spans="1:3" x14ac:dyDescent="0.2">
      <c r="A187" s="64">
        <v>25774</v>
      </c>
      <c r="B187">
        <v>1918000</v>
      </c>
      <c r="C187">
        <v>287000</v>
      </c>
    </row>
    <row r="188" spans="1:3" x14ac:dyDescent="0.2">
      <c r="A188" s="64">
        <v>25781</v>
      </c>
      <c r="B188">
        <v>1900000</v>
      </c>
      <c r="C188">
        <v>261000</v>
      </c>
    </row>
    <row r="189" spans="1:3" x14ac:dyDescent="0.2">
      <c r="A189" s="64">
        <v>25788</v>
      </c>
      <c r="B189">
        <v>1890000</v>
      </c>
      <c r="C189">
        <v>266000</v>
      </c>
    </row>
    <row r="190" spans="1:3" x14ac:dyDescent="0.2">
      <c r="A190" s="64">
        <v>25795</v>
      </c>
      <c r="B190">
        <v>1933000</v>
      </c>
      <c r="C190">
        <v>300000</v>
      </c>
    </row>
    <row r="191" spans="1:3" x14ac:dyDescent="0.2">
      <c r="A191" s="64">
        <v>25802</v>
      </c>
      <c r="B191">
        <v>1970000</v>
      </c>
      <c r="C191">
        <v>303000</v>
      </c>
    </row>
    <row r="192" spans="1:3" x14ac:dyDescent="0.2">
      <c r="A192" s="64">
        <v>25809</v>
      </c>
      <c r="B192">
        <v>2005000</v>
      </c>
      <c r="C192">
        <v>297000</v>
      </c>
    </row>
    <row r="193" spans="1:3" x14ac:dyDescent="0.2">
      <c r="A193" s="64">
        <v>25816</v>
      </c>
      <c r="B193">
        <v>1996000</v>
      </c>
      <c r="C193">
        <v>324000</v>
      </c>
    </row>
    <row r="194" spans="1:3" x14ac:dyDescent="0.2">
      <c r="A194" s="64">
        <v>25823</v>
      </c>
      <c r="B194">
        <v>2068000</v>
      </c>
      <c r="C194">
        <v>292000</v>
      </c>
    </row>
    <row r="195" spans="1:3" x14ac:dyDescent="0.2">
      <c r="A195" s="64">
        <v>25830</v>
      </c>
      <c r="B195">
        <v>2069000</v>
      </c>
      <c r="C195">
        <v>325000</v>
      </c>
    </row>
    <row r="196" spans="1:3" x14ac:dyDescent="0.2">
      <c r="A196" s="64">
        <v>25837</v>
      </c>
      <c r="B196">
        <v>2092000</v>
      </c>
      <c r="C196">
        <v>333000</v>
      </c>
    </row>
    <row r="197" spans="1:3" x14ac:dyDescent="0.2">
      <c r="A197" s="64">
        <v>25844</v>
      </c>
      <c r="B197">
        <v>2164000</v>
      </c>
      <c r="C197">
        <v>350000</v>
      </c>
    </row>
    <row r="198" spans="1:3" x14ac:dyDescent="0.2">
      <c r="A198" s="64">
        <v>25851</v>
      </c>
      <c r="B198">
        <v>2207000</v>
      </c>
      <c r="C198">
        <v>327000</v>
      </c>
    </row>
    <row r="199" spans="1:3" x14ac:dyDescent="0.2">
      <c r="A199" s="64">
        <v>25858</v>
      </c>
      <c r="B199">
        <v>2210000</v>
      </c>
      <c r="C199">
        <v>334000</v>
      </c>
    </row>
    <row r="200" spans="1:3" x14ac:dyDescent="0.2">
      <c r="A200" s="64">
        <v>25865</v>
      </c>
      <c r="B200">
        <v>2257000</v>
      </c>
      <c r="C200">
        <v>330000</v>
      </c>
    </row>
    <row r="201" spans="1:3" x14ac:dyDescent="0.2">
      <c r="A201" s="64">
        <v>25872</v>
      </c>
      <c r="B201">
        <v>2233000</v>
      </c>
      <c r="C201">
        <v>327000</v>
      </c>
    </row>
    <row r="202" spans="1:3" x14ac:dyDescent="0.2">
      <c r="A202" s="64">
        <v>25879</v>
      </c>
      <c r="B202">
        <v>2279000</v>
      </c>
      <c r="C202">
        <v>336000</v>
      </c>
    </row>
    <row r="203" spans="1:3" x14ac:dyDescent="0.2">
      <c r="A203" s="64">
        <v>25886</v>
      </c>
      <c r="B203">
        <v>2343000</v>
      </c>
      <c r="C203">
        <v>314000</v>
      </c>
    </row>
    <row r="204" spans="1:3" x14ac:dyDescent="0.2">
      <c r="A204" s="64">
        <v>25893</v>
      </c>
      <c r="B204">
        <v>2285000</v>
      </c>
      <c r="C204">
        <v>314000</v>
      </c>
    </row>
    <row r="205" spans="1:3" x14ac:dyDescent="0.2">
      <c r="A205" s="64">
        <v>25900</v>
      </c>
      <c r="B205">
        <v>2292000</v>
      </c>
      <c r="C205">
        <v>337000</v>
      </c>
    </row>
    <row r="206" spans="1:3" x14ac:dyDescent="0.2">
      <c r="A206" s="64">
        <v>25907</v>
      </c>
      <c r="B206">
        <v>2276000</v>
      </c>
      <c r="C206">
        <v>308000</v>
      </c>
    </row>
    <row r="207" spans="1:3" x14ac:dyDescent="0.2">
      <c r="A207" s="64">
        <v>25914</v>
      </c>
      <c r="B207">
        <v>2193000</v>
      </c>
      <c r="C207">
        <v>306000</v>
      </c>
    </row>
    <row r="208" spans="1:3" x14ac:dyDescent="0.2">
      <c r="A208" s="64">
        <v>25921</v>
      </c>
      <c r="B208">
        <v>2224000</v>
      </c>
      <c r="C208">
        <v>289000</v>
      </c>
    </row>
    <row r="209" spans="1:3" x14ac:dyDescent="0.2">
      <c r="A209" s="64">
        <v>25928</v>
      </c>
      <c r="B209">
        <v>2147000</v>
      </c>
      <c r="C209">
        <v>321000</v>
      </c>
    </row>
    <row r="210" spans="1:3" x14ac:dyDescent="0.2">
      <c r="A210" s="64">
        <v>25935</v>
      </c>
      <c r="B210">
        <v>2102000</v>
      </c>
      <c r="C210">
        <v>303000</v>
      </c>
    </row>
    <row r="211" spans="1:3" x14ac:dyDescent="0.2">
      <c r="A211" s="64">
        <v>25942</v>
      </c>
      <c r="B211">
        <v>2124000</v>
      </c>
      <c r="C211">
        <v>288000</v>
      </c>
    </row>
    <row r="212" spans="1:3" x14ac:dyDescent="0.2">
      <c r="A212" s="64">
        <v>25949</v>
      </c>
      <c r="B212">
        <v>2100000</v>
      </c>
      <c r="C212">
        <v>299000</v>
      </c>
    </row>
    <row r="213" spans="1:3" x14ac:dyDescent="0.2">
      <c r="A213" s="64">
        <v>25956</v>
      </c>
      <c r="B213">
        <v>2091000</v>
      </c>
      <c r="C213">
        <v>312000</v>
      </c>
    </row>
    <row r="214" spans="1:3" x14ac:dyDescent="0.2">
      <c r="A214" s="64">
        <v>25963</v>
      </c>
      <c r="B214">
        <v>2086000</v>
      </c>
      <c r="C214">
        <v>292000</v>
      </c>
    </row>
    <row r="215" spans="1:3" x14ac:dyDescent="0.2">
      <c r="A215" s="64">
        <v>25970</v>
      </c>
      <c r="B215">
        <v>2120000</v>
      </c>
      <c r="C215">
        <v>296000</v>
      </c>
    </row>
    <row r="216" spans="1:3" x14ac:dyDescent="0.2">
      <c r="A216" s="64">
        <v>25977</v>
      </c>
      <c r="B216">
        <v>2079000</v>
      </c>
      <c r="C216">
        <v>282000</v>
      </c>
    </row>
    <row r="217" spans="1:3" x14ac:dyDescent="0.2">
      <c r="A217" s="64">
        <v>25984</v>
      </c>
      <c r="B217">
        <v>2120000</v>
      </c>
      <c r="C217">
        <v>268000</v>
      </c>
    </row>
    <row r="218" spans="1:3" x14ac:dyDescent="0.2">
      <c r="A218" s="64">
        <v>25991</v>
      </c>
      <c r="B218">
        <v>2081000</v>
      </c>
      <c r="C218">
        <v>290000</v>
      </c>
    </row>
    <row r="219" spans="1:3" x14ac:dyDescent="0.2">
      <c r="A219" s="64">
        <v>25998</v>
      </c>
      <c r="B219">
        <v>2132000</v>
      </c>
      <c r="C219">
        <v>297000</v>
      </c>
    </row>
    <row r="220" spans="1:3" x14ac:dyDescent="0.2">
      <c r="A220" s="64">
        <v>26005</v>
      </c>
      <c r="B220">
        <v>2126000</v>
      </c>
      <c r="C220">
        <v>287000</v>
      </c>
    </row>
    <row r="221" spans="1:3" x14ac:dyDescent="0.2">
      <c r="A221" s="64">
        <v>26012</v>
      </c>
      <c r="B221">
        <v>2140000</v>
      </c>
      <c r="C221">
        <v>291000</v>
      </c>
    </row>
    <row r="222" spans="1:3" x14ac:dyDescent="0.2">
      <c r="A222" s="64">
        <v>26019</v>
      </c>
      <c r="B222">
        <v>2157000</v>
      </c>
      <c r="C222">
        <v>300000</v>
      </c>
    </row>
    <row r="223" spans="1:3" x14ac:dyDescent="0.2">
      <c r="A223" s="64">
        <v>26026</v>
      </c>
      <c r="B223">
        <v>2135000</v>
      </c>
      <c r="C223">
        <v>299000</v>
      </c>
    </row>
    <row r="224" spans="1:3" x14ac:dyDescent="0.2">
      <c r="A224" s="64">
        <v>26033</v>
      </c>
      <c r="B224">
        <v>2156000</v>
      </c>
      <c r="C224">
        <v>279000</v>
      </c>
    </row>
    <row r="225" spans="1:3" x14ac:dyDescent="0.2">
      <c r="A225" s="64">
        <v>26040</v>
      </c>
      <c r="B225">
        <v>2163000</v>
      </c>
      <c r="C225">
        <v>284000</v>
      </c>
    </row>
    <row r="226" spans="1:3" x14ac:dyDescent="0.2">
      <c r="A226" s="64">
        <v>26047</v>
      </c>
      <c r="B226">
        <v>2127000</v>
      </c>
      <c r="C226">
        <v>288000</v>
      </c>
    </row>
    <row r="227" spans="1:3" x14ac:dyDescent="0.2">
      <c r="A227" s="64">
        <v>26054</v>
      </c>
      <c r="B227">
        <v>2157000</v>
      </c>
      <c r="C227">
        <v>290000</v>
      </c>
    </row>
    <row r="228" spans="1:3" x14ac:dyDescent="0.2">
      <c r="A228" s="64">
        <v>26061</v>
      </c>
      <c r="B228">
        <v>2179000</v>
      </c>
      <c r="C228">
        <v>293000</v>
      </c>
    </row>
    <row r="229" spans="1:3" x14ac:dyDescent="0.2">
      <c r="A229" s="64">
        <v>26068</v>
      </c>
      <c r="B229">
        <v>2179000</v>
      </c>
      <c r="C229">
        <v>284000</v>
      </c>
    </row>
    <row r="230" spans="1:3" x14ac:dyDescent="0.2">
      <c r="A230" s="64">
        <v>26075</v>
      </c>
      <c r="B230">
        <v>2167000</v>
      </c>
      <c r="C230">
        <v>295000</v>
      </c>
    </row>
    <row r="231" spans="1:3" x14ac:dyDescent="0.2">
      <c r="A231" s="64">
        <v>26082</v>
      </c>
      <c r="B231">
        <v>2171000</v>
      </c>
      <c r="C231">
        <v>299000</v>
      </c>
    </row>
    <row r="232" spans="1:3" x14ac:dyDescent="0.2">
      <c r="A232" s="64">
        <v>26089</v>
      </c>
      <c r="B232">
        <v>2194000</v>
      </c>
      <c r="C232">
        <v>301000</v>
      </c>
    </row>
    <row r="233" spans="1:3" x14ac:dyDescent="0.2">
      <c r="A233" s="64">
        <v>26096</v>
      </c>
      <c r="B233">
        <v>2199000</v>
      </c>
      <c r="C233">
        <v>295000</v>
      </c>
    </row>
    <row r="234" spans="1:3" x14ac:dyDescent="0.2">
      <c r="A234" s="64">
        <v>26103</v>
      </c>
      <c r="B234">
        <v>2182000</v>
      </c>
      <c r="C234">
        <v>299000</v>
      </c>
    </row>
    <row r="235" spans="1:3" x14ac:dyDescent="0.2">
      <c r="A235" s="64">
        <v>26110</v>
      </c>
      <c r="B235">
        <v>2172000</v>
      </c>
      <c r="C235">
        <v>291000</v>
      </c>
    </row>
    <row r="236" spans="1:3" x14ac:dyDescent="0.2">
      <c r="A236" s="64">
        <v>26117</v>
      </c>
      <c r="B236">
        <v>2116000</v>
      </c>
      <c r="C236">
        <v>277000</v>
      </c>
    </row>
    <row r="237" spans="1:3" x14ac:dyDescent="0.2">
      <c r="A237" s="64">
        <v>26124</v>
      </c>
      <c r="B237">
        <v>2130000</v>
      </c>
      <c r="C237">
        <v>264000</v>
      </c>
    </row>
    <row r="238" spans="1:3" x14ac:dyDescent="0.2">
      <c r="A238" s="64">
        <v>26131</v>
      </c>
      <c r="B238">
        <v>2087000</v>
      </c>
      <c r="C238">
        <v>313000</v>
      </c>
    </row>
    <row r="239" spans="1:3" x14ac:dyDescent="0.2">
      <c r="A239" s="64">
        <v>26138</v>
      </c>
      <c r="B239">
        <v>2129000</v>
      </c>
      <c r="C239">
        <v>304000</v>
      </c>
    </row>
    <row r="240" spans="1:3" x14ac:dyDescent="0.2">
      <c r="A240" s="64">
        <v>26145</v>
      </c>
      <c r="B240">
        <v>2150000</v>
      </c>
      <c r="C240">
        <v>308000</v>
      </c>
    </row>
    <row r="241" spans="1:3" x14ac:dyDescent="0.2">
      <c r="A241" s="64">
        <v>26152</v>
      </c>
      <c r="B241">
        <v>2174000</v>
      </c>
      <c r="C241">
        <v>349000</v>
      </c>
    </row>
    <row r="242" spans="1:3" x14ac:dyDescent="0.2">
      <c r="A242" s="64">
        <v>26159</v>
      </c>
      <c r="B242">
        <v>2202000</v>
      </c>
      <c r="C242">
        <v>325000</v>
      </c>
    </row>
    <row r="243" spans="1:3" x14ac:dyDescent="0.2">
      <c r="A243" s="64">
        <v>26166</v>
      </c>
      <c r="B243">
        <v>2186000</v>
      </c>
      <c r="C243">
        <v>320000</v>
      </c>
    </row>
    <row r="244" spans="1:3" x14ac:dyDescent="0.2">
      <c r="A244" s="64">
        <v>26173</v>
      </c>
      <c r="B244">
        <v>2188000</v>
      </c>
      <c r="C244">
        <v>307000</v>
      </c>
    </row>
    <row r="245" spans="1:3" x14ac:dyDescent="0.2">
      <c r="A245" s="64">
        <v>26180</v>
      </c>
      <c r="B245">
        <v>2228000</v>
      </c>
      <c r="C245">
        <v>359000</v>
      </c>
    </row>
    <row r="246" spans="1:3" x14ac:dyDescent="0.2">
      <c r="A246" s="64">
        <v>26187</v>
      </c>
      <c r="B246">
        <v>2250000</v>
      </c>
      <c r="C246">
        <v>312000</v>
      </c>
    </row>
    <row r="247" spans="1:3" x14ac:dyDescent="0.2">
      <c r="A247" s="64">
        <v>26194</v>
      </c>
      <c r="B247">
        <v>2246000</v>
      </c>
      <c r="C247">
        <v>302000</v>
      </c>
    </row>
    <row r="248" spans="1:3" x14ac:dyDescent="0.2">
      <c r="A248" s="64">
        <v>26201</v>
      </c>
      <c r="B248">
        <v>2233000</v>
      </c>
      <c r="C248">
        <v>308000</v>
      </c>
    </row>
    <row r="249" spans="1:3" x14ac:dyDescent="0.2">
      <c r="A249" s="64">
        <v>26208</v>
      </c>
      <c r="B249">
        <v>2216000</v>
      </c>
      <c r="C249">
        <v>299000</v>
      </c>
    </row>
    <row r="250" spans="1:3" x14ac:dyDescent="0.2">
      <c r="A250" s="64">
        <v>26215</v>
      </c>
      <c r="B250">
        <v>2247000</v>
      </c>
      <c r="C250">
        <v>313000</v>
      </c>
    </row>
    <row r="251" spans="1:3" x14ac:dyDescent="0.2">
      <c r="A251" s="64">
        <v>26222</v>
      </c>
      <c r="B251">
        <v>2190000</v>
      </c>
      <c r="C251">
        <v>299000</v>
      </c>
    </row>
    <row r="252" spans="1:3" x14ac:dyDescent="0.2">
      <c r="A252" s="64">
        <v>26229</v>
      </c>
      <c r="B252">
        <v>2176000</v>
      </c>
      <c r="C252">
        <v>294000</v>
      </c>
    </row>
    <row r="253" spans="1:3" x14ac:dyDescent="0.2">
      <c r="A253" s="64">
        <v>26236</v>
      </c>
      <c r="B253">
        <v>2194000</v>
      </c>
      <c r="C253">
        <v>283000</v>
      </c>
    </row>
    <row r="254" spans="1:3" x14ac:dyDescent="0.2">
      <c r="A254" s="64">
        <v>26243</v>
      </c>
      <c r="B254">
        <v>2204000</v>
      </c>
      <c r="C254">
        <v>301000</v>
      </c>
    </row>
    <row r="255" spans="1:3" x14ac:dyDescent="0.2">
      <c r="A255" s="64">
        <v>26250</v>
      </c>
      <c r="B255">
        <v>2134000</v>
      </c>
      <c r="C255">
        <v>295000</v>
      </c>
    </row>
    <row r="256" spans="1:3" x14ac:dyDescent="0.2">
      <c r="A256" s="64">
        <v>26257</v>
      </c>
      <c r="B256">
        <v>2134000</v>
      </c>
      <c r="C256">
        <v>274000</v>
      </c>
    </row>
    <row r="257" spans="1:3" x14ac:dyDescent="0.2">
      <c r="A257" s="64">
        <v>26264</v>
      </c>
      <c r="B257">
        <v>2111000</v>
      </c>
      <c r="C257">
        <v>278000</v>
      </c>
    </row>
    <row r="258" spans="1:3" x14ac:dyDescent="0.2">
      <c r="A258" s="64">
        <v>26271</v>
      </c>
      <c r="B258">
        <v>2117000</v>
      </c>
      <c r="C258">
        <v>299000</v>
      </c>
    </row>
    <row r="259" spans="1:3" x14ac:dyDescent="0.2">
      <c r="A259" s="64">
        <v>26278</v>
      </c>
      <c r="B259">
        <v>2085000</v>
      </c>
      <c r="C259">
        <v>280000</v>
      </c>
    </row>
    <row r="260" spans="1:3" x14ac:dyDescent="0.2">
      <c r="A260" s="64">
        <v>26285</v>
      </c>
      <c r="B260">
        <v>2109000</v>
      </c>
      <c r="C260">
        <v>269000</v>
      </c>
    </row>
    <row r="261" spans="1:3" x14ac:dyDescent="0.2">
      <c r="A261" s="64">
        <v>26292</v>
      </c>
      <c r="B261">
        <v>2037000</v>
      </c>
      <c r="C261">
        <v>244000</v>
      </c>
    </row>
    <row r="262" spans="1:3" x14ac:dyDescent="0.2">
      <c r="A262" s="64">
        <v>26299</v>
      </c>
      <c r="B262">
        <v>1934000</v>
      </c>
      <c r="C262">
        <v>279000</v>
      </c>
    </row>
    <row r="263" spans="1:3" x14ac:dyDescent="0.2">
      <c r="A263" s="64">
        <v>26306</v>
      </c>
      <c r="B263">
        <v>1931000</v>
      </c>
      <c r="C263">
        <v>295000</v>
      </c>
    </row>
    <row r="264" spans="1:3" x14ac:dyDescent="0.2">
      <c r="A264" s="64">
        <v>26313</v>
      </c>
      <c r="B264">
        <v>1923000</v>
      </c>
      <c r="C264">
        <v>250000</v>
      </c>
    </row>
    <row r="265" spans="1:3" x14ac:dyDescent="0.2">
      <c r="A265" s="64">
        <v>26320</v>
      </c>
      <c r="B265">
        <v>1907000</v>
      </c>
      <c r="C265">
        <v>263000</v>
      </c>
    </row>
    <row r="266" spans="1:3" x14ac:dyDescent="0.2">
      <c r="A266" s="64">
        <v>26327</v>
      </c>
      <c r="B266">
        <v>1921000</v>
      </c>
      <c r="C266">
        <v>269000</v>
      </c>
    </row>
    <row r="267" spans="1:3" x14ac:dyDescent="0.2">
      <c r="A267" s="64">
        <v>26334</v>
      </c>
      <c r="B267">
        <v>1941000</v>
      </c>
      <c r="C267">
        <v>276000</v>
      </c>
    </row>
    <row r="268" spans="1:3" x14ac:dyDescent="0.2">
      <c r="A268" s="64">
        <v>26341</v>
      </c>
      <c r="B268">
        <v>1960000</v>
      </c>
      <c r="C268">
        <v>266000</v>
      </c>
    </row>
    <row r="269" spans="1:3" x14ac:dyDescent="0.2">
      <c r="A269" s="64">
        <v>26348</v>
      </c>
      <c r="B269">
        <v>1902000</v>
      </c>
      <c r="C269">
        <v>258000</v>
      </c>
    </row>
    <row r="270" spans="1:3" x14ac:dyDescent="0.2">
      <c r="A270" s="64">
        <v>26355</v>
      </c>
      <c r="B270">
        <v>1903000</v>
      </c>
      <c r="C270">
        <v>254000</v>
      </c>
    </row>
    <row r="271" spans="1:3" x14ac:dyDescent="0.2">
      <c r="A271" s="64">
        <v>26362</v>
      </c>
      <c r="B271">
        <v>1905000</v>
      </c>
      <c r="C271">
        <v>257000</v>
      </c>
    </row>
    <row r="272" spans="1:3" x14ac:dyDescent="0.2">
      <c r="A272" s="64">
        <v>26369</v>
      </c>
      <c r="B272">
        <v>1906000</v>
      </c>
      <c r="C272">
        <v>264000</v>
      </c>
    </row>
    <row r="273" spans="1:3" x14ac:dyDescent="0.2">
      <c r="A273" s="64">
        <v>26376</v>
      </c>
      <c r="B273">
        <v>1907000</v>
      </c>
      <c r="C273">
        <v>266000</v>
      </c>
    </row>
    <row r="274" spans="1:3" x14ac:dyDescent="0.2">
      <c r="A274" s="64">
        <v>26383</v>
      </c>
      <c r="B274">
        <v>1877000</v>
      </c>
      <c r="C274">
        <v>264000</v>
      </c>
    </row>
    <row r="275" spans="1:3" x14ac:dyDescent="0.2">
      <c r="A275" s="64">
        <v>26390</v>
      </c>
      <c r="B275">
        <v>1913000</v>
      </c>
      <c r="C275">
        <v>258000</v>
      </c>
    </row>
    <row r="276" spans="1:3" x14ac:dyDescent="0.2">
      <c r="A276" s="64">
        <v>26397</v>
      </c>
      <c r="B276">
        <v>1910000</v>
      </c>
      <c r="C276">
        <v>274000</v>
      </c>
    </row>
    <row r="277" spans="1:3" x14ac:dyDescent="0.2">
      <c r="A277" s="64">
        <v>26404</v>
      </c>
      <c r="B277">
        <v>1891000</v>
      </c>
      <c r="C277">
        <v>259000</v>
      </c>
    </row>
    <row r="278" spans="1:3" x14ac:dyDescent="0.2">
      <c r="A278" s="64">
        <v>26411</v>
      </c>
      <c r="B278">
        <v>1855000</v>
      </c>
      <c r="C278">
        <v>259000</v>
      </c>
    </row>
    <row r="279" spans="1:3" x14ac:dyDescent="0.2">
      <c r="A279" s="64">
        <v>26418</v>
      </c>
      <c r="B279">
        <v>1870000</v>
      </c>
      <c r="C279">
        <v>265000</v>
      </c>
    </row>
    <row r="280" spans="1:3" x14ac:dyDescent="0.2">
      <c r="A280" s="64">
        <v>26425</v>
      </c>
      <c r="B280">
        <v>1893000</v>
      </c>
      <c r="C280">
        <v>271000</v>
      </c>
    </row>
    <row r="281" spans="1:3" x14ac:dyDescent="0.2">
      <c r="A281" s="64">
        <v>26432</v>
      </c>
      <c r="B281">
        <v>1874000</v>
      </c>
      <c r="C281">
        <v>266000</v>
      </c>
    </row>
    <row r="282" spans="1:3" x14ac:dyDescent="0.2">
      <c r="A282" s="64">
        <v>26439</v>
      </c>
      <c r="B282">
        <v>1863000</v>
      </c>
      <c r="C282">
        <v>267000</v>
      </c>
    </row>
    <row r="283" spans="1:3" x14ac:dyDescent="0.2">
      <c r="A283" s="64">
        <v>26446</v>
      </c>
      <c r="B283">
        <v>1871000</v>
      </c>
      <c r="C283">
        <v>267000</v>
      </c>
    </row>
    <row r="284" spans="1:3" x14ac:dyDescent="0.2">
      <c r="A284" s="64">
        <v>26453</v>
      </c>
      <c r="B284">
        <v>1857000</v>
      </c>
      <c r="C284">
        <v>264000</v>
      </c>
    </row>
    <row r="285" spans="1:3" x14ac:dyDescent="0.2">
      <c r="A285" s="64">
        <v>26460</v>
      </c>
      <c r="B285">
        <v>1870000</v>
      </c>
      <c r="C285">
        <v>268000</v>
      </c>
    </row>
    <row r="286" spans="1:3" x14ac:dyDescent="0.2">
      <c r="A286" s="64">
        <v>26467</v>
      </c>
      <c r="B286">
        <v>1855000</v>
      </c>
      <c r="C286">
        <v>275000</v>
      </c>
    </row>
    <row r="287" spans="1:3" x14ac:dyDescent="0.2">
      <c r="A287" s="64">
        <v>26474</v>
      </c>
      <c r="B287">
        <v>1871000</v>
      </c>
      <c r="C287">
        <v>286000</v>
      </c>
    </row>
    <row r="288" spans="1:3" x14ac:dyDescent="0.2">
      <c r="A288" s="64">
        <v>26481</v>
      </c>
      <c r="B288">
        <v>1935000</v>
      </c>
      <c r="C288">
        <v>350000</v>
      </c>
    </row>
    <row r="289" spans="1:3" x14ac:dyDescent="0.2">
      <c r="A289" s="64">
        <v>26488</v>
      </c>
      <c r="B289">
        <v>1977000</v>
      </c>
      <c r="C289">
        <v>297000</v>
      </c>
    </row>
    <row r="290" spans="1:3" x14ac:dyDescent="0.2">
      <c r="A290" s="64">
        <v>26495</v>
      </c>
      <c r="B290">
        <v>1947000</v>
      </c>
      <c r="C290">
        <v>318000</v>
      </c>
    </row>
    <row r="291" spans="1:3" x14ac:dyDescent="0.2">
      <c r="A291" s="64">
        <v>26502</v>
      </c>
      <c r="B291">
        <v>1962000</v>
      </c>
      <c r="C291">
        <v>276000</v>
      </c>
    </row>
    <row r="292" spans="1:3" x14ac:dyDescent="0.2">
      <c r="A292" s="64">
        <v>26509</v>
      </c>
      <c r="B292">
        <v>1928000</v>
      </c>
      <c r="C292">
        <v>247000</v>
      </c>
    </row>
    <row r="293" spans="1:3" x14ac:dyDescent="0.2">
      <c r="A293" s="64">
        <v>26516</v>
      </c>
      <c r="B293">
        <v>1855000</v>
      </c>
      <c r="C293">
        <v>250000</v>
      </c>
    </row>
    <row r="294" spans="1:3" x14ac:dyDescent="0.2">
      <c r="A294" s="64">
        <v>26523</v>
      </c>
      <c r="B294">
        <v>1812000</v>
      </c>
      <c r="C294">
        <v>246000</v>
      </c>
    </row>
    <row r="295" spans="1:3" x14ac:dyDescent="0.2">
      <c r="A295" s="64">
        <v>26530</v>
      </c>
      <c r="B295">
        <v>1794000</v>
      </c>
      <c r="C295">
        <v>256000</v>
      </c>
    </row>
    <row r="296" spans="1:3" x14ac:dyDescent="0.2">
      <c r="A296" s="64">
        <v>26537</v>
      </c>
      <c r="B296">
        <v>1792000</v>
      </c>
      <c r="C296">
        <v>262000</v>
      </c>
    </row>
    <row r="297" spans="1:3" x14ac:dyDescent="0.2">
      <c r="A297" s="64">
        <v>26544</v>
      </c>
      <c r="B297">
        <v>1838000</v>
      </c>
      <c r="C297">
        <v>258000</v>
      </c>
    </row>
    <row r="298" spans="1:3" x14ac:dyDescent="0.2">
      <c r="A298" s="64">
        <v>26551</v>
      </c>
      <c r="B298">
        <v>1802000</v>
      </c>
      <c r="C298">
        <v>259000</v>
      </c>
    </row>
    <row r="299" spans="1:3" x14ac:dyDescent="0.2">
      <c r="A299" s="64">
        <v>26558</v>
      </c>
      <c r="B299">
        <v>1799000</v>
      </c>
      <c r="C299">
        <v>258000</v>
      </c>
    </row>
    <row r="300" spans="1:3" x14ac:dyDescent="0.2">
      <c r="A300" s="64">
        <v>26565</v>
      </c>
      <c r="B300">
        <v>1791000</v>
      </c>
      <c r="C300">
        <v>255000</v>
      </c>
    </row>
    <row r="301" spans="1:3" x14ac:dyDescent="0.2">
      <c r="A301" s="64">
        <v>26572</v>
      </c>
      <c r="B301">
        <v>1763000</v>
      </c>
      <c r="C301">
        <v>251000</v>
      </c>
    </row>
    <row r="302" spans="1:3" x14ac:dyDescent="0.2">
      <c r="A302" s="64">
        <v>26579</v>
      </c>
      <c r="B302">
        <v>1771000</v>
      </c>
      <c r="C302">
        <v>263000</v>
      </c>
    </row>
    <row r="303" spans="1:3" x14ac:dyDescent="0.2">
      <c r="A303" s="64">
        <v>26586</v>
      </c>
      <c r="B303">
        <v>1760000</v>
      </c>
      <c r="C303">
        <v>250000</v>
      </c>
    </row>
    <row r="304" spans="1:3" x14ac:dyDescent="0.2">
      <c r="A304" s="64">
        <v>26593</v>
      </c>
      <c r="B304">
        <v>1733000</v>
      </c>
      <c r="C304">
        <v>257000</v>
      </c>
    </row>
    <row r="305" spans="1:3" x14ac:dyDescent="0.2">
      <c r="A305" s="64">
        <v>26600</v>
      </c>
      <c r="B305">
        <v>1750000</v>
      </c>
      <c r="C305">
        <v>234000</v>
      </c>
    </row>
    <row r="306" spans="1:3" x14ac:dyDescent="0.2">
      <c r="A306" s="64">
        <v>26607</v>
      </c>
      <c r="B306">
        <v>1722000</v>
      </c>
      <c r="C306">
        <v>255000</v>
      </c>
    </row>
    <row r="307" spans="1:3" x14ac:dyDescent="0.2">
      <c r="A307" s="64">
        <v>26614</v>
      </c>
      <c r="B307">
        <v>1736000</v>
      </c>
      <c r="C307">
        <v>242000</v>
      </c>
    </row>
    <row r="308" spans="1:3" x14ac:dyDescent="0.2">
      <c r="A308" s="64">
        <v>26621</v>
      </c>
      <c r="B308">
        <v>1727000</v>
      </c>
      <c r="C308">
        <v>271000</v>
      </c>
    </row>
    <row r="309" spans="1:3" x14ac:dyDescent="0.2">
      <c r="A309" s="64">
        <v>26628</v>
      </c>
      <c r="B309">
        <v>1743000</v>
      </c>
      <c r="C309">
        <v>235000</v>
      </c>
    </row>
    <row r="310" spans="1:3" x14ac:dyDescent="0.2">
      <c r="A310" s="64">
        <v>26635</v>
      </c>
      <c r="B310">
        <v>1676000</v>
      </c>
      <c r="C310">
        <v>226000</v>
      </c>
    </row>
    <row r="311" spans="1:3" x14ac:dyDescent="0.2">
      <c r="A311" s="64">
        <v>26642</v>
      </c>
      <c r="B311">
        <v>1681000</v>
      </c>
      <c r="C311">
        <v>252000</v>
      </c>
    </row>
    <row r="312" spans="1:3" x14ac:dyDescent="0.2">
      <c r="A312" s="64">
        <v>26649</v>
      </c>
      <c r="B312">
        <v>1756000</v>
      </c>
      <c r="C312">
        <v>263000</v>
      </c>
    </row>
    <row r="313" spans="1:3" x14ac:dyDescent="0.2">
      <c r="A313" s="64">
        <v>26656</v>
      </c>
      <c r="B313">
        <v>1697000</v>
      </c>
      <c r="C313">
        <v>246000</v>
      </c>
    </row>
    <row r="314" spans="1:3" x14ac:dyDescent="0.2">
      <c r="A314" s="64">
        <v>26663</v>
      </c>
      <c r="B314">
        <v>1663000</v>
      </c>
      <c r="C314">
        <v>225000</v>
      </c>
    </row>
    <row r="315" spans="1:3" x14ac:dyDescent="0.2">
      <c r="A315" s="64">
        <v>26670</v>
      </c>
      <c r="B315">
        <v>1617000</v>
      </c>
      <c r="C315">
        <v>226000</v>
      </c>
    </row>
    <row r="316" spans="1:3" x14ac:dyDescent="0.2">
      <c r="A316" s="64">
        <v>26677</v>
      </c>
      <c r="B316">
        <v>1660000</v>
      </c>
      <c r="C316">
        <v>245000</v>
      </c>
    </row>
    <row r="317" spans="1:3" x14ac:dyDescent="0.2">
      <c r="A317" s="64">
        <v>26684</v>
      </c>
      <c r="B317">
        <v>1607000</v>
      </c>
      <c r="C317">
        <v>229000</v>
      </c>
    </row>
    <row r="318" spans="1:3" x14ac:dyDescent="0.2">
      <c r="A318" s="64">
        <v>26691</v>
      </c>
      <c r="B318">
        <v>1601000</v>
      </c>
      <c r="C318">
        <v>214000</v>
      </c>
    </row>
    <row r="319" spans="1:3" x14ac:dyDescent="0.2">
      <c r="A319" s="64">
        <v>26698</v>
      </c>
      <c r="B319">
        <v>1596000</v>
      </c>
      <c r="C319">
        <v>228000</v>
      </c>
    </row>
    <row r="320" spans="1:3" x14ac:dyDescent="0.2">
      <c r="A320" s="64">
        <v>26705</v>
      </c>
      <c r="B320">
        <v>1594000</v>
      </c>
      <c r="C320">
        <v>226000</v>
      </c>
    </row>
    <row r="321" spans="1:3" x14ac:dyDescent="0.2">
      <c r="A321" s="64">
        <v>26712</v>
      </c>
      <c r="B321">
        <v>1582000</v>
      </c>
      <c r="C321">
        <v>216000</v>
      </c>
    </row>
    <row r="322" spans="1:3" x14ac:dyDescent="0.2">
      <c r="A322" s="64">
        <v>26719</v>
      </c>
      <c r="B322">
        <v>1582000</v>
      </c>
      <c r="C322">
        <v>218000</v>
      </c>
    </row>
    <row r="323" spans="1:3" x14ac:dyDescent="0.2">
      <c r="A323" s="64">
        <v>26726</v>
      </c>
      <c r="B323">
        <v>1579000</v>
      </c>
      <c r="C323">
        <v>225000</v>
      </c>
    </row>
    <row r="324" spans="1:3" x14ac:dyDescent="0.2">
      <c r="A324" s="64">
        <v>26733</v>
      </c>
      <c r="B324">
        <v>1584000</v>
      </c>
      <c r="C324">
        <v>229000</v>
      </c>
    </row>
    <row r="325" spans="1:3" x14ac:dyDescent="0.2">
      <c r="A325" s="64">
        <v>26740</v>
      </c>
      <c r="B325">
        <v>1578000</v>
      </c>
      <c r="C325">
        <v>228000</v>
      </c>
    </row>
    <row r="326" spans="1:3" x14ac:dyDescent="0.2">
      <c r="A326" s="64">
        <v>26747</v>
      </c>
      <c r="B326">
        <v>1562000</v>
      </c>
      <c r="C326">
        <v>232000</v>
      </c>
    </row>
    <row r="327" spans="1:3" x14ac:dyDescent="0.2">
      <c r="A327" s="64">
        <v>26754</v>
      </c>
      <c r="B327">
        <v>1547000</v>
      </c>
      <c r="C327">
        <v>222000</v>
      </c>
    </row>
    <row r="328" spans="1:3" x14ac:dyDescent="0.2">
      <c r="A328" s="64">
        <v>26761</v>
      </c>
      <c r="B328">
        <v>1552000</v>
      </c>
      <c r="C328">
        <v>247000</v>
      </c>
    </row>
    <row r="329" spans="1:3" x14ac:dyDescent="0.2">
      <c r="A329" s="64">
        <v>26768</v>
      </c>
      <c r="B329">
        <v>1539000</v>
      </c>
      <c r="C329">
        <v>230000</v>
      </c>
    </row>
    <row r="330" spans="1:3" x14ac:dyDescent="0.2">
      <c r="A330" s="64">
        <v>26775</v>
      </c>
      <c r="B330">
        <v>1573000</v>
      </c>
      <c r="C330">
        <v>243000</v>
      </c>
    </row>
    <row r="331" spans="1:3" x14ac:dyDescent="0.2">
      <c r="A331" s="64">
        <v>26782</v>
      </c>
      <c r="B331">
        <v>1551000</v>
      </c>
      <c r="C331">
        <v>236000</v>
      </c>
    </row>
    <row r="332" spans="1:3" x14ac:dyDescent="0.2">
      <c r="A332" s="64">
        <v>26789</v>
      </c>
      <c r="B332">
        <v>1560000</v>
      </c>
      <c r="C332">
        <v>248000</v>
      </c>
    </row>
    <row r="333" spans="1:3" x14ac:dyDescent="0.2">
      <c r="A333" s="64">
        <v>26796</v>
      </c>
      <c r="B333">
        <v>1557000</v>
      </c>
      <c r="C333">
        <v>238000</v>
      </c>
    </row>
    <row r="334" spans="1:3" x14ac:dyDescent="0.2">
      <c r="A334" s="64">
        <v>26803</v>
      </c>
      <c r="B334">
        <v>1553000</v>
      </c>
      <c r="C334">
        <v>237000</v>
      </c>
    </row>
    <row r="335" spans="1:3" x14ac:dyDescent="0.2">
      <c r="A335" s="64">
        <v>26810</v>
      </c>
      <c r="B335">
        <v>1567000</v>
      </c>
      <c r="C335">
        <v>238000</v>
      </c>
    </row>
    <row r="336" spans="1:3" x14ac:dyDescent="0.2">
      <c r="A336" s="64">
        <v>26817</v>
      </c>
      <c r="B336">
        <v>1556000</v>
      </c>
      <c r="C336">
        <v>232000</v>
      </c>
    </row>
    <row r="337" spans="1:3" x14ac:dyDescent="0.2">
      <c r="A337" s="64">
        <v>26824</v>
      </c>
      <c r="B337">
        <v>1563000</v>
      </c>
      <c r="C337">
        <v>246000</v>
      </c>
    </row>
    <row r="338" spans="1:3" x14ac:dyDescent="0.2">
      <c r="A338" s="64">
        <v>26831</v>
      </c>
      <c r="B338">
        <v>1576000</v>
      </c>
      <c r="C338">
        <v>237000</v>
      </c>
    </row>
    <row r="339" spans="1:3" x14ac:dyDescent="0.2">
      <c r="A339" s="64">
        <v>26838</v>
      </c>
      <c r="B339">
        <v>1570000</v>
      </c>
      <c r="C339">
        <v>242000</v>
      </c>
    </row>
    <row r="340" spans="1:3" x14ac:dyDescent="0.2">
      <c r="A340" s="64">
        <v>26845</v>
      </c>
      <c r="B340">
        <v>1571000</v>
      </c>
      <c r="C340">
        <v>237000</v>
      </c>
    </row>
    <row r="341" spans="1:3" x14ac:dyDescent="0.2">
      <c r="A341" s="64">
        <v>26852</v>
      </c>
      <c r="B341">
        <v>1605000</v>
      </c>
      <c r="C341">
        <v>248000</v>
      </c>
    </row>
    <row r="342" spans="1:3" x14ac:dyDescent="0.2">
      <c r="A342" s="64">
        <v>26859</v>
      </c>
      <c r="B342">
        <v>1605000</v>
      </c>
      <c r="C342">
        <v>232000</v>
      </c>
    </row>
    <row r="343" spans="1:3" x14ac:dyDescent="0.2">
      <c r="A343" s="64">
        <v>26866</v>
      </c>
      <c r="B343">
        <v>1594000</v>
      </c>
      <c r="C343">
        <v>241000</v>
      </c>
    </row>
    <row r="344" spans="1:3" x14ac:dyDescent="0.2">
      <c r="A344" s="64">
        <v>26873</v>
      </c>
      <c r="B344">
        <v>1603000</v>
      </c>
      <c r="C344">
        <v>250000</v>
      </c>
    </row>
    <row r="345" spans="1:3" x14ac:dyDescent="0.2">
      <c r="A345" s="64">
        <v>26880</v>
      </c>
      <c r="B345">
        <v>1633000</v>
      </c>
      <c r="C345">
        <v>256000</v>
      </c>
    </row>
    <row r="346" spans="1:3" x14ac:dyDescent="0.2">
      <c r="A346" s="64">
        <v>26887</v>
      </c>
      <c r="B346">
        <v>1679000</v>
      </c>
      <c r="C346">
        <v>265000</v>
      </c>
    </row>
    <row r="347" spans="1:3" x14ac:dyDescent="0.2">
      <c r="A347" s="64">
        <v>26894</v>
      </c>
      <c r="B347">
        <v>1672000</v>
      </c>
      <c r="C347">
        <v>258000</v>
      </c>
    </row>
    <row r="348" spans="1:3" x14ac:dyDescent="0.2">
      <c r="A348" s="64">
        <v>26901</v>
      </c>
      <c r="B348">
        <v>1675000</v>
      </c>
      <c r="C348">
        <v>254000</v>
      </c>
    </row>
    <row r="349" spans="1:3" x14ac:dyDescent="0.2">
      <c r="A349" s="64">
        <v>26908</v>
      </c>
      <c r="B349">
        <v>1681000</v>
      </c>
      <c r="C349">
        <v>242000</v>
      </c>
    </row>
    <row r="350" spans="1:3" x14ac:dyDescent="0.2">
      <c r="A350" s="64">
        <v>26915</v>
      </c>
      <c r="B350">
        <v>1688000</v>
      </c>
      <c r="C350">
        <v>252000</v>
      </c>
    </row>
    <row r="351" spans="1:3" x14ac:dyDescent="0.2">
      <c r="A351" s="64">
        <v>26922</v>
      </c>
      <c r="B351">
        <v>1666000</v>
      </c>
      <c r="C351">
        <v>245000</v>
      </c>
    </row>
    <row r="352" spans="1:3" x14ac:dyDescent="0.2">
      <c r="A352" s="64">
        <v>26929</v>
      </c>
      <c r="B352">
        <v>1658000</v>
      </c>
      <c r="C352">
        <v>246000</v>
      </c>
    </row>
    <row r="353" spans="1:3" x14ac:dyDescent="0.2">
      <c r="A353" s="64">
        <v>26936</v>
      </c>
      <c r="B353">
        <v>1658000</v>
      </c>
      <c r="C353">
        <v>249000</v>
      </c>
    </row>
    <row r="354" spans="1:3" x14ac:dyDescent="0.2">
      <c r="A354" s="64">
        <v>26943</v>
      </c>
      <c r="B354">
        <v>1657000</v>
      </c>
      <c r="C354">
        <v>236000</v>
      </c>
    </row>
    <row r="355" spans="1:3" x14ac:dyDescent="0.2">
      <c r="A355" s="64">
        <v>26950</v>
      </c>
      <c r="B355">
        <v>1679000</v>
      </c>
      <c r="C355">
        <v>246000</v>
      </c>
    </row>
    <row r="356" spans="1:3" x14ac:dyDescent="0.2">
      <c r="A356" s="64">
        <v>26957</v>
      </c>
      <c r="B356">
        <v>1646000</v>
      </c>
      <c r="C356">
        <v>249000</v>
      </c>
    </row>
    <row r="357" spans="1:3" x14ac:dyDescent="0.2">
      <c r="A357" s="64">
        <v>26964</v>
      </c>
      <c r="B357">
        <v>1675000</v>
      </c>
      <c r="C357">
        <v>235000</v>
      </c>
    </row>
    <row r="358" spans="1:3" x14ac:dyDescent="0.2">
      <c r="A358" s="64">
        <v>26971</v>
      </c>
      <c r="B358">
        <v>1669000</v>
      </c>
      <c r="C358">
        <v>246000</v>
      </c>
    </row>
    <row r="359" spans="1:3" x14ac:dyDescent="0.2">
      <c r="A359" s="64">
        <v>26978</v>
      </c>
      <c r="B359">
        <v>1702000</v>
      </c>
      <c r="C359">
        <v>282000</v>
      </c>
    </row>
    <row r="360" spans="1:3" x14ac:dyDescent="0.2">
      <c r="A360" s="64">
        <v>26985</v>
      </c>
      <c r="B360">
        <v>1698000</v>
      </c>
      <c r="C360">
        <v>254000</v>
      </c>
    </row>
    <row r="361" spans="1:3" x14ac:dyDescent="0.2">
      <c r="A361" s="64">
        <v>26992</v>
      </c>
      <c r="B361">
        <v>1755000</v>
      </c>
      <c r="C361">
        <v>233000</v>
      </c>
    </row>
    <row r="362" spans="1:3" x14ac:dyDescent="0.2">
      <c r="A362" s="64">
        <v>26999</v>
      </c>
      <c r="B362">
        <v>1692000</v>
      </c>
      <c r="C362">
        <v>256000</v>
      </c>
    </row>
    <row r="363" spans="1:3" x14ac:dyDescent="0.2">
      <c r="A363" s="64">
        <v>27006</v>
      </c>
      <c r="B363">
        <v>1717000</v>
      </c>
      <c r="C363">
        <v>266000</v>
      </c>
    </row>
    <row r="364" spans="1:3" x14ac:dyDescent="0.2">
      <c r="A364" s="64">
        <v>27013</v>
      </c>
      <c r="B364">
        <v>1779000</v>
      </c>
      <c r="C364">
        <v>272000</v>
      </c>
    </row>
    <row r="365" spans="1:3" x14ac:dyDescent="0.2">
      <c r="A365" s="64">
        <v>27020</v>
      </c>
      <c r="B365">
        <v>1836000</v>
      </c>
      <c r="C365">
        <v>326000</v>
      </c>
    </row>
    <row r="366" spans="1:3" x14ac:dyDescent="0.2">
      <c r="A366" s="64">
        <v>27027</v>
      </c>
      <c r="B366">
        <v>1805000</v>
      </c>
      <c r="C366">
        <v>300000</v>
      </c>
    </row>
    <row r="367" spans="1:3" x14ac:dyDescent="0.2">
      <c r="A367" s="64">
        <v>27034</v>
      </c>
      <c r="B367">
        <v>1934000</v>
      </c>
      <c r="C367">
        <v>269000</v>
      </c>
    </row>
    <row r="368" spans="1:3" x14ac:dyDescent="0.2">
      <c r="A368" s="64">
        <v>27041</v>
      </c>
      <c r="B368">
        <v>1949000</v>
      </c>
      <c r="C368">
        <v>340000</v>
      </c>
    </row>
    <row r="369" spans="1:3" x14ac:dyDescent="0.2">
      <c r="A369" s="64">
        <v>27048</v>
      </c>
      <c r="B369">
        <v>1995000</v>
      </c>
      <c r="C369">
        <v>321000</v>
      </c>
    </row>
    <row r="370" spans="1:3" x14ac:dyDescent="0.2">
      <c r="A370" s="64">
        <v>27055</v>
      </c>
      <c r="B370">
        <v>1950000</v>
      </c>
      <c r="C370">
        <v>291000</v>
      </c>
    </row>
    <row r="371" spans="1:3" x14ac:dyDescent="0.2">
      <c r="A371" s="64">
        <v>27062</v>
      </c>
      <c r="B371">
        <v>1963000</v>
      </c>
      <c r="C371">
        <v>302000</v>
      </c>
    </row>
    <row r="372" spans="1:3" x14ac:dyDescent="0.2">
      <c r="A372" s="64">
        <v>27069</v>
      </c>
      <c r="B372">
        <v>2010000</v>
      </c>
      <c r="C372">
        <v>369000</v>
      </c>
    </row>
    <row r="373" spans="1:3" x14ac:dyDescent="0.2">
      <c r="A373" s="64">
        <v>27076</v>
      </c>
      <c r="B373">
        <v>2049000</v>
      </c>
      <c r="C373">
        <v>311000</v>
      </c>
    </row>
    <row r="374" spans="1:3" x14ac:dyDescent="0.2">
      <c r="A374" s="64">
        <v>27083</v>
      </c>
      <c r="B374">
        <v>2027000</v>
      </c>
      <c r="C374">
        <v>292000</v>
      </c>
    </row>
    <row r="375" spans="1:3" x14ac:dyDescent="0.2">
      <c r="A375" s="64">
        <v>27090</v>
      </c>
      <c r="B375">
        <v>2020000</v>
      </c>
      <c r="C375">
        <v>301000</v>
      </c>
    </row>
    <row r="376" spans="1:3" x14ac:dyDescent="0.2">
      <c r="A376" s="64">
        <v>27097</v>
      </c>
      <c r="B376">
        <v>2054000</v>
      </c>
      <c r="C376">
        <v>305000</v>
      </c>
    </row>
    <row r="377" spans="1:3" x14ac:dyDescent="0.2">
      <c r="A377" s="64">
        <v>27104</v>
      </c>
      <c r="B377">
        <v>2068000</v>
      </c>
      <c r="C377">
        <v>315000</v>
      </c>
    </row>
    <row r="378" spans="1:3" x14ac:dyDescent="0.2">
      <c r="A378" s="64">
        <v>27111</v>
      </c>
      <c r="B378">
        <v>2074000</v>
      </c>
      <c r="C378">
        <v>314000</v>
      </c>
    </row>
    <row r="379" spans="1:3" x14ac:dyDescent="0.2">
      <c r="A379" s="64">
        <v>27118</v>
      </c>
      <c r="B379">
        <v>2062000</v>
      </c>
      <c r="C379">
        <v>323000</v>
      </c>
    </row>
    <row r="380" spans="1:3" x14ac:dyDescent="0.2">
      <c r="A380" s="64">
        <v>27125</v>
      </c>
      <c r="B380">
        <v>2066000</v>
      </c>
      <c r="C380">
        <v>296000</v>
      </c>
    </row>
    <row r="381" spans="1:3" x14ac:dyDescent="0.2">
      <c r="A381" s="64">
        <v>27132</v>
      </c>
      <c r="B381">
        <v>2072000</v>
      </c>
      <c r="C381">
        <v>297000</v>
      </c>
    </row>
    <row r="382" spans="1:3" x14ac:dyDescent="0.2">
      <c r="A382" s="64">
        <v>27139</v>
      </c>
      <c r="B382">
        <v>2081000</v>
      </c>
      <c r="C382">
        <v>296000</v>
      </c>
    </row>
    <row r="383" spans="1:3" x14ac:dyDescent="0.2">
      <c r="A383" s="64">
        <v>27146</v>
      </c>
      <c r="B383">
        <v>2045000</v>
      </c>
      <c r="C383">
        <v>283000</v>
      </c>
    </row>
    <row r="384" spans="1:3" x14ac:dyDescent="0.2">
      <c r="A384" s="64">
        <v>27153</v>
      </c>
      <c r="B384">
        <v>2056000</v>
      </c>
      <c r="C384">
        <v>287000</v>
      </c>
    </row>
    <row r="385" spans="1:3" x14ac:dyDescent="0.2">
      <c r="A385" s="64">
        <v>27160</v>
      </c>
      <c r="B385">
        <v>2041000</v>
      </c>
      <c r="C385">
        <v>296000</v>
      </c>
    </row>
    <row r="386" spans="1:3" x14ac:dyDescent="0.2">
      <c r="A386" s="64">
        <v>27167</v>
      </c>
      <c r="B386">
        <v>2053000</v>
      </c>
      <c r="C386">
        <v>298000</v>
      </c>
    </row>
    <row r="387" spans="1:3" x14ac:dyDescent="0.2">
      <c r="A387" s="64">
        <v>27174</v>
      </c>
      <c r="B387">
        <v>2057000</v>
      </c>
      <c r="C387">
        <v>309000</v>
      </c>
    </row>
    <row r="388" spans="1:3" x14ac:dyDescent="0.2">
      <c r="A388" s="64">
        <v>27181</v>
      </c>
      <c r="B388">
        <v>2079000</v>
      </c>
      <c r="C388">
        <v>278000</v>
      </c>
    </row>
    <row r="389" spans="1:3" x14ac:dyDescent="0.2">
      <c r="A389" s="64">
        <v>27188</v>
      </c>
      <c r="B389">
        <v>2067000</v>
      </c>
      <c r="C389">
        <v>314000</v>
      </c>
    </row>
    <row r="390" spans="1:3" x14ac:dyDescent="0.2">
      <c r="A390" s="64">
        <v>27195</v>
      </c>
      <c r="B390">
        <v>2095000</v>
      </c>
      <c r="C390">
        <v>303000</v>
      </c>
    </row>
    <row r="391" spans="1:3" x14ac:dyDescent="0.2">
      <c r="A391" s="64">
        <v>27202</v>
      </c>
      <c r="B391">
        <v>2066000</v>
      </c>
      <c r="C391">
        <v>308000</v>
      </c>
    </row>
    <row r="392" spans="1:3" x14ac:dyDescent="0.2">
      <c r="A392" s="64">
        <v>27209</v>
      </c>
      <c r="B392">
        <v>2074000</v>
      </c>
      <c r="C392">
        <v>325000</v>
      </c>
    </row>
    <row r="393" spans="1:3" x14ac:dyDescent="0.2">
      <c r="A393" s="64">
        <v>27216</v>
      </c>
      <c r="B393">
        <v>2160000</v>
      </c>
      <c r="C393">
        <v>311000</v>
      </c>
    </row>
    <row r="394" spans="1:3" x14ac:dyDescent="0.2">
      <c r="A394" s="64">
        <v>27223</v>
      </c>
      <c r="B394">
        <v>2125000</v>
      </c>
      <c r="C394">
        <v>304000</v>
      </c>
    </row>
    <row r="395" spans="1:3" x14ac:dyDescent="0.2">
      <c r="A395" s="64">
        <v>27230</v>
      </c>
      <c r="B395">
        <v>2109000</v>
      </c>
      <c r="C395">
        <v>303000</v>
      </c>
    </row>
    <row r="396" spans="1:3" x14ac:dyDescent="0.2">
      <c r="A396" s="64">
        <v>27237</v>
      </c>
      <c r="B396">
        <v>2097000</v>
      </c>
      <c r="C396">
        <v>320000</v>
      </c>
    </row>
    <row r="397" spans="1:3" x14ac:dyDescent="0.2">
      <c r="A397" s="64">
        <v>27244</v>
      </c>
      <c r="B397">
        <v>2147000</v>
      </c>
      <c r="C397">
        <v>335000</v>
      </c>
    </row>
    <row r="398" spans="1:3" x14ac:dyDescent="0.2">
      <c r="A398" s="64">
        <v>27251</v>
      </c>
      <c r="B398">
        <v>2171000</v>
      </c>
      <c r="C398">
        <v>347000</v>
      </c>
    </row>
    <row r="399" spans="1:3" x14ac:dyDescent="0.2">
      <c r="A399" s="64">
        <v>27258</v>
      </c>
      <c r="B399">
        <v>2168000</v>
      </c>
      <c r="C399">
        <v>332000</v>
      </c>
    </row>
    <row r="400" spans="1:3" x14ac:dyDescent="0.2">
      <c r="A400" s="64">
        <v>27265</v>
      </c>
      <c r="B400">
        <v>2172000</v>
      </c>
      <c r="C400">
        <v>343000</v>
      </c>
    </row>
    <row r="401" spans="1:3" x14ac:dyDescent="0.2">
      <c r="A401" s="64">
        <v>27272</v>
      </c>
      <c r="B401">
        <v>2211000</v>
      </c>
      <c r="C401">
        <v>350000</v>
      </c>
    </row>
    <row r="402" spans="1:3" x14ac:dyDescent="0.2">
      <c r="A402" s="64">
        <v>27279</v>
      </c>
      <c r="B402">
        <v>2265000</v>
      </c>
      <c r="C402">
        <v>350000</v>
      </c>
    </row>
    <row r="403" spans="1:3" x14ac:dyDescent="0.2">
      <c r="A403" s="64">
        <v>27286</v>
      </c>
      <c r="B403">
        <v>2274000</v>
      </c>
      <c r="C403">
        <v>357000</v>
      </c>
    </row>
    <row r="404" spans="1:3" x14ac:dyDescent="0.2">
      <c r="A404" s="64">
        <v>27293</v>
      </c>
      <c r="B404">
        <v>2273000</v>
      </c>
      <c r="C404">
        <v>370000</v>
      </c>
    </row>
    <row r="405" spans="1:3" x14ac:dyDescent="0.2">
      <c r="A405" s="64">
        <v>27300</v>
      </c>
      <c r="B405">
        <v>2306000</v>
      </c>
      <c r="C405">
        <v>366000</v>
      </c>
    </row>
    <row r="406" spans="1:3" x14ac:dyDescent="0.2">
      <c r="A406" s="64">
        <v>27307</v>
      </c>
      <c r="B406">
        <v>2360000</v>
      </c>
      <c r="C406">
        <v>371000</v>
      </c>
    </row>
    <row r="407" spans="1:3" x14ac:dyDescent="0.2">
      <c r="A407" s="64">
        <v>27314</v>
      </c>
      <c r="B407">
        <v>2396000</v>
      </c>
      <c r="C407">
        <v>413000</v>
      </c>
    </row>
    <row r="408" spans="1:3" x14ac:dyDescent="0.2">
      <c r="A408" s="64">
        <v>27321</v>
      </c>
      <c r="B408">
        <v>2519000</v>
      </c>
      <c r="C408">
        <v>389000</v>
      </c>
    </row>
    <row r="409" spans="1:3" x14ac:dyDescent="0.2">
      <c r="A409" s="64">
        <v>27328</v>
      </c>
      <c r="B409">
        <v>2520000</v>
      </c>
      <c r="C409">
        <v>414000</v>
      </c>
    </row>
    <row r="410" spans="1:3" x14ac:dyDescent="0.2">
      <c r="A410" s="64">
        <v>27335</v>
      </c>
      <c r="B410">
        <v>2623000</v>
      </c>
      <c r="C410">
        <v>406000</v>
      </c>
    </row>
    <row r="411" spans="1:3" x14ac:dyDescent="0.2">
      <c r="A411" s="64">
        <v>27342</v>
      </c>
      <c r="B411">
        <v>2699000</v>
      </c>
      <c r="C411">
        <v>441000</v>
      </c>
    </row>
    <row r="412" spans="1:3" x14ac:dyDescent="0.2">
      <c r="A412" s="64">
        <v>27349</v>
      </c>
      <c r="B412">
        <v>2862000</v>
      </c>
      <c r="C412">
        <v>449000</v>
      </c>
    </row>
    <row r="413" spans="1:3" x14ac:dyDescent="0.2">
      <c r="A413" s="64">
        <v>27356</v>
      </c>
      <c r="B413">
        <v>2748000</v>
      </c>
      <c r="C413">
        <v>518000</v>
      </c>
    </row>
    <row r="414" spans="1:3" x14ac:dyDescent="0.2">
      <c r="A414" s="64">
        <v>27363</v>
      </c>
      <c r="B414">
        <v>3086000</v>
      </c>
      <c r="C414">
        <v>474000</v>
      </c>
    </row>
    <row r="415" spans="1:3" x14ac:dyDescent="0.2">
      <c r="A415" s="64">
        <v>27370</v>
      </c>
      <c r="B415">
        <v>3178000</v>
      </c>
      <c r="C415">
        <v>528000</v>
      </c>
    </row>
    <row r="416" spans="1:3" x14ac:dyDescent="0.2">
      <c r="A416" s="64">
        <v>27377</v>
      </c>
      <c r="B416">
        <v>3291000</v>
      </c>
      <c r="C416">
        <v>510000</v>
      </c>
    </row>
    <row r="417" spans="1:3" x14ac:dyDescent="0.2">
      <c r="A417" s="64">
        <v>27384</v>
      </c>
      <c r="B417">
        <v>3300000</v>
      </c>
      <c r="C417">
        <v>521000</v>
      </c>
    </row>
    <row r="418" spans="1:3" x14ac:dyDescent="0.2">
      <c r="A418" s="64">
        <v>27391</v>
      </c>
      <c r="B418">
        <v>3396000</v>
      </c>
      <c r="C418">
        <v>537000</v>
      </c>
    </row>
    <row r="419" spans="1:3" x14ac:dyDescent="0.2">
      <c r="A419" s="64">
        <v>27398</v>
      </c>
      <c r="B419">
        <v>3554000</v>
      </c>
      <c r="C419">
        <v>456000</v>
      </c>
    </row>
    <row r="420" spans="1:3" x14ac:dyDescent="0.2">
      <c r="A420" s="64">
        <v>27405</v>
      </c>
      <c r="B420">
        <v>3557000</v>
      </c>
      <c r="C420">
        <v>554000</v>
      </c>
    </row>
    <row r="421" spans="1:3" x14ac:dyDescent="0.2">
      <c r="A421" s="64">
        <v>27412</v>
      </c>
      <c r="B421">
        <v>3658000</v>
      </c>
      <c r="C421">
        <v>575000</v>
      </c>
    </row>
    <row r="422" spans="1:3" x14ac:dyDescent="0.2">
      <c r="A422" s="64">
        <v>27419</v>
      </c>
      <c r="B422">
        <v>3708000</v>
      </c>
      <c r="C422">
        <v>555000</v>
      </c>
    </row>
    <row r="423" spans="1:3" x14ac:dyDescent="0.2">
      <c r="A423" s="64">
        <v>27426</v>
      </c>
      <c r="B423">
        <v>3738000</v>
      </c>
      <c r="C423">
        <v>559000</v>
      </c>
    </row>
    <row r="424" spans="1:3" x14ac:dyDescent="0.2">
      <c r="A424" s="64">
        <v>27433</v>
      </c>
      <c r="B424">
        <v>3856000</v>
      </c>
      <c r="C424">
        <v>545000</v>
      </c>
    </row>
    <row r="425" spans="1:3" x14ac:dyDescent="0.2">
      <c r="A425" s="64">
        <v>27440</v>
      </c>
      <c r="B425">
        <v>3863000</v>
      </c>
      <c r="C425">
        <v>530000</v>
      </c>
    </row>
    <row r="426" spans="1:3" x14ac:dyDescent="0.2">
      <c r="A426" s="64">
        <v>27447</v>
      </c>
      <c r="B426">
        <v>3969000</v>
      </c>
      <c r="C426">
        <v>544000</v>
      </c>
    </row>
    <row r="427" spans="1:3" x14ac:dyDescent="0.2">
      <c r="A427" s="64">
        <v>27454</v>
      </c>
      <c r="B427">
        <v>4023000</v>
      </c>
      <c r="C427">
        <v>546000</v>
      </c>
    </row>
    <row r="428" spans="1:3" x14ac:dyDescent="0.2">
      <c r="A428" s="64">
        <v>27461</v>
      </c>
      <c r="B428">
        <v>4147000</v>
      </c>
      <c r="C428">
        <v>551000</v>
      </c>
    </row>
    <row r="429" spans="1:3" x14ac:dyDescent="0.2">
      <c r="A429" s="64">
        <v>27468</v>
      </c>
      <c r="B429">
        <v>4195000</v>
      </c>
      <c r="C429">
        <v>531000</v>
      </c>
    </row>
    <row r="430" spans="1:3" x14ac:dyDescent="0.2">
      <c r="A430" s="64">
        <v>27475</v>
      </c>
      <c r="B430">
        <v>4201000</v>
      </c>
      <c r="C430">
        <v>550000</v>
      </c>
    </row>
    <row r="431" spans="1:3" x14ac:dyDescent="0.2">
      <c r="A431" s="64">
        <v>27482</v>
      </c>
      <c r="B431">
        <v>4310000</v>
      </c>
      <c r="C431">
        <v>555000</v>
      </c>
    </row>
    <row r="432" spans="1:3" x14ac:dyDescent="0.2">
      <c r="A432" s="64">
        <v>27489</v>
      </c>
      <c r="B432">
        <v>4428000</v>
      </c>
      <c r="C432">
        <v>537000</v>
      </c>
    </row>
    <row r="433" spans="1:3" x14ac:dyDescent="0.2">
      <c r="A433" s="64">
        <v>27496</v>
      </c>
      <c r="B433">
        <v>4449000</v>
      </c>
      <c r="C433">
        <v>520000</v>
      </c>
    </row>
    <row r="434" spans="1:3" x14ac:dyDescent="0.2">
      <c r="A434" s="64">
        <v>27503</v>
      </c>
      <c r="B434">
        <v>4497000</v>
      </c>
      <c r="C434">
        <v>531000</v>
      </c>
    </row>
    <row r="435" spans="1:3" x14ac:dyDescent="0.2">
      <c r="A435" s="64">
        <v>27510</v>
      </c>
      <c r="B435">
        <v>4520000</v>
      </c>
      <c r="C435">
        <v>513000</v>
      </c>
    </row>
    <row r="436" spans="1:3" x14ac:dyDescent="0.2">
      <c r="A436" s="64">
        <v>27517</v>
      </c>
      <c r="B436">
        <v>4604000</v>
      </c>
      <c r="C436">
        <v>505000</v>
      </c>
    </row>
    <row r="437" spans="1:3" x14ac:dyDescent="0.2">
      <c r="A437" s="64">
        <v>27524</v>
      </c>
      <c r="B437">
        <v>4597000</v>
      </c>
      <c r="C437">
        <v>507000</v>
      </c>
    </row>
    <row r="438" spans="1:3" x14ac:dyDescent="0.2">
      <c r="A438" s="64">
        <v>27531</v>
      </c>
      <c r="B438">
        <v>4592000</v>
      </c>
      <c r="C438">
        <v>514000</v>
      </c>
    </row>
    <row r="439" spans="1:3" x14ac:dyDescent="0.2">
      <c r="A439" s="64">
        <v>27538</v>
      </c>
      <c r="B439">
        <v>4461000</v>
      </c>
      <c r="C439">
        <v>493000</v>
      </c>
    </row>
    <row r="440" spans="1:3" x14ac:dyDescent="0.2">
      <c r="A440" s="64">
        <v>27545</v>
      </c>
      <c r="B440">
        <v>4637000</v>
      </c>
      <c r="C440">
        <v>475000</v>
      </c>
    </row>
    <row r="441" spans="1:3" x14ac:dyDescent="0.2">
      <c r="A441" s="64">
        <v>27552</v>
      </c>
      <c r="B441">
        <v>4484000</v>
      </c>
      <c r="C441">
        <v>529000</v>
      </c>
    </row>
    <row r="442" spans="1:3" x14ac:dyDescent="0.2">
      <c r="A442" s="64">
        <v>27559</v>
      </c>
      <c r="B442">
        <v>4529000</v>
      </c>
      <c r="C442">
        <v>497000</v>
      </c>
    </row>
    <row r="443" spans="1:3" x14ac:dyDescent="0.2">
      <c r="A443" s="64">
        <v>27566</v>
      </c>
      <c r="B443">
        <v>4406000</v>
      </c>
      <c r="C443">
        <v>497000</v>
      </c>
    </row>
    <row r="444" spans="1:3" x14ac:dyDescent="0.2">
      <c r="A444" s="64">
        <v>27573</v>
      </c>
      <c r="B444">
        <v>4090000</v>
      </c>
      <c r="C444">
        <v>459000</v>
      </c>
    </row>
    <row r="445" spans="1:3" x14ac:dyDescent="0.2">
      <c r="A445" s="64">
        <v>27580</v>
      </c>
      <c r="B445">
        <v>4239000</v>
      </c>
      <c r="C445">
        <v>423000</v>
      </c>
    </row>
    <row r="446" spans="1:3" x14ac:dyDescent="0.2">
      <c r="A446" s="64">
        <v>27587</v>
      </c>
      <c r="B446">
        <v>4057000</v>
      </c>
      <c r="C446">
        <v>446000</v>
      </c>
    </row>
    <row r="447" spans="1:3" x14ac:dyDescent="0.2">
      <c r="A447" s="64">
        <v>27594</v>
      </c>
      <c r="B447">
        <v>4208000</v>
      </c>
      <c r="C447">
        <v>445000</v>
      </c>
    </row>
    <row r="448" spans="1:3" x14ac:dyDescent="0.2">
      <c r="A448" s="64">
        <v>27601</v>
      </c>
      <c r="B448">
        <v>4075000</v>
      </c>
      <c r="C448">
        <v>454000</v>
      </c>
    </row>
    <row r="449" spans="1:3" x14ac:dyDescent="0.2">
      <c r="A449" s="64">
        <v>27608</v>
      </c>
      <c r="B449">
        <v>4015000</v>
      </c>
      <c r="C449">
        <v>454000</v>
      </c>
    </row>
    <row r="450" spans="1:3" x14ac:dyDescent="0.2">
      <c r="A450" s="64">
        <v>27615</v>
      </c>
      <c r="B450">
        <v>4028000</v>
      </c>
      <c r="C450">
        <v>459000</v>
      </c>
    </row>
    <row r="451" spans="1:3" x14ac:dyDescent="0.2">
      <c r="A451" s="64">
        <v>27622</v>
      </c>
      <c r="B451">
        <v>3934000</v>
      </c>
      <c r="C451">
        <v>444000</v>
      </c>
    </row>
    <row r="452" spans="1:3" x14ac:dyDescent="0.2">
      <c r="A452" s="64">
        <v>27629</v>
      </c>
      <c r="B452">
        <v>3940000</v>
      </c>
      <c r="C452">
        <v>457000</v>
      </c>
    </row>
    <row r="453" spans="1:3" x14ac:dyDescent="0.2">
      <c r="A453" s="64">
        <v>27636</v>
      </c>
      <c r="B453">
        <v>3854000</v>
      </c>
      <c r="C453">
        <v>446000</v>
      </c>
    </row>
    <row r="454" spans="1:3" x14ac:dyDescent="0.2">
      <c r="A454" s="64">
        <v>27643</v>
      </c>
      <c r="B454">
        <v>3969000</v>
      </c>
      <c r="C454">
        <v>447000</v>
      </c>
    </row>
    <row r="455" spans="1:3" x14ac:dyDescent="0.2">
      <c r="A455" s="64">
        <v>27650</v>
      </c>
      <c r="B455">
        <v>3880000</v>
      </c>
      <c r="C455">
        <v>456000</v>
      </c>
    </row>
    <row r="456" spans="1:3" x14ac:dyDescent="0.2">
      <c r="A456" s="64">
        <v>27657</v>
      </c>
      <c r="B456">
        <v>3880000</v>
      </c>
      <c r="C456">
        <v>433000</v>
      </c>
    </row>
    <row r="457" spans="1:3" x14ac:dyDescent="0.2">
      <c r="A457" s="64">
        <v>27664</v>
      </c>
      <c r="B457">
        <v>3851000</v>
      </c>
      <c r="C457">
        <v>445000</v>
      </c>
    </row>
    <row r="458" spans="1:3" x14ac:dyDescent="0.2">
      <c r="A458" s="64">
        <v>27671</v>
      </c>
      <c r="B458">
        <v>3868000</v>
      </c>
      <c r="C458">
        <v>426000</v>
      </c>
    </row>
    <row r="459" spans="1:3" x14ac:dyDescent="0.2">
      <c r="A459" s="64">
        <v>27678</v>
      </c>
      <c r="B459">
        <v>3675000</v>
      </c>
      <c r="C459">
        <v>429000</v>
      </c>
    </row>
    <row r="460" spans="1:3" x14ac:dyDescent="0.2">
      <c r="A460" s="64">
        <v>27685</v>
      </c>
      <c r="B460">
        <v>3720000</v>
      </c>
      <c r="C460">
        <v>404000</v>
      </c>
    </row>
    <row r="461" spans="1:3" x14ac:dyDescent="0.2">
      <c r="A461" s="64">
        <v>27692</v>
      </c>
      <c r="B461">
        <v>3662000</v>
      </c>
      <c r="C461">
        <v>426000</v>
      </c>
    </row>
    <row r="462" spans="1:3" x14ac:dyDescent="0.2">
      <c r="A462" s="64">
        <v>27699</v>
      </c>
      <c r="B462">
        <v>3607000</v>
      </c>
      <c r="C462">
        <v>414000</v>
      </c>
    </row>
    <row r="463" spans="1:3" x14ac:dyDescent="0.2">
      <c r="A463" s="64">
        <v>27706</v>
      </c>
      <c r="B463">
        <v>3546000</v>
      </c>
      <c r="C463">
        <v>415000</v>
      </c>
    </row>
    <row r="464" spans="1:3" x14ac:dyDescent="0.2">
      <c r="A464" s="64">
        <v>27713</v>
      </c>
      <c r="B464">
        <v>3551000</v>
      </c>
      <c r="C464">
        <v>386000</v>
      </c>
    </row>
    <row r="465" spans="1:3" x14ac:dyDescent="0.2">
      <c r="A465" s="64">
        <v>27720</v>
      </c>
      <c r="B465">
        <v>3377000</v>
      </c>
      <c r="C465">
        <v>401000</v>
      </c>
    </row>
    <row r="466" spans="1:3" x14ac:dyDescent="0.2">
      <c r="A466" s="64">
        <v>27727</v>
      </c>
      <c r="B466">
        <v>3391000</v>
      </c>
      <c r="C466">
        <v>387000</v>
      </c>
    </row>
    <row r="467" spans="1:3" x14ac:dyDescent="0.2">
      <c r="A467" s="64">
        <v>27734</v>
      </c>
      <c r="B467">
        <v>3331000</v>
      </c>
      <c r="C467">
        <v>373000</v>
      </c>
    </row>
    <row r="468" spans="1:3" x14ac:dyDescent="0.2">
      <c r="A468" s="64">
        <v>27741</v>
      </c>
      <c r="B468">
        <v>3266000</v>
      </c>
      <c r="C468">
        <v>368000</v>
      </c>
    </row>
    <row r="469" spans="1:3" x14ac:dyDescent="0.2">
      <c r="A469" s="64">
        <v>27748</v>
      </c>
      <c r="B469">
        <v>3124000</v>
      </c>
      <c r="C469">
        <v>365000</v>
      </c>
    </row>
    <row r="470" spans="1:3" x14ac:dyDescent="0.2">
      <c r="A470" s="64">
        <v>27755</v>
      </c>
      <c r="B470">
        <v>3072000</v>
      </c>
      <c r="C470">
        <v>391000</v>
      </c>
    </row>
    <row r="471" spans="1:3" x14ac:dyDescent="0.2">
      <c r="A471" s="64">
        <v>27762</v>
      </c>
      <c r="B471">
        <v>3214000</v>
      </c>
      <c r="C471">
        <v>362000</v>
      </c>
    </row>
    <row r="472" spans="1:3" x14ac:dyDescent="0.2">
      <c r="A472" s="64">
        <v>27769</v>
      </c>
      <c r="B472">
        <v>3084000</v>
      </c>
      <c r="C472">
        <v>402000</v>
      </c>
    </row>
    <row r="473" spans="1:3" x14ac:dyDescent="0.2">
      <c r="A473" s="64">
        <v>27776</v>
      </c>
      <c r="B473">
        <v>3026000</v>
      </c>
      <c r="C473">
        <v>370000</v>
      </c>
    </row>
    <row r="474" spans="1:3" x14ac:dyDescent="0.2">
      <c r="A474" s="64">
        <v>27783</v>
      </c>
      <c r="B474">
        <v>2957000</v>
      </c>
      <c r="C474">
        <v>363000</v>
      </c>
    </row>
    <row r="475" spans="1:3" x14ac:dyDescent="0.2">
      <c r="A475" s="64">
        <v>27790</v>
      </c>
      <c r="B475">
        <v>2895000</v>
      </c>
      <c r="C475">
        <v>359000</v>
      </c>
    </row>
    <row r="476" spans="1:3" x14ac:dyDescent="0.2">
      <c r="A476" s="64">
        <v>27797</v>
      </c>
      <c r="B476">
        <v>2912000</v>
      </c>
      <c r="C476">
        <v>353000</v>
      </c>
    </row>
    <row r="477" spans="1:3" x14ac:dyDescent="0.2">
      <c r="A477" s="64">
        <v>27804</v>
      </c>
      <c r="B477">
        <v>2867000</v>
      </c>
      <c r="C477">
        <v>344000</v>
      </c>
    </row>
    <row r="478" spans="1:3" x14ac:dyDescent="0.2">
      <c r="A478" s="64">
        <v>27811</v>
      </c>
      <c r="B478">
        <v>2862000</v>
      </c>
      <c r="C478">
        <v>347000</v>
      </c>
    </row>
    <row r="479" spans="1:3" x14ac:dyDescent="0.2">
      <c r="A479" s="64">
        <v>27818</v>
      </c>
      <c r="B479">
        <v>2822000</v>
      </c>
      <c r="C479">
        <v>349000</v>
      </c>
    </row>
    <row r="480" spans="1:3" x14ac:dyDescent="0.2">
      <c r="A480" s="64">
        <v>27825</v>
      </c>
      <c r="B480">
        <v>2853000</v>
      </c>
      <c r="C480">
        <v>348000</v>
      </c>
    </row>
    <row r="481" spans="1:3" x14ac:dyDescent="0.2">
      <c r="A481" s="64">
        <v>27832</v>
      </c>
      <c r="B481">
        <v>2837000</v>
      </c>
      <c r="C481">
        <v>360000</v>
      </c>
    </row>
    <row r="482" spans="1:3" x14ac:dyDescent="0.2">
      <c r="A482" s="64">
        <v>27839</v>
      </c>
      <c r="B482">
        <v>2852000</v>
      </c>
      <c r="C482">
        <v>368000</v>
      </c>
    </row>
    <row r="483" spans="1:3" x14ac:dyDescent="0.2">
      <c r="A483" s="64">
        <v>27846</v>
      </c>
      <c r="B483">
        <v>2830000</v>
      </c>
      <c r="C483">
        <v>366000</v>
      </c>
    </row>
    <row r="484" spans="1:3" x14ac:dyDescent="0.2">
      <c r="A484" s="64">
        <v>27853</v>
      </c>
      <c r="B484">
        <v>2859000</v>
      </c>
      <c r="C484">
        <v>380000</v>
      </c>
    </row>
    <row r="485" spans="1:3" x14ac:dyDescent="0.2">
      <c r="A485" s="64">
        <v>27860</v>
      </c>
      <c r="B485">
        <v>2840000</v>
      </c>
      <c r="C485">
        <v>373000</v>
      </c>
    </row>
    <row r="486" spans="1:3" x14ac:dyDescent="0.2">
      <c r="A486" s="64">
        <v>27867</v>
      </c>
      <c r="B486">
        <v>2890000</v>
      </c>
      <c r="C486">
        <v>361000</v>
      </c>
    </row>
    <row r="487" spans="1:3" x14ac:dyDescent="0.2">
      <c r="A487" s="64">
        <v>27874</v>
      </c>
      <c r="B487">
        <v>2900000</v>
      </c>
      <c r="C487">
        <v>367000</v>
      </c>
    </row>
    <row r="488" spans="1:3" x14ac:dyDescent="0.2">
      <c r="A488" s="64">
        <v>27881</v>
      </c>
      <c r="B488">
        <v>2940000</v>
      </c>
      <c r="C488">
        <v>385000</v>
      </c>
    </row>
    <row r="489" spans="1:3" x14ac:dyDescent="0.2">
      <c r="A489" s="64">
        <v>27888</v>
      </c>
      <c r="B489">
        <v>2941000</v>
      </c>
      <c r="C489">
        <v>395000</v>
      </c>
    </row>
    <row r="490" spans="1:3" x14ac:dyDescent="0.2">
      <c r="A490" s="64">
        <v>27895</v>
      </c>
      <c r="B490">
        <v>2947000</v>
      </c>
      <c r="C490">
        <v>382000</v>
      </c>
    </row>
    <row r="491" spans="1:3" x14ac:dyDescent="0.2">
      <c r="A491" s="64">
        <v>27902</v>
      </c>
      <c r="B491">
        <v>2961000</v>
      </c>
      <c r="C491">
        <v>394000</v>
      </c>
    </row>
    <row r="492" spans="1:3" x14ac:dyDescent="0.2">
      <c r="A492" s="64">
        <v>27909</v>
      </c>
      <c r="B492">
        <v>2916000</v>
      </c>
      <c r="C492">
        <v>402000</v>
      </c>
    </row>
    <row r="493" spans="1:3" x14ac:dyDescent="0.2">
      <c r="A493" s="64">
        <v>27916</v>
      </c>
      <c r="B493">
        <v>2970000</v>
      </c>
      <c r="C493">
        <v>382000</v>
      </c>
    </row>
    <row r="494" spans="1:3" x14ac:dyDescent="0.2">
      <c r="A494" s="64">
        <v>27923</v>
      </c>
      <c r="B494">
        <v>2950000</v>
      </c>
      <c r="C494">
        <v>407000</v>
      </c>
    </row>
    <row r="495" spans="1:3" x14ac:dyDescent="0.2">
      <c r="A495" s="64">
        <v>27930</v>
      </c>
      <c r="B495">
        <v>3003000</v>
      </c>
      <c r="C495">
        <v>399000</v>
      </c>
    </row>
    <row r="496" spans="1:3" x14ac:dyDescent="0.2">
      <c r="A496" s="64">
        <v>27937</v>
      </c>
      <c r="B496">
        <v>3035000</v>
      </c>
      <c r="C496">
        <v>387000</v>
      </c>
    </row>
    <row r="497" spans="1:3" x14ac:dyDescent="0.2">
      <c r="A497" s="64">
        <v>27944</v>
      </c>
      <c r="B497">
        <v>2958000</v>
      </c>
      <c r="C497">
        <v>394000</v>
      </c>
    </row>
    <row r="498" spans="1:3" x14ac:dyDescent="0.2">
      <c r="A498" s="64">
        <v>27951</v>
      </c>
      <c r="B498">
        <v>2995000</v>
      </c>
      <c r="C498">
        <v>372000</v>
      </c>
    </row>
    <row r="499" spans="1:3" x14ac:dyDescent="0.2">
      <c r="A499" s="64">
        <v>27958</v>
      </c>
      <c r="B499">
        <v>3011000</v>
      </c>
      <c r="C499">
        <v>406000</v>
      </c>
    </row>
    <row r="500" spans="1:3" x14ac:dyDescent="0.2">
      <c r="A500" s="64">
        <v>27965</v>
      </c>
      <c r="B500">
        <v>3019000</v>
      </c>
      <c r="C500">
        <v>394000</v>
      </c>
    </row>
    <row r="501" spans="1:3" x14ac:dyDescent="0.2">
      <c r="A501" s="64">
        <v>27972</v>
      </c>
      <c r="B501">
        <v>2996000</v>
      </c>
      <c r="C501">
        <v>388000</v>
      </c>
    </row>
    <row r="502" spans="1:3" x14ac:dyDescent="0.2">
      <c r="A502" s="64">
        <v>27979</v>
      </c>
      <c r="B502">
        <v>3007000</v>
      </c>
      <c r="C502">
        <v>378000</v>
      </c>
    </row>
    <row r="503" spans="1:3" x14ac:dyDescent="0.2">
      <c r="A503" s="64">
        <v>27986</v>
      </c>
      <c r="B503">
        <v>2990000</v>
      </c>
      <c r="C503">
        <v>382000</v>
      </c>
    </row>
    <row r="504" spans="1:3" x14ac:dyDescent="0.2">
      <c r="A504" s="64">
        <v>27993</v>
      </c>
      <c r="B504">
        <v>2983000</v>
      </c>
      <c r="C504">
        <v>400000</v>
      </c>
    </row>
    <row r="505" spans="1:3" x14ac:dyDescent="0.2">
      <c r="A505" s="64">
        <v>28000</v>
      </c>
      <c r="B505">
        <v>3081000</v>
      </c>
      <c r="C505">
        <v>394000</v>
      </c>
    </row>
    <row r="506" spans="1:3" x14ac:dyDescent="0.2">
      <c r="A506" s="64">
        <v>28007</v>
      </c>
      <c r="B506">
        <v>2988000</v>
      </c>
      <c r="C506">
        <v>421000</v>
      </c>
    </row>
    <row r="507" spans="1:3" x14ac:dyDescent="0.2">
      <c r="A507" s="64">
        <v>28014</v>
      </c>
      <c r="B507">
        <v>3092000</v>
      </c>
      <c r="C507">
        <v>383000</v>
      </c>
    </row>
    <row r="508" spans="1:3" x14ac:dyDescent="0.2">
      <c r="A508" s="64">
        <v>28021</v>
      </c>
      <c r="B508">
        <v>3097000</v>
      </c>
      <c r="C508">
        <v>403000</v>
      </c>
    </row>
    <row r="509" spans="1:3" x14ac:dyDescent="0.2">
      <c r="A509" s="64">
        <v>28028</v>
      </c>
      <c r="B509">
        <v>3103000</v>
      </c>
      <c r="C509">
        <v>423000</v>
      </c>
    </row>
    <row r="510" spans="1:3" x14ac:dyDescent="0.2">
      <c r="A510" s="64">
        <v>28035</v>
      </c>
      <c r="B510">
        <v>3104000</v>
      </c>
      <c r="C510">
        <v>408000</v>
      </c>
    </row>
    <row r="511" spans="1:3" x14ac:dyDescent="0.2">
      <c r="A511" s="64">
        <v>28042</v>
      </c>
      <c r="B511">
        <v>3119000</v>
      </c>
      <c r="C511">
        <v>411000</v>
      </c>
    </row>
    <row r="512" spans="1:3" x14ac:dyDescent="0.2">
      <c r="A512" s="64">
        <v>28049</v>
      </c>
      <c r="B512">
        <v>3074000</v>
      </c>
      <c r="C512">
        <v>403000</v>
      </c>
    </row>
    <row r="513" spans="1:3" x14ac:dyDescent="0.2">
      <c r="A513" s="64">
        <v>28056</v>
      </c>
      <c r="B513">
        <v>3088000</v>
      </c>
      <c r="C513">
        <v>409000</v>
      </c>
    </row>
    <row r="514" spans="1:3" x14ac:dyDescent="0.2">
      <c r="A514" s="64">
        <v>28063</v>
      </c>
      <c r="B514">
        <v>3080000</v>
      </c>
      <c r="C514">
        <v>414000</v>
      </c>
    </row>
    <row r="515" spans="1:3" x14ac:dyDescent="0.2">
      <c r="A515" s="64">
        <v>28070</v>
      </c>
      <c r="B515">
        <v>3079000</v>
      </c>
      <c r="C515">
        <v>390000</v>
      </c>
    </row>
    <row r="516" spans="1:3" x14ac:dyDescent="0.2">
      <c r="A516" s="64">
        <v>28077</v>
      </c>
      <c r="B516">
        <v>3064000</v>
      </c>
      <c r="C516">
        <v>383000</v>
      </c>
    </row>
    <row r="517" spans="1:3" x14ac:dyDescent="0.2">
      <c r="A517" s="64">
        <v>28084</v>
      </c>
      <c r="B517">
        <v>3061000</v>
      </c>
      <c r="C517">
        <v>408000</v>
      </c>
    </row>
    <row r="518" spans="1:3" x14ac:dyDescent="0.2">
      <c r="A518" s="64">
        <v>28091</v>
      </c>
      <c r="B518">
        <v>3019000</v>
      </c>
      <c r="C518">
        <v>377000</v>
      </c>
    </row>
    <row r="519" spans="1:3" x14ac:dyDescent="0.2">
      <c r="A519" s="64">
        <v>28098</v>
      </c>
      <c r="B519">
        <v>2994000</v>
      </c>
      <c r="C519">
        <v>402000</v>
      </c>
    </row>
    <row r="520" spans="1:3" x14ac:dyDescent="0.2">
      <c r="A520" s="64">
        <v>28105</v>
      </c>
      <c r="B520">
        <v>2978000</v>
      </c>
      <c r="C520">
        <v>395000</v>
      </c>
    </row>
    <row r="521" spans="1:3" x14ac:dyDescent="0.2">
      <c r="A521" s="64">
        <v>28112</v>
      </c>
      <c r="B521">
        <v>2900000</v>
      </c>
      <c r="C521">
        <v>365000</v>
      </c>
    </row>
    <row r="522" spans="1:3" x14ac:dyDescent="0.2">
      <c r="A522" s="64">
        <v>28119</v>
      </c>
      <c r="B522">
        <v>2822000</v>
      </c>
      <c r="C522">
        <v>333000</v>
      </c>
    </row>
    <row r="523" spans="1:3" x14ac:dyDescent="0.2">
      <c r="A523" s="64">
        <v>28126</v>
      </c>
      <c r="B523">
        <v>2818000</v>
      </c>
      <c r="C523">
        <v>380000</v>
      </c>
    </row>
    <row r="524" spans="1:3" x14ac:dyDescent="0.2">
      <c r="A524" s="64">
        <v>28133</v>
      </c>
      <c r="B524">
        <v>2764000</v>
      </c>
      <c r="C524">
        <v>416000</v>
      </c>
    </row>
    <row r="525" spans="1:3" x14ac:dyDescent="0.2">
      <c r="A525" s="64">
        <v>28140</v>
      </c>
      <c r="B525">
        <v>2841000</v>
      </c>
      <c r="C525">
        <v>368000</v>
      </c>
    </row>
    <row r="526" spans="1:3" x14ac:dyDescent="0.2">
      <c r="A526" s="64">
        <v>28147</v>
      </c>
      <c r="B526">
        <v>2834000</v>
      </c>
      <c r="C526">
        <v>423000</v>
      </c>
    </row>
    <row r="527" spans="1:3" x14ac:dyDescent="0.2">
      <c r="A527" s="64">
        <v>28154</v>
      </c>
      <c r="B527">
        <v>2879000</v>
      </c>
      <c r="C527">
        <v>422000</v>
      </c>
    </row>
    <row r="528" spans="1:3" x14ac:dyDescent="0.2">
      <c r="A528" s="64">
        <v>28161</v>
      </c>
      <c r="B528">
        <v>2956000</v>
      </c>
      <c r="C528">
        <v>565000</v>
      </c>
    </row>
    <row r="529" spans="1:3" x14ac:dyDescent="0.2">
      <c r="A529" s="64">
        <v>28168</v>
      </c>
      <c r="B529">
        <v>2904000</v>
      </c>
      <c r="C529">
        <v>477000</v>
      </c>
    </row>
    <row r="530" spans="1:3" x14ac:dyDescent="0.2">
      <c r="A530" s="64">
        <v>28175</v>
      </c>
      <c r="B530">
        <v>2772000</v>
      </c>
      <c r="C530">
        <v>399000</v>
      </c>
    </row>
    <row r="531" spans="1:3" x14ac:dyDescent="0.2">
      <c r="A531" s="64">
        <v>28182</v>
      </c>
      <c r="B531">
        <v>2764000</v>
      </c>
      <c r="C531">
        <v>362000</v>
      </c>
    </row>
    <row r="532" spans="1:3" x14ac:dyDescent="0.2">
      <c r="A532" s="64">
        <v>28189</v>
      </c>
      <c r="B532">
        <v>2717000</v>
      </c>
      <c r="C532">
        <v>361000</v>
      </c>
    </row>
    <row r="533" spans="1:3" x14ac:dyDescent="0.2">
      <c r="A533" s="64">
        <v>28196</v>
      </c>
      <c r="B533">
        <v>2728000</v>
      </c>
      <c r="C533">
        <v>355000</v>
      </c>
    </row>
    <row r="534" spans="1:3" x14ac:dyDescent="0.2">
      <c r="A534" s="64">
        <v>28203</v>
      </c>
      <c r="B534">
        <v>2695000</v>
      </c>
      <c r="C534">
        <v>369000</v>
      </c>
    </row>
    <row r="535" spans="1:3" x14ac:dyDescent="0.2">
      <c r="A535" s="64">
        <v>28210</v>
      </c>
      <c r="B535">
        <v>2671000</v>
      </c>
      <c r="C535">
        <v>356000</v>
      </c>
    </row>
    <row r="536" spans="1:3" x14ac:dyDescent="0.2">
      <c r="A536" s="64">
        <v>28217</v>
      </c>
      <c r="B536">
        <v>2655000</v>
      </c>
      <c r="C536">
        <v>350000</v>
      </c>
    </row>
    <row r="537" spans="1:3" x14ac:dyDescent="0.2">
      <c r="A537" s="64">
        <v>28224</v>
      </c>
      <c r="B537">
        <v>2717000</v>
      </c>
      <c r="C537">
        <v>376000</v>
      </c>
    </row>
    <row r="538" spans="1:3" x14ac:dyDescent="0.2">
      <c r="A538" s="64">
        <v>28231</v>
      </c>
      <c r="B538">
        <v>2680000</v>
      </c>
      <c r="C538">
        <v>361000</v>
      </c>
    </row>
    <row r="539" spans="1:3" x14ac:dyDescent="0.2">
      <c r="A539" s="64">
        <v>28238</v>
      </c>
      <c r="B539">
        <v>2660000</v>
      </c>
      <c r="C539">
        <v>375000</v>
      </c>
    </row>
    <row r="540" spans="1:3" x14ac:dyDescent="0.2">
      <c r="A540" s="64">
        <v>28245</v>
      </c>
      <c r="B540">
        <v>2644000</v>
      </c>
      <c r="C540">
        <v>375000</v>
      </c>
    </row>
    <row r="541" spans="1:3" x14ac:dyDescent="0.2">
      <c r="A541" s="64">
        <v>28252</v>
      </c>
      <c r="B541">
        <v>2618000</v>
      </c>
      <c r="C541">
        <v>384000</v>
      </c>
    </row>
    <row r="542" spans="1:3" x14ac:dyDescent="0.2">
      <c r="A542" s="64">
        <v>28259</v>
      </c>
      <c r="B542">
        <v>2635000</v>
      </c>
      <c r="C542">
        <v>381000</v>
      </c>
    </row>
    <row r="543" spans="1:3" x14ac:dyDescent="0.2">
      <c r="A543" s="64">
        <v>28266</v>
      </c>
      <c r="B543">
        <v>2647000</v>
      </c>
      <c r="C543">
        <v>375000</v>
      </c>
    </row>
    <row r="544" spans="1:3" x14ac:dyDescent="0.2">
      <c r="A544" s="64">
        <v>28273</v>
      </c>
      <c r="B544">
        <v>2625000</v>
      </c>
      <c r="C544">
        <v>381000</v>
      </c>
    </row>
    <row r="545" spans="1:3" x14ac:dyDescent="0.2">
      <c r="A545" s="64">
        <v>28280</v>
      </c>
      <c r="B545">
        <v>2650000</v>
      </c>
      <c r="C545">
        <v>363000</v>
      </c>
    </row>
    <row r="546" spans="1:3" x14ac:dyDescent="0.2">
      <c r="A546" s="64">
        <v>28287</v>
      </c>
      <c r="B546">
        <v>2589000</v>
      </c>
      <c r="C546">
        <v>358000</v>
      </c>
    </row>
    <row r="547" spans="1:3" x14ac:dyDescent="0.2">
      <c r="A547" s="64">
        <v>28294</v>
      </c>
      <c r="B547">
        <v>2622000</v>
      </c>
      <c r="C547">
        <v>359000</v>
      </c>
    </row>
    <row r="548" spans="1:3" x14ac:dyDescent="0.2">
      <c r="A548" s="64">
        <v>28301</v>
      </c>
      <c r="B548">
        <v>2616000</v>
      </c>
      <c r="C548">
        <v>365000</v>
      </c>
    </row>
    <row r="549" spans="1:3" x14ac:dyDescent="0.2">
      <c r="A549" s="64">
        <v>28308</v>
      </c>
      <c r="B549">
        <v>2572000</v>
      </c>
      <c r="C549">
        <v>350000</v>
      </c>
    </row>
    <row r="550" spans="1:3" x14ac:dyDescent="0.2">
      <c r="A550" s="64">
        <v>28315</v>
      </c>
      <c r="B550">
        <v>2563000</v>
      </c>
      <c r="C550">
        <v>361000</v>
      </c>
    </row>
    <row r="551" spans="1:3" x14ac:dyDescent="0.2">
      <c r="A551" s="64">
        <v>28322</v>
      </c>
      <c r="B551">
        <v>2591000</v>
      </c>
      <c r="C551">
        <v>366000</v>
      </c>
    </row>
    <row r="552" spans="1:3" x14ac:dyDescent="0.2">
      <c r="A552" s="64">
        <v>28329</v>
      </c>
      <c r="B552">
        <v>2584000</v>
      </c>
      <c r="C552">
        <v>365000</v>
      </c>
    </row>
    <row r="553" spans="1:3" x14ac:dyDescent="0.2">
      <c r="A553" s="64">
        <v>28336</v>
      </c>
      <c r="B553">
        <v>2605000</v>
      </c>
      <c r="C553">
        <v>365000</v>
      </c>
    </row>
    <row r="554" spans="1:3" x14ac:dyDescent="0.2">
      <c r="A554" s="64">
        <v>28343</v>
      </c>
      <c r="B554">
        <v>2605000</v>
      </c>
      <c r="C554">
        <v>378000</v>
      </c>
    </row>
    <row r="555" spans="1:3" x14ac:dyDescent="0.2">
      <c r="A555" s="64">
        <v>28350</v>
      </c>
      <c r="B555">
        <v>2618000</v>
      </c>
      <c r="C555">
        <v>359000</v>
      </c>
    </row>
    <row r="556" spans="1:3" x14ac:dyDescent="0.2">
      <c r="A556" s="64">
        <v>28357</v>
      </c>
      <c r="B556">
        <v>2612000</v>
      </c>
      <c r="C556">
        <v>367000</v>
      </c>
    </row>
    <row r="557" spans="1:3" x14ac:dyDescent="0.2">
      <c r="A557" s="64">
        <v>28364</v>
      </c>
      <c r="B557">
        <v>2607000</v>
      </c>
      <c r="C557">
        <v>365000</v>
      </c>
    </row>
    <row r="558" spans="1:3" x14ac:dyDescent="0.2">
      <c r="A558" s="64">
        <v>28371</v>
      </c>
      <c r="B558">
        <v>2571000</v>
      </c>
      <c r="C558">
        <v>374000</v>
      </c>
    </row>
    <row r="559" spans="1:3" x14ac:dyDescent="0.2">
      <c r="A559" s="64">
        <v>28378</v>
      </c>
      <c r="B559">
        <v>2601000</v>
      </c>
      <c r="C559">
        <v>359000</v>
      </c>
    </row>
    <row r="560" spans="1:3" x14ac:dyDescent="0.2">
      <c r="A560" s="64">
        <v>28385</v>
      </c>
      <c r="B560">
        <v>2605000</v>
      </c>
      <c r="C560">
        <v>362000</v>
      </c>
    </row>
    <row r="561" spans="1:3" x14ac:dyDescent="0.2">
      <c r="A561" s="64">
        <v>28392</v>
      </c>
      <c r="B561">
        <v>2581000</v>
      </c>
      <c r="C561">
        <v>380000</v>
      </c>
    </row>
    <row r="562" spans="1:3" x14ac:dyDescent="0.2">
      <c r="A562" s="64">
        <v>28399</v>
      </c>
      <c r="B562">
        <v>2583000</v>
      </c>
      <c r="C562">
        <v>348000</v>
      </c>
    </row>
    <row r="563" spans="1:3" x14ac:dyDescent="0.2">
      <c r="A563" s="64">
        <v>28406</v>
      </c>
      <c r="B563">
        <v>2575000</v>
      </c>
      <c r="C563">
        <v>365000</v>
      </c>
    </row>
    <row r="564" spans="1:3" x14ac:dyDescent="0.2">
      <c r="A564" s="64">
        <v>28413</v>
      </c>
      <c r="B564">
        <v>2575000</v>
      </c>
      <c r="C564">
        <v>358000</v>
      </c>
    </row>
    <row r="565" spans="1:3" x14ac:dyDescent="0.2">
      <c r="A565" s="64">
        <v>28420</v>
      </c>
      <c r="B565">
        <v>2561000</v>
      </c>
      <c r="C565">
        <v>375000</v>
      </c>
    </row>
    <row r="566" spans="1:3" x14ac:dyDescent="0.2">
      <c r="A566" s="64">
        <v>28427</v>
      </c>
      <c r="B566">
        <v>2587000</v>
      </c>
      <c r="C566">
        <v>349000</v>
      </c>
    </row>
    <row r="567" spans="1:3" x14ac:dyDescent="0.2">
      <c r="A567" s="64">
        <v>28434</v>
      </c>
      <c r="B567">
        <v>2535000</v>
      </c>
      <c r="C567">
        <v>366000</v>
      </c>
    </row>
    <row r="568" spans="1:3" x14ac:dyDescent="0.2">
      <c r="A568" s="64">
        <v>28441</v>
      </c>
      <c r="B568">
        <v>2592000</v>
      </c>
      <c r="C568">
        <v>334000</v>
      </c>
    </row>
    <row r="569" spans="1:3" x14ac:dyDescent="0.2">
      <c r="A569" s="64">
        <v>28448</v>
      </c>
      <c r="B569">
        <v>2527000</v>
      </c>
      <c r="C569">
        <v>360000</v>
      </c>
    </row>
    <row r="570" spans="1:3" x14ac:dyDescent="0.2">
      <c r="A570" s="64">
        <v>28455</v>
      </c>
      <c r="B570">
        <v>2620000</v>
      </c>
      <c r="C570">
        <v>354000</v>
      </c>
    </row>
    <row r="571" spans="1:3" x14ac:dyDescent="0.2">
      <c r="A571" s="64">
        <v>28462</v>
      </c>
      <c r="B571">
        <v>2505000</v>
      </c>
      <c r="C571">
        <v>367000</v>
      </c>
    </row>
    <row r="572" spans="1:3" x14ac:dyDescent="0.2">
      <c r="A572" s="64">
        <v>28469</v>
      </c>
      <c r="B572">
        <v>2529000</v>
      </c>
      <c r="C572">
        <v>364000</v>
      </c>
    </row>
    <row r="573" spans="1:3" x14ac:dyDescent="0.2">
      <c r="A573" s="64">
        <v>28476</v>
      </c>
      <c r="B573">
        <v>2558000</v>
      </c>
      <c r="C573">
        <v>359000</v>
      </c>
    </row>
    <row r="574" spans="1:3" x14ac:dyDescent="0.2">
      <c r="A574" s="64">
        <v>28483</v>
      </c>
      <c r="B574">
        <v>2482000</v>
      </c>
      <c r="C574">
        <v>344000</v>
      </c>
    </row>
    <row r="575" spans="1:3" x14ac:dyDescent="0.2">
      <c r="A575" s="64">
        <v>28490</v>
      </c>
      <c r="B575">
        <v>2461000</v>
      </c>
      <c r="C575">
        <v>364000</v>
      </c>
    </row>
    <row r="576" spans="1:3" x14ac:dyDescent="0.2">
      <c r="A576" s="64">
        <v>28497</v>
      </c>
      <c r="B576">
        <v>2456000</v>
      </c>
      <c r="C576">
        <v>346000</v>
      </c>
    </row>
    <row r="577" spans="1:3" x14ac:dyDescent="0.2">
      <c r="A577" s="64">
        <v>28504</v>
      </c>
      <c r="B577">
        <v>2418000</v>
      </c>
      <c r="C577">
        <v>343000</v>
      </c>
    </row>
    <row r="578" spans="1:3" x14ac:dyDescent="0.2">
      <c r="A578" s="64">
        <v>28511</v>
      </c>
      <c r="B578">
        <v>2522000</v>
      </c>
      <c r="C578">
        <v>352000</v>
      </c>
    </row>
    <row r="579" spans="1:3" x14ac:dyDescent="0.2">
      <c r="A579" s="64">
        <v>28518</v>
      </c>
      <c r="B579">
        <v>2578000</v>
      </c>
      <c r="C579">
        <v>363000</v>
      </c>
    </row>
    <row r="580" spans="1:3" x14ac:dyDescent="0.2">
      <c r="A580" s="64">
        <v>28525</v>
      </c>
      <c r="B580">
        <v>2468000</v>
      </c>
      <c r="C580">
        <v>360000</v>
      </c>
    </row>
    <row r="581" spans="1:3" x14ac:dyDescent="0.2">
      <c r="A581" s="64">
        <v>28532</v>
      </c>
      <c r="B581">
        <v>2656000</v>
      </c>
      <c r="C581">
        <v>373000</v>
      </c>
    </row>
    <row r="582" spans="1:3" x14ac:dyDescent="0.2">
      <c r="A582" s="64">
        <v>28539</v>
      </c>
      <c r="B582">
        <v>2545000</v>
      </c>
      <c r="C582">
        <v>429000</v>
      </c>
    </row>
    <row r="583" spans="1:3" x14ac:dyDescent="0.2">
      <c r="A583" s="64">
        <v>28546</v>
      </c>
      <c r="B583">
        <v>2553000</v>
      </c>
      <c r="C583">
        <v>371000</v>
      </c>
    </row>
    <row r="584" spans="1:3" x14ac:dyDescent="0.2">
      <c r="A584" s="64">
        <v>28553</v>
      </c>
      <c r="B584">
        <v>2529000</v>
      </c>
      <c r="C584">
        <v>355000</v>
      </c>
    </row>
    <row r="585" spans="1:3" x14ac:dyDescent="0.2">
      <c r="A585" s="64">
        <v>28560</v>
      </c>
      <c r="B585">
        <v>2526000</v>
      </c>
      <c r="C585">
        <v>359000</v>
      </c>
    </row>
    <row r="586" spans="1:3" x14ac:dyDescent="0.2">
      <c r="A586" s="64">
        <v>28567</v>
      </c>
      <c r="B586">
        <v>2471000</v>
      </c>
      <c r="C586">
        <v>347000</v>
      </c>
    </row>
    <row r="587" spans="1:3" x14ac:dyDescent="0.2">
      <c r="A587" s="64">
        <v>28574</v>
      </c>
      <c r="B587">
        <v>2473000</v>
      </c>
      <c r="C587">
        <v>335000</v>
      </c>
    </row>
    <row r="588" spans="1:3" x14ac:dyDescent="0.2">
      <c r="A588" s="64">
        <v>28581</v>
      </c>
      <c r="B588">
        <v>2453000</v>
      </c>
      <c r="C588">
        <v>333000</v>
      </c>
    </row>
    <row r="589" spans="1:3" x14ac:dyDescent="0.2">
      <c r="A589" s="64">
        <v>28588</v>
      </c>
      <c r="B589">
        <v>2397000</v>
      </c>
      <c r="C589">
        <v>345000</v>
      </c>
    </row>
    <row r="590" spans="1:3" x14ac:dyDescent="0.2">
      <c r="A590" s="64">
        <v>28595</v>
      </c>
      <c r="B590">
        <v>2339000</v>
      </c>
      <c r="C590">
        <v>309000</v>
      </c>
    </row>
    <row r="591" spans="1:3" x14ac:dyDescent="0.2">
      <c r="A591" s="64">
        <v>28602</v>
      </c>
      <c r="B591">
        <v>2287000</v>
      </c>
      <c r="C591">
        <v>319000</v>
      </c>
    </row>
    <row r="592" spans="1:3" x14ac:dyDescent="0.2">
      <c r="A592" s="64">
        <v>28609</v>
      </c>
      <c r="B592">
        <v>2272000</v>
      </c>
      <c r="C592">
        <v>324000</v>
      </c>
    </row>
    <row r="593" spans="1:3" x14ac:dyDescent="0.2">
      <c r="A593" s="64">
        <v>28616</v>
      </c>
      <c r="B593">
        <v>2246000</v>
      </c>
      <c r="C593">
        <v>334000</v>
      </c>
    </row>
    <row r="594" spans="1:3" x14ac:dyDescent="0.2">
      <c r="A594" s="64">
        <v>28623</v>
      </c>
      <c r="B594">
        <v>2231000</v>
      </c>
      <c r="C594">
        <v>322000</v>
      </c>
    </row>
    <row r="595" spans="1:3" x14ac:dyDescent="0.2">
      <c r="A595" s="64">
        <v>28630</v>
      </c>
      <c r="B595">
        <v>2238000</v>
      </c>
      <c r="C595">
        <v>334000</v>
      </c>
    </row>
    <row r="596" spans="1:3" x14ac:dyDescent="0.2">
      <c r="A596" s="64">
        <v>28637</v>
      </c>
      <c r="B596">
        <v>2211000</v>
      </c>
      <c r="C596">
        <v>318000</v>
      </c>
    </row>
    <row r="597" spans="1:3" x14ac:dyDescent="0.2">
      <c r="A597" s="64">
        <v>28644</v>
      </c>
      <c r="B597">
        <v>2224000</v>
      </c>
      <c r="C597">
        <v>310000</v>
      </c>
    </row>
    <row r="598" spans="1:3" x14ac:dyDescent="0.2">
      <c r="A598" s="64">
        <v>28651</v>
      </c>
      <c r="B598">
        <v>2189000</v>
      </c>
      <c r="C598">
        <v>331000</v>
      </c>
    </row>
    <row r="599" spans="1:3" x14ac:dyDescent="0.2">
      <c r="A599" s="64">
        <v>28658</v>
      </c>
      <c r="B599">
        <v>2225000</v>
      </c>
      <c r="C599">
        <v>326000</v>
      </c>
    </row>
    <row r="600" spans="1:3" x14ac:dyDescent="0.2">
      <c r="A600" s="64">
        <v>28665</v>
      </c>
      <c r="B600">
        <v>2249000</v>
      </c>
      <c r="C600">
        <v>330000</v>
      </c>
    </row>
    <row r="601" spans="1:3" x14ac:dyDescent="0.2">
      <c r="A601" s="64">
        <v>28672</v>
      </c>
      <c r="B601">
        <v>2242000</v>
      </c>
      <c r="C601">
        <v>348000</v>
      </c>
    </row>
    <row r="602" spans="1:3" x14ac:dyDescent="0.2">
      <c r="A602" s="64">
        <v>28679</v>
      </c>
      <c r="B602">
        <v>2331000</v>
      </c>
      <c r="C602">
        <v>356000</v>
      </c>
    </row>
    <row r="603" spans="1:3" x14ac:dyDescent="0.2">
      <c r="A603" s="64">
        <v>28686</v>
      </c>
      <c r="B603">
        <v>2328000</v>
      </c>
      <c r="C603">
        <v>352000</v>
      </c>
    </row>
    <row r="604" spans="1:3" x14ac:dyDescent="0.2">
      <c r="A604" s="64">
        <v>28693</v>
      </c>
      <c r="B604">
        <v>2321000</v>
      </c>
      <c r="C604">
        <v>349000</v>
      </c>
    </row>
    <row r="605" spans="1:3" x14ac:dyDescent="0.2">
      <c r="A605" s="64">
        <v>28700</v>
      </c>
      <c r="B605">
        <v>2344000</v>
      </c>
      <c r="C605">
        <v>346000</v>
      </c>
    </row>
    <row r="606" spans="1:3" x14ac:dyDescent="0.2">
      <c r="A606" s="64">
        <v>28707</v>
      </c>
      <c r="B606">
        <v>2395000</v>
      </c>
      <c r="C606">
        <v>365000</v>
      </c>
    </row>
    <row r="607" spans="1:3" x14ac:dyDescent="0.2">
      <c r="A607" s="64">
        <v>28714</v>
      </c>
      <c r="B607">
        <v>2422000</v>
      </c>
      <c r="C607">
        <v>354000</v>
      </c>
    </row>
    <row r="608" spans="1:3" x14ac:dyDescent="0.2">
      <c r="A608" s="64">
        <v>28721</v>
      </c>
      <c r="B608">
        <v>2405000</v>
      </c>
      <c r="C608">
        <v>343000</v>
      </c>
    </row>
    <row r="609" spans="1:3" x14ac:dyDescent="0.2">
      <c r="A609" s="64">
        <v>28728</v>
      </c>
      <c r="B609">
        <v>2370000</v>
      </c>
      <c r="C609">
        <v>333000</v>
      </c>
    </row>
    <row r="610" spans="1:3" x14ac:dyDescent="0.2">
      <c r="A610" s="64">
        <v>28735</v>
      </c>
      <c r="B610">
        <v>2336000</v>
      </c>
      <c r="C610">
        <v>313000</v>
      </c>
    </row>
    <row r="611" spans="1:3" x14ac:dyDescent="0.2">
      <c r="A611" s="64">
        <v>28742</v>
      </c>
      <c r="B611">
        <v>2278000</v>
      </c>
      <c r="C611">
        <v>337000</v>
      </c>
    </row>
    <row r="612" spans="1:3" x14ac:dyDescent="0.2">
      <c r="A612" s="64">
        <v>28749</v>
      </c>
      <c r="B612">
        <v>2271000</v>
      </c>
      <c r="C612">
        <v>322000</v>
      </c>
    </row>
    <row r="613" spans="1:3" x14ac:dyDescent="0.2">
      <c r="A613" s="64">
        <v>28756</v>
      </c>
      <c r="B613">
        <v>2247000</v>
      </c>
      <c r="C613">
        <v>323000</v>
      </c>
    </row>
    <row r="614" spans="1:3" x14ac:dyDescent="0.2">
      <c r="A614" s="64">
        <v>28763</v>
      </c>
      <c r="B614">
        <v>2217000</v>
      </c>
      <c r="C614">
        <v>318000</v>
      </c>
    </row>
    <row r="615" spans="1:3" x14ac:dyDescent="0.2">
      <c r="A615" s="64">
        <v>28770</v>
      </c>
      <c r="B615">
        <v>2219000</v>
      </c>
      <c r="C615">
        <v>343000</v>
      </c>
    </row>
    <row r="616" spans="1:3" x14ac:dyDescent="0.2">
      <c r="A616" s="64">
        <v>28777</v>
      </c>
      <c r="B616">
        <v>2274000</v>
      </c>
      <c r="C616">
        <v>316000</v>
      </c>
    </row>
    <row r="617" spans="1:3" x14ac:dyDescent="0.2">
      <c r="A617" s="64">
        <v>28784</v>
      </c>
      <c r="B617">
        <v>2207000</v>
      </c>
      <c r="C617">
        <v>338000</v>
      </c>
    </row>
    <row r="618" spans="1:3" x14ac:dyDescent="0.2">
      <c r="A618" s="64">
        <v>28791</v>
      </c>
      <c r="B618">
        <v>2222000</v>
      </c>
      <c r="C618">
        <v>316000</v>
      </c>
    </row>
    <row r="619" spans="1:3" x14ac:dyDescent="0.2">
      <c r="A619" s="64">
        <v>28798</v>
      </c>
      <c r="B619">
        <v>2188000</v>
      </c>
      <c r="C619">
        <v>317000</v>
      </c>
    </row>
    <row r="620" spans="1:3" x14ac:dyDescent="0.2">
      <c r="A620" s="64">
        <v>28805</v>
      </c>
      <c r="B620">
        <v>2200000</v>
      </c>
      <c r="C620">
        <v>304000</v>
      </c>
    </row>
    <row r="621" spans="1:3" x14ac:dyDescent="0.2">
      <c r="A621" s="64">
        <v>28812</v>
      </c>
      <c r="B621">
        <v>2158000</v>
      </c>
      <c r="C621">
        <v>342000</v>
      </c>
    </row>
    <row r="622" spans="1:3" x14ac:dyDescent="0.2">
      <c r="A622" s="64">
        <v>28819</v>
      </c>
      <c r="B622">
        <v>2349000</v>
      </c>
      <c r="C622">
        <v>359000</v>
      </c>
    </row>
    <row r="623" spans="1:3" x14ac:dyDescent="0.2">
      <c r="A623" s="64">
        <v>28826</v>
      </c>
      <c r="B623">
        <v>2248000</v>
      </c>
      <c r="C623">
        <v>377000</v>
      </c>
    </row>
    <row r="624" spans="1:3" x14ac:dyDescent="0.2">
      <c r="A624" s="64">
        <v>28833</v>
      </c>
      <c r="B624">
        <v>2292000</v>
      </c>
      <c r="C624">
        <v>344000</v>
      </c>
    </row>
    <row r="625" spans="1:3" x14ac:dyDescent="0.2">
      <c r="A625" s="64">
        <v>28840</v>
      </c>
      <c r="B625">
        <v>2328000</v>
      </c>
      <c r="C625">
        <v>347000</v>
      </c>
    </row>
    <row r="626" spans="1:3" x14ac:dyDescent="0.2">
      <c r="A626" s="64">
        <v>28847</v>
      </c>
      <c r="B626">
        <v>2276000</v>
      </c>
      <c r="C626">
        <v>352000</v>
      </c>
    </row>
    <row r="627" spans="1:3" x14ac:dyDescent="0.2">
      <c r="A627" s="64">
        <v>28854</v>
      </c>
      <c r="B627">
        <v>2289000</v>
      </c>
      <c r="C627">
        <v>358000</v>
      </c>
    </row>
    <row r="628" spans="1:3" x14ac:dyDescent="0.2">
      <c r="A628" s="64">
        <v>28861</v>
      </c>
      <c r="B628">
        <v>2366000</v>
      </c>
      <c r="C628">
        <v>359000</v>
      </c>
    </row>
    <row r="629" spans="1:3" x14ac:dyDescent="0.2">
      <c r="A629" s="64">
        <v>28868</v>
      </c>
      <c r="B629">
        <v>2368000</v>
      </c>
      <c r="C629">
        <v>392000</v>
      </c>
    </row>
    <row r="630" spans="1:3" x14ac:dyDescent="0.2">
      <c r="A630" s="64">
        <v>28875</v>
      </c>
      <c r="B630">
        <v>2403000</v>
      </c>
      <c r="C630">
        <v>337000</v>
      </c>
    </row>
    <row r="631" spans="1:3" x14ac:dyDescent="0.2">
      <c r="A631" s="64">
        <v>28882</v>
      </c>
      <c r="B631">
        <v>2393000</v>
      </c>
      <c r="C631">
        <v>342000</v>
      </c>
    </row>
    <row r="632" spans="1:3" x14ac:dyDescent="0.2">
      <c r="A632" s="64">
        <v>28889</v>
      </c>
      <c r="B632">
        <v>2411000</v>
      </c>
      <c r="C632">
        <v>348000</v>
      </c>
    </row>
    <row r="633" spans="1:3" x14ac:dyDescent="0.2">
      <c r="A633" s="64">
        <v>28896</v>
      </c>
      <c r="B633">
        <v>2412000</v>
      </c>
      <c r="C633">
        <v>359000</v>
      </c>
    </row>
    <row r="634" spans="1:3" x14ac:dyDescent="0.2">
      <c r="A634" s="64">
        <v>28903</v>
      </c>
      <c r="B634">
        <v>2383000</v>
      </c>
      <c r="C634">
        <v>367000</v>
      </c>
    </row>
    <row r="635" spans="1:3" x14ac:dyDescent="0.2">
      <c r="A635" s="64">
        <v>28910</v>
      </c>
      <c r="B635">
        <v>2451000</v>
      </c>
      <c r="C635">
        <v>360000</v>
      </c>
    </row>
    <row r="636" spans="1:3" x14ac:dyDescent="0.2">
      <c r="A636" s="64">
        <v>28917</v>
      </c>
      <c r="B636">
        <v>2451000</v>
      </c>
      <c r="C636">
        <v>355000</v>
      </c>
    </row>
    <row r="637" spans="1:3" x14ac:dyDescent="0.2">
      <c r="A637" s="64">
        <v>28924</v>
      </c>
      <c r="B637">
        <v>2413000</v>
      </c>
      <c r="C637">
        <v>363000</v>
      </c>
    </row>
    <row r="638" spans="1:3" x14ac:dyDescent="0.2">
      <c r="A638" s="64">
        <v>28931</v>
      </c>
      <c r="B638">
        <v>2377000</v>
      </c>
      <c r="C638">
        <v>359000</v>
      </c>
    </row>
    <row r="639" spans="1:3" x14ac:dyDescent="0.2">
      <c r="A639" s="64">
        <v>28938</v>
      </c>
      <c r="B639">
        <v>2353000</v>
      </c>
      <c r="C639">
        <v>353000</v>
      </c>
    </row>
    <row r="640" spans="1:3" x14ac:dyDescent="0.2">
      <c r="A640" s="64">
        <v>28945</v>
      </c>
      <c r="B640">
        <v>2335000</v>
      </c>
      <c r="C640">
        <v>360000</v>
      </c>
    </row>
    <row r="641" spans="1:3" x14ac:dyDescent="0.2">
      <c r="A641" s="64">
        <v>28952</v>
      </c>
      <c r="B641">
        <v>2368000</v>
      </c>
      <c r="C641">
        <v>465000</v>
      </c>
    </row>
    <row r="642" spans="1:3" x14ac:dyDescent="0.2">
      <c r="A642" s="64">
        <v>28959</v>
      </c>
      <c r="B642">
        <v>2467000</v>
      </c>
      <c r="C642">
        <v>457000</v>
      </c>
    </row>
    <row r="643" spans="1:3" x14ac:dyDescent="0.2">
      <c r="A643" s="64">
        <v>28966</v>
      </c>
      <c r="B643">
        <v>2408000</v>
      </c>
      <c r="C643">
        <v>383000</v>
      </c>
    </row>
    <row r="644" spans="1:3" x14ac:dyDescent="0.2">
      <c r="A644" s="64">
        <v>28973</v>
      </c>
      <c r="B644">
        <v>2351000</v>
      </c>
      <c r="C644">
        <v>357000</v>
      </c>
    </row>
    <row r="645" spans="1:3" x14ac:dyDescent="0.2">
      <c r="A645" s="64">
        <v>28980</v>
      </c>
      <c r="B645">
        <v>2292000</v>
      </c>
      <c r="C645">
        <v>353000</v>
      </c>
    </row>
    <row r="646" spans="1:3" x14ac:dyDescent="0.2">
      <c r="A646" s="64">
        <v>28987</v>
      </c>
      <c r="B646">
        <v>2261000</v>
      </c>
      <c r="C646">
        <v>344000</v>
      </c>
    </row>
    <row r="647" spans="1:3" x14ac:dyDescent="0.2">
      <c r="A647" s="64">
        <v>28994</v>
      </c>
      <c r="B647">
        <v>2238000</v>
      </c>
      <c r="C647">
        <v>346000</v>
      </c>
    </row>
    <row r="648" spans="1:3" x14ac:dyDescent="0.2">
      <c r="A648" s="64">
        <v>29001</v>
      </c>
      <c r="B648">
        <v>2246000</v>
      </c>
      <c r="C648">
        <v>349000</v>
      </c>
    </row>
    <row r="649" spans="1:3" x14ac:dyDescent="0.2">
      <c r="A649" s="64">
        <v>29008</v>
      </c>
      <c r="B649">
        <v>2260000</v>
      </c>
      <c r="C649">
        <v>336000</v>
      </c>
    </row>
    <row r="650" spans="1:3" x14ac:dyDescent="0.2">
      <c r="A650" s="64">
        <v>29015</v>
      </c>
      <c r="B650">
        <v>2207000</v>
      </c>
      <c r="C650">
        <v>365000</v>
      </c>
    </row>
    <row r="651" spans="1:3" x14ac:dyDescent="0.2">
      <c r="A651" s="64">
        <v>29022</v>
      </c>
      <c r="B651">
        <v>2234000</v>
      </c>
      <c r="C651">
        <v>351000</v>
      </c>
    </row>
    <row r="652" spans="1:3" x14ac:dyDescent="0.2">
      <c r="A652" s="64">
        <v>29029</v>
      </c>
      <c r="B652">
        <v>2275000</v>
      </c>
      <c r="C652">
        <v>379000</v>
      </c>
    </row>
    <row r="653" spans="1:3" x14ac:dyDescent="0.2">
      <c r="A653" s="64">
        <v>29036</v>
      </c>
      <c r="B653">
        <v>2282000</v>
      </c>
      <c r="C653">
        <v>369000</v>
      </c>
    </row>
    <row r="654" spans="1:3" x14ac:dyDescent="0.2">
      <c r="A654" s="64">
        <v>29043</v>
      </c>
      <c r="B654">
        <v>2368000</v>
      </c>
      <c r="C654">
        <v>368000</v>
      </c>
    </row>
    <row r="655" spans="1:3" x14ac:dyDescent="0.2">
      <c r="A655" s="64">
        <v>29050</v>
      </c>
      <c r="B655">
        <v>2356000</v>
      </c>
      <c r="C655">
        <v>368000</v>
      </c>
    </row>
    <row r="656" spans="1:3" x14ac:dyDescent="0.2">
      <c r="A656" s="64">
        <v>29057</v>
      </c>
      <c r="B656">
        <v>2335000</v>
      </c>
      <c r="C656">
        <v>395000</v>
      </c>
    </row>
    <row r="657" spans="1:3" x14ac:dyDescent="0.2">
      <c r="A657" s="64">
        <v>29064</v>
      </c>
      <c r="B657">
        <v>2375000</v>
      </c>
      <c r="C657">
        <v>386000</v>
      </c>
    </row>
    <row r="658" spans="1:3" x14ac:dyDescent="0.2">
      <c r="A658" s="64">
        <v>29071</v>
      </c>
      <c r="B658">
        <v>2422000</v>
      </c>
      <c r="C658">
        <v>412000</v>
      </c>
    </row>
    <row r="659" spans="1:3" x14ac:dyDescent="0.2">
      <c r="A659" s="64">
        <v>29078</v>
      </c>
      <c r="B659">
        <v>2466000</v>
      </c>
      <c r="C659">
        <v>386000</v>
      </c>
    </row>
    <row r="660" spans="1:3" x14ac:dyDescent="0.2">
      <c r="A660" s="64">
        <v>29085</v>
      </c>
      <c r="B660">
        <v>2474000</v>
      </c>
      <c r="C660">
        <v>387000</v>
      </c>
    </row>
    <row r="661" spans="1:3" x14ac:dyDescent="0.2">
      <c r="A661" s="64">
        <v>29092</v>
      </c>
      <c r="B661">
        <v>2471000</v>
      </c>
      <c r="C661">
        <v>390000</v>
      </c>
    </row>
    <row r="662" spans="1:3" x14ac:dyDescent="0.2">
      <c r="A662" s="64">
        <v>29099</v>
      </c>
      <c r="B662">
        <v>2448000</v>
      </c>
      <c r="C662">
        <v>389000</v>
      </c>
    </row>
    <row r="663" spans="1:3" x14ac:dyDescent="0.2">
      <c r="A663" s="64">
        <v>29106</v>
      </c>
      <c r="B663">
        <v>2432000</v>
      </c>
      <c r="C663">
        <v>378000</v>
      </c>
    </row>
    <row r="664" spans="1:3" x14ac:dyDescent="0.2">
      <c r="A664" s="64">
        <v>29113</v>
      </c>
      <c r="B664">
        <v>2431000</v>
      </c>
      <c r="C664">
        <v>384000</v>
      </c>
    </row>
    <row r="665" spans="1:3" x14ac:dyDescent="0.2">
      <c r="A665" s="64">
        <v>29120</v>
      </c>
      <c r="B665">
        <v>2404000</v>
      </c>
      <c r="C665">
        <v>388000</v>
      </c>
    </row>
    <row r="666" spans="1:3" x14ac:dyDescent="0.2">
      <c r="A666" s="64">
        <v>29127</v>
      </c>
      <c r="B666">
        <v>2426000</v>
      </c>
      <c r="C666">
        <v>390000</v>
      </c>
    </row>
    <row r="667" spans="1:3" x14ac:dyDescent="0.2">
      <c r="A667" s="64">
        <v>29134</v>
      </c>
      <c r="B667">
        <v>2428000</v>
      </c>
      <c r="C667">
        <v>412000</v>
      </c>
    </row>
    <row r="668" spans="1:3" x14ac:dyDescent="0.2">
      <c r="A668" s="64">
        <v>29141</v>
      </c>
      <c r="B668">
        <v>2535000</v>
      </c>
      <c r="C668">
        <v>393000</v>
      </c>
    </row>
    <row r="669" spans="1:3" x14ac:dyDescent="0.2">
      <c r="A669" s="64">
        <v>29148</v>
      </c>
      <c r="B669">
        <v>2475000</v>
      </c>
      <c r="C669">
        <v>406000</v>
      </c>
    </row>
    <row r="670" spans="1:3" x14ac:dyDescent="0.2">
      <c r="A670" s="64">
        <v>29155</v>
      </c>
      <c r="B670">
        <v>2522000</v>
      </c>
      <c r="C670">
        <v>398000</v>
      </c>
    </row>
    <row r="671" spans="1:3" x14ac:dyDescent="0.2">
      <c r="A671" s="64">
        <v>29162</v>
      </c>
      <c r="B671">
        <v>2569000</v>
      </c>
      <c r="C671">
        <v>395000</v>
      </c>
    </row>
    <row r="672" spans="1:3" x14ac:dyDescent="0.2">
      <c r="A672" s="64">
        <v>29169</v>
      </c>
      <c r="B672">
        <v>2537000</v>
      </c>
      <c r="C672">
        <v>414000</v>
      </c>
    </row>
    <row r="673" spans="1:3" x14ac:dyDescent="0.2">
      <c r="A673" s="64">
        <v>29176</v>
      </c>
      <c r="B673">
        <v>2656000</v>
      </c>
      <c r="C673">
        <v>430000</v>
      </c>
    </row>
    <row r="674" spans="1:3" x14ac:dyDescent="0.2">
      <c r="A674" s="64">
        <v>29183</v>
      </c>
      <c r="B674">
        <v>2648000</v>
      </c>
      <c r="C674">
        <v>414000</v>
      </c>
    </row>
    <row r="675" spans="1:3" x14ac:dyDescent="0.2">
      <c r="A675" s="64">
        <v>29190</v>
      </c>
      <c r="B675">
        <v>2698000</v>
      </c>
      <c r="C675">
        <v>416000</v>
      </c>
    </row>
    <row r="676" spans="1:3" x14ac:dyDescent="0.2">
      <c r="A676" s="64">
        <v>29197</v>
      </c>
      <c r="B676">
        <v>2685000</v>
      </c>
      <c r="C676">
        <v>415000</v>
      </c>
    </row>
    <row r="677" spans="1:3" x14ac:dyDescent="0.2">
      <c r="A677" s="64">
        <v>29204</v>
      </c>
      <c r="B677">
        <v>2712000</v>
      </c>
      <c r="C677">
        <v>411000</v>
      </c>
    </row>
    <row r="678" spans="1:3" x14ac:dyDescent="0.2">
      <c r="A678" s="64">
        <v>29211</v>
      </c>
      <c r="B678">
        <v>2674000</v>
      </c>
      <c r="C678">
        <v>471000</v>
      </c>
    </row>
    <row r="679" spans="1:3" x14ac:dyDescent="0.2">
      <c r="A679" s="64">
        <v>29218</v>
      </c>
      <c r="B679">
        <v>2725000</v>
      </c>
      <c r="C679">
        <v>428000</v>
      </c>
    </row>
    <row r="680" spans="1:3" x14ac:dyDescent="0.2">
      <c r="A680" s="64">
        <v>29225</v>
      </c>
      <c r="B680">
        <v>2749000</v>
      </c>
      <c r="C680">
        <v>394000</v>
      </c>
    </row>
    <row r="681" spans="1:3" x14ac:dyDescent="0.2">
      <c r="A681" s="64">
        <v>29232</v>
      </c>
      <c r="B681">
        <v>2778000</v>
      </c>
      <c r="C681">
        <v>405000</v>
      </c>
    </row>
    <row r="682" spans="1:3" x14ac:dyDescent="0.2">
      <c r="A682" s="64">
        <v>29239</v>
      </c>
      <c r="B682">
        <v>2783000</v>
      </c>
      <c r="C682">
        <v>446000</v>
      </c>
    </row>
    <row r="683" spans="1:3" x14ac:dyDescent="0.2">
      <c r="A683" s="64">
        <v>29246</v>
      </c>
      <c r="B683">
        <v>2817000</v>
      </c>
      <c r="C683">
        <v>412000</v>
      </c>
    </row>
    <row r="684" spans="1:3" x14ac:dyDescent="0.2">
      <c r="A684" s="64">
        <v>29253</v>
      </c>
      <c r="B684">
        <v>2864000</v>
      </c>
      <c r="C684">
        <v>404000</v>
      </c>
    </row>
    <row r="685" spans="1:3" x14ac:dyDescent="0.2">
      <c r="A685" s="64">
        <v>29260</v>
      </c>
      <c r="B685">
        <v>2867000</v>
      </c>
      <c r="C685">
        <v>425000</v>
      </c>
    </row>
    <row r="686" spans="1:3" x14ac:dyDescent="0.2">
      <c r="A686" s="64">
        <v>29267</v>
      </c>
      <c r="B686">
        <v>2877000</v>
      </c>
      <c r="C686">
        <v>415000</v>
      </c>
    </row>
    <row r="687" spans="1:3" x14ac:dyDescent="0.2">
      <c r="A687" s="64">
        <v>29274</v>
      </c>
      <c r="B687">
        <v>2866000</v>
      </c>
      <c r="C687">
        <v>428000</v>
      </c>
    </row>
    <row r="688" spans="1:3" x14ac:dyDescent="0.2">
      <c r="A688" s="64">
        <v>29281</v>
      </c>
      <c r="B688">
        <v>2848000</v>
      </c>
      <c r="C688">
        <v>409000</v>
      </c>
    </row>
    <row r="689" spans="1:3" x14ac:dyDescent="0.2">
      <c r="A689" s="64">
        <v>29288</v>
      </c>
      <c r="B689">
        <v>2883000</v>
      </c>
      <c r="C689">
        <v>418000</v>
      </c>
    </row>
    <row r="690" spans="1:3" x14ac:dyDescent="0.2">
      <c r="A690" s="64">
        <v>29295</v>
      </c>
      <c r="B690">
        <v>2888000</v>
      </c>
      <c r="C690">
        <v>432000</v>
      </c>
    </row>
    <row r="691" spans="1:3" x14ac:dyDescent="0.2">
      <c r="A691" s="64">
        <v>29302</v>
      </c>
      <c r="B691">
        <v>2921000</v>
      </c>
      <c r="C691">
        <v>435000</v>
      </c>
    </row>
    <row r="692" spans="1:3" x14ac:dyDescent="0.2">
      <c r="A692" s="64">
        <v>29309</v>
      </c>
      <c r="B692">
        <v>2866000</v>
      </c>
      <c r="C692">
        <v>475000</v>
      </c>
    </row>
    <row r="693" spans="1:3" x14ac:dyDescent="0.2">
      <c r="A693" s="64">
        <v>29316</v>
      </c>
      <c r="B693">
        <v>3007000</v>
      </c>
      <c r="C693">
        <v>464000</v>
      </c>
    </row>
    <row r="694" spans="1:3" x14ac:dyDescent="0.2">
      <c r="A694" s="64">
        <v>29323</v>
      </c>
      <c r="B694">
        <v>3085000</v>
      </c>
      <c r="C694">
        <v>544000</v>
      </c>
    </row>
    <row r="695" spans="1:3" x14ac:dyDescent="0.2">
      <c r="A695" s="64">
        <v>29330</v>
      </c>
      <c r="B695">
        <v>3188000</v>
      </c>
      <c r="C695">
        <v>548000</v>
      </c>
    </row>
    <row r="696" spans="1:3" x14ac:dyDescent="0.2">
      <c r="A696" s="64">
        <v>29337</v>
      </c>
      <c r="B696">
        <v>3226000</v>
      </c>
      <c r="C696">
        <v>563000</v>
      </c>
    </row>
    <row r="697" spans="1:3" x14ac:dyDescent="0.2">
      <c r="A697" s="64">
        <v>29344</v>
      </c>
      <c r="B697">
        <v>3334000</v>
      </c>
      <c r="C697">
        <v>572000</v>
      </c>
    </row>
    <row r="698" spans="1:3" x14ac:dyDescent="0.2">
      <c r="A698" s="64">
        <v>29351</v>
      </c>
      <c r="B698">
        <v>3417000</v>
      </c>
      <c r="C698">
        <v>601000</v>
      </c>
    </row>
    <row r="699" spans="1:3" x14ac:dyDescent="0.2">
      <c r="A699" s="64">
        <v>29358</v>
      </c>
      <c r="B699">
        <v>3544000</v>
      </c>
      <c r="C699">
        <v>642000</v>
      </c>
    </row>
    <row r="700" spans="1:3" x14ac:dyDescent="0.2">
      <c r="A700" s="64">
        <v>29365</v>
      </c>
      <c r="B700">
        <v>3698000</v>
      </c>
      <c r="C700">
        <v>627000</v>
      </c>
    </row>
    <row r="701" spans="1:3" x14ac:dyDescent="0.2">
      <c r="A701" s="64">
        <v>29372</v>
      </c>
      <c r="B701">
        <v>3731000</v>
      </c>
      <c r="C701">
        <v>637000</v>
      </c>
    </row>
    <row r="702" spans="1:3" x14ac:dyDescent="0.2">
      <c r="A702" s="64">
        <v>29379</v>
      </c>
      <c r="B702">
        <v>3781000</v>
      </c>
      <c r="C702">
        <v>610000</v>
      </c>
    </row>
    <row r="703" spans="1:3" x14ac:dyDescent="0.2">
      <c r="A703" s="64">
        <v>29386</v>
      </c>
      <c r="B703">
        <v>3779000</v>
      </c>
      <c r="C703">
        <v>592000</v>
      </c>
    </row>
    <row r="704" spans="1:3" x14ac:dyDescent="0.2">
      <c r="A704" s="64">
        <v>29393</v>
      </c>
      <c r="B704">
        <v>3858000</v>
      </c>
      <c r="C704">
        <v>599000</v>
      </c>
    </row>
    <row r="705" spans="1:3" x14ac:dyDescent="0.2">
      <c r="A705" s="64">
        <v>29400</v>
      </c>
      <c r="B705">
        <v>3912000</v>
      </c>
      <c r="C705">
        <v>627000</v>
      </c>
    </row>
    <row r="706" spans="1:3" x14ac:dyDescent="0.2">
      <c r="A706" s="64">
        <v>29407</v>
      </c>
      <c r="B706">
        <v>3823000</v>
      </c>
      <c r="C706">
        <v>579000</v>
      </c>
    </row>
    <row r="707" spans="1:3" x14ac:dyDescent="0.2">
      <c r="A707" s="64">
        <v>29414</v>
      </c>
      <c r="B707">
        <v>3836000</v>
      </c>
      <c r="C707">
        <v>533000</v>
      </c>
    </row>
    <row r="708" spans="1:3" x14ac:dyDescent="0.2">
      <c r="A708" s="64">
        <v>29421</v>
      </c>
      <c r="B708">
        <v>3872000</v>
      </c>
      <c r="C708">
        <v>567000</v>
      </c>
    </row>
    <row r="709" spans="1:3" x14ac:dyDescent="0.2">
      <c r="A709" s="64">
        <v>29428</v>
      </c>
      <c r="B709">
        <v>3851000</v>
      </c>
      <c r="C709">
        <v>558000</v>
      </c>
    </row>
    <row r="710" spans="1:3" x14ac:dyDescent="0.2">
      <c r="A710" s="64">
        <v>29435</v>
      </c>
      <c r="B710">
        <v>3789000</v>
      </c>
      <c r="C710">
        <v>569000</v>
      </c>
    </row>
    <row r="711" spans="1:3" x14ac:dyDescent="0.2">
      <c r="A711" s="64">
        <v>29442</v>
      </c>
      <c r="B711">
        <v>3862000</v>
      </c>
      <c r="C711">
        <v>533000</v>
      </c>
    </row>
    <row r="712" spans="1:3" x14ac:dyDescent="0.2">
      <c r="A712" s="64">
        <v>29449</v>
      </c>
      <c r="B712">
        <v>3813000</v>
      </c>
      <c r="C712">
        <v>525000</v>
      </c>
    </row>
    <row r="713" spans="1:3" x14ac:dyDescent="0.2">
      <c r="A713" s="64">
        <v>29456</v>
      </c>
      <c r="B713">
        <v>3754000</v>
      </c>
      <c r="C713">
        <v>512000</v>
      </c>
    </row>
    <row r="714" spans="1:3" x14ac:dyDescent="0.2">
      <c r="A714" s="64">
        <v>29463</v>
      </c>
      <c r="B714">
        <v>3808000</v>
      </c>
      <c r="C714">
        <v>502000</v>
      </c>
    </row>
    <row r="715" spans="1:3" x14ac:dyDescent="0.2">
      <c r="A715" s="64">
        <v>29470</v>
      </c>
      <c r="B715">
        <v>3698000</v>
      </c>
      <c r="C715">
        <v>511000</v>
      </c>
    </row>
    <row r="716" spans="1:3" x14ac:dyDescent="0.2">
      <c r="A716" s="64">
        <v>29477</v>
      </c>
      <c r="B716">
        <v>3699000</v>
      </c>
      <c r="C716">
        <v>492000</v>
      </c>
    </row>
    <row r="717" spans="1:3" x14ac:dyDescent="0.2">
      <c r="A717" s="64">
        <v>29484</v>
      </c>
      <c r="B717">
        <v>3698000</v>
      </c>
      <c r="C717">
        <v>465000</v>
      </c>
    </row>
    <row r="718" spans="1:3" x14ac:dyDescent="0.2">
      <c r="A718" s="64">
        <v>29491</v>
      </c>
      <c r="B718">
        <v>3679000</v>
      </c>
      <c r="C718">
        <v>463000</v>
      </c>
    </row>
    <row r="719" spans="1:3" x14ac:dyDescent="0.2">
      <c r="A719" s="64">
        <v>29498</v>
      </c>
      <c r="B719">
        <v>3672000</v>
      </c>
      <c r="C719">
        <v>462000</v>
      </c>
    </row>
    <row r="720" spans="1:3" x14ac:dyDescent="0.2">
      <c r="A720" s="64">
        <v>29505</v>
      </c>
      <c r="B720">
        <v>3549000</v>
      </c>
      <c r="C720">
        <v>447000</v>
      </c>
    </row>
    <row r="721" spans="1:3" x14ac:dyDescent="0.2">
      <c r="A721" s="64">
        <v>29512</v>
      </c>
      <c r="B721">
        <v>3477000</v>
      </c>
      <c r="C721">
        <v>425000</v>
      </c>
    </row>
    <row r="722" spans="1:3" x14ac:dyDescent="0.2">
      <c r="A722" s="64">
        <v>29519</v>
      </c>
      <c r="B722">
        <v>3527000</v>
      </c>
      <c r="C722">
        <v>418000</v>
      </c>
    </row>
    <row r="723" spans="1:3" x14ac:dyDescent="0.2">
      <c r="A723" s="64">
        <v>29526</v>
      </c>
      <c r="B723">
        <v>3391000</v>
      </c>
      <c r="C723">
        <v>419000</v>
      </c>
    </row>
    <row r="724" spans="1:3" x14ac:dyDescent="0.2">
      <c r="A724" s="64">
        <v>29533</v>
      </c>
      <c r="B724">
        <v>3380000</v>
      </c>
      <c r="C724">
        <v>407000</v>
      </c>
    </row>
    <row r="725" spans="1:3" x14ac:dyDescent="0.2">
      <c r="A725" s="64">
        <v>29540</v>
      </c>
      <c r="B725">
        <v>3260000</v>
      </c>
      <c r="C725">
        <v>427000</v>
      </c>
    </row>
    <row r="726" spans="1:3" x14ac:dyDescent="0.2">
      <c r="A726" s="64">
        <v>29547</v>
      </c>
      <c r="B726">
        <v>3303000</v>
      </c>
      <c r="C726">
        <v>398000</v>
      </c>
    </row>
    <row r="727" spans="1:3" x14ac:dyDescent="0.2">
      <c r="A727" s="64">
        <v>29554</v>
      </c>
      <c r="B727">
        <v>3169000</v>
      </c>
      <c r="C727">
        <v>412000</v>
      </c>
    </row>
    <row r="728" spans="1:3" x14ac:dyDescent="0.2">
      <c r="A728" s="64">
        <v>29561</v>
      </c>
      <c r="B728">
        <v>3185000</v>
      </c>
      <c r="C728">
        <v>416000</v>
      </c>
    </row>
    <row r="729" spans="1:3" x14ac:dyDescent="0.2">
      <c r="A729" s="64">
        <v>29568</v>
      </c>
      <c r="B729">
        <v>3125000</v>
      </c>
      <c r="C729">
        <v>413000</v>
      </c>
    </row>
    <row r="730" spans="1:3" x14ac:dyDescent="0.2">
      <c r="A730" s="64">
        <v>29575</v>
      </c>
      <c r="B730">
        <v>3056000</v>
      </c>
      <c r="C730">
        <v>412000</v>
      </c>
    </row>
    <row r="731" spans="1:3" x14ac:dyDescent="0.2">
      <c r="A731" s="64">
        <v>29582</v>
      </c>
      <c r="B731">
        <v>3136000</v>
      </c>
      <c r="C731">
        <v>399000</v>
      </c>
    </row>
    <row r="732" spans="1:3" x14ac:dyDescent="0.2">
      <c r="A732" s="64">
        <v>29589</v>
      </c>
      <c r="B732">
        <v>3123000</v>
      </c>
      <c r="C732">
        <v>410000</v>
      </c>
    </row>
    <row r="733" spans="1:3" x14ac:dyDescent="0.2">
      <c r="A733" s="64">
        <v>29596</v>
      </c>
      <c r="B733">
        <v>3082000</v>
      </c>
      <c r="C733">
        <v>419000</v>
      </c>
    </row>
    <row r="734" spans="1:3" x14ac:dyDescent="0.2">
      <c r="A734" s="64">
        <v>29603</v>
      </c>
      <c r="B734">
        <v>3023000</v>
      </c>
      <c r="C734">
        <v>421000</v>
      </c>
    </row>
    <row r="735" spans="1:3" x14ac:dyDescent="0.2">
      <c r="A735" s="64">
        <v>29610</v>
      </c>
      <c r="B735">
        <v>2988000</v>
      </c>
      <c r="C735">
        <v>396000</v>
      </c>
    </row>
    <row r="736" spans="1:3" x14ac:dyDescent="0.2">
      <c r="A736" s="64">
        <v>29617</v>
      </c>
      <c r="B736">
        <v>2975000</v>
      </c>
      <c r="C736">
        <v>419000</v>
      </c>
    </row>
    <row r="737" spans="1:3" x14ac:dyDescent="0.2">
      <c r="A737" s="64">
        <v>29624</v>
      </c>
      <c r="B737">
        <v>2945000</v>
      </c>
      <c r="C737">
        <v>420000</v>
      </c>
    </row>
    <row r="738" spans="1:3" x14ac:dyDescent="0.2">
      <c r="A738" s="64">
        <v>29631</v>
      </c>
      <c r="B738">
        <v>3043000</v>
      </c>
      <c r="C738">
        <v>423000</v>
      </c>
    </row>
    <row r="739" spans="1:3" x14ac:dyDescent="0.2">
      <c r="A739" s="64">
        <v>29638</v>
      </c>
      <c r="B739">
        <v>3023000</v>
      </c>
      <c r="C739">
        <v>438000</v>
      </c>
    </row>
    <row r="740" spans="1:3" x14ac:dyDescent="0.2">
      <c r="A740" s="64">
        <v>29645</v>
      </c>
      <c r="B740">
        <v>2901000</v>
      </c>
      <c r="C740">
        <v>434000</v>
      </c>
    </row>
    <row r="741" spans="1:3" x14ac:dyDescent="0.2">
      <c r="A741" s="64">
        <v>29652</v>
      </c>
      <c r="B741">
        <v>2931000</v>
      </c>
      <c r="C741">
        <v>409000</v>
      </c>
    </row>
    <row r="742" spans="1:3" x14ac:dyDescent="0.2">
      <c r="A742" s="64">
        <v>29659</v>
      </c>
      <c r="B742">
        <v>2905000</v>
      </c>
      <c r="C742">
        <v>408000</v>
      </c>
    </row>
    <row r="743" spans="1:3" x14ac:dyDescent="0.2">
      <c r="A743" s="64">
        <v>29666</v>
      </c>
      <c r="B743">
        <v>2885000</v>
      </c>
      <c r="C743">
        <v>401000</v>
      </c>
    </row>
    <row r="744" spans="1:3" x14ac:dyDescent="0.2">
      <c r="A744" s="64">
        <v>29673</v>
      </c>
      <c r="B744">
        <v>2876000</v>
      </c>
      <c r="C744">
        <v>412000</v>
      </c>
    </row>
    <row r="745" spans="1:3" x14ac:dyDescent="0.2">
      <c r="A745" s="64">
        <v>29680</v>
      </c>
      <c r="B745">
        <v>2875000</v>
      </c>
      <c r="C745">
        <v>417000</v>
      </c>
    </row>
    <row r="746" spans="1:3" x14ac:dyDescent="0.2">
      <c r="A746" s="64">
        <v>29687</v>
      </c>
      <c r="B746">
        <v>2800000</v>
      </c>
      <c r="C746">
        <v>396000</v>
      </c>
    </row>
    <row r="747" spans="1:3" x14ac:dyDescent="0.2">
      <c r="A747" s="64">
        <v>29694</v>
      </c>
      <c r="B747">
        <v>2860000</v>
      </c>
      <c r="C747">
        <v>392000</v>
      </c>
    </row>
    <row r="748" spans="1:3" x14ac:dyDescent="0.2">
      <c r="A748" s="64">
        <v>29701</v>
      </c>
      <c r="B748">
        <v>2893000</v>
      </c>
      <c r="C748">
        <v>436000</v>
      </c>
    </row>
    <row r="749" spans="1:3" x14ac:dyDescent="0.2">
      <c r="A749" s="64">
        <v>29708</v>
      </c>
      <c r="B749">
        <v>2944000</v>
      </c>
      <c r="C749">
        <v>413000</v>
      </c>
    </row>
    <row r="750" spans="1:3" x14ac:dyDescent="0.2">
      <c r="A750" s="64">
        <v>29715</v>
      </c>
      <c r="B750">
        <v>2887000</v>
      </c>
      <c r="C750">
        <v>423000</v>
      </c>
    </row>
    <row r="751" spans="1:3" x14ac:dyDescent="0.2">
      <c r="A751" s="64">
        <v>29722</v>
      </c>
      <c r="B751">
        <v>2865000</v>
      </c>
      <c r="C751">
        <v>414000</v>
      </c>
    </row>
    <row r="752" spans="1:3" x14ac:dyDescent="0.2">
      <c r="A752" s="64">
        <v>29729</v>
      </c>
      <c r="B752">
        <v>2862000</v>
      </c>
      <c r="C752">
        <v>415000</v>
      </c>
    </row>
    <row r="753" spans="1:3" x14ac:dyDescent="0.2">
      <c r="A753" s="64">
        <v>29736</v>
      </c>
      <c r="B753">
        <v>2962000</v>
      </c>
      <c r="C753">
        <v>417000</v>
      </c>
    </row>
    <row r="754" spans="1:3" x14ac:dyDescent="0.2">
      <c r="A754" s="64">
        <v>29743</v>
      </c>
      <c r="B754">
        <v>2877000</v>
      </c>
      <c r="C754">
        <v>428000</v>
      </c>
    </row>
    <row r="755" spans="1:3" x14ac:dyDescent="0.2">
      <c r="A755" s="64">
        <v>29750</v>
      </c>
      <c r="B755">
        <v>2867000</v>
      </c>
      <c r="C755">
        <v>425000</v>
      </c>
    </row>
    <row r="756" spans="1:3" x14ac:dyDescent="0.2">
      <c r="A756" s="64">
        <v>29757</v>
      </c>
      <c r="B756">
        <v>2886000</v>
      </c>
      <c r="C756">
        <v>435000</v>
      </c>
    </row>
    <row r="757" spans="1:3" x14ac:dyDescent="0.2">
      <c r="A757" s="64">
        <v>29764</v>
      </c>
      <c r="B757">
        <v>2983000</v>
      </c>
      <c r="C757">
        <v>444000</v>
      </c>
    </row>
    <row r="758" spans="1:3" x14ac:dyDescent="0.2">
      <c r="A758" s="64">
        <v>29771</v>
      </c>
      <c r="B758">
        <v>2886000</v>
      </c>
      <c r="C758">
        <v>460000</v>
      </c>
    </row>
    <row r="759" spans="1:3" x14ac:dyDescent="0.2">
      <c r="A759" s="64">
        <v>29778</v>
      </c>
      <c r="B759">
        <v>2845000</v>
      </c>
      <c r="C759">
        <v>426000</v>
      </c>
    </row>
    <row r="760" spans="1:3" x14ac:dyDescent="0.2">
      <c r="A760" s="64">
        <v>29785</v>
      </c>
      <c r="B760">
        <v>2902000</v>
      </c>
      <c r="C760">
        <v>430000</v>
      </c>
    </row>
    <row r="761" spans="1:3" x14ac:dyDescent="0.2">
      <c r="A761" s="64">
        <v>29792</v>
      </c>
      <c r="B761">
        <v>2899000</v>
      </c>
      <c r="C761">
        <v>407000</v>
      </c>
    </row>
    <row r="762" spans="1:3" x14ac:dyDescent="0.2">
      <c r="A762" s="64">
        <v>29799</v>
      </c>
      <c r="B762">
        <v>2867000</v>
      </c>
      <c r="C762">
        <v>476000</v>
      </c>
    </row>
    <row r="763" spans="1:3" x14ac:dyDescent="0.2">
      <c r="A763" s="64">
        <v>29806</v>
      </c>
      <c r="B763">
        <v>2998000</v>
      </c>
      <c r="C763">
        <v>448000</v>
      </c>
    </row>
    <row r="764" spans="1:3" x14ac:dyDescent="0.2">
      <c r="A764" s="64">
        <v>29813</v>
      </c>
      <c r="B764">
        <v>2966000</v>
      </c>
      <c r="C764">
        <v>442000</v>
      </c>
    </row>
    <row r="765" spans="1:3" x14ac:dyDescent="0.2">
      <c r="A765" s="64">
        <v>29820</v>
      </c>
      <c r="B765">
        <v>2957000</v>
      </c>
      <c r="C765">
        <v>434000</v>
      </c>
    </row>
    <row r="766" spans="1:3" x14ac:dyDescent="0.2">
      <c r="A766" s="64">
        <v>29827</v>
      </c>
      <c r="B766">
        <v>2954000</v>
      </c>
      <c r="C766">
        <v>451000</v>
      </c>
    </row>
    <row r="767" spans="1:3" x14ac:dyDescent="0.2">
      <c r="A767" s="64">
        <v>29834</v>
      </c>
      <c r="B767">
        <v>2914000</v>
      </c>
      <c r="C767">
        <v>473000</v>
      </c>
    </row>
    <row r="768" spans="1:3" x14ac:dyDescent="0.2">
      <c r="A768" s="64">
        <v>29841</v>
      </c>
      <c r="B768">
        <v>3051000</v>
      </c>
      <c r="C768">
        <v>454000</v>
      </c>
    </row>
    <row r="769" spans="1:3" x14ac:dyDescent="0.2">
      <c r="A769" s="64">
        <v>29848</v>
      </c>
      <c r="B769">
        <v>3014000</v>
      </c>
      <c r="C769">
        <v>475000</v>
      </c>
    </row>
    <row r="770" spans="1:3" x14ac:dyDescent="0.2">
      <c r="A770" s="64">
        <v>29855</v>
      </c>
      <c r="B770">
        <v>3073000</v>
      </c>
      <c r="C770">
        <v>491000</v>
      </c>
    </row>
    <row r="771" spans="1:3" x14ac:dyDescent="0.2">
      <c r="A771" s="64">
        <v>29862</v>
      </c>
      <c r="B771">
        <v>3069000</v>
      </c>
      <c r="C771">
        <v>489000</v>
      </c>
    </row>
    <row r="772" spans="1:3" x14ac:dyDescent="0.2">
      <c r="A772" s="64">
        <v>29869</v>
      </c>
      <c r="B772">
        <v>3098000</v>
      </c>
      <c r="C772">
        <v>491000</v>
      </c>
    </row>
    <row r="773" spans="1:3" x14ac:dyDescent="0.2">
      <c r="A773" s="64">
        <v>29876</v>
      </c>
      <c r="B773">
        <v>3104000</v>
      </c>
      <c r="C773">
        <v>487000</v>
      </c>
    </row>
    <row r="774" spans="1:3" x14ac:dyDescent="0.2">
      <c r="A774" s="64">
        <v>29883</v>
      </c>
      <c r="B774">
        <v>3181000</v>
      </c>
      <c r="C774">
        <v>483000</v>
      </c>
    </row>
    <row r="775" spans="1:3" x14ac:dyDescent="0.2">
      <c r="A775" s="64">
        <v>29890</v>
      </c>
      <c r="B775">
        <v>3183000</v>
      </c>
      <c r="C775">
        <v>514000</v>
      </c>
    </row>
    <row r="776" spans="1:3" x14ac:dyDescent="0.2">
      <c r="A776" s="64">
        <v>29897</v>
      </c>
      <c r="B776">
        <v>3282000</v>
      </c>
      <c r="C776">
        <v>514000</v>
      </c>
    </row>
    <row r="777" spans="1:3" x14ac:dyDescent="0.2">
      <c r="A777" s="64">
        <v>29904</v>
      </c>
      <c r="B777">
        <v>3291000</v>
      </c>
      <c r="C777">
        <v>517000</v>
      </c>
    </row>
    <row r="778" spans="1:3" x14ac:dyDescent="0.2">
      <c r="A778" s="64">
        <v>29911</v>
      </c>
      <c r="B778">
        <v>3416000</v>
      </c>
      <c r="C778">
        <v>464000</v>
      </c>
    </row>
    <row r="779" spans="1:3" x14ac:dyDescent="0.2">
      <c r="A779" s="64">
        <v>29918</v>
      </c>
      <c r="B779">
        <v>3360000</v>
      </c>
      <c r="C779">
        <v>552000</v>
      </c>
    </row>
    <row r="780" spans="1:3" x14ac:dyDescent="0.2">
      <c r="A780" s="64">
        <v>29925</v>
      </c>
      <c r="B780">
        <v>3517000</v>
      </c>
      <c r="C780">
        <v>558000</v>
      </c>
    </row>
    <row r="781" spans="1:3" x14ac:dyDescent="0.2">
      <c r="A781" s="64">
        <v>29932</v>
      </c>
      <c r="B781">
        <v>3397000</v>
      </c>
      <c r="C781">
        <v>551000</v>
      </c>
    </row>
    <row r="782" spans="1:3" x14ac:dyDescent="0.2">
      <c r="A782" s="64">
        <v>29939</v>
      </c>
      <c r="B782">
        <v>3551000</v>
      </c>
      <c r="C782">
        <v>539000</v>
      </c>
    </row>
    <row r="783" spans="1:3" x14ac:dyDescent="0.2">
      <c r="A783" s="64">
        <v>29946</v>
      </c>
      <c r="B783">
        <v>3636000</v>
      </c>
      <c r="C783">
        <v>556000</v>
      </c>
    </row>
    <row r="784" spans="1:3" x14ac:dyDescent="0.2">
      <c r="A784" s="64">
        <v>29953</v>
      </c>
      <c r="B784">
        <v>3523000</v>
      </c>
      <c r="C784">
        <v>495000</v>
      </c>
    </row>
    <row r="785" spans="1:3" x14ac:dyDescent="0.2">
      <c r="A785" s="64">
        <v>29960</v>
      </c>
      <c r="B785">
        <v>3398000</v>
      </c>
      <c r="C785">
        <v>545000</v>
      </c>
    </row>
    <row r="786" spans="1:3" x14ac:dyDescent="0.2">
      <c r="A786" s="64">
        <v>29967</v>
      </c>
      <c r="B786">
        <v>3624000</v>
      </c>
      <c r="C786">
        <v>489000</v>
      </c>
    </row>
    <row r="787" spans="1:3" x14ac:dyDescent="0.2">
      <c r="A787" s="64">
        <v>29974</v>
      </c>
      <c r="B787">
        <v>3602000</v>
      </c>
      <c r="C787">
        <v>564000</v>
      </c>
    </row>
    <row r="788" spans="1:3" x14ac:dyDescent="0.2">
      <c r="A788" s="64">
        <v>29981</v>
      </c>
      <c r="B788">
        <v>3521000</v>
      </c>
      <c r="C788">
        <v>583000</v>
      </c>
    </row>
    <row r="789" spans="1:3" x14ac:dyDescent="0.2">
      <c r="A789" s="64">
        <v>29988</v>
      </c>
      <c r="B789">
        <v>3617000</v>
      </c>
      <c r="C789">
        <v>556000</v>
      </c>
    </row>
    <row r="790" spans="1:3" x14ac:dyDescent="0.2">
      <c r="A790" s="64">
        <v>29995</v>
      </c>
      <c r="B790">
        <v>3490000</v>
      </c>
      <c r="C790">
        <v>507000</v>
      </c>
    </row>
    <row r="791" spans="1:3" x14ac:dyDescent="0.2">
      <c r="A791" s="64">
        <v>30002</v>
      </c>
      <c r="B791">
        <v>3562000</v>
      </c>
      <c r="C791">
        <v>544000</v>
      </c>
    </row>
    <row r="792" spans="1:3" x14ac:dyDescent="0.2">
      <c r="A792" s="64">
        <v>30009</v>
      </c>
      <c r="B792">
        <v>3553000</v>
      </c>
      <c r="C792">
        <v>528000</v>
      </c>
    </row>
    <row r="793" spans="1:3" x14ac:dyDescent="0.2">
      <c r="A793" s="64">
        <v>30016</v>
      </c>
      <c r="B793">
        <v>3619000</v>
      </c>
      <c r="C793">
        <v>556000</v>
      </c>
    </row>
    <row r="794" spans="1:3" x14ac:dyDescent="0.2">
      <c r="A794" s="64">
        <v>30023</v>
      </c>
      <c r="B794">
        <v>3605000</v>
      </c>
      <c r="C794">
        <v>539000</v>
      </c>
    </row>
    <row r="795" spans="1:3" x14ac:dyDescent="0.2">
      <c r="A795" s="64">
        <v>30030</v>
      </c>
      <c r="B795">
        <v>3684000</v>
      </c>
      <c r="C795">
        <v>557000</v>
      </c>
    </row>
    <row r="796" spans="1:3" x14ac:dyDescent="0.2">
      <c r="A796" s="64">
        <v>30037</v>
      </c>
      <c r="B796">
        <v>3714000</v>
      </c>
      <c r="C796">
        <v>574000</v>
      </c>
    </row>
    <row r="797" spans="1:3" x14ac:dyDescent="0.2">
      <c r="A797" s="64">
        <v>30044</v>
      </c>
      <c r="B797">
        <v>3720000</v>
      </c>
      <c r="C797">
        <v>578000</v>
      </c>
    </row>
    <row r="798" spans="1:3" x14ac:dyDescent="0.2">
      <c r="A798" s="64">
        <v>30051</v>
      </c>
      <c r="B798">
        <v>3841000</v>
      </c>
      <c r="C798">
        <v>585000</v>
      </c>
    </row>
    <row r="799" spans="1:3" x14ac:dyDescent="0.2">
      <c r="A799" s="64">
        <v>30058</v>
      </c>
      <c r="B799">
        <v>3967000</v>
      </c>
      <c r="C799">
        <v>597000</v>
      </c>
    </row>
    <row r="800" spans="1:3" x14ac:dyDescent="0.2">
      <c r="A800" s="64">
        <v>30065</v>
      </c>
      <c r="B800">
        <v>3930000</v>
      </c>
      <c r="C800">
        <v>588000</v>
      </c>
    </row>
    <row r="801" spans="1:3" x14ac:dyDescent="0.2">
      <c r="A801" s="64">
        <v>30072</v>
      </c>
      <c r="B801">
        <v>3960000</v>
      </c>
      <c r="C801">
        <v>576000</v>
      </c>
    </row>
    <row r="802" spans="1:3" x14ac:dyDescent="0.2">
      <c r="A802" s="64">
        <v>30079</v>
      </c>
      <c r="B802">
        <v>3972000</v>
      </c>
      <c r="C802">
        <v>584000</v>
      </c>
    </row>
    <row r="803" spans="1:3" x14ac:dyDescent="0.2">
      <c r="A803" s="64">
        <v>30086</v>
      </c>
      <c r="B803">
        <v>3968000</v>
      </c>
      <c r="C803">
        <v>585000</v>
      </c>
    </row>
    <row r="804" spans="1:3" x14ac:dyDescent="0.2">
      <c r="A804" s="64">
        <v>30093</v>
      </c>
      <c r="B804">
        <v>4103000</v>
      </c>
      <c r="C804">
        <v>586000</v>
      </c>
    </row>
    <row r="805" spans="1:3" x14ac:dyDescent="0.2">
      <c r="A805" s="64">
        <v>30100</v>
      </c>
      <c r="B805">
        <v>3956000</v>
      </c>
      <c r="C805">
        <v>588000</v>
      </c>
    </row>
    <row r="806" spans="1:3" x14ac:dyDescent="0.2">
      <c r="A806" s="64">
        <v>30107</v>
      </c>
      <c r="B806">
        <v>4094000</v>
      </c>
      <c r="C806">
        <v>611000</v>
      </c>
    </row>
    <row r="807" spans="1:3" x14ac:dyDescent="0.2">
      <c r="A807" s="64">
        <v>30114</v>
      </c>
      <c r="B807">
        <v>4121000</v>
      </c>
      <c r="C807">
        <v>614000</v>
      </c>
    </row>
    <row r="808" spans="1:3" x14ac:dyDescent="0.2">
      <c r="A808" s="64">
        <v>30121</v>
      </c>
      <c r="B808">
        <v>4105000</v>
      </c>
      <c r="C808">
        <v>591000</v>
      </c>
    </row>
    <row r="809" spans="1:3" x14ac:dyDescent="0.2">
      <c r="A809" s="64">
        <v>30128</v>
      </c>
      <c r="B809">
        <v>4057000</v>
      </c>
      <c r="C809">
        <v>582000</v>
      </c>
    </row>
    <row r="810" spans="1:3" x14ac:dyDescent="0.2">
      <c r="A810" s="64">
        <v>30135</v>
      </c>
      <c r="B810">
        <v>4139000</v>
      </c>
      <c r="C810">
        <v>600000</v>
      </c>
    </row>
    <row r="811" spans="1:3" x14ac:dyDescent="0.2">
      <c r="A811" s="64">
        <v>30142</v>
      </c>
      <c r="B811">
        <v>4025000</v>
      </c>
      <c r="C811">
        <v>572000</v>
      </c>
    </row>
    <row r="812" spans="1:3" x14ac:dyDescent="0.2">
      <c r="A812" s="64">
        <v>30149</v>
      </c>
      <c r="B812">
        <v>4148000</v>
      </c>
      <c r="C812">
        <v>567000</v>
      </c>
    </row>
    <row r="813" spans="1:3" x14ac:dyDescent="0.2">
      <c r="A813" s="64">
        <v>30156</v>
      </c>
      <c r="B813">
        <v>4155000</v>
      </c>
      <c r="C813">
        <v>536000</v>
      </c>
    </row>
    <row r="814" spans="1:3" x14ac:dyDescent="0.2">
      <c r="A814" s="64">
        <v>30163</v>
      </c>
      <c r="B814">
        <v>4040000</v>
      </c>
      <c r="C814">
        <v>605000</v>
      </c>
    </row>
    <row r="815" spans="1:3" x14ac:dyDescent="0.2">
      <c r="A815" s="64">
        <v>30170</v>
      </c>
      <c r="B815">
        <v>4191000</v>
      </c>
      <c r="C815">
        <v>606000</v>
      </c>
    </row>
    <row r="816" spans="1:3" x14ac:dyDescent="0.2">
      <c r="A816" s="64">
        <v>30177</v>
      </c>
      <c r="B816">
        <v>4234000</v>
      </c>
      <c r="C816">
        <v>637000</v>
      </c>
    </row>
    <row r="817" spans="1:3" x14ac:dyDescent="0.2">
      <c r="A817" s="64">
        <v>30184</v>
      </c>
      <c r="B817">
        <v>4300000</v>
      </c>
      <c r="C817">
        <v>628000</v>
      </c>
    </row>
    <row r="818" spans="1:3" x14ac:dyDescent="0.2">
      <c r="A818" s="64">
        <v>30191</v>
      </c>
      <c r="B818">
        <v>4316000</v>
      </c>
      <c r="C818">
        <v>647000</v>
      </c>
    </row>
    <row r="819" spans="1:3" x14ac:dyDescent="0.2">
      <c r="A819" s="64">
        <v>30198</v>
      </c>
      <c r="B819">
        <v>4356000</v>
      </c>
      <c r="C819">
        <v>651000</v>
      </c>
    </row>
    <row r="820" spans="1:3" x14ac:dyDescent="0.2">
      <c r="A820" s="64">
        <v>30205</v>
      </c>
      <c r="B820">
        <v>4445000</v>
      </c>
      <c r="C820">
        <v>641000</v>
      </c>
    </row>
    <row r="821" spans="1:3" x14ac:dyDescent="0.2">
      <c r="A821" s="64">
        <v>30212</v>
      </c>
      <c r="B821">
        <v>4468000</v>
      </c>
      <c r="C821">
        <v>680000</v>
      </c>
    </row>
    <row r="822" spans="1:3" x14ac:dyDescent="0.2">
      <c r="A822" s="64">
        <v>30219</v>
      </c>
      <c r="B822">
        <v>4542000</v>
      </c>
      <c r="C822">
        <v>671000</v>
      </c>
    </row>
    <row r="823" spans="1:3" x14ac:dyDescent="0.2">
      <c r="A823" s="64">
        <v>30226</v>
      </c>
      <c r="B823">
        <v>4629000</v>
      </c>
      <c r="C823">
        <v>695000</v>
      </c>
    </row>
    <row r="824" spans="1:3" x14ac:dyDescent="0.2">
      <c r="A824" s="64">
        <v>30233</v>
      </c>
      <c r="B824">
        <v>4689000</v>
      </c>
      <c r="C824">
        <v>651000</v>
      </c>
    </row>
    <row r="825" spans="1:3" x14ac:dyDescent="0.2">
      <c r="A825" s="64">
        <v>30240</v>
      </c>
      <c r="B825">
        <v>4599000</v>
      </c>
      <c r="C825">
        <v>656000</v>
      </c>
    </row>
    <row r="826" spans="1:3" x14ac:dyDescent="0.2">
      <c r="A826" s="64">
        <v>30247</v>
      </c>
      <c r="B826">
        <v>4686000</v>
      </c>
      <c r="C826">
        <v>623000</v>
      </c>
    </row>
    <row r="827" spans="1:3" x14ac:dyDescent="0.2">
      <c r="A827" s="64">
        <v>30254</v>
      </c>
      <c r="B827">
        <v>4595000</v>
      </c>
      <c r="C827">
        <v>637000</v>
      </c>
    </row>
    <row r="828" spans="1:3" x14ac:dyDescent="0.2">
      <c r="A828" s="64">
        <v>30261</v>
      </c>
      <c r="B828">
        <v>4713000</v>
      </c>
      <c r="C828">
        <v>589000</v>
      </c>
    </row>
    <row r="829" spans="1:3" x14ac:dyDescent="0.2">
      <c r="A829" s="64">
        <v>30268</v>
      </c>
      <c r="B829">
        <v>4554000</v>
      </c>
      <c r="C829">
        <v>599000</v>
      </c>
    </row>
    <row r="830" spans="1:3" x14ac:dyDescent="0.2">
      <c r="A830" s="64">
        <v>30275</v>
      </c>
      <c r="B830">
        <v>4695000</v>
      </c>
      <c r="C830">
        <v>577000</v>
      </c>
    </row>
    <row r="831" spans="1:3" x14ac:dyDescent="0.2">
      <c r="A831" s="64">
        <v>30282</v>
      </c>
      <c r="B831">
        <v>4442000</v>
      </c>
      <c r="C831">
        <v>612000</v>
      </c>
    </row>
    <row r="832" spans="1:3" x14ac:dyDescent="0.2">
      <c r="A832" s="64">
        <v>30289</v>
      </c>
      <c r="B832">
        <v>4509000</v>
      </c>
      <c r="C832">
        <v>557000</v>
      </c>
    </row>
    <row r="833" spans="1:3" x14ac:dyDescent="0.2">
      <c r="A833" s="64">
        <v>30296</v>
      </c>
      <c r="B833">
        <v>4339000</v>
      </c>
      <c r="C833">
        <v>533000</v>
      </c>
    </row>
    <row r="834" spans="1:3" x14ac:dyDescent="0.2">
      <c r="A834" s="64">
        <v>30303</v>
      </c>
      <c r="B834">
        <v>4371000</v>
      </c>
      <c r="C834">
        <v>516000</v>
      </c>
    </row>
    <row r="835" spans="1:3" x14ac:dyDescent="0.2">
      <c r="A835" s="64">
        <v>30310</v>
      </c>
      <c r="B835">
        <v>4381000</v>
      </c>
      <c r="C835">
        <v>489000</v>
      </c>
    </row>
    <row r="836" spans="1:3" x14ac:dyDescent="0.2">
      <c r="A836" s="64">
        <v>30317</v>
      </c>
      <c r="B836">
        <v>4010000</v>
      </c>
      <c r="C836">
        <v>534000</v>
      </c>
    </row>
    <row r="837" spans="1:3" x14ac:dyDescent="0.2">
      <c r="A837" s="64">
        <v>30324</v>
      </c>
      <c r="B837">
        <v>3885000</v>
      </c>
      <c r="C837">
        <v>510000</v>
      </c>
    </row>
    <row r="838" spans="1:3" x14ac:dyDescent="0.2">
      <c r="A838" s="64">
        <v>30331</v>
      </c>
      <c r="B838">
        <v>3950000</v>
      </c>
      <c r="C838">
        <v>479000</v>
      </c>
    </row>
    <row r="839" spans="1:3" x14ac:dyDescent="0.2">
      <c r="A839" s="64">
        <v>30338</v>
      </c>
      <c r="B839">
        <v>3860000</v>
      </c>
      <c r="C839">
        <v>479000</v>
      </c>
    </row>
    <row r="840" spans="1:3" x14ac:dyDescent="0.2">
      <c r="A840" s="64">
        <v>30345</v>
      </c>
      <c r="B840">
        <v>3890000</v>
      </c>
      <c r="C840">
        <v>503000</v>
      </c>
    </row>
    <row r="841" spans="1:3" x14ac:dyDescent="0.2">
      <c r="A841" s="64">
        <v>30352</v>
      </c>
      <c r="B841">
        <v>3877000</v>
      </c>
      <c r="C841">
        <v>501000</v>
      </c>
    </row>
    <row r="842" spans="1:3" x14ac:dyDescent="0.2">
      <c r="A842" s="64">
        <v>30359</v>
      </c>
      <c r="B842">
        <v>3865000</v>
      </c>
      <c r="C842">
        <v>486000</v>
      </c>
    </row>
    <row r="843" spans="1:3" x14ac:dyDescent="0.2">
      <c r="A843" s="64">
        <v>30366</v>
      </c>
      <c r="B843">
        <v>3819000</v>
      </c>
      <c r="C843">
        <v>487000</v>
      </c>
    </row>
    <row r="844" spans="1:3" x14ac:dyDescent="0.2">
      <c r="A844" s="64">
        <v>30373</v>
      </c>
      <c r="B844">
        <v>3876000</v>
      </c>
      <c r="C844">
        <v>481000</v>
      </c>
    </row>
    <row r="845" spans="1:3" x14ac:dyDescent="0.2">
      <c r="A845" s="64">
        <v>30380</v>
      </c>
      <c r="B845">
        <v>3797000</v>
      </c>
      <c r="C845">
        <v>495000</v>
      </c>
    </row>
    <row r="846" spans="1:3" x14ac:dyDescent="0.2">
      <c r="A846" s="64">
        <v>30387</v>
      </c>
      <c r="B846">
        <v>3787000</v>
      </c>
      <c r="C846">
        <v>475000</v>
      </c>
    </row>
    <row r="847" spans="1:3" x14ac:dyDescent="0.2">
      <c r="A847" s="64">
        <v>30394</v>
      </c>
      <c r="B847">
        <v>3752000</v>
      </c>
      <c r="C847">
        <v>470000</v>
      </c>
    </row>
    <row r="848" spans="1:3" x14ac:dyDescent="0.2">
      <c r="A848" s="64">
        <v>30401</v>
      </c>
      <c r="B848">
        <v>3734000</v>
      </c>
      <c r="C848">
        <v>481000</v>
      </c>
    </row>
    <row r="849" spans="1:3" x14ac:dyDescent="0.2">
      <c r="A849" s="64">
        <v>30408</v>
      </c>
      <c r="B849">
        <v>3759000</v>
      </c>
      <c r="C849">
        <v>491000</v>
      </c>
    </row>
    <row r="850" spans="1:3" x14ac:dyDescent="0.2">
      <c r="A850" s="64">
        <v>30415</v>
      </c>
      <c r="B850">
        <v>3814000</v>
      </c>
      <c r="C850">
        <v>496000</v>
      </c>
    </row>
    <row r="851" spans="1:3" x14ac:dyDescent="0.2">
      <c r="A851" s="64">
        <v>30422</v>
      </c>
      <c r="B851">
        <v>3744000</v>
      </c>
      <c r="C851">
        <v>515000</v>
      </c>
    </row>
    <row r="852" spans="1:3" x14ac:dyDescent="0.2">
      <c r="A852" s="64">
        <v>30429</v>
      </c>
      <c r="B852">
        <v>3762000</v>
      </c>
      <c r="C852">
        <v>488000</v>
      </c>
    </row>
    <row r="853" spans="1:3" x14ac:dyDescent="0.2">
      <c r="A853" s="64">
        <v>30436</v>
      </c>
      <c r="B853">
        <v>3722000</v>
      </c>
      <c r="C853">
        <v>490000</v>
      </c>
    </row>
    <row r="854" spans="1:3" x14ac:dyDescent="0.2">
      <c r="A854" s="64">
        <v>30443</v>
      </c>
      <c r="B854">
        <v>3714000</v>
      </c>
      <c r="C854">
        <v>494000</v>
      </c>
    </row>
    <row r="855" spans="1:3" x14ac:dyDescent="0.2">
      <c r="A855" s="64">
        <v>30450</v>
      </c>
      <c r="B855">
        <v>3625000</v>
      </c>
      <c r="C855">
        <v>464000</v>
      </c>
    </row>
    <row r="856" spans="1:3" x14ac:dyDescent="0.2">
      <c r="A856" s="64">
        <v>30457</v>
      </c>
      <c r="B856">
        <v>3701000</v>
      </c>
      <c r="C856">
        <v>460000</v>
      </c>
    </row>
    <row r="857" spans="1:3" x14ac:dyDescent="0.2">
      <c r="A857" s="64">
        <v>30464</v>
      </c>
      <c r="B857">
        <v>3457000</v>
      </c>
      <c r="C857">
        <v>454000</v>
      </c>
    </row>
    <row r="858" spans="1:3" x14ac:dyDescent="0.2">
      <c r="A858" s="64">
        <v>30471</v>
      </c>
      <c r="B858">
        <v>3548000</v>
      </c>
      <c r="C858">
        <v>459000</v>
      </c>
    </row>
    <row r="859" spans="1:3" x14ac:dyDescent="0.2">
      <c r="A859" s="64">
        <v>30478</v>
      </c>
      <c r="B859">
        <v>3453000</v>
      </c>
      <c r="C859">
        <v>442000</v>
      </c>
    </row>
    <row r="860" spans="1:3" x14ac:dyDescent="0.2">
      <c r="A860" s="64">
        <v>30485</v>
      </c>
      <c r="B860">
        <v>3452000</v>
      </c>
      <c r="C860">
        <v>434000</v>
      </c>
    </row>
    <row r="861" spans="1:3" x14ac:dyDescent="0.2">
      <c r="A861" s="64">
        <v>30492</v>
      </c>
      <c r="B861">
        <v>3369000</v>
      </c>
      <c r="C861">
        <v>442000</v>
      </c>
    </row>
    <row r="862" spans="1:3" x14ac:dyDescent="0.2">
      <c r="A862" s="64">
        <v>30499</v>
      </c>
      <c r="B862">
        <v>3239000</v>
      </c>
      <c r="C862">
        <v>422000</v>
      </c>
    </row>
    <row r="863" spans="1:3" x14ac:dyDescent="0.2">
      <c r="A863" s="64">
        <v>30506</v>
      </c>
      <c r="B863">
        <v>3226000</v>
      </c>
      <c r="C863">
        <v>412000</v>
      </c>
    </row>
    <row r="864" spans="1:3" x14ac:dyDescent="0.2">
      <c r="A864" s="64">
        <v>30513</v>
      </c>
      <c r="B864">
        <v>3216000</v>
      </c>
      <c r="C864">
        <v>396000</v>
      </c>
    </row>
    <row r="865" spans="1:3" x14ac:dyDescent="0.2">
      <c r="A865" s="64">
        <v>30520</v>
      </c>
      <c r="B865">
        <v>3155000</v>
      </c>
      <c r="C865">
        <v>395000</v>
      </c>
    </row>
    <row r="866" spans="1:3" x14ac:dyDescent="0.2">
      <c r="A866" s="64">
        <v>30527</v>
      </c>
      <c r="B866">
        <v>3112000</v>
      </c>
      <c r="C866">
        <v>415000</v>
      </c>
    </row>
    <row r="867" spans="1:3" x14ac:dyDescent="0.2">
      <c r="A867" s="64">
        <v>30534</v>
      </c>
      <c r="B867">
        <v>3106000</v>
      </c>
      <c r="C867">
        <v>415000</v>
      </c>
    </row>
    <row r="868" spans="1:3" x14ac:dyDescent="0.2">
      <c r="A868" s="64">
        <v>30541</v>
      </c>
      <c r="B868">
        <v>3107000</v>
      </c>
      <c r="C868">
        <v>457000</v>
      </c>
    </row>
    <row r="869" spans="1:3" x14ac:dyDescent="0.2">
      <c r="A869" s="64">
        <v>30548</v>
      </c>
      <c r="B869">
        <v>3131000</v>
      </c>
      <c r="C869">
        <v>445000</v>
      </c>
    </row>
    <row r="870" spans="1:3" x14ac:dyDescent="0.2">
      <c r="A870" s="64">
        <v>30555</v>
      </c>
      <c r="B870">
        <v>3079000</v>
      </c>
      <c r="C870">
        <v>426000</v>
      </c>
    </row>
    <row r="871" spans="1:3" x14ac:dyDescent="0.2">
      <c r="A871" s="64">
        <v>30562</v>
      </c>
      <c r="B871">
        <v>3055000</v>
      </c>
      <c r="C871">
        <v>411000</v>
      </c>
    </row>
    <row r="872" spans="1:3" x14ac:dyDescent="0.2">
      <c r="A872" s="64">
        <v>30569</v>
      </c>
      <c r="B872">
        <v>3007000</v>
      </c>
      <c r="C872">
        <v>403000</v>
      </c>
    </row>
    <row r="873" spans="1:3" x14ac:dyDescent="0.2">
      <c r="A873" s="64">
        <v>30576</v>
      </c>
      <c r="B873">
        <v>2993000</v>
      </c>
      <c r="C873">
        <v>405000</v>
      </c>
    </row>
    <row r="874" spans="1:3" x14ac:dyDescent="0.2">
      <c r="A874" s="64">
        <v>30583</v>
      </c>
      <c r="B874">
        <v>2973000</v>
      </c>
      <c r="C874">
        <v>416000</v>
      </c>
    </row>
    <row r="875" spans="1:3" x14ac:dyDescent="0.2">
      <c r="A875" s="64">
        <v>30590</v>
      </c>
      <c r="B875">
        <v>2926000</v>
      </c>
      <c r="C875">
        <v>413000</v>
      </c>
    </row>
    <row r="876" spans="1:3" x14ac:dyDescent="0.2">
      <c r="A876" s="64">
        <v>30597</v>
      </c>
      <c r="B876">
        <v>2929000</v>
      </c>
      <c r="C876">
        <v>406000</v>
      </c>
    </row>
    <row r="877" spans="1:3" x14ac:dyDescent="0.2">
      <c r="A877" s="64">
        <v>30604</v>
      </c>
      <c r="B877">
        <v>2913000</v>
      </c>
      <c r="C877">
        <v>394000</v>
      </c>
    </row>
    <row r="878" spans="1:3" x14ac:dyDescent="0.2">
      <c r="A878" s="64">
        <v>30611</v>
      </c>
      <c r="B878">
        <v>2886000</v>
      </c>
      <c r="C878">
        <v>394000</v>
      </c>
    </row>
    <row r="879" spans="1:3" x14ac:dyDescent="0.2">
      <c r="A879" s="64">
        <v>30618</v>
      </c>
      <c r="B879">
        <v>2860000</v>
      </c>
      <c r="C879">
        <v>404000</v>
      </c>
    </row>
    <row r="880" spans="1:3" x14ac:dyDescent="0.2">
      <c r="A880" s="64">
        <v>30625</v>
      </c>
      <c r="B880">
        <v>2750000</v>
      </c>
      <c r="C880">
        <v>395000</v>
      </c>
    </row>
    <row r="881" spans="1:3" x14ac:dyDescent="0.2">
      <c r="A881" s="64">
        <v>30632</v>
      </c>
      <c r="B881">
        <v>2789000</v>
      </c>
      <c r="C881">
        <v>390000</v>
      </c>
    </row>
    <row r="882" spans="1:3" x14ac:dyDescent="0.2">
      <c r="A882" s="64">
        <v>30639</v>
      </c>
      <c r="B882">
        <v>2879000</v>
      </c>
      <c r="C882">
        <v>387000</v>
      </c>
    </row>
    <row r="883" spans="1:3" x14ac:dyDescent="0.2">
      <c r="A883" s="64">
        <v>30646</v>
      </c>
      <c r="B883">
        <v>2733000</v>
      </c>
      <c r="C883">
        <v>398000</v>
      </c>
    </row>
    <row r="884" spans="1:3" x14ac:dyDescent="0.2">
      <c r="A884" s="64">
        <v>30653</v>
      </c>
      <c r="B884">
        <v>2737000</v>
      </c>
      <c r="C884">
        <v>365000</v>
      </c>
    </row>
    <row r="885" spans="1:3" x14ac:dyDescent="0.2">
      <c r="A885" s="64">
        <v>30660</v>
      </c>
      <c r="B885">
        <v>2666000</v>
      </c>
      <c r="C885">
        <v>368000</v>
      </c>
    </row>
    <row r="886" spans="1:3" x14ac:dyDescent="0.2">
      <c r="A886" s="64">
        <v>30667</v>
      </c>
      <c r="B886">
        <v>2796000</v>
      </c>
      <c r="C886">
        <v>362000</v>
      </c>
    </row>
    <row r="887" spans="1:3" x14ac:dyDescent="0.2">
      <c r="A887" s="64">
        <v>30674</v>
      </c>
      <c r="B887">
        <v>2718000</v>
      </c>
      <c r="C887">
        <v>377000</v>
      </c>
    </row>
    <row r="888" spans="1:3" x14ac:dyDescent="0.2">
      <c r="A888" s="64">
        <v>30681</v>
      </c>
      <c r="B888">
        <v>2644000</v>
      </c>
      <c r="C888">
        <v>372000</v>
      </c>
    </row>
    <row r="889" spans="1:3" x14ac:dyDescent="0.2">
      <c r="A889" s="64">
        <v>30688</v>
      </c>
      <c r="B889">
        <v>2588000</v>
      </c>
      <c r="C889">
        <v>356000</v>
      </c>
    </row>
    <row r="890" spans="1:3" x14ac:dyDescent="0.2">
      <c r="A890" s="64">
        <v>30695</v>
      </c>
      <c r="B890">
        <v>2522000</v>
      </c>
      <c r="C890">
        <v>351000</v>
      </c>
    </row>
    <row r="891" spans="1:3" x14ac:dyDescent="0.2">
      <c r="A891" s="64">
        <v>30702</v>
      </c>
      <c r="B891">
        <v>2531000</v>
      </c>
      <c r="C891">
        <v>333000</v>
      </c>
    </row>
    <row r="892" spans="1:3" x14ac:dyDescent="0.2">
      <c r="A892" s="64">
        <v>30709</v>
      </c>
      <c r="B892">
        <v>2556000</v>
      </c>
      <c r="C892">
        <v>364000</v>
      </c>
    </row>
    <row r="893" spans="1:3" x14ac:dyDescent="0.2">
      <c r="A893" s="64">
        <v>30716</v>
      </c>
      <c r="B893">
        <v>2531000</v>
      </c>
      <c r="C893">
        <v>342000</v>
      </c>
    </row>
    <row r="894" spans="1:3" x14ac:dyDescent="0.2">
      <c r="A894" s="64">
        <v>30723</v>
      </c>
      <c r="B894">
        <v>2453000</v>
      </c>
      <c r="C894">
        <v>338000</v>
      </c>
    </row>
    <row r="895" spans="1:3" x14ac:dyDescent="0.2">
      <c r="A895" s="64">
        <v>30730</v>
      </c>
      <c r="B895">
        <v>2425000</v>
      </c>
      <c r="C895">
        <v>334000</v>
      </c>
    </row>
    <row r="896" spans="1:3" x14ac:dyDescent="0.2">
      <c r="A896" s="64">
        <v>30737</v>
      </c>
      <c r="B896">
        <v>2469000</v>
      </c>
      <c r="C896">
        <v>343000</v>
      </c>
    </row>
    <row r="897" spans="1:3" x14ac:dyDescent="0.2">
      <c r="A897" s="64">
        <v>30744</v>
      </c>
      <c r="B897">
        <v>2441000</v>
      </c>
      <c r="C897">
        <v>347000</v>
      </c>
    </row>
    <row r="898" spans="1:3" x14ac:dyDescent="0.2">
      <c r="A898" s="64">
        <v>30751</v>
      </c>
      <c r="B898">
        <v>2431000</v>
      </c>
      <c r="C898">
        <v>346000</v>
      </c>
    </row>
    <row r="899" spans="1:3" x14ac:dyDescent="0.2">
      <c r="A899" s="64">
        <v>30758</v>
      </c>
      <c r="B899">
        <v>2426000</v>
      </c>
      <c r="C899">
        <v>349000</v>
      </c>
    </row>
    <row r="900" spans="1:3" x14ac:dyDescent="0.2">
      <c r="A900" s="64">
        <v>30765</v>
      </c>
      <c r="B900">
        <v>2412000</v>
      </c>
      <c r="C900">
        <v>346000</v>
      </c>
    </row>
    <row r="901" spans="1:3" x14ac:dyDescent="0.2">
      <c r="A901" s="64">
        <v>30772</v>
      </c>
      <c r="B901">
        <v>2412000</v>
      </c>
      <c r="C901">
        <v>341000</v>
      </c>
    </row>
    <row r="902" spans="1:3" x14ac:dyDescent="0.2">
      <c r="A902" s="64">
        <v>30779</v>
      </c>
      <c r="B902">
        <v>2425000</v>
      </c>
      <c r="C902">
        <v>381000</v>
      </c>
    </row>
    <row r="903" spans="1:3" x14ac:dyDescent="0.2">
      <c r="A903" s="64">
        <v>30786</v>
      </c>
      <c r="B903">
        <v>2396000</v>
      </c>
      <c r="C903">
        <v>357000</v>
      </c>
    </row>
    <row r="904" spans="1:3" x14ac:dyDescent="0.2">
      <c r="A904" s="64">
        <v>30793</v>
      </c>
      <c r="B904">
        <v>2433000</v>
      </c>
      <c r="C904">
        <v>364000</v>
      </c>
    </row>
    <row r="905" spans="1:3" x14ac:dyDescent="0.2">
      <c r="A905" s="64">
        <v>30800</v>
      </c>
      <c r="B905">
        <v>2435000</v>
      </c>
      <c r="C905">
        <v>375000</v>
      </c>
    </row>
    <row r="906" spans="1:3" x14ac:dyDescent="0.2">
      <c r="A906" s="64">
        <v>30807</v>
      </c>
      <c r="B906">
        <v>2430000</v>
      </c>
      <c r="C906">
        <v>365000</v>
      </c>
    </row>
    <row r="907" spans="1:3" x14ac:dyDescent="0.2">
      <c r="A907" s="64">
        <v>30814</v>
      </c>
      <c r="B907">
        <v>2386000</v>
      </c>
      <c r="C907">
        <v>368000</v>
      </c>
    </row>
    <row r="908" spans="1:3" x14ac:dyDescent="0.2">
      <c r="A908" s="64">
        <v>30821</v>
      </c>
      <c r="B908">
        <v>2401000</v>
      </c>
      <c r="C908">
        <v>354000</v>
      </c>
    </row>
    <row r="909" spans="1:3" x14ac:dyDescent="0.2">
      <c r="A909" s="64">
        <v>30828</v>
      </c>
      <c r="B909">
        <v>2323000</v>
      </c>
      <c r="C909">
        <v>354000</v>
      </c>
    </row>
    <row r="910" spans="1:3" x14ac:dyDescent="0.2">
      <c r="A910" s="64">
        <v>30835</v>
      </c>
      <c r="B910">
        <v>2379000</v>
      </c>
      <c r="C910">
        <v>355000</v>
      </c>
    </row>
    <row r="911" spans="1:3" x14ac:dyDescent="0.2">
      <c r="A911" s="64">
        <v>30842</v>
      </c>
      <c r="B911">
        <v>2391000</v>
      </c>
      <c r="C911">
        <v>369000</v>
      </c>
    </row>
    <row r="912" spans="1:3" x14ac:dyDescent="0.2">
      <c r="A912" s="64">
        <v>30849</v>
      </c>
      <c r="B912">
        <v>2364000</v>
      </c>
      <c r="C912">
        <v>361000</v>
      </c>
    </row>
    <row r="913" spans="1:3" x14ac:dyDescent="0.2">
      <c r="A913" s="64">
        <v>30856</v>
      </c>
      <c r="B913">
        <v>2339000</v>
      </c>
      <c r="C913">
        <v>362000</v>
      </c>
    </row>
    <row r="914" spans="1:3" x14ac:dyDescent="0.2">
      <c r="A914" s="64">
        <v>30863</v>
      </c>
      <c r="B914">
        <v>2329000</v>
      </c>
      <c r="C914">
        <v>360000</v>
      </c>
    </row>
    <row r="915" spans="1:3" x14ac:dyDescent="0.2">
      <c r="A915" s="64">
        <v>30870</v>
      </c>
      <c r="B915">
        <v>2375000</v>
      </c>
      <c r="C915">
        <v>366000</v>
      </c>
    </row>
    <row r="916" spans="1:3" x14ac:dyDescent="0.2">
      <c r="A916" s="64">
        <v>30877</v>
      </c>
      <c r="B916">
        <v>2371000</v>
      </c>
      <c r="C916">
        <v>360000</v>
      </c>
    </row>
    <row r="917" spans="1:3" x14ac:dyDescent="0.2">
      <c r="A917" s="64">
        <v>30884</v>
      </c>
      <c r="B917">
        <v>2337000</v>
      </c>
      <c r="C917">
        <v>357000</v>
      </c>
    </row>
    <row r="918" spans="1:3" x14ac:dyDescent="0.2">
      <c r="A918" s="64">
        <v>30891</v>
      </c>
      <c r="B918">
        <v>2329000</v>
      </c>
      <c r="C918">
        <v>359000</v>
      </c>
    </row>
    <row r="919" spans="1:3" x14ac:dyDescent="0.2">
      <c r="A919" s="64">
        <v>30898</v>
      </c>
      <c r="B919">
        <v>2332000</v>
      </c>
      <c r="C919">
        <v>382000</v>
      </c>
    </row>
    <row r="920" spans="1:3" x14ac:dyDescent="0.2">
      <c r="A920" s="64">
        <v>30905</v>
      </c>
      <c r="B920">
        <v>2390000</v>
      </c>
      <c r="C920">
        <v>380000</v>
      </c>
    </row>
    <row r="921" spans="1:3" x14ac:dyDescent="0.2">
      <c r="A921" s="64">
        <v>30912</v>
      </c>
      <c r="B921">
        <v>2416000</v>
      </c>
      <c r="C921">
        <v>401000</v>
      </c>
    </row>
    <row r="922" spans="1:3" x14ac:dyDescent="0.2">
      <c r="A922" s="64">
        <v>30919</v>
      </c>
      <c r="B922">
        <v>2405000</v>
      </c>
      <c r="C922">
        <v>395000</v>
      </c>
    </row>
    <row r="923" spans="1:3" x14ac:dyDescent="0.2">
      <c r="A923" s="64">
        <v>30926</v>
      </c>
      <c r="B923">
        <v>2410000</v>
      </c>
      <c r="C923">
        <v>385000</v>
      </c>
    </row>
    <row r="924" spans="1:3" x14ac:dyDescent="0.2">
      <c r="A924" s="64">
        <v>30933</v>
      </c>
      <c r="B924">
        <v>2435000</v>
      </c>
      <c r="C924">
        <v>402000</v>
      </c>
    </row>
    <row r="925" spans="1:3" x14ac:dyDescent="0.2">
      <c r="A925" s="64">
        <v>30940</v>
      </c>
      <c r="B925">
        <v>2434000</v>
      </c>
      <c r="C925">
        <v>393000</v>
      </c>
    </row>
    <row r="926" spans="1:3" x14ac:dyDescent="0.2">
      <c r="A926" s="64">
        <v>30947</v>
      </c>
      <c r="B926">
        <v>2421000</v>
      </c>
      <c r="C926">
        <v>395000</v>
      </c>
    </row>
    <row r="927" spans="1:3" x14ac:dyDescent="0.2">
      <c r="A927" s="64">
        <v>30954</v>
      </c>
      <c r="B927">
        <v>2474000</v>
      </c>
      <c r="C927">
        <v>402000</v>
      </c>
    </row>
    <row r="928" spans="1:3" x14ac:dyDescent="0.2">
      <c r="A928" s="64">
        <v>30961</v>
      </c>
      <c r="B928">
        <v>2455000</v>
      </c>
      <c r="C928">
        <v>403000</v>
      </c>
    </row>
    <row r="929" spans="1:3" x14ac:dyDescent="0.2">
      <c r="A929" s="64">
        <v>30968</v>
      </c>
      <c r="B929">
        <v>2538000</v>
      </c>
      <c r="C929">
        <v>410000</v>
      </c>
    </row>
    <row r="930" spans="1:3" x14ac:dyDescent="0.2">
      <c r="A930" s="64">
        <v>30975</v>
      </c>
      <c r="B930">
        <v>2529000</v>
      </c>
      <c r="C930">
        <v>439000</v>
      </c>
    </row>
    <row r="931" spans="1:3" x14ac:dyDescent="0.2">
      <c r="A931" s="64">
        <v>30982</v>
      </c>
      <c r="B931">
        <v>2574000</v>
      </c>
      <c r="C931">
        <v>425000</v>
      </c>
    </row>
    <row r="932" spans="1:3" x14ac:dyDescent="0.2">
      <c r="A932" s="64">
        <v>30989</v>
      </c>
      <c r="B932">
        <v>2578000</v>
      </c>
      <c r="C932">
        <v>423000</v>
      </c>
    </row>
    <row r="933" spans="1:3" x14ac:dyDescent="0.2">
      <c r="A933" s="64">
        <v>30996</v>
      </c>
      <c r="B933">
        <v>2545000</v>
      </c>
      <c r="C933">
        <v>393000</v>
      </c>
    </row>
    <row r="934" spans="1:3" x14ac:dyDescent="0.2">
      <c r="A934" s="64">
        <v>31003</v>
      </c>
      <c r="B934">
        <v>2645000</v>
      </c>
      <c r="C934">
        <v>383000</v>
      </c>
    </row>
    <row r="935" spans="1:3" x14ac:dyDescent="0.2">
      <c r="A935" s="64">
        <v>31010</v>
      </c>
      <c r="B935">
        <v>2569000</v>
      </c>
      <c r="C935">
        <v>429000</v>
      </c>
    </row>
    <row r="936" spans="1:3" x14ac:dyDescent="0.2">
      <c r="A936" s="64">
        <v>31017</v>
      </c>
      <c r="B936">
        <v>2529000</v>
      </c>
      <c r="C936">
        <v>401000</v>
      </c>
    </row>
    <row r="937" spans="1:3" x14ac:dyDescent="0.2">
      <c r="A937" s="64">
        <v>31024</v>
      </c>
      <c r="B937">
        <v>2589000</v>
      </c>
      <c r="C937">
        <v>383000</v>
      </c>
    </row>
    <row r="938" spans="1:3" x14ac:dyDescent="0.2">
      <c r="A938" s="64">
        <v>31031</v>
      </c>
      <c r="B938">
        <v>2594000</v>
      </c>
      <c r="C938">
        <v>386000</v>
      </c>
    </row>
    <row r="939" spans="1:3" x14ac:dyDescent="0.2">
      <c r="A939" s="64">
        <v>31038</v>
      </c>
      <c r="B939">
        <v>2487000</v>
      </c>
      <c r="C939">
        <v>379000</v>
      </c>
    </row>
    <row r="940" spans="1:3" x14ac:dyDescent="0.2">
      <c r="A940" s="64">
        <v>31045</v>
      </c>
      <c r="B940">
        <v>2536000</v>
      </c>
      <c r="C940">
        <v>379000</v>
      </c>
    </row>
    <row r="941" spans="1:3" x14ac:dyDescent="0.2">
      <c r="A941" s="64">
        <v>31052</v>
      </c>
      <c r="B941">
        <v>2593000</v>
      </c>
      <c r="C941">
        <v>369000</v>
      </c>
    </row>
    <row r="942" spans="1:3" x14ac:dyDescent="0.2">
      <c r="A942" s="64">
        <v>31059</v>
      </c>
      <c r="B942">
        <v>2543000</v>
      </c>
      <c r="C942">
        <v>387000</v>
      </c>
    </row>
    <row r="943" spans="1:3" x14ac:dyDescent="0.2">
      <c r="A943" s="64">
        <v>31066</v>
      </c>
      <c r="B943">
        <v>2472000</v>
      </c>
      <c r="C943">
        <v>359000</v>
      </c>
    </row>
    <row r="944" spans="1:3" x14ac:dyDescent="0.2">
      <c r="A944" s="64">
        <v>31073</v>
      </c>
      <c r="B944">
        <v>2601000</v>
      </c>
      <c r="C944">
        <v>368000</v>
      </c>
    </row>
    <row r="945" spans="1:3" x14ac:dyDescent="0.2">
      <c r="A945" s="64">
        <v>31080</v>
      </c>
      <c r="B945">
        <v>2632000</v>
      </c>
      <c r="C945">
        <v>386000</v>
      </c>
    </row>
    <row r="946" spans="1:3" x14ac:dyDescent="0.2">
      <c r="A946" s="64">
        <v>31087</v>
      </c>
      <c r="B946">
        <v>2608000</v>
      </c>
      <c r="C946">
        <v>401000</v>
      </c>
    </row>
    <row r="947" spans="1:3" x14ac:dyDescent="0.2">
      <c r="A947" s="64">
        <v>31094</v>
      </c>
      <c r="B947">
        <v>2613000</v>
      </c>
      <c r="C947">
        <v>390000</v>
      </c>
    </row>
    <row r="948" spans="1:3" x14ac:dyDescent="0.2">
      <c r="A948" s="64">
        <v>31101</v>
      </c>
      <c r="B948">
        <v>2641000</v>
      </c>
      <c r="C948">
        <v>390000</v>
      </c>
    </row>
    <row r="949" spans="1:3" x14ac:dyDescent="0.2">
      <c r="A949" s="64">
        <v>31108</v>
      </c>
      <c r="B949">
        <v>2571000</v>
      </c>
      <c r="C949">
        <v>374000</v>
      </c>
    </row>
    <row r="950" spans="1:3" x14ac:dyDescent="0.2">
      <c r="A950" s="64">
        <v>31115</v>
      </c>
      <c r="B950">
        <v>2591000</v>
      </c>
      <c r="C950">
        <v>385000</v>
      </c>
    </row>
    <row r="951" spans="1:3" x14ac:dyDescent="0.2">
      <c r="A951" s="64">
        <v>31122</v>
      </c>
      <c r="B951">
        <v>2578000</v>
      </c>
      <c r="C951">
        <v>386000</v>
      </c>
    </row>
    <row r="952" spans="1:3" x14ac:dyDescent="0.2">
      <c r="A952" s="64">
        <v>31129</v>
      </c>
      <c r="B952">
        <v>2556000</v>
      </c>
      <c r="C952">
        <v>373000</v>
      </c>
    </row>
    <row r="953" spans="1:3" x14ac:dyDescent="0.2">
      <c r="A953" s="64">
        <v>31136</v>
      </c>
      <c r="B953">
        <v>2526000</v>
      </c>
      <c r="C953">
        <v>386000</v>
      </c>
    </row>
    <row r="954" spans="1:3" x14ac:dyDescent="0.2">
      <c r="A954" s="64">
        <v>31143</v>
      </c>
      <c r="B954">
        <v>2569000</v>
      </c>
      <c r="C954">
        <v>405000</v>
      </c>
    </row>
    <row r="955" spans="1:3" x14ac:dyDescent="0.2">
      <c r="A955" s="64">
        <v>31150</v>
      </c>
      <c r="B955">
        <v>2600000</v>
      </c>
      <c r="C955">
        <v>411000</v>
      </c>
    </row>
    <row r="956" spans="1:3" x14ac:dyDescent="0.2">
      <c r="A956" s="64">
        <v>31157</v>
      </c>
      <c r="B956">
        <v>2584000</v>
      </c>
      <c r="C956">
        <v>391000</v>
      </c>
    </row>
    <row r="957" spans="1:3" x14ac:dyDescent="0.2">
      <c r="A957" s="64">
        <v>31164</v>
      </c>
      <c r="B957">
        <v>2562000</v>
      </c>
      <c r="C957">
        <v>386000</v>
      </c>
    </row>
    <row r="958" spans="1:3" x14ac:dyDescent="0.2">
      <c r="A958" s="64">
        <v>31171</v>
      </c>
      <c r="B958">
        <v>2582000</v>
      </c>
      <c r="C958">
        <v>390000</v>
      </c>
    </row>
    <row r="959" spans="1:3" x14ac:dyDescent="0.2">
      <c r="A959" s="64">
        <v>31178</v>
      </c>
      <c r="B959">
        <v>2569000</v>
      </c>
      <c r="C959">
        <v>394000</v>
      </c>
    </row>
    <row r="960" spans="1:3" x14ac:dyDescent="0.2">
      <c r="A960" s="64">
        <v>31185</v>
      </c>
      <c r="B960">
        <v>2547000</v>
      </c>
      <c r="C960">
        <v>391000</v>
      </c>
    </row>
    <row r="961" spans="1:3" x14ac:dyDescent="0.2">
      <c r="A961" s="64">
        <v>31192</v>
      </c>
      <c r="B961">
        <v>2545000</v>
      </c>
      <c r="C961">
        <v>396000</v>
      </c>
    </row>
    <row r="962" spans="1:3" x14ac:dyDescent="0.2">
      <c r="A962" s="64">
        <v>31199</v>
      </c>
      <c r="B962">
        <v>2591000</v>
      </c>
      <c r="C962">
        <v>393000</v>
      </c>
    </row>
    <row r="963" spans="1:3" x14ac:dyDescent="0.2">
      <c r="A963" s="64">
        <v>31206</v>
      </c>
      <c r="B963">
        <v>2564000</v>
      </c>
      <c r="C963">
        <v>403000</v>
      </c>
    </row>
    <row r="964" spans="1:3" x14ac:dyDescent="0.2">
      <c r="A964" s="64">
        <v>31213</v>
      </c>
      <c r="B964">
        <v>2549000</v>
      </c>
      <c r="C964">
        <v>390000</v>
      </c>
    </row>
    <row r="965" spans="1:3" x14ac:dyDescent="0.2">
      <c r="A965" s="64">
        <v>31220</v>
      </c>
      <c r="B965">
        <v>2550000</v>
      </c>
      <c r="C965">
        <v>386000</v>
      </c>
    </row>
    <row r="966" spans="1:3" x14ac:dyDescent="0.2">
      <c r="A966" s="64">
        <v>31227</v>
      </c>
      <c r="B966">
        <v>2505000</v>
      </c>
      <c r="C966">
        <v>390000</v>
      </c>
    </row>
    <row r="967" spans="1:3" x14ac:dyDescent="0.2">
      <c r="A967" s="64">
        <v>31234</v>
      </c>
      <c r="B967">
        <v>2609000</v>
      </c>
      <c r="C967">
        <v>395000</v>
      </c>
    </row>
    <row r="968" spans="1:3" x14ac:dyDescent="0.2">
      <c r="A968" s="64">
        <v>31241</v>
      </c>
      <c r="B968">
        <v>2519000</v>
      </c>
      <c r="C968">
        <v>386000</v>
      </c>
    </row>
    <row r="969" spans="1:3" x14ac:dyDescent="0.2">
      <c r="A969" s="64">
        <v>31248</v>
      </c>
      <c r="B969">
        <v>2520000</v>
      </c>
      <c r="C969">
        <v>370000</v>
      </c>
    </row>
    <row r="970" spans="1:3" x14ac:dyDescent="0.2">
      <c r="A970" s="64">
        <v>31255</v>
      </c>
      <c r="B970">
        <v>2522000</v>
      </c>
      <c r="C970">
        <v>362000</v>
      </c>
    </row>
    <row r="971" spans="1:3" x14ac:dyDescent="0.2">
      <c r="A971" s="64">
        <v>31262</v>
      </c>
      <c r="B971">
        <v>2518000</v>
      </c>
      <c r="C971">
        <v>407000</v>
      </c>
    </row>
    <row r="972" spans="1:3" x14ac:dyDescent="0.2">
      <c r="A972" s="64">
        <v>31269</v>
      </c>
      <c r="B972">
        <v>2565000</v>
      </c>
      <c r="C972">
        <v>402000</v>
      </c>
    </row>
    <row r="973" spans="1:3" x14ac:dyDescent="0.2">
      <c r="A973" s="64">
        <v>31276</v>
      </c>
      <c r="B973">
        <v>2574000</v>
      </c>
      <c r="C973">
        <v>399000</v>
      </c>
    </row>
    <row r="974" spans="1:3" x14ac:dyDescent="0.2">
      <c r="A974" s="64">
        <v>31283</v>
      </c>
      <c r="B974">
        <v>2561000</v>
      </c>
      <c r="C974">
        <v>405000</v>
      </c>
    </row>
    <row r="975" spans="1:3" x14ac:dyDescent="0.2">
      <c r="A975" s="64">
        <v>31290</v>
      </c>
      <c r="B975">
        <v>2595000</v>
      </c>
      <c r="C975">
        <v>409000</v>
      </c>
    </row>
    <row r="976" spans="1:3" x14ac:dyDescent="0.2">
      <c r="A976" s="64">
        <v>31297</v>
      </c>
      <c r="B976">
        <v>2596000</v>
      </c>
      <c r="C976">
        <v>426000</v>
      </c>
    </row>
    <row r="977" spans="1:3" x14ac:dyDescent="0.2">
      <c r="A977" s="64">
        <v>31304</v>
      </c>
      <c r="B977">
        <v>2590000</v>
      </c>
      <c r="C977">
        <v>408000</v>
      </c>
    </row>
    <row r="978" spans="1:3" x14ac:dyDescent="0.2">
      <c r="A978" s="64">
        <v>31311</v>
      </c>
      <c r="B978">
        <v>2513000</v>
      </c>
      <c r="C978">
        <v>401000</v>
      </c>
    </row>
    <row r="979" spans="1:3" x14ac:dyDescent="0.2">
      <c r="A979" s="64">
        <v>31318</v>
      </c>
      <c r="B979">
        <v>2623000</v>
      </c>
      <c r="C979">
        <v>399000</v>
      </c>
    </row>
    <row r="980" spans="1:3" x14ac:dyDescent="0.2">
      <c r="A980" s="64">
        <v>31325</v>
      </c>
      <c r="B980">
        <v>2657000</v>
      </c>
      <c r="C980">
        <v>405000</v>
      </c>
    </row>
    <row r="981" spans="1:3" x14ac:dyDescent="0.2">
      <c r="A981" s="64">
        <v>31332</v>
      </c>
      <c r="B981">
        <v>2569000</v>
      </c>
      <c r="C981">
        <v>400000</v>
      </c>
    </row>
    <row r="982" spans="1:3" x14ac:dyDescent="0.2">
      <c r="A982" s="64">
        <v>31339</v>
      </c>
      <c r="B982">
        <v>2644000</v>
      </c>
      <c r="C982">
        <v>400000</v>
      </c>
    </row>
    <row r="983" spans="1:3" x14ac:dyDescent="0.2">
      <c r="A983" s="64">
        <v>31346</v>
      </c>
      <c r="B983">
        <v>2657000</v>
      </c>
      <c r="C983">
        <v>418000</v>
      </c>
    </row>
    <row r="984" spans="1:3" x14ac:dyDescent="0.2">
      <c r="A984" s="64">
        <v>31353</v>
      </c>
      <c r="B984">
        <v>2673000</v>
      </c>
      <c r="C984">
        <v>398000</v>
      </c>
    </row>
    <row r="985" spans="1:3" x14ac:dyDescent="0.2">
      <c r="A985" s="64">
        <v>31360</v>
      </c>
      <c r="B985">
        <v>2612000</v>
      </c>
      <c r="C985">
        <v>397000</v>
      </c>
    </row>
    <row r="986" spans="1:3" x14ac:dyDescent="0.2">
      <c r="A986" s="64">
        <v>31367</v>
      </c>
      <c r="B986">
        <v>2618000</v>
      </c>
      <c r="C986">
        <v>397000</v>
      </c>
    </row>
    <row r="987" spans="1:3" x14ac:dyDescent="0.2">
      <c r="A987" s="64">
        <v>31374</v>
      </c>
      <c r="B987">
        <v>2585000</v>
      </c>
      <c r="C987">
        <v>382000</v>
      </c>
    </row>
    <row r="988" spans="1:3" x14ac:dyDescent="0.2">
      <c r="A988" s="64">
        <v>31381</v>
      </c>
      <c r="B988">
        <v>2638000</v>
      </c>
      <c r="C988">
        <v>393000</v>
      </c>
    </row>
    <row r="989" spans="1:3" x14ac:dyDescent="0.2">
      <c r="A989" s="64">
        <v>31388</v>
      </c>
      <c r="B989">
        <v>2744000</v>
      </c>
      <c r="C989">
        <v>399000</v>
      </c>
    </row>
    <row r="990" spans="1:3" x14ac:dyDescent="0.2">
      <c r="A990" s="64">
        <v>31395</v>
      </c>
      <c r="B990">
        <v>2680000</v>
      </c>
      <c r="C990">
        <v>382000</v>
      </c>
    </row>
    <row r="991" spans="1:3" x14ac:dyDescent="0.2">
      <c r="A991" s="64">
        <v>31402</v>
      </c>
      <c r="B991">
        <v>2543000</v>
      </c>
      <c r="C991">
        <v>370000</v>
      </c>
    </row>
    <row r="992" spans="1:3" x14ac:dyDescent="0.2">
      <c r="A992" s="64">
        <v>31409</v>
      </c>
      <c r="B992">
        <v>2608000</v>
      </c>
      <c r="C992">
        <v>390000</v>
      </c>
    </row>
    <row r="993" spans="1:3" x14ac:dyDescent="0.2">
      <c r="A993" s="64">
        <v>31416</v>
      </c>
      <c r="B993">
        <v>2694000</v>
      </c>
      <c r="C993">
        <v>362000</v>
      </c>
    </row>
    <row r="994" spans="1:3" x14ac:dyDescent="0.2">
      <c r="A994" s="64">
        <v>31423</v>
      </c>
      <c r="B994">
        <v>2636000</v>
      </c>
      <c r="C994">
        <v>397000</v>
      </c>
    </row>
    <row r="995" spans="1:3" x14ac:dyDescent="0.2">
      <c r="A995" s="64">
        <v>31430</v>
      </c>
      <c r="B995">
        <v>2516000</v>
      </c>
      <c r="C995">
        <v>364000</v>
      </c>
    </row>
    <row r="996" spans="1:3" x14ac:dyDescent="0.2">
      <c r="A996" s="64">
        <v>31437</v>
      </c>
      <c r="B996">
        <v>2570000</v>
      </c>
      <c r="C996">
        <v>344000</v>
      </c>
    </row>
    <row r="997" spans="1:3" x14ac:dyDescent="0.2">
      <c r="A997" s="64">
        <v>31444</v>
      </c>
      <c r="B997">
        <v>2531000</v>
      </c>
      <c r="C997">
        <v>364000</v>
      </c>
    </row>
    <row r="998" spans="1:3" x14ac:dyDescent="0.2">
      <c r="A998" s="64">
        <v>31451</v>
      </c>
      <c r="B998">
        <v>2548000</v>
      </c>
      <c r="C998">
        <v>366000</v>
      </c>
    </row>
    <row r="999" spans="1:3" x14ac:dyDescent="0.2">
      <c r="A999" s="64">
        <v>31458</v>
      </c>
      <c r="B999">
        <v>2569000</v>
      </c>
      <c r="C999">
        <v>358000</v>
      </c>
    </row>
    <row r="1000" spans="1:3" x14ac:dyDescent="0.2">
      <c r="A1000" s="64">
        <v>31465</v>
      </c>
      <c r="B1000">
        <v>2626000</v>
      </c>
      <c r="C1000">
        <v>390000</v>
      </c>
    </row>
    <row r="1001" spans="1:3" x14ac:dyDescent="0.2">
      <c r="A1001" s="64">
        <v>31472</v>
      </c>
      <c r="B1001">
        <v>2570000</v>
      </c>
      <c r="C1001">
        <v>375000</v>
      </c>
    </row>
    <row r="1002" spans="1:3" x14ac:dyDescent="0.2">
      <c r="A1002" s="64">
        <v>31479</v>
      </c>
      <c r="B1002">
        <v>2603000</v>
      </c>
      <c r="C1002">
        <v>366000</v>
      </c>
    </row>
    <row r="1003" spans="1:3" x14ac:dyDescent="0.2">
      <c r="A1003" s="64">
        <v>31486</v>
      </c>
      <c r="B1003">
        <v>2589000</v>
      </c>
      <c r="C1003">
        <v>382000</v>
      </c>
    </row>
    <row r="1004" spans="1:3" x14ac:dyDescent="0.2">
      <c r="A1004" s="64">
        <v>31493</v>
      </c>
      <c r="B1004">
        <v>2592000</v>
      </c>
      <c r="C1004">
        <v>387000</v>
      </c>
    </row>
    <row r="1005" spans="1:3" x14ac:dyDescent="0.2">
      <c r="A1005" s="64">
        <v>31500</v>
      </c>
      <c r="B1005">
        <v>2614000</v>
      </c>
      <c r="C1005">
        <v>396000</v>
      </c>
    </row>
    <row r="1006" spans="1:3" x14ac:dyDescent="0.2">
      <c r="A1006" s="64">
        <v>31507</v>
      </c>
      <c r="B1006">
        <v>2625000</v>
      </c>
      <c r="C1006">
        <v>381000</v>
      </c>
    </row>
    <row r="1007" spans="1:3" x14ac:dyDescent="0.2">
      <c r="A1007" s="64">
        <v>31514</v>
      </c>
      <c r="B1007">
        <v>2570000</v>
      </c>
      <c r="C1007">
        <v>388000</v>
      </c>
    </row>
    <row r="1008" spans="1:3" x14ac:dyDescent="0.2">
      <c r="A1008" s="64">
        <v>31521</v>
      </c>
      <c r="B1008">
        <v>2613000</v>
      </c>
      <c r="C1008">
        <v>383000</v>
      </c>
    </row>
    <row r="1009" spans="1:3" x14ac:dyDescent="0.2">
      <c r="A1009" s="64">
        <v>31528</v>
      </c>
      <c r="B1009">
        <v>2627000</v>
      </c>
      <c r="C1009">
        <v>391000</v>
      </c>
    </row>
    <row r="1010" spans="1:3" x14ac:dyDescent="0.2">
      <c r="A1010" s="64">
        <v>31535</v>
      </c>
      <c r="B1010">
        <v>2670000</v>
      </c>
      <c r="C1010">
        <v>392000</v>
      </c>
    </row>
    <row r="1011" spans="1:3" x14ac:dyDescent="0.2">
      <c r="A1011" s="64">
        <v>31542</v>
      </c>
      <c r="B1011">
        <v>2670000</v>
      </c>
      <c r="C1011">
        <v>395000</v>
      </c>
    </row>
    <row r="1012" spans="1:3" x14ac:dyDescent="0.2">
      <c r="A1012" s="64">
        <v>31549</v>
      </c>
      <c r="B1012">
        <v>2669000</v>
      </c>
      <c r="C1012">
        <v>384000</v>
      </c>
    </row>
    <row r="1013" spans="1:3" x14ac:dyDescent="0.2">
      <c r="A1013" s="64">
        <v>31556</v>
      </c>
      <c r="B1013">
        <v>2638000</v>
      </c>
      <c r="C1013">
        <v>386000</v>
      </c>
    </row>
    <row r="1014" spans="1:3" x14ac:dyDescent="0.2">
      <c r="A1014" s="64">
        <v>31563</v>
      </c>
      <c r="B1014">
        <v>2708000</v>
      </c>
      <c r="C1014">
        <v>373000</v>
      </c>
    </row>
    <row r="1015" spans="1:3" x14ac:dyDescent="0.2">
      <c r="A1015" s="64">
        <v>31570</v>
      </c>
      <c r="B1015">
        <v>2653000</v>
      </c>
      <c r="C1015">
        <v>375000</v>
      </c>
    </row>
    <row r="1016" spans="1:3" x14ac:dyDescent="0.2">
      <c r="A1016" s="64">
        <v>31577</v>
      </c>
      <c r="B1016">
        <v>2644000</v>
      </c>
      <c r="C1016">
        <v>369000</v>
      </c>
    </row>
    <row r="1017" spans="1:3" x14ac:dyDescent="0.2">
      <c r="A1017" s="64">
        <v>31584</v>
      </c>
      <c r="B1017">
        <v>2637000</v>
      </c>
      <c r="C1017">
        <v>367000</v>
      </c>
    </row>
    <row r="1018" spans="1:3" x14ac:dyDescent="0.2">
      <c r="A1018" s="64">
        <v>31591</v>
      </c>
      <c r="B1018">
        <v>2606000</v>
      </c>
      <c r="C1018">
        <v>371000</v>
      </c>
    </row>
    <row r="1019" spans="1:3" x14ac:dyDescent="0.2">
      <c r="A1019" s="64">
        <v>31598</v>
      </c>
      <c r="B1019">
        <v>2669000</v>
      </c>
      <c r="C1019">
        <v>371000</v>
      </c>
    </row>
    <row r="1020" spans="1:3" x14ac:dyDescent="0.2">
      <c r="A1020" s="64">
        <v>31605</v>
      </c>
      <c r="B1020">
        <v>2552000</v>
      </c>
      <c r="C1020">
        <v>361000</v>
      </c>
    </row>
    <row r="1021" spans="1:3" x14ac:dyDescent="0.2">
      <c r="A1021" s="64">
        <v>31612</v>
      </c>
      <c r="B1021">
        <v>2593000</v>
      </c>
      <c r="C1021">
        <v>354000</v>
      </c>
    </row>
    <row r="1022" spans="1:3" x14ac:dyDescent="0.2">
      <c r="A1022" s="64">
        <v>31619</v>
      </c>
      <c r="B1022">
        <v>2618000</v>
      </c>
      <c r="C1022">
        <v>362000</v>
      </c>
    </row>
    <row r="1023" spans="1:3" x14ac:dyDescent="0.2">
      <c r="A1023" s="64">
        <v>31626</v>
      </c>
      <c r="B1023">
        <v>2583000</v>
      </c>
      <c r="C1023">
        <v>416000</v>
      </c>
    </row>
    <row r="1024" spans="1:3" x14ac:dyDescent="0.2">
      <c r="A1024" s="64">
        <v>31633</v>
      </c>
      <c r="B1024">
        <v>2686000</v>
      </c>
      <c r="C1024">
        <v>416000</v>
      </c>
    </row>
    <row r="1025" spans="1:3" x14ac:dyDescent="0.2">
      <c r="A1025" s="64">
        <v>31640</v>
      </c>
      <c r="B1025">
        <v>2658000</v>
      </c>
      <c r="C1025">
        <v>407000</v>
      </c>
    </row>
    <row r="1026" spans="1:3" x14ac:dyDescent="0.2">
      <c r="A1026" s="64">
        <v>31647</v>
      </c>
      <c r="B1026">
        <v>2687000</v>
      </c>
      <c r="C1026">
        <v>397000</v>
      </c>
    </row>
    <row r="1027" spans="1:3" x14ac:dyDescent="0.2">
      <c r="A1027" s="64">
        <v>31654</v>
      </c>
      <c r="B1027">
        <v>2664000</v>
      </c>
      <c r="C1027">
        <v>401000</v>
      </c>
    </row>
    <row r="1028" spans="1:3" x14ac:dyDescent="0.2">
      <c r="A1028" s="64">
        <v>31661</v>
      </c>
      <c r="B1028">
        <v>2756000</v>
      </c>
      <c r="C1028">
        <v>400000</v>
      </c>
    </row>
    <row r="1029" spans="1:3" x14ac:dyDescent="0.2">
      <c r="A1029" s="64">
        <v>31668</v>
      </c>
      <c r="B1029">
        <v>2671000</v>
      </c>
      <c r="C1029">
        <v>394000</v>
      </c>
    </row>
    <row r="1030" spans="1:3" x14ac:dyDescent="0.2">
      <c r="A1030" s="64">
        <v>31675</v>
      </c>
      <c r="B1030">
        <v>2703000</v>
      </c>
      <c r="C1030">
        <v>399000</v>
      </c>
    </row>
    <row r="1031" spans="1:3" x14ac:dyDescent="0.2">
      <c r="A1031" s="64">
        <v>31682</v>
      </c>
      <c r="B1031">
        <v>2698000</v>
      </c>
      <c r="C1031">
        <v>389000</v>
      </c>
    </row>
    <row r="1032" spans="1:3" x14ac:dyDescent="0.2">
      <c r="A1032" s="64">
        <v>31689</v>
      </c>
      <c r="B1032">
        <v>2780000</v>
      </c>
      <c r="C1032">
        <v>391000</v>
      </c>
    </row>
    <row r="1033" spans="1:3" x14ac:dyDescent="0.2">
      <c r="A1033" s="64">
        <v>31696</v>
      </c>
      <c r="B1033">
        <v>2665000</v>
      </c>
      <c r="C1033">
        <v>387000</v>
      </c>
    </row>
    <row r="1034" spans="1:3" x14ac:dyDescent="0.2">
      <c r="A1034" s="64">
        <v>31703</v>
      </c>
      <c r="B1034">
        <v>2723000</v>
      </c>
      <c r="C1034">
        <v>385000</v>
      </c>
    </row>
    <row r="1035" spans="1:3" x14ac:dyDescent="0.2">
      <c r="A1035" s="64">
        <v>31710</v>
      </c>
      <c r="B1035">
        <v>2707000</v>
      </c>
      <c r="C1035">
        <v>370000</v>
      </c>
    </row>
    <row r="1036" spans="1:3" x14ac:dyDescent="0.2">
      <c r="A1036" s="64">
        <v>31717</v>
      </c>
      <c r="B1036">
        <v>2646000</v>
      </c>
      <c r="C1036">
        <v>364000</v>
      </c>
    </row>
    <row r="1037" spans="1:3" x14ac:dyDescent="0.2">
      <c r="A1037" s="64">
        <v>31724</v>
      </c>
      <c r="B1037">
        <v>2614000</v>
      </c>
      <c r="C1037">
        <v>349000</v>
      </c>
    </row>
    <row r="1038" spans="1:3" x14ac:dyDescent="0.2">
      <c r="A1038" s="64">
        <v>31731</v>
      </c>
      <c r="B1038">
        <v>2653000</v>
      </c>
      <c r="C1038">
        <v>368000</v>
      </c>
    </row>
    <row r="1039" spans="1:3" x14ac:dyDescent="0.2">
      <c r="A1039" s="64">
        <v>31738</v>
      </c>
      <c r="B1039">
        <v>2555000</v>
      </c>
      <c r="C1039">
        <v>369000</v>
      </c>
    </row>
    <row r="1040" spans="1:3" x14ac:dyDescent="0.2">
      <c r="A1040" s="64">
        <v>31745</v>
      </c>
      <c r="B1040">
        <v>2686000</v>
      </c>
      <c r="C1040">
        <v>366000</v>
      </c>
    </row>
    <row r="1041" spans="1:3" x14ac:dyDescent="0.2">
      <c r="A1041" s="64">
        <v>31752</v>
      </c>
      <c r="B1041">
        <v>2634000</v>
      </c>
      <c r="C1041">
        <v>363000</v>
      </c>
    </row>
    <row r="1042" spans="1:3" x14ac:dyDescent="0.2">
      <c r="A1042" s="64">
        <v>31759</v>
      </c>
      <c r="B1042">
        <v>2587000</v>
      </c>
      <c r="C1042">
        <v>375000</v>
      </c>
    </row>
    <row r="1043" spans="1:3" x14ac:dyDescent="0.2">
      <c r="A1043" s="64">
        <v>31766</v>
      </c>
      <c r="B1043">
        <v>2499000</v>
      </c>
      <c r="C1043">
        <v>350000</v>
      </c>
    </row>
    <row r="1044" spans="1:3" x14ac:dyDescent="0.2">
      <c r="A1044" s="64">
        <v>31773</v>
      </c>
      <c r="B1044">
        <v>2565000</v>
      </c>
      <c r="C1044">
        <v>345000</v>
      </c>
    </row>
    <row r="1045" spans="1:3" x14ac:dyDescent="0.2">
      <c r="A1045" s="64">
        <v>31780</v>
      </c>
      <c r="B1045">
        <v>2590000</v>
      </c>
      <c r="C1045">
        <v>323000</v>
      </c>
    </row>
    <row r="1046" spans="1:3" x14ac:dyDescent="0.2">
      <c r="A1046" s="64">
        <v>31787</v>
      </c>
      <c r="B1046">
        <v>2508000</v>
      </c>
      <c r="C1046">
        <v>348000</v>
      </c>
    </row>
    <row r="1047" spans="1:3" x14ac:dyDescent="0.2">
      <c r="A1047" s="64">
        <v>31794</v>
      </c>
      <c r="B1047">
        <v>2443000</v>
      </c>
      <c r="C1047">
        <v>341000</v>
      </c>
    </row>
    <row r="1048" spans="1:3" x14ac:dyDescent="0.2">
      <c r="A1048" s="64">
        <v>31801</v>
      </c>
      <c r="B1048">
        <v>2506000</v>
      </c>
      <c r="C1048">
        <v>346000</v>
      </c>
    </row>
    <row r="1049" spans="1:3" x14ac:dyDescent="0.2">
      <c r="A1049" s="64">
        <v>31808</v>
      </c>
      <c r="B1049">
        <v>2515000</v>
      </c>
      <c r="C1049">
        <v>370000</v>
      </c>
    </row>
    <row r="1050" spans="1:3" x14ac:dyDescent="0.2">
      <c r="A1050" s="64">
        <v>31815</v>
      </c>
      <c r="B1050">
        <v>2496000</v>
      </c>
      <c r="C1050">
        <v>368000</v>
      </c>
    </row>
    <row r="1051" spans="1:3" x14ac:dyDescent="0.2">
      <c r="A1051" s="64">
        <v>31822</v>
      </c>
      <c r="B1051">
        <v>2451000</v>
      </c>
      <c r="C1051">
        <v>338000</v>
      </c>
    </row>
    <row r="1052" spans="1:3" x14ac:dyDescent="0.2">
      <c r="A1052" s="64">
        <v>31829</v>
      </c>
      <c r="B1052">
        <v>2481000</v>
      </c>
      <c r="C1052">
        <v>341000</v>
      </c>
    </row>
    <row r="1053" spans="1:3" x14ac:dyDescent="0.2">
      <c r="A1053" s="64">
        <v>31836</v>
      </c>
      <c r="B1053">
        <v>2460000</v>
      </c>
      <c r="C1053">
        <v>348000</v>
      </c>
    </row>
    <row r="1054" spans="1:3" x14ac:dyDescent="0.2">
      <c r="A1054" s="64">
        <v>31843</v>
      </c>
      <c r="B1054">
        <v>2456000</v>
      </c>
      <c r="C1054">
        <v>337000</v>
      </c>
    </row>
    <row r="1055" spans="1:3" x14ac:dyDescent="0.2">
      <c r="A1055" s="64">
        <v>31850</v>
      </c>
      <c r="B1055">
        <v>2450000</v>
      </c>
      <c r="C1055">
        <v>335000</v>
      </c>
    </row>
    <row r="1056" spans="1:3" x14ac:dyDescent="0.2">
      <c r="A1056" s="64">
        <v>31857</v>
      </c>
      <c r="B1056">
        <v>2401000</v>
      </c>
      <c r="C1056">
        <v>335000</v>
      </c>
    </row>
    <row r="1057" spans="1:3" x14ac:dyDescent="0.2">
      <c r="A1057" s="64">
        <v>31864</v>
      </c>
      <c r="B1057">
        <v>2410000</v>
      </c>
      <c r="C1057">
        <v>326000</v>
      </c>
    </row>
    <row r="1058" spans="1:3" x14ac:dyDescent="0.2">
      <c r="A1058" s="64">
        <v>31871</v>
      </c>
      <c r="B1058">
        <v>2482000</v>
      </c>
      <c r="C1058">
        <v>330000</v>
      </c>
    </row>
    <row r="1059" spans="1:3" x14ac:dyDescent="0.2">
      <c r="A1059" s="64">
        <v>31878</v>
      </c>
      <c r="B1059">
        <v>2366000</v>
      </c>
      <c r="C1059">
        <v>338000</v>
      </c>
    </row>
    <row r="1060" spans="1:3" x14ac:dyDescent="0.2">
      <c r="A1060" s="64">
        <v>31885</v>
      </c>
      <c r="B1060">
        <v>2410000</v>
      </c>
      <c r="C1060">
        <v>349000</v>
      </c>
    </row>
    <row r="1061" spans="1:3" x14ac:dyDescent="0.2">
      <c r="A1061" s="64">
        <v>31892</v>
      </c>
      <c r="B1061">
        <v>2386000</v>
      </c>
      <c r="C1061">
        <v>328000</v>
      </c>
    </row>
    <row r="1062" spans="1:3" x14ac:dyDescent="0.2">
      <c r="A1062" s="64">
        <v>31899</v>
      </c>
      <c r="B1062">
        <v>2302000</v>
      </c>
      <c r="C1062">
        <v>330000</v>
      </c>
    </row>
    <row r="1063" spans="1:3" x14ac:dyDescent="0.2">
      <c r="A1063" s="64">
        <v>31906</v>
      </c>
      <c r="B1063">
        <v>2347000</v>
      </c>
      <c r="C1063">
        <v>315000</v>
      </c>
    </row>
    <row r="1064" spans="1:3" x14ac:dyDescent="0.2">
      <c r="A1064" s="64">
        <v>31913</v>
      </c>
      <c r="B1064">
        <v>2326000</v>
      </c>
      <c r="C1064">
        <v>341000</v>
      </c>
    </row>
    <row r="1065" spans="1:3" x14ac:dyDescent="0.2">
      <c r="A1065" s="64">
        <v>31920</v>
      </c>
      <c r="B1065">
        <v>2275000</v>
      </c>
      <c r="C1065">
        <v>343000</v>
      </c>
    </row>
    <row r="1066" spans="1:3" x14ac:dyDescent="0.2">
      <c r="A1066" s="64">
        <v>31927</v>
      </c>
      <c r="B1066">
        <v>2370000</v>
      </c>
      <c r="C1066">
        <v>326000</v>
      </c>
    </row>
    <row r="1067" spans="1:3" x14ac:dyDescent="0.2">
      <c r="A1067" s="64">
        <v>31934</v>
      </c>
      <c r="B1067">
        <v>2259000</v>
      </c>
      <c r="C1067">
        <v>328000</v>
      </c>
    </row>
    <row r="1068" spans="1:3" x14ac:dyDescent="0.2">
      <c r="A1068" s="64">
        <v>31941</v>
      </c>
      <c r="B1068">
        <v>2278000</v>
      </c>
      <c r="C1068">
        <v>316000</v>
      </c>
    </row>
    <row r="1069" spans="1:3" x14ac:dyDescent="0.2">
      <c r="A1069" s="64">
        <v>31948</v>
      </c>
      <c r="B1069">
        <v>2258000</v>
      </c>
      <c r="C1069">
        <v>319000</v>
      </c>
    </row>
    <row r="1070" spans="1:3" x14ac:dyDescent="0.2">
      <c r="A1070" s="64">
        <v>31955</v>
      </c>
      <c r="B1070">
        <v>2321000</v>
      </c>
      <c r="C1070">
        <v>326000</v>
      </c>
    </row>
    <row r="1071" spans="1:3" x14ac:dyDescent="0.2">
      <c r="A1071" s="64">
        <v>31962</v>
      </c>
      <c r="B1071">
        <v>2173000</v>
      </c>
      <c r="C1071">
        <v>326000</v>
      </c>
    </row>
    <row r="1072" spans="1:3" x14ac:dyDescent="0.2">
      <c r="A1072" s="64">
        <v>31969</v>
      </c>
      <c r="B1072">
        <v>2155000</v>
      </c>
      <c r="C1072">
        <v>317000</v>
      </c>
    </row>
    <row r="1073" spans="1:3" x14ac:dyDescent="0.2">
      <c r="A1073" s="64">
        <v>31976</v>
      </c>
      <c r="B1073">
        <v>2211000</v>
      </c>
      <c r="C1073">
        <v>310000</v>
      </c>
    </row>
    <row r="1074" spans="1:3" x14ac:dyDescent="0.2">
      <c r="A1074" s="64">
        <v>31983</v>
      </c>
      <c r="B1074">
        <v>2247000</v>
      </c>
      <c r="C1074">
        <v>324000</v>
      </c>
    </row>
    <row r="1075" spans="1:3" x14ac:dyDescent="0.2">
      <c r="A1075" s="64">
        <v>31990</v>
      </c>
      <c r="B1075">
        <v>2232000</v>
      </c>
      <c r="C1075">
        <v>348000</v>
      </c>
    </row>
    <row r="1076" spans="1:3" x14ac:dyDescent="0.2">
      <c r="A1076" s="64">
        <v>31997</v>
      </c>
      <c r="B1076">
        <v>2263000</v>
      </c>
      <c r="C1076">
        <v>327000</v>
      </c>
    </row>
    <row r="1077" spans="1:3" x14ac:dyDescent="0.2">
      <c r="A1077" s="64">
        <v>32004</v>
      </c>
      <c r="B1077">
        <v>2194000</v>
      </c>
      <c r="C1077">
        <v>319000</v>
      </c>
    </row>
    <row r="1078" spans="1:3" x14ac:dyDescent="0.2">
      <c r="A1078" s="64">
        <v>32011</v>
      </c>
      <c r="B1078">
        <v>2190000</v>
      </c>
      <c r="C1078">
        <v>312000</v>
      </c>
    </row>
    <row r="1079" spans="1:3" x14ac:dyDescent="0.2">
      <c r="A1079" s="64">
        <v>32018</v>
      </c>
      <c r="B1079">
        <v>2179000</v>
      </c>
      <c r="C1079">
        <v>322000</v>
      </c>
    </row>
    <row r="1080" spans="1:3" x14ac:dyDescent="0.2">
      <c r="A1080" s="64">
        <v>32025</v>
      </c>
      <c r="B1080">
        <v>2125000</v>
      </c>
      <c r="C1080">
        <v>316000</v>
      </c>
    </row>
    <row r="1081" spans="1:3" x14ac:dyDescent="0.2">
      <c r="A1081" s="64">
        <v>32032</v>
      </c>
      <c r="B1081">
        <v>2172000</v>
      </c>
      <c r="C1081">
        <v>297000</v>
      </c>
    </row>
    <row r="1082" spans="1:3" x14ac:dyDescent="0.2">
      <c r="A1082" s="64">
        <v>32039</v>
      </c>
      <c r="B1082">
        <v>2351000</v>
      </c>
      <c r="C1082">
        <v>309000</v>
      </c>
    </row>
    <row r="1083" spans="1:3" x14ac:dyDescent="0.2">
      <c r="A1083" s="64">
        <v>32046</v>
      </c>
      <c r="B1083">
        <v>2139000</v>
      </c>
      <c r="C1083">
        <v>317000</v>
      </c>
    </row>
    <row r="1084" spans="1:3" x14ac:dyDescent="0.2">
      <c r="A1084" s="64">
        <v>32053</v>
      </c>
      <c r="B1084">
        <v>2151000</v>
      </c>
      <c r="C1084">
        <v>301000</v>
      </c>
    </row>
    <row r="1085" spans="1:3" x14ac:dyDescent="0.2">
      <c r="A1085" s="64">
        <v>32060</v>
      </c>
      <c r="B1085">
        <v>2101000</v>
      </c>
      <c r="C1085">
        <v>308000</v>
      </c>
    </row>
    <row r="1086" spans="1:3" x14ac:dyDescent="0.2">
      <c r="A1086" s="64">
        <v>32067</v>
      </c>
      <c r="B1086">
        <v>2074000</v>
      </c>
      <c r="C1086">
        <v>301000</v>
      </c>
    </row>
    <row r="1087" spans="1:3" x14ac:dyDescent="0.2">
      <c r="A1087" s="64">
        <v>32074</v>
      </c>
      <c r="B1087">
        <v>1966000</v>
      </c>
      <c r="C1087">
        <v>301000</v>
      </c>
    </row>
    <row r="1088" spans="1:3" x14ac:dyDescent="0.2">
      <c r="A1088" s="64">
        <v>32081</v>
      </c>
      <c r="B1088">
        <v>1942000</v>
      </c>
      <c r="C1088">
        <v>289000</v>
      </c>
    </row>
    <row r="1089" spans="1:3" x14ac:dyDescent="0.2">
      <c r="A1089" s="64">
        <v>32088</v>
      </c>
      <c r="B1089">
        <v>2054000</v>
      </c>
      <c r="C1089">
        <v>297000</v>
      </c>
    </row>
    <row r="1090" spans="1:3" x14ac:dyDescent="0.2">
      <c r="A1090" s="64">
        <v>32095</v>
      </c>
      <c r="B1090">
        <v>2109000</v>
      </c>
      <c r="C1090">
        <v>307000</v>
      </c>
    </row>
    <row r="1091" spans="1:3" x14ac:dyDescent="0.2">
      <c r="A1091" s="64">
        <v>32102</v>
      </c>
      <c r="B1091">
        <v>2064000</v>
      </c>
      <c r="C1091">
        <v>317000</v>
      </c>
    </row>
    <row r="1092" spans="1:3" x14ac:dyDescent="0.2">
      <c r="A1092" s="64">
        <v>32109</v>
      </c>
      <c r="B1092">
        <v>2102000</v>
      </c>
      <c r="C1092">
        <v>306000</v>
      </c>
    </row>
    <row r="1093" spans="1:3" x14ac:dyDescent="0.2">
      <c r="A1093" s="64">
        <v>32116</v>
      </c>
      <c r="B1093">
        <v>2125000</v>
      </c>
      <c r="C1093">
        <v>319000</v>
      </c>
    </row>
    <row r="1094" spans="1:3" x14ac:dyDescent="0.2">
      <c r="A1094" s="64">
        <v>32123</v>
      </c>
      <c r="B1094">
        <v>2092000</v>
      </c>
      <c r="C1094">
        <v>317000</v>
      </c>
    </row>
    <row r="1095" spans="1:3" x14ac:dyDescent="0.2">
      <c r="A1095" s="64">
        <v>32130</v>
      </c>
      <c r="B1095">
        <v>2105000</v>
      </c>
      <c r="C1095">
        <v>323000</v>
      </c>
    </row>
    <row r="1096" spans="1:3" x14ac:dyDescent="0.2">
      <c r="A1096" s="64">
        <v>32137</v>
      </c>
      <c r="B1096">
        <v>2140000</v>
      </c>
      <c r="C1096">
        <v>316000</v>
      </c>
    </row>
    <row r="1097" spans="1:3" x14ac:dyDescent="0.2">
      <c r="A1097" s="64">
        <v>32144</v>
      </c>
      <c r="B1097">
        <v>2096000</v>
      </c>
      <c r="C1097">
        <v>315000</v>
      </c>
    </row>
    <row r="1098" spans="1:3" x14ac:dyDescent="0.2">
      <c r="A1098" s="64">
        <v>32151</v>
      </c>
      <c r="B1098">
        <v>2231000</v>
      </c>
      <c r="C1098">
        <v>325000</v>
      </c>
    </row>
    <row r="1099" spans="1:3" x14ac:dyDescent="0.2">
      <c r="A1099" s="64">
        <v>32158</v>
      </c>
      <c r="B1099">
        <v>2186000</v>
      </c>
      <c r="C1099">
        <v>361000</v>
      </c>
    </row>
    <row r="1100" spans="1:3" x14ac:dyDescent="0.2">
      <c r="A1100" s="64">
        <v>32165</v>
      </c>
      <c r="B1100">
        <v>2214000</v>
      </c>
      <c r="C1100">
        <v>335000</v>
      </c>
    </row>
    <row r="1101" spans="1:3" x14ac:dyDescent="0.2">
      <c r="A1101" s="64">
        <v>32172</v>
      </c>
      <c r="B1101">
        <v>2213000</v>
      </c>
      <c r="C1101">
        <v>342000</v>
      </c>
    </row>
    <row r="1102" spans="1:3" x14ac:dyDescent="0.2">
      <c r="A1102" s="64">
        <v>32179</v>
      </c>
      <c r="B1102">
        <v>2180000</v>
      </c>
      <c r="C1102">
        <v>318000</v>
      </c>
    </row>
    <row r="1103" spans="1:3" x14ac:dyDescent="0.2">
      <c r="A1103" s="64">
        <v>32186</v>
      </c>
      <c r="B1103">
        <v>2184000</v>
      </c>
      <c r="C1103">
        <v>311000</v>
      </c>
    </row>
    <row r="1104" spans="1:3" x14ac:dyDescent="0.2">
      <c r="A1104" s="64">
        <v>32193</v>
      </c>
      <c r="B1104">
        <v>2091000</v>
      </c>
      <c r="C1104">
        <v>327000</v>
      </c>
    </row>
    <row r="1105" spans="1:3" x14ac:dyDescent="0.2">
      <c r="A1105" s="64">
        <v>32200</v>
      </c>
      <c r="B1105">
        <v>2111000</v>
      </c>
      <c r="C1105">
        <v>319000</v>
      </c>
    </row>
    <row r="1106" spans="1:3" x14ac:dyDescent="0.2">
      <c r="A1106" s="64">
        <v>32207</v>
      </c>
      <c r="B1106">
        <v>2147000</v>
      </c>
      <c r="C1106">
        <v>307000</v>
      </c>
    </row>
    <row r="1107" spans="1:3" x14ac:dyDescent="0.2">
      <c r="A1107" s="64">
        <v>32214</v>
      </c>
      <c r="B1107">
        <v>2112000</v>
      </c>
      <c r="C1107">
        <v>304000</v>
      </c>
    </row>
    <row r="1108" spans="1:3" x14ac:dyDescent="0.2">
      <c r="A1108" s="64">
        <v>32221</v>
      </c>
      <c r="B1108">
        <v>2112000</v>
      </c>
      <c r="C1108">
        <v>307000</v>
      </c>
    </row>
    <row r="1109" spans="1:3" x14ac:dyDescent="0.2">
      <c r="A1109" s="64">
        <v>32228</v>
      </c>
      <c r="B1109">
        <v>2077000</v>
      </c>
      <c r="C1109">
        <v>304000</v>
      </c>
    </row>
    <row r="1110" spans="1:3" x14ac:dyDescent="0.2">
      <c r="A1110" s="64">
        <v>32235</v>
      </c>
      <c r="B1110">
        <v>2086000</v>
      </c>
      <c r="C1110">
        <v>309000</v>
      </c>
    </row>
    <row r="1111" spans="1:3" x14ac:dyDescent="0.2">
      <c r="A1111" s="64">
        <v>32242</v>
      </c>
      <c r="B1111">
        <v>2104000</v>
      </c>
      <c r="C1111">
        <v>313000</v>
      </c>
    </row>
    <row r="1112" spans="1:3" x14ac:dyDescent="0.2">
      <c r="A1112" s="64">
        <v>32249</v>
      </c>
      <c r="B1112">
        <v>2072000</v>
      </c>
      <c r="C1112">
        <v>314000</v>
      </c>
    </row>
    <row r="1113" spans="1:3" x14ac:dyDescent="0.2">
      <c r="A1113" s="64">
        <v>32256</v>
      </c>
      <c r="B1113">
        <v>2067000</v>
      </c>
      <c r="C1113">
        <v>312000</v>
      </c>
    </row>
    <row r="1114" spans="1:3" x14ac:dyDescent="0.2">
      <c r="A1114" s="64">
        <v>32263</v>
      </c>
      <c r="B1114">
        <v>2077000</v>
      </c>
      <c r="C1114">
        <v>313000</v>
      </c>
    </row>
    <row r="1115" spans="1:3" x14ac:dyDescent="0.2">
      <c r="A1115" s="64">
        <v>32270</v>
      </c>
      <c r="B1115">
        <v>2059000</v>
      </c>
      <c r="C1115">
        <v>309000</v>
      </c>
    </row>
    <row r="1116" spans="1:3" x14ac:dyDescent="0.2">
      <c r="A1116" s="64">
        <v>32277</v>
      </c>
      <c r="B1116">
        <v>2068000</v>
      </c>
      <c r="C1116">
        <v>314000</v>
      </c>
    </row>
    <row r="1117" spans="1:3" x14ac:dyDescent="0.2">
      <c r="A1117" s="64">
        <v>32284</v>
      </c>
      <c r="B1117">
        <v>2099000</v>
      </c>
      <c r="C1117">
        <v>319000</v>
      </c>
    </row>
    <row r="1118" spans="1:3" x14ac:dyDescent="0.2">
      <c r="A1118" s="64">
        <v>32291</v>
      </c>
      <c r="B1118">
        <v>2045000</v>
      </c>
      <c r="C1118">
        <v>313000</v>
      </c>
    </row>
    <row r="1119" spans="1:3" x14ac:dyDescent="0.2">
      <c r="A1119" s="64">
        <v>32298</v>
      </c>
      <c r="B1119">
        <v>2040000</v>
      </c>
      <c r="C1119">
        <v>310000</v>
      </c>
    </row>
    <row r="1120" spans="1:3" x14ac:dyDescent="0.2">
      <c r="A1120" s="64">
        <v>32305</v>
      </c>
      <c r="B1120">
        <v>2068000</v>
      </c>
      <c r="C1120">
        <v>305000</v>
      </c>
    </row>
    <row r="1121" spans="1:3" x14ac:dyDescent="0.2">
      <c r="A1121" s="64">
        <v>32312</v>
      </c>
      <c r="B1121">
        <v>2034000</v>
      </c>
      <c r="C1121">
        <v>311000</v>
      </c>
    </row>
    <row r="1122" spans="1:3" x14ac:dyDescent="0.2">
      <c r="A1122" s="64">
        <v>32319</v>
      </c>
      <c r="B1122">
        <v>2030000</v>
      </c>
      <c r="C1122">
        <v>307000</v>
      </c>
    </row>
    <row r="1123" spans="1:3" x14ac:dyDescent="0.2">
      <c r="A1123" s="64">
        <v>32326</v>
      </c>
      <c r="B1123">
        <v>2035000</v>
      </c>
      <c r="C1123">
        <v>305000</v>
      </c>
    </row>
    <row r="1124" spans="1:3" x14ac:dyDescent="0.2">
      <c r="A1124" s="64">
        <v>32333</v>
      </c>
      <c r="B1124">
        <v>2027000</v>
      </c>
      <c r="C1124">
        <v>303000</v>
      </c>
    </row>
    <row r="1125" spans="1:3" x14ac:dyDescent="0.2">
      <c r="A1125" s="64">
        <v>32340</v>
      </c>
      <c r="B1125">
        <v>2073000</v>
      </c>
      <c r="C1125">
        <v>315000</v>
      </c>
    </row>
    <row r="1126" spans="1:3" x14ac:dyDescent="0.2">
      <c r="A1126" s="64">
        <v>32347</v>
      </c>
      <c r="B1126">
        <v>2083000</v>
      </c>
      <c r="C1126">
        <v>354000</v>
      </c>
    </row>
    <row r="1127" spans="1:3" x14ac:dyDescent="0.2">
      <c r="A1127" s="64">
        <v>32354</v>
      </c>
      <c r="B1127">
        <v>2108000</v>
      </c>
      <c r="C1127">
        <v>331000</v>
      </c>
    </row>
    <row r="1128" spans="1:3" x14ac:dyDescent="0.2">
      <c r="A1128" s="64">
        <v>32361</v>
      </c>
      <c r="B1128">
        <v>2101000</v>
      </c>
      <c r="C1128">
        <v>316000</v>
      </c>
    </row>
    <row r="1129" spans="1:3" x14ac:dyDescent="0.2">
      <c r="A1129" s="64">
        <v>32368</v>
      </c>
      <c r="B1129">
        <v>2070000</v>
      </c>
      <c r="C1129">
        <v>312000</v>
      </c>
    </row>
    <row r="1130" spans="1:3" x14ac:dyDescent="0.2">
      <c r="A1130" s="64">
        <v>32375</v>
      </c>
      <c r="B1130">
        <v>2099000</v>
      </c>
      <c r="C1130">
        <v>316000</v>
      </c>
    </row>
    <row r="1131" spans="1:3" x14ac:dyDescent="0.2">
      <c r="A1131" s="64">
        <v>32382</v>
      </c>
      <c r="B1131">
        <v>2082000</v>
      </c>
      <c r="C1131">
        <v>315000</v>
      </c>
    </row>
    <row r="1132" spans="1:3" x14ac:dyDescent="0.2">
      <c r="A1132" s="64">
        <v>32389</v>
      </c>
      <c r="B1132">
        <v>2091000</v>
      </c>
      <c r="C1132">
        <v>306000</v>
      </c>
    </row>
    <row r="1133" spans="1:3" x14ac:dyDescent="0.2">
      <c r="A1133" s="64">
        <v>32396</v>
      </c>
      <c r="B1133">
        <v>2053000</v>
      </c>
      <c r="C1133">
        <v>305000</v>
      </c>
    </row>
    <row r="1134" spans="1:3" x14ac:dyDescent="0.2">
      <c r="A1134" s="64">
        <v>32403</v>
      </c>
      <c r="B1134">
        <v>2106000</v>
      </c>
      <c r="C1134">
        <v>306000</v>
      </c>
    </row>
    <row r="1135" spans="1:3" x14ac:dyDescent="0.2">
      <c r="A1135" s="64">
        <v>32410</v>
      </c>
      <c r="B1135">
        <v>2053000</v>
      </c>
      <c r="C1135">
        <v>301000</v>
      </c>
    </row>
    <row r="1136" spans="1:3" x14ac:dyDescent="0.2">
      <c r="A1136" s="64">
        <v>32417</v>
      </c>
      <c r="B1136">
        <v>2041000</v>
      </c>
      <c r="C1136">
        <v>292000</v>
      </c>
    </row>
    <row r="1137" spans="1:3" x14ac:dyDescent="0.2">
      <c r="A1137" s="64">
        <v>32424</v>
      </c>
      <c r="B1137">
        <v>2017000</v>
      </c>
      <c r="C1137">
        <v>292000</v>
      </c>
    </row>
    <row r="1138" spans="1:3" x14ac:dyDescent="0.2">
      <c r="A1138" s="64">
        <v>32431</v>
      </c>
      <c r="B1138">
        <v>1994000</v>
      </c>
      <c r="C1138">
        <v>293000</v>
      </c>
    </row>
    <row r="1139" spans="1:3" x14ac:dyDescent="0.2">
      <c r="A1139" s="64">
        <v>32438</v>
      </c>
      <c r="B1139">
        <v>2011000</v>
      </c>
      <c r="C1139">
        <v>286000</v>
      </c>
    </row>
    <row r="1140" spans="1:3" x14ac:dyDescent="0.2">
      <c r="A1140" s="64">
        <v>32445</v>
      </c>
      <c r="B1140">
        <v>2015000</v>
      </c>
      <c r="C1140">
        <v>294000</v>
      </c>
    </row>
    <row r="1141" spans="1:3" x14ac:dyDescent="0.2">
      <c r="A1141" s="64">
        <v>32452</v>
      </c>
      <c r="B1141">
        <v>1898000</v>
      </c>
      <c r="C1141">
        <v>285000</v>
      </c>
    </row>
    <row r="1142" spans="1:3" x14ac:dyDescent="0.2">
      <c r="A1142" s="64">
        <v>32459</v>
      </c>
      <c r="B1142">
        <v>2011000</v>
      </c>
      <c r="C1142">
        <v>284000</v>
      </c>
    </row>
    <row r="1143" spans="1:3" x14ac:dyDescent="0.2">
      <c r="A1143" s="64">
        <v>32466</v>
      </c>
      <c r="B1143">
        <v>1981000</v>
      </c>
      <c r="C1143">
        <v>294000</v>
      </c>
    </row>
    <row r="1144" spans="1:3" x14ac:dyDescent="0.2">
      <c r="A1144" s="64">
        <v>32473</v>
      </c>
      <c r="B1144">
        <v>2023000</v>
      </c>
      <c r="C1144">
        <v>299000</v>
      </c>
    </row>
    <row r="1145" spans="1:3" x14ac:dyDescent="0.2">
      <c r="A1145" s="64">
        <v>32480</v>
      </c>
      <c r="B1145">
        <v>2006000</v>
      </c>
      <c r="C1145">
        <v>298000</v>
      </c>
    </row>
    <row r="1146" spans="1:3" x14ac:dyDescent="0.2">
      <c r="A1146" s="64">
        <v>32487</v>
      </c>
      <c r="B1146">
        <v>2013000</v>
      </c>
      <c r="C1146">
        <v>285000</v>
      </c>
    </row>
    <row r="1147" spans="1:3" x14ac:dyDescent="0.2">
      <c r="A1147" s="64">
        <v>32494</v>
      </c>
      <c r="B1147">
        <v>2054000</v>
      </c>
      <c r="C1147">
        <v>293000</v>
      </c>
    </row>
    <row r="1148" spans="1:3" x14ac:dyDescent="0.2">
      <c r="A1148" s="64">
        <v>32501</v>
      </c>
      <c r="B1148">
        <v>2061000</v>
      </c>
      <c r="C1148">
        <v>286000</v>
      </c>
    </row>
    <row r="1149" spans="1:3" x14ac:dyDescent="0.2">
      <c r="A1149" s="64">
        <v>32508</v>
      </c>
      <c r="B1149">
        <v>2092000</v>
      </c>
      <c r="C1149">
        <v>304000</v>
      </c>
    </row>
    <row r="1150" spans="1:3" x14ac:dyDescent="0.2">
      <c r="A1150" s="64">
        <v>32515</v>
      </c>
      <c r="B1150">
        <v>2056000</v>
      </c>
      <c r="C1150">
        <v>299000</v>
      </c>
    </row>
    <row r="1151" spans="1:3" x14ac:dyDescent="0.2">
      <c r="A1151" s="64">
        <v>32522</v>
      </c>
      <c r="B1151">
        <v>2069000</v>
      </c>
      <c r="C1151">
        <v>283000</v>
      </c>
    </row>
    <row r="1152" spans="1:3" x14ac:dyDescent="0.2">
      <c r="A1152" s="64">
        <v>32529</v>
      </c>
      <c r="B1152">
        <v>2048000</v>
      </c>
      <c r="C1152">
        <v>282000</v>
      </c>
    </row>
    <row r="1153" spans="1:3" x14ac:dyDescent="0.2">
      <c r="A1153" s="64">
        <v>32536</v>
      </c>
      <c r="B1153">
        <v>2071000</v>
      </c>
      <c r="C1153">
        <v>295000</v>
      </c>
    </row>
    <row r="1154" spans="1:3" x14ac:dyDescent="0.2">
      <c r="A1154" s="64">
        <v>32543</v>
      </c>
      <c r="B1154">
        <v>2074000</v>
      </c>
      <c r="C1154">
        <v>288000</v>
      </c>
    </row>
    <row r="1155" spans="1:3" x14ac:dyDescent="0.2">
      <c r="A1155" s="64">
        <v>32550</v>
      </c>
      <c r="B1155">
        <v>2103000</v>
      </c>
      <c r="C1155">
        <v>322000</v>
      </c>
    </row>
    <row r="1156" spans="1:3" x14ac:dyDescent="0.2">
      <c r="A1156" s="64">
        <v>32557</v>
      </c>
      <c r="B1156">
        <v>2111000</v>
      </c>
      <c r="C1156">
        <v>305000</v>
      </c>
    </row>
    <row r="1157" spans="1:3" x14ac:dyDescent="0.2">
      <c r="A1157" s="64">
        <v>32564</v>
      </c>
      <c r="B1157">
        <v>2167000</v>
      </c>
      <c r="C1157">
        <v>300000</v>
      </c>
    </row>
    <row r="1158" spans="1:3" x14ac:dyDescent="0.2">
      <c r="A1158" s="64">
        <v>32571</v>
      </c>
      <c r="B1158">
        <v>2110000</v>
      </c>
      <c r="C1158">
        <v>325000</v>
      </c>
    </row>
    <row r="1159" spans="1:3" x14ac:dyDescent="0.2">
      <c r="A1159" s="64">
        <v>32578</v>
      </c>
      <c r="B1159">
        <v>2163000</v>
      </c>
      <c r="C1159">
        <v>325000</v>
      </c>
    </row>
    <row r="1160" spans="1:3" x14ac:dyDescent="0.2">
      <c r="A1160" s="64">
        <v>32585</v>
      </c>
      <c r="B1160">
        <v>2108000</v>
      </c>
      <c r="C1160">
        <v>319000</v>
      </c>
    </row>
    <row r="1161" spans="1:3" x14ac:dyDescent="0.2">
      <c r="A1161" s="64">
        <v>32592</v>
      </c>
      <c r="B1161">
        <v>2145000</v>
      </c>
      <c r="C1161">
        <v>319000</v>
      </c>
    </row>
    <row r="1162" spans="1:3" x14ac:dyDescent="0.2">
      <c r="A1162" s="64">
        <v>32599</v>
      </c>
      <c r="B1162">
        <v>2117000</v>
      </c>
      <c r="C1162">
        <v>323000</v>
      </c>
    </row>
    <row r="1163" spans="1:3" x14ac:dyDescent="0.2">
      <c r="A1163" s="64">
        <v>32606</v>
      </c>
      <c r="B1163">
        <v>2117000</v>
      </c>
      <c r="C1163">
        <v>314000</v>
      </c>
    </row>
    <row r="1164" spans="1:3" x14ac:dyDescent="0.2">
      <c r="A1164" s="64">
        <v>32613</v>
      </c>
      <c r="B1164">
        <v>2092000</v>
      </c>
      <c r="C1164">
        <v>307000</v>
      </c>
    </row>
    <row r="1165" spans="1:3" x14ac:dyDescent="0.2">
      <c r="A1165" s="64">
        <v>32620</v>
      </c>
      <c r="B1165">
        <v>2104000</v>
      </c>
      <c r="C1165">
        <v>304000</v>
      </c>
    </row>
    <row r="1166" spans="1:3" x14ac:dyDescent="0.2">
      <c r="A1166" s="64">
        <v>32627</v>
      </c>
      <c r="B1166">
        <v>2064000</v>
      </c>
      <c r="C1166">
        <v>311000</v>
      </c>
    </row>
    <row r="1167" spans="1:3" x14ac:dyDescent="0.2">
      <c r="A1167" s="64">
        <v>32634</v>
      </c>
      <c r="B1167">
        <v>2089000</v>
      </c>
      <c r="C1167">
        <v>320000</v>
      </c>
    </row>
    <row r="1168" spans="1:3" x14ac:dyDescent="0.2">
      <c r="A1168" s="64">
        <v>32641</v>
      </c>
      <c r="B1168">
        <v>2144000</v>
      </c>
      <c r="C1168">
        <v>332000</v>
      </c>
    </row>
    <row r="1169" spans="1:3" x14ac:dyDescent="0.2">
      <c r="A1169" s="64">
        <v>32648</v>
      </c>
      <c r="B1169">
        <v>2085000</v>
      </c>
      <c r="C1169">
        <v>321000</v>
      </c>
    </row>
    <row r="1170" spans="1:3" x14ac:dyDescent="0.2">
      <c r="A1170" s="64">
        <v>32655</v>
      </c>
      <c r="B1170">
        <v>2056000</v>
      </c>
      <c r="C1170">
        <v>325000</v>
      </c>
    </row>
    <row r="1171" spans="1:3" x14ac:dyDescent="0.2">
      <c r="A1171" s="64">
        <v>32662</v>
      </c>
      <c r="B1171">
        <v>2117000</v>
      </c>
      <c r="C1171">
        <v>325000</v>
      </c>
    </row>
    <row r="1172" spans="1:3" x14ac:dyDescent="0.2">
      <c r="A1172" s="64">
        <v>32669</v>
      </c>
      <c r="B1172">
        <v>2110000</v>
      </c>
      <c r="C1172">
        <v>332000</v>
      </c>
    </row>
    <row r="1173" spans="1:3" x14ac:dyDescent="0.2">
      <c r="A1173" s="64">
        <v>32676</v>
      </c>
      <c r="B1173">
        <v>2113000</v>
      </c>
      <c r="C1173">
        <v>337000</v>
      </c>
    </row>
    <row r="1174" spans="1:3" x14ac:dyDescent="0.2">
      <c r="A1174" s="64">
        <v>32683</v>
      </c>
      <c r="B1174">
        <v>2151000</v>
      </c>
      <c r="C1174">
        <v>338000</v>
      </c>
    </row>
    <row r="1175" spans="1:3" x14ac:dyDescent="0.2">
      <c r="A1175" s="64">
        <v>32690</v>
      </c>
      <c r="B1175">
        <v>2133000</v>
      </c>
      <c r="C1175">
        <v>349000</v>
      </c>
    </row>
    <row r="1176" spans="1:3" x14ac:dyDescent="0.2">
      <c r="A1176" s="64">
        <v>32697</v>
      </c>
      <c r="B1176">
        <v>2207000</v>
      </c>
      <c r="C1176">
        <v>341000</v>
      </c>
    </row>
    <row r="1177" spans="1:3" x14ac:dyDescent="0.2">
      <c r="A1177" s="64">
        <v>32704</v>
      </c>
      <c r="B1177">
        <v>2217000</v>
      </c>
      <c r="C1177">
        <v>349000</v>
      </c>
    </row>
    <row r="1178" spans="1:3" x14ac:dyDescent="0.2">
      <c r="A1178" s="64">
        <v>32711</v>
      </c>
      <c r="B1178">
        <v>2159000</v>
      </c>
      <c r="C1178">
        <v>332000</v>
      </c>
    </row>
    <row r="1179" spans="1:3" x14ac:dyDescent="0.2">
      <c r="A1179" s="64">
        <v>32718</v>
      </c>
      <c r="B1179">
        <v>2181000</v>
      </c>
      <c r="C1179">
        <v>337000</v>
      </c>
    </row>
    <row r="1180" spans="1:3" x14ac:dyDescent="0.2">
      <c r="A1180" s="64">
        <v>32725</v>
      </c>
      <c r="B1180">
        <v>2236000</v>
      </c>
      <c r="C1180">
        <v>338000</v>
      </c>
    </row>
    <row r="1181" spans="1:3" x14ac:dyDescent="0.2">
      <c r="A1181" s="64">
        <v>32732</v>
      </c>
      <c r="B1181">
        <v>2214000</v>
      </c>
      <c r="C1181">
        <v>341000</v>
      </c>
    </row>
    <row r="1182" spans="1:3" x14ac:dyDescent="0.2">
      <c r="A1182" s="64">
        <v>32739</v>
      </c>
      <c r="B1182">
        <v>2195000</v>
      </c>
      <c r="C1182">
        <v>327000</v>
      </c>
    </row>
    <row r="1183" spans="1:3" x14ac:dyDescent="0.2">
      <c r="A1183" s="64">
        <v>32746</v>
      </c>
      <c r="B1183">
        <v>2184000</v>
      </c>
      <c r="C1183">
        <v>332000</v>
      </c>
    </row>
    <row r="1184" spans="1:3" x14ac:dyDescent="0.2">
      <c r="A1184" s="64">
        <v>32753</v>
      </c>
      <c r="B1184">
        <v>2199000</v>
      </c>
      <c r="C1184">
        <v>329000</v>
      </c>
    </row>
    <row r="1185" spans="1:3" x14ac:dyDescent="0.2">
      <c r="A1185" s="64">
        <v>32760</v>
      </c>
      <c r="B1185">
        <v>2207000</v>
      </c>
      <c r="C1185">
        <v>336000</v>
      </c>
    </row>
    <row r="1186" spans="1:3" x14ac:dyDescent="0.2">
      <c r="A1186" s="64">
        <v>32767</v>
      </c>
      <c r="B1186">
        <v>2169000</v>
      </c>
      <c r="C1186">
        <v>334000</v>
      </c>
    </row>
    <row r="1187" spans="1:3" x14ac:dyDescent="0.2">
      <c r="A1187" s="64">
        <v>32774</v>
      </c>
      <c r="B1187">
        <v>2249000</v>
      </c>
      <c r="C1187">
        <v>334000</v>
      </c>
    </row>
    <row r="1188" spans="1:3" x14ac:dyDescent="0.2">
      <c r="A1188" s="64">
        <v>32781</v>
      </c>
      <c r="B1188">
        <v>2220000</v>
      </c>
      <c r="C1188">
        <v>347000</v>
      </c>
    </row>
    <row r="1189" spans="1:3" x14ac:dyDescent="0.2">
      <c r="A1189" s="64">
        <v>32788</v>
      </c>
      <c r="B1189">
        <v>2279000</v>
      </c>
      <c r="C1189">
        <v>407000</v>
      </c>
    </row>
    <row r="1190" spans="1:3" x14ac:dyDescent="0.2">
      <c r="A1190" s="64">
        <v>32795</v>
      </c>
      <c r="B1190">
        <v>2293000</v>
      </c>
      <c r="C1190">
        <v>345000</v>
      </c>
    </row>
    <row r="1191" spans="1:3" x14ac:dyDescent="0.2">
      <c r="A1191" s="64">
        <v>32802</v>
      </c>
      <c r="B1191">
        <v>2295000</v>
      </c>
      <c r="C1191">
        <v>347000</v>
      </c>
    </row>
    <row r="1192" spans="1:3" x14ac:dyDescent="0.2">
      <c r="A1192" s="64">
        <v>32809</v>
      </c>
      <c r="B1192">
        <v>2257000</v>
      </c>
      <c r="C1192">
        <v>354000</v>
      </c>
    </row>
    <row r="1193" spans="1:3" x14ac:dyDescent="0.2">
      <c r="A1193" s="64">
        <v>32816</v>
      </c>
      <c r="B1193">
        <v>2280000</v>
      </c>
      <c r="C1193">
        <v>333000</v>
      </c>
    </row>
    <row r="1194" spans="1:3" x14ac:dyDescent="0.2">
      <c r="A1194" s="64">
        <v>32823</v>
      </c>
      <c r="B1194">
        <v>2271000</v>
      </c>
      <c r="C1194">
        <v>336000</v>
      </c>
    </row>
    <row r="1195" spans="1:3" x14ac:dyDescent="0.2">
      <c r="A1195" s="64">
        <v>32830</v>
      </c>
      <c r="B1195">
        <v>2289000</v>
      </c>
      <c r="C1195">
        <v>336000</v>
      </c>
    </row>
    <row r="1196" spans="1:3" x14ac:dyDescent="0.2">
      <c r="A1196" s="64">
        <v>32837</v>
      </c>
      <c r="B1196">
        <v>2300000</v>
      </c>
      <c r="C1196">
        <v>342000</v>
      </c>
    </row>
    <row r="1197" spans="1:3" x14ac:dyDescent="0.2">
      <c r="A1197" s="64">
        <v>32844</v>
      </c>
      <c r="B1197">
        <v>2271000</v>
      </c>
      <c r="C1197">
        <v>344000</v>
      </c>
    </row>
    <row r="1198" spans="1:3" x14ac:dyDescent="0.2">
      <c r="A1198" s="64">
        <v>32851</v>
      </c>
      <c r="B1198">
        <v>2265000</v>
      </c>
      <c r="C1198">
        <v>338000</v>
      </c>
    </row>
    <row r="1199" spans="1:3" x14ac:dyDescent="0.2">
      <c r="A1199" s="64">
        <v>32858</v>
      </c>
      <c r="B1199">
        <v>2295000</v>
      </c>
      <c r="C1199">
        <v>355000</v>
      </c>
    </row>
    <row r="1200" spans="1:3" x14ac:dyDescent="0.2">
      <c r="A1200" s="64">
        <v>32865</v>
      </c>
      <c r="B1200">
        <v>2292000</v>
      </c>
      <c r="C1200">
        <v>381000</v>
      </c>
    </row>
    <row r="1201" spans="1:3" x14ac:dyDescent="0.2">
      <c r="A1201" s="64">
        <v>32872</v>
      </c>
      <c r="B1201">
        <v>2302000</v>
      </c>
      <c r="C1201">
        <v>358000</v>
      </c>
    </row>
    <row r="1202" spans="1:3" x14ac:dyDescent="0.2">
      <c r="A1202" s="64">
        <v>32879</v>
      </c>
      <c r="B1202">
        <v>2347000</v>
      </c>
      <c r="C1202">
        <v>355000</v>
      </c>
    </row>
    <row r="1203" spans="1:3" x14ac:dyDescent="0.2">
      <c r="A1203" s="64">
        <v>32886</v>
      </c>
      <c r="B1203">
        <v>2349000</v>
      </c>
      <c r="C1203">
        <v>369000</v>
      </c>
    </row>
    <row r="1204" spans="1:3" x14ac:dyDescent="0.2">
      <c r="A1204" s="64">
        <v>32893</v>
      </c>
      <c r="B1204">
        <v>2407000</v>
      </c>
      <c r="C1204">
        <v>375000</v>
      </c>
    </row>
    <row r="1205" spans="1:3" x14ac:dyDescent="0.2">
      <c r="A1205" s="64">
        <v>32900</v>
      </c>
      <c r="B1205">
        <v>2316000</v>
      </c>
      <c r="C1205">
        <v>345000</v>
      </c>
    </row>
    <row r="1206" spans="1:3" x14ac:dyDescent="0.2">
      <c r="A1206" s="64">
        <v>32907</v>
      </c>
      <c r="B1206">
        <v>2364000</v>
      </c>
      <c r="C1206">
        <v>368000</v>
      </c>
    </row>
    <row r="1207" spans="1:3" x14ac:dyDescent="0.2">
      <c r="A1207" s="64">
        <v>32914</v>
      </c>
      <c r="B1207">
        <v>2323000</v>
      </c>
      <c r="C1207">
        <v>367000</v>
      </c>
    </row>
    <row r="1208" spans="1:3" x14ac:dyDescent="0.2">
      <c r="A1208" s="64">
        <v>32921</v>
      </c>
      <c r="B1208">
        <v>2382000</v>
      </c>
      <c r="C1208">
        <v>348000</v>
      </c>
    </row>
    <row r="1209" spans="1:3" x14ac:dyDescent="0.2">
      <c r="A1209" s="64">
        <v>32928</v>
      </c>
      <c r="B1209">
        <v>2347000</v>
      </c>
      <c r="C1209">
        <v>350000</v>
      </c>
    </row>
    <row r="1210" spans="1:3" x14ac:dyDescent="0.2">
      <c r="A1210" s="64">
        <v>32935</v>
      </c>
      <c r="B1210">
        <v>2385000</v>
      </c>
      <c r="C1210">
        <v>351000</v>
      </c>
    </row>
    <row r="1211" spans="1:3" x14ac:dyDescent="0.2">
      <c r="A1211" s="64">
        <v>32942</v>
      </c>
      <c r="B1211">
        <v>2341000</v>
      </c>
      <c r="C1211">
        <v>349000</v>
      </c>
    </row>
    <row r="1212" spans="1:3" x14ac:dyDescent="0.2">
      <c r="A1212" s="64">
        <v>32949</v>
      </c>
      <c r="B1212">
        <v>2384000</v>
      </c>
      <c r="C1212">
        <v>349000</v>
      </c>
    </row>
    <row r="1213" spans="1:3" x14ac:dyDescent="0.2">
      <c r="A1213" s="64">
        <v>32956</v>
      </c>
      <c r="B1213">
        <v>2344000</v>
      </c>
      <c r="C1213">
        <v>331000</v>
      </c>
    </row>
    <row r="1214" spans="1:3" x14ac:dyDescent="0.2">
      <c r="A1214" s="64">
        <v>32963</v>
      </c>
      <c r="B1214">
        <v>2365000</v>
      </c>
      <c r="C1214">
        <v>346000</v>
      </c>
    </row>
    <row r="1215" spans="1:3" x14ac:dyDescent="0.2">
      <c r="A1215" s="64">
        <v>32970</v>
      </c>
      <c r="B1215">
        <v>2323000</v>
      </c>
      <c r="C1215">
        <v>367000</v>
      </c>
    </row>
    <row r="1216" spans="1:3" x14ac:dyDescent="0.2">
      <c r="A1216" s="64">
        <v>32977</v>
      </c>
      <c r="B1216">
        <v>2410000</v>
      </c>
      <c r="C1216">
        <v>357000</v>
      </c>
    </row>
    <row r="1217" spans="1:3" x14ac:dyDescent="0.2">
      <c r="A1217" s="64">
        <v>32984</v>
      </c>
      <c r="B1217">
        <v>2385000</v>
      </c>
      <c r="C1217">
        <v>360000</v>
      </c>
    </row>
    <row r="1218" spans="1:3" x14ac:dyDescent="0.2">
      <c r="A1218" s="64">
        <v>32991</v>
      </c>
      <c r="B1218">
        <v>2403000</v>
      </c>
      <c r="C1218">
        <v>363000</v>
      </c>
    </row>
    <row r="1219" spans="1:3" x14ac:dyDescent="0.2">
      <c r="A1219" s="64">
        <v>32998</v>
      </c>
      <c r="B1219">
        <v>2374000</v>
      </c>
      <c r="C1219">
        <v>354000</v>
      </c>
    </row>
    <row r="1220" spans="1:3" x14ac:dyDescent="0.2">
      <c r="A1220" s="64">
        <v>33005</v>
      </c>
      <c r="B1220">
        <v>2374000</v>
      </c>
      <c r="C1220">
        <v>355000</v>
      </c>
    </row>
    <row r="1221" spans="1:3" x14ac:dyDescent="0.2">
      <c r="A1221" s="64">
        <v>33012</v>
      </c>
      <c r="B1221">
        <v>2381000</v>
      </c>
      <c r="C1221">
        <v>353000</v>
      </c>
    </row>
    <row r="1222" spans="1:3" x14ac:dyDescent="0.2">
      <c r="A1222" s="64">
        <v>33019</v>
      </c>
      <c r="B1222">
        <v>2431000</v>
      </c>
      <c r="C1222">
        <v>359000</v>
      </c>
    </row>
    <row r="1223" spans="1:3" x14ac:dyDescent="0.2">
      <c r="A1223" s="64">
        <v>33026</v>
      </c>
      <c r="B1223">
        <v>2406000</v>
      </c>
      <c r="C1223">
        <v>368000</v>
      </c>
    </row>
    <row r="1224" spans="1:3" x14ac:dyDescent="0.2">
      <c r="A1224" s="64">
        <v>33033</v>
      </c>
      <c r="B1224">
        <v>2438000</v>
      </c>
      <c r="C1224">
        <v>359000</v>
      </c>
    </row>
    <row r="1225" spans="1:3" x14ac:dyDescent="0.2">
      <c r="A1225" s="64">
        <v>33040</v>
      </c>
      <c r="B1225">
        <v>2402000</v>
      </c>
      <c r="C1225">
        <v>359000</v>
      </c>
    </row>
    <row r="1226" spans="1:3" x14ac:dyDescent="0.2">
      <c r="A1226" s="64">
        <v>33047</v>
      </c>
      <c r="B1226">
        <v>2431000</v>
      </c>
      <c r="C1226">
        <v>362000</v>
      </c>
    </row>
    <row r="1227" spans="1:3" x14ac:dyDescent="0.2">
      <c r="A1227" s="64">
        <v>33054</v>
      </c>
      <c r="B1227">
        <v>2442000</v>
      </c>
      <c r="C1227">
        <v>364000</v>
      </c>
    </row>
    <row r="1228" spans="1:3" x14ac:dyDescent="0.2">
      <c r="A1228" s="64">
        <v>33061</v>
      </c>
      <c r="B1228">
        <v>2487000</v>
      </c>
      <c r="C1228">
        <v>362000</v>
      </c>
    </row>
    <row r="1229" spans="1:3" x14ac:dyDescent="0.2">
      <c r="A1229" s="64">
        <v>33068</v>
      </c>
      <c r="B1229">
        <v>2498000</v>
      </c>
      <c r="C1229">
        <v>367000</v>
      </c>
    </row>
    <row r="1230" spans="1:3" x14ac:dyDescent="0.2">
      <c r="A1230" s="64">
        <v>33075</v>
      </c>
      <c r="B1230">
        <v>2441000</v>
      </c>
      <c r="C1230">
        <v>370000</v>
      </c>
    </row>
    <row r="1231" spans="1:3" x14ac:dyDescent="0.2">
      <c r="A1231" s="64">
        <v>33082</v>
      </c>
      <c r="B1231">
        <v>2461000</v>
      </c>
      <c r="C1231">
        <v>369000</v>
      </c>
    </row>
    <row r="1232" spans="1:3" x14ac:dyDescent="0.2">
      <c r="A1232" s="64">
        <v>33089</v>
      </c>
      <c r="B1232">
        <v>2460000</v>
      </c>
      <c r="C1232">
        <v>369000</v>
      </c>
    </row>
    <row r="1233" spans="1:3" x14ac:dyDescent="0.2">
      <c r="A1233" s="64">
        <v>33096</v>
      </c>
      <c r="B1233">
        <v>2500000</v>
      </c>
      <c r="C1233">
        <v>381000</v>
      </c>
    </row>
    <row r="1234" spans="1:3" x14ac:dyDescent="0.2">
      <c r="A1234" s="64">
        <v>33103</v>
      </c>
      <c r="B1234">
        <v>2537000</v>
      </c>
      <c r="C1234">
        <v>393000</v>
      </c>
    </row>
    <row r="1235" spans="1:3" x14ac:dyDescent="0.2">
      <c r="A1235" s="64">
        <v>33110</v>
      </c>
      <c r="B1235">
        <v>2540000</v>
      </c>
      <c r="C1235">
        <v>394000</v>
      </c>
    </row>
    <row r="1236" spans="1:3" x14ac:dyDescent="0.2">
      <c r="A1236" s="64">
        <v>33117</v>
      </c>
      <c r="B1236">
        <v>2579000</v>
      </c>
      <c r="C1236">
        <v>392000</v>
      </c>
    </row>
    <row r="1237" spans="1:3" x14ac:dyDescent="0.2">
      <c r="A1237" s="64">
        <v>33124</v>
      </c>
      <c r="B1237">
        <v>2585000</v>
      </c>
      <c r="C1237">
        <v>390000</v>
      </c>
    </row>
    <row r="1238" spans="1:3" x14ac:dyDescent="0.2">
      <c r="A1238" s="64">
        <v>33131</v>
      </c>
      <c r="B1238">
        <v>2591000</v>
      </c>
      <c r="C1238">
        <v>395000</v>
      </c>
    </row>
    <row r="1239" spans="1:3" x14ac:dyDescent="0.2">
      <c r="A1239" s="64">
        <v>33138</v>
      </c>
      <c r="B1239">
        <v>2578000</v>
      </c>
      <c r="C1239">
        <v>389000</v>
      </c>
    </row>
    <row r="1240" spans="1:3" x14ac:dyDescent="0.2">
      <c r="A1240" s="64">
        <v>33145</v>
      </c>
      <c r="B1240">
        <v>2644000</v>
      </c>
      <c r="C1240">
        <v>404000</v>
      </c>
    </row>
    <row r="1241" spans="1:3" x14ac:dyDescent="0.2">
      <c r="A1241" s="64">
        <v>33152</v>
      </c>
      <c r="B1241">
        <v>2621000</v>
      </c>
      <c r="C1241">
        <v>404000</v>
      </c>
    </row>
    <row r="1242" spans="1:3" x14ac:dyDescent="0.2">
      <c r="A1242" s="64">
        <v>33159</v>
      </c>
      <c r="B1242">
        <v>2753000</v>
      </c>
      <c r="C1242">
        <v>422000</v>
      </c>
    </row>
    <row r="1243" spans="1:3" x14ac:dyDescent="0.2">
      <c r="A1243" s="64">
        <v>33166</v>
      </c>
      <c r="B1243">
        <v>2722000</v>
      </c>
      <c r="C1243">
        <v>435000</v>
      </c>
    </row>
    <row r="1244" spans="1:3" x14ac:dyDescent="0.2">
      <c r="A1244" s="64">
        <v>33173</v>
      </c>
      <c r="B1244">
        <v>2787000</v>
      </c>
      <c r="C1244">
        <v>440000</v>
      </c>
    </row>
    <row r="1245" spans="1:3" x14ac:dyDescent="0.2">
      <c r="A1245" s="64">
        <v>33180</v>
      </c>
      <c r="B1245">
        <v>2813000</v>
      </c>
      <c r="C1245">
        <v>430000</v>
      </c>
    </row>
    <row r="1246" spans="1:3" x14ac:dyDescent="0.2">
      <c r="A1246" s="64">
        <v>33187</v>
      </c>
      <c r="B1246">
        <v>2789000</v>
      </c>
      <c r="C1246">
        <v>448000</v>
      </c>
    </row>
    <row r="1247" spans="1:3" x14ac:dyDescent="0.2">
      <c r="A1247" s="64">
        <v>33194</v>
      </c>
      <c r="B1247">
        <v>2996000</v>
      </c>
      <c r="C1247">
        <v>447000</v>
      </c>
    </row>
    <row r="1248" spans="1:3" x14ac:dyDescent="0.2">
      <c r="A1248" s="64">
        <v>33201</v>
      </c>
      <c r="B1248">
        <v>2955000</v>
      </c>
      <c r="C1248">
        <v>462000</v>
      </c>
    </row>
    <row r="1249" spans="1:3" x14ac:dyDescent="0.2">
      <c r="A1249" s="64">
        <v>33208</v>
      </c>
      <c r="B1249">
        <v>2918000</v>
      </c>
      <c r="C1249">
        <v>451000</v>
      </c>
    </row>
    <row r="1250" spans="1:3" x14ac:dyDescent="0.2">
      <c r="A1250" s="64">
        <v>33215</v>
      </c>
      <c r="B1250">
        <v>3000000</v>
      </c>
      <c r="C1250">
        <v>449000</v>
      </c>
    </row>
    <row r="1251" spans="1:3" x14ac:dyDescent="0.2">
      <c r="A1251" s="64">
        <v>33222</v>
      </c>
      <c r="B1251">
        <v>2984000</v>
      </c>
      <c r="C1251">
        <v>447000</v>
      </c>
    </row>
    <row r="1252" spans="1:3" x14ac:dyDescent="0.2">
      <c r="A1252" s="64">
        <v>33229</v>
      </c>
      <c r="B1252">
        <v>3001000</v>
      </c>
      <c r="C1252">
        <v>474000</v>
      </c>
    </row>
    <row r="1253" spans="1:3" x14ac:dyDescent="0.2">
      <c r="A1253" s="64">
        <v>33236</v>
      </c>
      <c r="B1253">
        <v>2938000</v>
      </c>
      <c r="C1253">
        <v>454000</v>
      </c>
    </row>
    <row r="1254" spans="1:3" x14ac:dyDescent="0.2">
      <c r="A1254" s="64">
        <v>33243</v>
      </c>
      <c r="B1254">
        <v>3062000</v>
      </c>
      <c r="C1254">
        <v>415000</v>
      </c>
    </row>
    <row r="1255" spans="1:3" x14ac:dyDescent="0.2">
      <c r="A1255" s="64">
        <v>33250</v>
      </c>
      <c r="B1255">
        <v>3111000</v>
      </c>
      <c r="C1255">
        <v>437000</v>
      </c>
    </row>
    <row r="1256" spans="1:3" x14ac:dyDescent="0.2">
      <c r="A1256" s="64">
        <v>33257</v>
      </c>
      <c r="B1256">
        <v>3017000</v>
      </c>
      <c r="C1256">
        <v>445000</v>
      </c>
    </row>
    <row r="1257" spans="1:3" x14ac:dyDescent="0.2">
      <c r="A1257" s="64">
        <v>33264</v>
      </c>
      <c r="B1257">
        <v>3162000</v>
      </c>
      <c r="C1257">
        <v>462000</v>
      </c>
    </row>
    <row r="1258" spans="1:3" x14ac:dyDescent="0.2">
      <c r="A1258" s="64">
        <v>33271</v>
      </c>
      <c r="B1258">
        <v>3228000</v>
      </c>
      <c r="C1258">
        <v>483000</v>
      </c>
    </row>
    <row r="1259" spans="1:3" x14ac:dyDescent="0.2">
      <c r="A1259" s="64">
        <v>33278</v>
      </c>
      <c r="B1259">
        <v>3226000</v>
      </c>
      <c r="C1259">
        <v>480000</v>
      </c>
    </row>
    <row r="1260" spans="1:3" x14ac:dyDescent="0.2">
      <c r="A1260" s="64">
        <v>33285</v>
      </c>
      <c r="B1260">
        <v>3293000</v>
      </c>
      <c r="C1260">
        <v>474000</v>
      </c>
    </row>
    <row r="1261" spans="1:3" x14ac:dyDescent="0.2">
      <c r="A1261" s="64">
        <v>33292</v>
      </c>
      <c r="B1261">
        <v>3304000</v>
      </c>
      <c r="C1261">
        <v>499000</v>
      </c>
    </row>
    <row r="1262" spans="1:3" x14ac:dyDescent="0.2">
      <c r="A1262" s="64">
        <v>33299</v>
      </c>
      <c r="B1262">
        <v>3357000</v>
      </c>
      <c r="C1262">
        <v>488000</v>
      </c>
    </row>
    <row r="1263" spans="1:3" x14ac:dyDescent="0.2">
      <c r="A1263" s="64">
        <v>33306</v>
      </c>
      <c r="B1263">
        <v>3384000</v>
      </c>
      <c r="C1263">
        <v>499000</v>
      </c>
    </row>
    <row r="1264" spans="1:3" x14ac:dyDescent="0.2">
      <c r="A1264" s="64">
        <v>33313</v>
      </c>
      <c r="B1264">
        <v>3448000</v>
      </c>
      <c r="C1264">
        <v>498000</v>
      </c>
    </row>
    <row r="1265" spans="1:3" x14ac:dyDescent="0.2">
      <c r="A1265" s="64">
        <v>33320</v>
      </c>
      <c r="B1265">
        <v>3404000</v>
      </c>
      <c r="C1265">
        <v>509000</v>
      </c>
    </row>
    <row r="1266" spans="1:3" x14ac:dyDescent="0.2">
      <c r="A1266" s="64">
        <v>33327</v>
      </c>
      <c r="B1266">
        <v>3502000</v>
      </c>
      <c r="C1266">
        <v>499000</v>
      </c>
    </row>
    <row r="1267" spans="1:3" x14ac:dyDescent="0.2">
      <c r="A1267" s="64">
        <v>33334</v>
      </c>
      <c r="B1267">
        <v>3493000</v>
      </c>
      <c r="C1267">
        <v>452000</v>
      </c>
    </row>
    <row r="1268" spans="1:3" x14ac:dyDescent="0.2">
      <c r="A1268" s="64">
        <v>33341</v>
      </c>
      <c r="B1268">
        <v>3464000</v>
      </c>
      <c r="C1268">
        <v>477000</v>
      </c>
    </row>
    <row r="1269" spans="1:3" x14ac:dyDescent="0.2">
      <c r="A1269" s="64">
        <v>33348</v>
      </c>
      <c r="B1269">
        <v>3502000</v>
      </c>
      <c r="C1269">
        <v>478000</v>
      </c>
    </row>
    <row r="1270" spans="1:3" x14ac:dyDescent="0.2">
      <c r="A1270" s="64">
        <v>33355</v>
      </c>
      <c r="B1270">
        <v>3474000</v>
      </c>
      <c r="C1270">
        <v>462000</v>
      </c>
    </row>
    <row r="1271" spans="1:3" x14ac:dyDescent="0.2">
      <c r="A1271" s="64">
        <v>33362</v>
      </c>
      <c r="B1271">
        <v>3524000</v>
      </c>
      <c r="C1271">
        <v>451000</v>
      </c>
    </row>
    <row r="1272" spans="1:3" x14ac:dyDescent="0.2">
      <c r="A1272" s="64">
        <v>33369</v>
      </c>
      <c r="B1272">
        <v>3492000</v>
      </c>
      <c r="C1272">
        <v>446000</v>
      </c>
    </row>
    <row r="1273" spans="1:3" x14ac:dyDescent="0.2">
      <c r="A1273" s="64">
        <v>33376</v>
      </c>
      <c r="B1273">
        <v>3459000</v>
      </c>
      <c r="C1273">
        <v>448000</v>
      </c>
    </row>
    <row r="1274" spans="1:3" x14ac:dyDescent="0.2">
      <c r="A1274" s="64">
        <v>33383</v>
      </c>
      <c r="B1274">
        <v>3472000</v>
      </c>
      <c r="C1274">
        <v>443000</v>
      </c>
    </row>
    <row r="1275" spans="1:3" x14ac:dyDescent="0.2">
      <c r="A1275" s="64">
        <v>33390</v>
      </c>
      <c r="B1275">
        <v>3522000</v>
      </c>
      <c r="C1275">
        <v>432000</v>
      </c>
    </row>
    <row r="1276" spans="1:3" x14ac:dyDescent="0.2">
      <c r="A1276" s="64">
        <v>33397</v>
      </c>
      <c r="B1276">
        <v>3439000</v>
      </c>
      <c r="C1276">
        <v>441000</v>
      </c>
    </row>
    <row r="1277" spans="1:3" x14ac:dyDescent="0.2">
      <c r="A1277" s="64">
        <v>33404</v>
      </c>
      <c r="B1277">
        <v>3428000</v>
      </c>
      <c r="C1277">
        <v>429000</v>
      </c>
    </row>
    <row r="1278" spans="1:3" x14ac:dyDescent="0.2">
      <c r="A1278" s="64">
        <v>33411</v>
      </c>
      <c r="B1278">
        <v>3389000</v>
      </c>
      <c r="C1278">
        <v>423000</v>
      </c>
    </row>
    <row r="1279" spans="1:3" x14ac:dyDescent="0.2">
      <c r="A1279" s="64">
        <v>33418</v>
      </c>
      <c r="B1279">
        <v>3356000</v>
      </c>
      <c r="C1279">
        <v>418000</v>
      </c>
    </row>
    <row r="1280" spans="1:3" x14ac:dyDescent="0.2">
      <c r="A1280" s="64">
        <v>33425</v>
      </c>
      <c r="B1280">
        <v>3393000</v>
      </c>
      <c r="C1280">
        <v>422000</v>
      </c>
    </row>
    <row r="1281" spans="1:3" x14ac:dyDescent="0.2">
      <c r="A1281" s="64">
        <v>33432</v>
      </c>
      <c r="B1281">
        <v>3255000</v>
      </c>
      <c r="C1281">
        <v>420000</v>
      </c>
    </row>
    <row r="1282" spans="1:3" x14ac:dyDescent="0.2">
      <c r="A1282" s="64">
        <v>33439</v>
      </c>
      <c r="B1282">
        <v>3276000</v>
      </c>
      <c r="C1282">
        <v>408000</v>
      </c>
    </row>
    <row r="1283" spans="1:3" x14ac:dyDescent="0.2">
      <c r="A1283" s="64">
        <v>33446</v>
      </c>
      <c r="B1283">
        <v>3306000</v>
      </c>
      <c r="C1283">
        <v>423000</v>
      </c>
    </row>
    <row r="1284" spans="1:3" x14ac:dyDescent="0.2">
      <c r="A1284" s="64">
        <v>33453</v>
      </c>
      <c r="B1284">
        <v>3307000</v>
      </c>
      <c r="C1284">
        <v>438000</v>
      </c>
    </row>
    <row r="1285" spans="1:3" x14ac:dyDescent="0.2">
      <c r="A1285" s="64">
        <v>33460</v>
      </c>
      <c r="B1285">
        <v>3314000</v>
      </c>
      <c r="C1285">
        <v>437000</v>
      </c>
    </row>
    <row r="1286" spans="1:3" x14ac:dyDescent="0.2">
      <c r="A1286" s="64">
        <v>33467</v>
      </c>
      <c r="B1286">
        <v>3282000</v>
      </c>
      <c r="C1286">
        <v>433000</v>
      </c>
    </row>
    <row r="1287" spans="1:3" x14ac:dyDescent="0.2">
      <c r="A1287" s="64">
        <v>33474</v>
      </c>
      <c r="B1287">
        <v>3277000</v>
      </c>
      <c r="C1287">
        <v>425000</v>
      </c>
    </row>
    <row r="1288" spans="1:3" x14ac:dyDescent="0.2">
      <c r="A1288" s="64">
        <v>33481</v>
      </c>
      <c r="B1288">
        <v>3279000</v>
      </c>
      <c r="C1288">
        <v>425000</v>
      </c>
    </row>
    <row r="1289" spans="1:3" x14ac:dyDescent="0.2">
      <c r="A1289" s="64">
        <v>33488</v>
      </c>
      <c r="B1289">
        <v>3326000</v>
      </c>
      <c r="C1289">
        <v>424000</v>
      </c>
    </row>
    <row r="1290" spans="1:3" x14ac:dyDescent="0.2">
      <c r="A1290" s="64">
        <v>33495</v>
      </c>
      <c r="B1290">
        <v>3275000</v>
      </c>
      <c r="C1290">
        <v>418000</v>
      </c>
    </row>
    <row r="1291" spans="1:3" x14ac:dyDescent="0.2">
      <c r="A1291" s="64">
        <v>33502</v>
      </c>
      <c r="B1291">
        <v>3294000</v>
      </c>
      <c r="C1291">
        <v>419000</v>
      </c>
    </row>
    <row r="1292" spans="1:3" x14ac:dyDescent="0.2">
      <c r="A1292" s="64">
        <v>33509</v>
      </c>
      <c r="B1292">
        <v>3290000</v>
      </c>
      <c r="C1292">
        <v>437000</v>
      </c>
    </row>
    <row r="1293" spans="1:3" x14ac:dyDescent="0.2">
      <c r="A1293" s="64">
        <v>33516</v>
      </c>
      <c r="B1293">
        <v>3388000</v>
      </c>
      <c r="C1293">
        <v>424000</v>
      </c>
    </row>
    <row r="1294" spans="1:3" x14ac:dyDescent="0.2">
      <c r="A1294" s="64">
        <v>33523</v>
      </c>
      <c r="B1294">
        <v>3237000</v>
      </c>
      <c r="C1294">
        <v>425000</v>
      </c>
    </row>
    <row r="1295" spans="1:3" x14ac:dyDescent="0.2">
      <c r="A1295" s="64">
        <v>33530</v>
      </c>
      <c r="B1295">
        <v>3320000</v>
      </c>
      <c r="C1295">
        <v>419000</v>
      </c>
    </row>
    <row r="1296" spans="1:3" x14ac:dyDescent="0.2">
      <c r="A1296" s="64">
        <v>33537</v>
      </c>
      <c r="B1296">
        <v>3299000</v>
      </c>
      <c r="C1296">
        <v>423000</v>
      </c>
    </row>
    <row r="1297" spans="1:3" x14ac:dyDescent="0.2">
      <c r="A1297" s="64">
        <v>33544</v>
      </c>
      <c r="B1297">
        <v>3336000</v>
      </c>
      <c r="C1297">
        <v>447000</v>
      </c>
    </row>
    <row r="1298" spans="1:3" x14ac:dyDescent="0.2">
      <c r="A1298" s="64">
        <v>33551</v>
      </c>
      <c r="B1298">
        <v>3328000</v>
      </c>
      <c r="C1298">
        <v>453000</v>
      </c>
    </row>
    <row r="1299" spans="1:3" x14ac:dyDescent="0.2">
      <c r="A1299" s="64">
        <v>33558</v>
      </c>
      <c r="B1299">
        <v>3315000</v>
      </c>
      <c r="C1299">
        <v>439000</v>
      </c>
    </row>
    <row r="1300" spans="1:3" x14ac:dyDescent="0.2">
      <c r="A1300" s="64">
        <v>33565</v>
      </c>
      <c r="B1300">
        <v>3226000</v>
      </c>
      <c r="C1300">
        <v>444000</v>
      </c>
    </row>
    <row r="1301" spans="1:3" x14ac:dyDescent="0.2">
      <c r="A1301" s="64">
        <v>33572</v>
      </c>
      <c r="B1301">
        <v>3348000</v>
      </c>
      <c r="C1301">
        <v>444000</v>
      </c>
    </row>
    <row r="1302" spans="1:3" x14ac:dyDescent="0.2">
      <c r="A1302" s="64">
        <v>33579</v>
      </c>
      <c r="B1302">
        <v>3388000</v>
      </c>
      <c r="C1302">
        <v>475000</v>
      </c>
    </row>
    <row r="1303" spans="1:3" x14ac:dyDescent="0.2">
      <c r="A1303" s="64">
        <v>33586</v>
      </c>
      <c r="B1303">
        <v>3405000</v>
      </c>
      <c r="C1303">
        <v>475000</v>
      </c>
    </row>
    <row r="1304" spans="1:3" x14ac:dyDescent="0.2">
      <c r="A1304" s="64">
        <v>33593</v>
      </c>
      <c r="B1304">
        <v>3264000</v>
      </c>
      <c r="C1304">
        <v>436000</v>
      </c>
    </row>
    <row r="1305" spans="1:3" x14ac:dyDescent="0.2">
      <c r="A1305" s="64">
        <v>33600</v>
      </c>
      <c r="B1305">
        <v>3340000</v>
      </c>
      <c r="C1305">
        <v>441000</v>
      </c>
    </row>
    <row r="1306" spans="1:3" x14ac:dyDescent="0.2">
      <c r="A1306" s="64">
        <v>33607</v>
      </c>
      <c r="B1306">
        <v>3410000</v>
      </c>
      <c r="C1306">
        <v>432000</v>
      </c>
    </row>
    <row r="1307" spans="1:3" x14ac:dyDescent="0.2">
      <c r="A1307" s="64">
        <v>33614</v>
      </c>
      <c r="B1307">
        <v>3342000</v>
      </c>
      <c r="C1307">
        <v>440000</v>
      </c>
    </row>
    <row r="1308" spans="1:3" x14ac:dyDescent="0.2">
      <c r="A1308" s="64">
        <v>33621</v>
      </c>
      <c r="B1308">
        <v>3297000</v>
      </c>
      <c r="C1308">
        <v>443000</v>
      </c>
    </row>
    <row r="1309" spans="1:3" x14ac:dyDescent="0.2">
      <c r="A1309" s="64">
        <v>33628</v>
      </c>
      <c r="B1309">
        <v>3364000</v>
      </c>
      <c r="C1309">
        <v>441000</v>
      </c>
    </row>
    <row r="1310" spans="1:3" x14ac:dyDescent="0.2">
      <c r="A1310" s="64">
        <v>33635</v>
      </c>
      <c r="B1310">
        <v>3301000</v>
      </c>
      <c r="C1310">
        <v>440000</v>
      </c>
    </row>
    <row r="1311" spans="1:3" x14ac:dyDescent="0.2">
      <c r="A1311" s="64">
        <v>33642</v>
      </c>
      <c r="B1311">
        <v>3320000</v>
      </c>
      <c r="C1311">
        <v>445000</v>
      </c>
    </row>
    <row r="1312" spans="1:3" x14ac:dyDescent="0.2">
      <c r="A1312" s="64">
        <v>33649</v>
      </c>
      <c r="B1312">
        <v>3260000</v>
      </c>
      <c r="C1312">
        <v>446000</v>
      </c>
    </row>
    <row r="1313" spans="1:3" x14ac:dyDescent="0.2">
      <c r="A1313" s="64">
        <v>33656</v>
      </c>
      <c r="B1313">
        <v>3412000</v>
      </c>
      <c r="C1313">
        <v>436000</v>
      </c>
    </row>
    <row r="1314" spans="1:3" x14ac:dyDescent="0.2">
      <c r="A1314" s="64">
        <v>33663</v>
      </c>
      <c r="B1314">
        <v>3280000</v>
      </c>
      <c r="C1314">
        <v>444000</v>
      </c>
    </row>
    <row r="1315" spans="1:3" x14ac:dyDescent="0.2">
      <c r="A1315" s="64">
        <v>33670</v>
      </c>
      <c r="B1315">
        <v>3288000</v>
      </c>
      <c r="C1315">
        <v>421000</v>
      </c>
    </row>
    <row r="1316" spans="1:3" x14ac:dyDescent="0.2">
      <c r="A1316" s="64">
        <v>33677</v>
      </c>
      <c r="B1316">
        <v>3280000</v>
      </c>
      <c r="C1316">
        <v>437000</v>
      </c>
    </row>
    <row r="1317" spans="1:3" x14ac:dyDescent="0.2">
      <c r="A1317" s="64">
        <v>33684</v>
      </c>
      <c r="B1317">
        <v>3344000</v>
      </c>
      <c r="C1317">
        <v>440000</v>
      </c>
    </row>
    <row r="1318" spans="1:3" x14ac:dyDescent="0.2">
      <c r="A1318" s="64">
        <v>33691</v>
      </c>
      <c r="B1318">
        <v>3336000</v>
      </c>
      <c r="C1318">
        <v>420000</v>
      </c>
    </row>
    <row r="1319" spans="1:3" x14ac:dyDescent="0.2">
      <c r="A1319" s="64">
        <v>33698</v>
      </c>
      <c r="B1319">
        <v>3383000</v>
      </c>
      <c r="C1319">
        <v>412000</v>
      </c>
    </row>
    <row r="1320" spans="1:3" x14ac:dyDescent="0.2">
      <c r="A1320" s="64">
        <v>33705</v>
      </c>
      <c r="B1320">
        <v>3288000</v>
      </c>
      <c r="C1320">
        <v>413000</v>
      </c>
    </row>
    <row r="1321" spans="1:3" x14ac:dyDescent="0.2">
      <c r="A1321" s="64">
        <v>33712</v>
      </c>
      <c r="B1321">
        <v>3339000</v>
      </c>
      <c r="C1321">
        <v>424000</v>
      </c>
    </row>
    <row r="1322" spans="1:3" x14ac:dyDescent="0.2">
      <c r="A1322" s="64">
        <v>33719</v>
      </c>
      <c r="B1322">
        <v>3365000</v>
      </c>
      <c r="C1322">
        <v>424000</v>
      </c>
    </row>
    <row r="1323" spans="1:3" x14ac:dyDescent="0.2">
      <c r="A1323" s="64">
        <v>33726</v>
      </c>
      <c r="B1323">
        <v>3397000</v>
      </c>
      <c r="C1323">
        <v>431000</v>
      </c>
    </row>
    <row r="1324" spans="1:3" x14ac:dyDescent="0.2">
      <c r="A1324" s="64">
        <v>33733</v>
      </c>
      <c r="B1324">
        <v>3354000</v>
      </c>
      <c r="C1324">
        <v>417000</v>
      </c>
    </row>
    <row r="1325" spans="1:3" x14ac:dyDescent="0.2">
      <c r="A1325" s="64">
        <v>33740</v>
      </c>
      <c r="B1325">
        <v>3296000</v>
      </c>
      <c r="C1325">
        <v>414000</v>
      </c>
    </row>
    <row r="1326" spans="1:3" x14ac:dyDescent="0.2">
      <c r="A1326" s="64">
        <v>33747</v>
      </c>
      <c r="B1326">
        <v>3285000</v>
      </c>
      <c r="C1326">
        <v>414000</v>
      </c>
    </row>
    <row r="1327" spans="1:3" x14ac:dyDescent="0.2">
      <c r="A1327" s="64">
        <v>33754</v>
      </c>
      <c r="B1327">
        <v>3392000</v>
      </c>
      <c r="C1327">
        <v>411000</v>
      </c>
    </row>
    <row r="1328" spans="1:3" x14ac:dyDescent="0.2">
      <c r="A1328" s="64">
        <v>33761</v>
      </c>
      <c r="B1328">
        <v>3265000</v>
      </c>
      <c r="C1328">
        <v>416000</v>
      </c>
    </row>
    <row r="1329" spans="1:3" x14ac:dyDescent="0.2">
      <c r="A1329" s="64">
        <v>33768</v>
      </c>
      <c r="B1329">
        <v>3270000</v>
      </c>
      <c r="C1329">
        <v>420000</v>
      </c>
    </row>
    <row r="1330" spans="1:3" x14ac:dyDescent="0.2">
      <c r="A1330" s="64">
        <v>33775</v>
      </c>
      <c r="B1330">
        <v>3284000</v>
      </c>
      <c r="C1330">
        <v>419000</v>
      </c>
    </row>
    <row r="1331" spans="1:3" x14ac:dyDescent="0.2">
      <c r="A1331" s="64">
        <v>33782</v>
      </c>
      <c r="B1331">
        <v>3340000</v>
      </c>
      <c r="C1331">
        <v>420000</v>
      </c>
    </row>
    <row r="1332" spans="1:3" x14ac:dyDescent="0.2">
      <c r="A1332" s="64">
        <v>33789</v>
      </c>
      <c r="B1332">
        <v>3212000</v>
      </c>
      <c r="C1332">
        <v>407000</v>
      </c>
    </row>
    <row r="1333" spans="1:3" x14ac:dyDescent="0.2">
      <c r="A1333" s="64">
        <v>33796</v>
      </c>
      <c r="B1333">
        <v>3103000</v>
      </c>
      <c r="C1333">
        <v>408000</v>
      </c>
    </row>
    <row r="1334" spans="1:3" x14ac:dyDescent="0.2">
      <c r="A1334" s="64">
        <v>33803</v>
      </c>
      <c r="B1334">
        <v>3238000</v>
      </c>
      <c r="C1334">
        <v>392000</v>
      </c>
    </row>
    <row r="1335" spans="1:3" x14ac:dyDescent="0.2">
      <c r="A1335" s="64">
        <v>33810</v>
      </c>
      <c r="B1335">
        <v>3318000</v>
      </c>
      <c r="C1335">
        <v>564000</v>
      </c>
    </row>
    <row r="1336" spans="1:3" x14ac:dyDescent="0.2">
      <c r="A1336" s="64">
        <v>33817</v>
      </c>
      <c r="B1336">
        <v>3467000</v>
      </c>
      <c r="C1336">
        <v>423000</v>
      </c>
    </row>
    <row r="1337" spans="1:3" x14ac:dyDescent="0.2">
      <c r="A1337" s="64">
        <v>33824</v>
      </c>
      <c r="B1337">
        <v>3211000</v>
      </c>
      <c r="C1337">
        <v>406000</v>
      </c>
    </row>
    <row r="1338" spans="1:3" x14ac:dyDescent="0.2">
      <c r="A1338" s="64">
        <v>33831</v>
      </c>
      <c r="B1338">
        <v>3210000</v>
      </c>
      <c r="C1338">
        <v>401000</v>
      </c>
    </row>
    <row r="1339" spans="1:3" x14ac:dyDescent="0.2">
      <c r="A1339" s="64">
        <v>33838</v>
      </c>
      <c r="B1339">
        <v>3188000</v>
      </c>
      <c r="C1339">
        <v>398000</v>
      </c>
    </row>
    <row r="1340" spans="1:3" x14ac:dyDescent="0.2">
      <c r="A1340" s="64">
        <v>33845</v>
      </c>
      <c r="B1340">
        <v>3175000</v>
      </c>
      <c r="C1340">
        <v>408000</v>
      </c>
    </row>
    <row r="1341" spans="1:3" x14ac:dyDescent="0.2">
      <c r="A1341" s="64">
        <v>33852</v>
      </c>
      <c r="B1341">
        <v>3167000</v>
      </c>
      <c r="C1341">
        <v>416000</v>
      </c>
    </row>
    <row r="1342" spans="1:3" x14ac:dyDescent="0.2">
      <c r="A1342" s="64">
        <v>33859</v>
      </c>
      <c r="B1342">
        <v>3261000</v>
      </c>
      <c r="C1342">
        <v>416000</v>
      </c>
    </row>
    <row r="1343" spans="1:3" x14ac:dyDescent="0.2">
      <c r="A1343" s="64">
        <v>33866</v>
      </c>
      <c r="B1343">
        <v>3195000</v>
      </c>
      <c r="C1343">
        <v>427000</v>
      </c>
    </row>
    <row r="1344" spans="1:3" x14ac:dyDescent="0.2">
      <c r="A1344" s="64">
        <v>33873</v>
      </c>
      <c r="B1344">
        <v>3194000</v>
      </c>
      <c r="C1344">
        <v>409000</v>
      </c>
    </row>
    <row r="1345" spans="1:3" x14ac:dyDescent="0.2">
      <c r="A1345" s="64">
        <v>33880</v>
      </c>
      <c r="B1345">
        <v>3121000</v>
      </c>
      <c r="C1345">
        <v>398000</v>
      </c>
    </row>
    <row r="1346" spans="1:3" x14ac:dyDescent="0.2">
      <c r="A1346" s="64">
        <v>33887</v>
      </c>
      <c r="B1346">
        <v>3072000</v>
      </c>
      <c r="C1346">
        <v>374000</v>
      </c>
    </row>
    <row r="1347" spans="1:3" x14ac:dyDescent="0.2">
      <c r="A1347" s="64">
        <v>33894</v>
      </c>
      <c r="B1347">
        <v>3083000</v>
      </c>
      <c r="C1347">
        <v>385000</v>
      </c>
    </row>
    <row r="1348" spans="1:3" x14ac:dyDescent="0.2">
      <c r="A1348" s="64">
        <v>33901</v>
      </c>
      <c r="B1348">
        <v>3063000</v>
      </c>
      <c r="C1348">
        <v>367000</v>
      </c>
    </row>
    <row r="1349" spans="1:3" x14ac:dyDescent="0.2">
      <c r="A1349" s="64">
        <v>33908</v>
      </c>
      <c r="B1349">
        <v>2973000</v>
      </c>
      <c r="C1349">
        <v>365000</v>
      </c>
    </row>
    <row r="1350" spans="1:3" x14ac:dyDescent="0.2">
      <c r="A1350" s="64">
        <v>33915</v>
      </c>
      <c r="B1350">
        <v>3017000</v>
      </c>
      <c r="C1350">
        <v>374000</v>
      </c>
    </row>
    <row r="1351" spans="1:3" x14ac:dyDescent="0.2">
      <c r="A1351" s="64">
        <v>33922</v>
      </c>
      <c r="B1351">
        <v>2962000</v>
      </c>
      <c r="C1351">
        <v>377000</v>
      </c>
    </row>
    <row r="1352" spans="1:3" x14ac:dyDescent="0.2">
      <c r="A1352" s="64">
        <v>33929</v>
      </c>
      <c r="B1352">
        <v>2906000</v>
      </c>
      <c r="C1352">
        <v>357000</v>
      </c>
    </row>
    <row r="1353" spans="1:3" x14ac:dyDescent="0.2">
      <c r="A1353" s="64">
        <v>33936</v>
      </c>
      <c r="B1353">
        <v>2911000</v>
      </c>
      <c r="C1353">
        <v>341000</v>
      </c>
    </row>
    <row r="1354" spans="1:3" x14ac:dyDescent="0.2">
      <c r="A1354" s="64">
        <v>33943</v>
      </c>
      <c r="B1354">
        <v>2918000</v>
      </c>
      <c r="C1354">
        <v>350000</v>
      </c>
    </row>
    <row r="1355" spans="1:3" x14ac:dyDescent="0.2">
      <c r="A1355" s="64">
        <v>33950</v>
      </c>
      <c r="B1355">
        <v>2807000</v>
      </c>
      <c r="C1355">
        <v>359000</v>
      </c>
    </row>
    <row r="1356" spans="1:3" x14ac:dyDescent="0.2">
      <c r="A1356" s="64">
        <v>33957</v>
      </c>
      <c r="B1356">
        <v>2770000</v>
      </c>
      <c r="C1356">
        <v>334000</v>
      </c>
    </row>
    <row r="1357" spans="1:3" x14ac:dyDescent="0.2">
      <c r="A1357" s="64">
        <v>33964</v>
      </c>
      <c r="B1357">
        <v>2800000</v>
      </c>
      <c r="C1357">
        <v>313000</v>
      </c>
    </row>
    <row r="1358" spans="1:3" x14ac:dyDescent="0.2">
      <c r="A1358" s="64">
        <v>33971</v>
      </c>
      <c r="B1358">
        <v>2729000</v>
      </c>
      <c r="C1358">
        <v>341000</v>
      </c>
    </row>
    <row r="1359" spans="1:3" x14ac:dyDescent="0.2">
      <c r="A1359" s="64">
        <v>33978</v>
      </c>
      <c r="B1359">
        <v>2697000</v>
      </c>
      <c r="C1359">
        <v>354000</v>
      </c>
    </row>
    <row r="1360" spans="1:3" x14ac:dyDescent="0.2">
      <c r="A1360" s="64">
        <v>33985</v>
      </c>
      <c r="B1360">
        <v>2749000</v>
      </c>
      <c r="C1360">
        <v>352000</v>
      </c>
    </row>
    <row r="1361" spans="1:3" x14ac:dyDescent="0.2">
      <c r="A1361" s="64">
        <v>33992</v>
      </c>
      <c r="B1361">
        <v>2727000</v>
      </c>
      <c r="C1361">
        <v>341000</v>
      </c>
    </row>
    <row r="1362" spans="1:3" x14ac:dyDescent="0.2">
      <c r="A1362" s="64">
        <v>33999</v>
      </c>
      <c r="B1362">
        <v>2663000</v>
      </c>
      <c r="C1362">
        <v>340000</v>
      </c>
    </row>
    <row r="1363" spans="1:3" x14ac:dyDescent="0.2">
      <c r="A1363" s="64">
        <v>34006</v>
      </c>
      <c r="B1363">
        <v>2645000</v>
      </c>
      <c r="C1363">
        <v>319000</v>
      </c>
    </row>
    <row r="1364" spans="1:3" x14ac:dyDescent="0.2">
      <c r="A1364" s="64">
        <v>34013</v>
      </c>
      <c r="B1364">
        <v>2628000</v>
      </c>
      <c r="C1364">
        <v>321000</v>
      </c>
    </row>
    <row r="1365" spans="1:3" x14ac:dyDescent="0.2">
      <c r="A1365" s="64">
        <v>34020</v>
      </c>
      <c r="B1365">
        <v>2646000</v>
      </c>
      <c r="C1365">
        <v>351000</v>
      </c>
    </row>
    <row r="1366" spans="1:3" x14ac:dyDescent="0.2">
      <c r="A1366" s="64">
        <v>34027</v>
      </c>
      <c r="B1366">
        <v>2645000</v>
      </c>
      <c r="C1366">
        <v>362000</v>
      </c>
    </row>
    <row r="1367" spans="1:3" x14ac:dyDescent="0.2">
      <c r="A1367" s="64">
        <v>34034</v>
      </c>
      <c r="B1367">
        <v>2683000</v>
      </c>
      <c r="C1367">
        <v>354000</v>
      </c>
    </row>
    <row r="1368" spans="1:3" x14ac:dyDescent="0.2">
      <c r="A1368" s="64">
        <v>34041</v>
      </c>
      <c r="B1368">
        <v>2618000</v>
      </c>
      <c r="C1368">
        <v>346000</v>
      </c>
    </row>
    <row r="1369" spans="1:3" x14ac:dyDescent="0.2">
      <c r="A1369" s="64">
        <v>34048</v>
      </c>
      <c r="B1369">
        <v>2724000</v>
      </c>
      <c r="C1369">
        <v>338000</v>
      </c>
    </row>
    <row r="1370" spans="1:3" x14ac:dyDescent="0.2">
      <c r="A1370" s="64">
        <v>34055</v>
      </c>
      <c r="B1370">
        <v>2725000</v>
      </c>
      <c r="C1370">
        <v>366000</v>
      </c>
    </row>
    <row r="1371" spans="1:3" x14ac:dyDescent="0.2">
      <c r="A1371" s="64">
        <v>34062</v>
      </c>
      <c r="B1371">
        <v>2729000</v>
      </c>
      <c r="C1371">
        <v>365000</v>
      </c>
    </row>
    <row r="1372" spans="1:3" x14ac:dyDescent="0.2">
      <c r="A1372" s="64">
        <v>34069</v>
      </c>
      <c r="B1372">
        <v>2781000</v>
      </c>
      <c r="C1372">
        <v>353000</v>
      </c>
    </row>
    <row r="1373" spans="1:3" x14ac:dyDescent="0.2">
      <c r="A1373" s="64">
        <v>34076</v>
      </c>
      <c r="B1373">
        <v>2800000</v>
      </c>
      <c r="C1373">
        <v>351000</v>
      </c>
    </row>
    <row r="1374" spans="1:3" x14ac:dyDescent="0.2">
      <c r="A1374" s="64">
        <v>34083</v>
      </c>
      <c r="B1374">
        <v>2792000</v>
      </c>
      <c r="C1374">
        <v>350000</v>
      </c>
    </row>
    <row r="1375" spans="1:3" x14ac:dyDescent="0.2">
      <c r="A1375" s="64">
        <v>34090</v>
      </c>
      <c r="B1375">
        <v>2747000</v>
      </c>
      <c r="C1375">
        <v>343000</v>
      </c>
    </row>
    <row r="1376" spans="1:3" x14ac:dyDescent="0.2">
      <c r="A1376" s="64">
        <v>34097</v>
      </c>
      <c r="B1376">
        <v>2820000</v>
      </c>
      <c r="C1376">
        <v>339000</v>
      </c>
    </row>
    <row r="1377" spans="1:3" x14ac:dyDescent="0.2">
      <c r="A1377" s="64">
        <v>34104</v>
      </c>
      <c r="B1377">
        <v>2772000</v>
      </c>
      <c r="C1377">
        <v>345000</v>
      </c>
    </row>
    <row r="1378" spans="1:3" x14ac:dyDescent="0.2">
      <c r="A1378" s="64">
        <v>34111</v>
      </c>
      <c r="B1378">
        <v>2816000</v>
      </c>
      <c r="C1378">
        <v>342000</v>
      </c>
    </row>
    <row r="1379" spans="1:3" x14ac:dyDescent="0.2">
      <c r="A1379" s="64">
        <v>34118</v>
      </c>
      <c r="B1379">
        <v>2737000</v>
      </c>
      <c r="C1379">
        <v>349000</v>
      </c>
    </row>
    <row r="1380" spans="1:3" x14ac:dyDescent="0.2">
      <c r="A1380" s="64">
        <v>34125</v>
      </c>
      <c r="B1380">
        <v>2808000</v>
      </c>
      <c r="C1380">
        <v>343000</v>
      </c>
    </row>
    <row r="1381" spans="1:3" x14ac:dyDescent="0.2">
      <c r="A1381" s="64">
        <v>34132</v>
      </c>
      <c r="B1381">
        <v>2836000</v>
      </c>
      <c r="C1381">
        <v>343000</v>
      </c>
    </row>
    <row r="1382" spans="1:3" x14ac:dyDescent="0.2">
      <c r="A1382" s="64">
        <v>34139</v>
      </c>
      <c r="B1382">
        <v>2857000</v>
      </c>
      <c r="C1382">
        <v>345000</v>
      </c>
    </row>
    <row r="1383" spans="1:3" x14ac:dyDescent="0.2">
      <c r="A1383" s="64">
        <v>34146</v>
      </c>
      <c r="B1383">
        <v>2747000</v>
      </c>
      <c r="C1383">
        <v>340000</v>
      </c>
    </row>
    <row r="1384" spans="1:3" x14ac:dyDescent="0.2">
      <c r="A1384" s="64">
        <v>34153</v>
      </c>
      <c r="B1384">
        <v>2724000</v>
      </c>
      <c r="C1384">
        <v>334000</v>
      </c>
    </row>
    <row r="1385" spans="1:3" x14ac:dyDescent="0.2">
      <c r="A1385" s="64">
        <v>34160</v>
      </c>
      <c r="B1385">
        <v>2778000</v>
      </c>
      <c r="C1385">
        <v>314000</v>
      </c>
    </row>
    <row r="1386" spans="1:3" x14ac:dyDescent="0.2">
      <c r="A1386" s="64">
        <v>34167</v>
      </c>
      <c r="B1386">
        <v>2766000</v>
      </c>
      <c r="C1386">
        <v>335000</v>
      </c>
    </row>
    <row r="1387" spans="1:3" x14ac:dyDescent="0.2">
      <c r="A1387" s="64">
        <v>34174</v>
      </c>
      <c r="B1387">
        <v>2803000</v>
      </c>
      <c r="C1387">
        <v>415000</v>
      </c>
    </row>
    <row r="1388" spans="1:3" x14ac:dyDescent="0.2">
      <c r="A1388" s="64">
        <v>34181</v>
      </c>
      <c r="B1388">
        <v>2843000</v>
      </c>
      <c r="C1388">
        <v>356000</v>
      </c>
    </row>
    <row r="1389" spans="1:3" x14ac:dyDescent="0.2">
      <c r="A1389" s="64">
        <v>34188</v>
      </c>
      <c r="B1389">
        <v>2813000</v>
      </c>
      <c r="C1389">
        <v>346000</v>
      </c>
    </row>
    <row r="1390" spans="1:3" x14ac:dyDescent="0.2">
      <c r="A1390" s="64">
        <v>34195</v>
      </c>
      <c r="B1390">
        <v>2791000</v>
      </c>
      <c r="C1390">
        <v>339000</v>
      </c>
    </row>
    <row r="1391" spans="1:3" x14ac:dyDescent="0.2">
      <c r="A1391" s="64">
        <v>34202</v>
      </c>
      <c r="B1391">
        <v>2821000</v>
      </c>
      <c r="C1391">
        <v>342000</v>
      </c>
    </row>
    <row r="1392" spans="1:3" x14ac:dyDescent="0.2">
      <c r="A1392" s="64">
        <v>34209</v>
      </c>
      <c r="B1392">
        <v>2788000</v>
      </c>
      <c r="C1392">
        <v>337000</v>
      </c>
    </row>
    <row r="1393" spans="1:3" x14ac:dyDescent="0.2">
      <c r="A1393" s="64">
        <v>34216</v>
      </c>
      <c r="B1393">
        <v>2768000</v>
      </c>
      <c r="C1393">
        <v>334000</v>
      </c>
    </row>
    <row r="1394" spans="1:3" x14ac:dyDescent="0.2">
      <c r="A1394" s="64">
        <v>34223</v>
      </c>
      <c r="B1394">
        <v>2844000</v>
      </c>
      <c r="C1394">
        <v>333000</v>
      </c>
    </row>
    <row r="1395" spans="1:3" x14ac:dyDescent="0.2">
      <c r="A1395" s="64">
        <v>34230</v>
      </c>
      <c r="B1395">
        <v>2856000</v>
      </c>
      <c r="C1395">
        <v>346000</v>
      </c>
    </row>
    <row r="1396" spans="1:3" x14ac:dyDescent="0.2">
      <c r="A1396" s="64">
        <v>34237</v>
      </c>
      <c r="B1396">
        <v>2836000</v>
      </c>
      <c r="C1396">
        <v>343000</v>
      </c>
    </row>
    <row r="1397" spans="1:3" x14ac:dyDescent="0.2">
      <c r="A1397" s="64">
        <v>34244</v>
      </c>
      <c r="B1397">
        <v>2810000</v>
      </c>
      <c r="C1397">
        <v>333000</v>
      </c>
    </row>
    <row r="1398" spans="1:3" x14ac:dyDescent="0.2">
      <c r="A1398" s="64">
        <v>34251</v>
      </c>
      <c r="B1398">
        <v>2799000</v>
      </c>
      <c r="C1398">
        <v>355000</v>
      </c>
    </row>
    <row r="1399" spans="1:3" x14ac:dyDescent="0.2">
      <c r="A1399" s="64">
        <v>34258</v>
      </c>
      <c r="B1399">
        <v>2833000</v>
      </c>
      <c r="C1399">
        <v>359000</v>
      </c>
    </row>
    <row r="1400" spans="1:3" x14ac:dyDescent="0.2">
      <c r="A1400" s="64">
        <v>34265</v>
      </c>
      <c r="B1400">
        <v>2882000</v>
      </c>
      <c r="C1400">
        <v>354000</v>
      </c>
    </row>
    <row r="1401" spans="1:3" x14ac:dyDescent="0.2">
      <c r="A1401" s="64">
        <v>34272</v>
      </c>
      <c r="B1401">
        <v>2801000</v>
      </c>
      <c r="C1401">
        <v>348000</v>
      </c>
    </row>
    <row r="1402" spans="1:3" x14ac:dyDescent="0.2">
      <c r="A1402" s="64">
        <v>34279</v>
      </c>
      <c r="B1402">
        <v>2833000</v>
      </c>
      <c r="C1402">
        <v>350000</v>
      </c>
    </row>
    <row r="1403" spans="1:3" x14ac:dyDescent="0.2">
      <c r="A1403" s="64">
        <v>34286</v>
      </c>
      <c r="B1403">
        <v>2785000</v>
      </c>
      <c r="C1403">
        <v>341000</v>
      </c>
    </row>
    <row r="1404" spans="1:3" x14ac:dyDescent="0.2">
      <c r="A1404" s="64">
        <v>34293</v>
      </c>
      <c r="B1404">
        <v>2801000</v>
      </c>
      <c r="C1404">
        <v>336000</v>
      </c>
    </row>
    <row r="1405" spans="1:3" x14ac:dyDescent="0.2">
      <c r="A1405" s="64">
        <v>34300</v>
      </c>
      <c r="B1405">
        <v>2784000</v>
      </c>
      <c r="C1405">
        <v>337000</v>
      </c>
    </row>
    <row r="1406" spans="1:3" x14ac:dyDescent="0.2">
      <c r="A1406" s="64">
        <v>34307</v>
      </c>
      <c r="B1406">
        <v>2802000</v>
      </c>
      <c r="C1406">
        <v>337000</v>
      </c>
    </row>
    <row r="1407" spans="1:3" x14ac:dyDescent="0.2">
      <c r="A1407" s="64">
        <v>34314</v>
      </c>
      <c r="B1407">
        <v>2747000</v>
      </c>
      <c r="C1407">
        <v>334000</v>
      </c>
    </row>
    <row r="1408" spans="1:3" x14ac:dyDescent="0.2">
      <c r="A1408" s="64">
        <v>34321</v>
      </c>
      <c r="B1408">
        <v>2780000</v>
      </c>
      <c r="C1408">
        <v>331000</v>
      </c>
    </row>
    <row r="1409" spans="1:3" x14ac:dyDescent="0.2">
      <c r="A1409" s="64">
        <v>34328</v>
      </c>
      <c r="B1409">
        <v>2720000</v>
      </c>
      <c r="C1409">
        <v>290000</v>
      </c>
    </row>
    <row r="1410" spans="1:3" x14ac:dyDescent="0.2">
      <c r="A1410" s="64">
        <v>34335</v>
      </c>
      <c r="B1410">
        <v>2633000</v>
      </c>
      <c r="C1410">
        <v>341000</v>
      </c>
    </row>
    <row r="1411" spans="1:3" x14ac:dyDescent="0.2">
      <c r="A1411" s="64">
        <v>34342</v>
      </c>
      <c r="B1411">
        <v>2705000</v>
      </c>
      <c r="C1411">
        <v>343000</v>
      </c>
    </row>
    <row r="1412" spans="1:3" x14ac:dyDescent="0.2">
      <c r="A1412" s="64">
        <v>34349</v>
      </c>
      <c r="B1412">
        <v>2634000</v>
      </c>
      <c r="C1412">
        <v>355000</v>
      </c>
    </row>
    <row r="1413" spans="1:3" x14ac:dyDescent="0.2">
      <c r="A1413" s="64">
        <v>34356</v>
      </c>
      <c r="B1413">
        <v>2814000</v>
      </c>
      <c r="C1413">
        <v>351000</v>
      </c>
    </row>
    <row r="1414" spans="1:3" x14ac:dyDescent="0.2">
      <c r="A1414" s="64">
        <v>34363</v>
      </c>
      <c r="B1414">
        <v>2762000</v>
      </c>
      <c r="C1414">
        <v>406000</v>
      </c>
    </row>
    <row r="1415" spans="1:3" x14ac:dyDescent="0.2">
      <c r="A1415" s="64">
        <v>34370</v>
      </c>
      <c r="B1415">
        <v>2764000</v>
      </c>
      <c r="C1415">
        <v>361000</v>
      </c>
    </row>
    <row r="1416" spans="1:3" x14ac:dyDescent="0.2">
      <c r="A1416" s="64">
        <v>34377</v>
      </c>
      <c r="B1416">
        <v>2861000</v>
      </c>
      <c r="C1416">
        <v>354000</v>
      </c>
    </row>
    <row r="1417" spans="1:3" x14ac:dyDescent="0.2">
      <c r="A1417" s="64">
        <v>34384</v>
      </c>
      <c r="B1417">
        <v>2748000</v>
      </c>
      <c r="C1417">
        <v>352000</v>
      </c>
    </row>
    <row r="1418" spans="1:3" x14ac:dyDescent="0.2">
      <c r="A1418" s="64">
        <v>34391</v>
      </c>
      <c r="B1418">
        <v>2797000</v>
      </c>
      <c r="C1418">
        <v>327000</v>
      </c>
    </row>
    <row r="1419" spans="1:3" x14ac:dyDescent="0.2">
      <c r="A1419" s="64">
        <v>34398</v>
      </c>
      <c r="B1419">
        <v>2779000</v>
      </c>
      <c r="C1419">
        <v>348000</v>
      </c>
    </row>
    <row r="1420" spans="1:3" x14ac:dyDescent="0.2">
      <c r="A1420" s="64">
        <v>34405</v>
      </c>
      <c r="B1420">
        <v>2783000</v>
      </c>
      <c r="C1420">
        <v>341000</v>
      </c>
    </row>
    <row r="1421" spans="1:3" x14ac:dyDescent="0.2">
      <c r="A1421" s="64">
        <v>34412</v>
      </c>
      <c r="B1421">
        <v>2746000</v>
      </c>
      <c r="C1421">
        <v>332000</v>
      </c>
    </row>
    <row r="1422" spans="1:3" x14ac:dyDescent="0.2">
      <c r="A1422" s="64">
        <v>34419</v>
      </c>
      <c r="B1422">
        <v>2710000</v>
      </c>
      <c r="C1422">
        <v>322000</v>
      </c>
    </row>
    <row r="1423" spans="1:3" x14ac:dyDescent="0.2">
      <c r="A1423" s="64">
        <v>34426</v>
      </c>
      <c r="B1423">
        <v>2730000</v>
      </c>
      <c r="C1423">
        <v>342000</v>
      </c>
    </row>
    <row r="1424" spans="1:3" x14ac:dyDescent="0.2">
      <c r="A1424" s="64">
        <v>34433</v>
      </c>
      <c r="B1424">
        <v>2773000</v>
      </c>
      <c r="C1424">
        <v>349000</v>
      </c>
    </row>
    <row r="1425" spans="1:3" x14ac:dyDescent="0.2">
      <c r="A1425" s="64">
        <v>34440</v>
      </c>
      <c r="B1425">
        <v>2716000</v>
      </c>
      <c r="C1425">
        <v>354000</v>
      </c>
    </row>
    <row r="1426" spans="1:3" x14ac:dyDescent="0.2">
      <c r="A1426" s="64">
        <v>34447</v>
      </c>
      <c r="B1426">
        <v>2695000</v>
      </c>
      <c r="C1426">
        <v>331000</v>
      </c>
    </row>
    <row r="1427" spans="1:3" x14ac:dyDescent="0.2">
      <c r="A1427" s="64">
        <v>34454</v>
      </c>
      <c r="B1427">
        <v>2769000</v>
      </c>
      <c r="C1427">
        <v>344000</v>
      </c>
    </row>
    <row r="1428" spans="1:3" x14ac:dyDescent="0.2">
      <c r="A1428" s="64">
        <v>34461</v>
      </c>
      <c r="B1428">
        <v>2726000</v>
      </c>
      <c r="C1428">
        <v>371000</v>
      </c>
    </row>
    <row r="1429" spans="1:3" x14ac:dyDescent="0.2">
      <c r="A1429" s="64">
        <v>34468</v>
      </c>
      <c r="B1429">
        <v>2792000</v>
      </c>
      <c r="C1429">
        <v>360000</v>
      </c>
    </row>
    <row r="1430" spans="1:3" x14ac:dyDescent="0.2">
      <c r="A1430" s="64">
        <v>34475</v>
      </c>
      <c r="B1430">
        <v>2766000</v>
      </c>
      <c r="C1430">
        <v>357000</v>
      </c>
    </row>
    <row r="1431" spans="1:3" x14ac:dyDescent="0.2">
      <c r="A1431" s="64">
        <v>34482</v>
      </c>
      <c r="B1431">
        <v>2727000</v>
      </c>
      <c r="C1431">
        <v>348000</v>
      </c>
    </row>
    <row r="1432" spans="1:3" x14ac:dyDescent="0.2">
      <c r="A1432" s="64">
        <v>34489</v>
      </c>
      <c r="B1432">
        <v>2740000</v>
      </c>
      <c r="C1432">
        <v>345000</v>
      </c>
    </row>
    <row r="1433" spans="1:3" x14ac:dyDescent="0.2">
      <c r="A1433" s="64">
        <v>34496</v>
      </c>
      <c r="B1433">
        <v>2755000</v>
      </c>
      <c r="C1433">
        <v>338000</v>
      </c>
    </row>
    <row r="1434" spans="1:3" x14ac:dyDescent="0.2">
      <c r="A1434" s="64">
        <v>34503</v>
      </c>
      <c r="B1434">
        <v>2698000</v>
      </c>
      <c r="C1434">
        <v>336000</v>
      </c>
    </row>
    <row r="1435" spans="1:3" x14ac:dyDescent="0.2">
      <c r="A1435" s="64">
        <v>34510</v>
      </c>
      <c r="B1435">
        <v>2687000</v>
      </c>
      <c r="C1435">
        <v>341000</v>
      </c>
    </row>
    <row r="1436" spans="1:3" x14ac:dyDescent="0.2">
      <c r="A1436" s="64">
        <v>34517</v>
      </c>
      <c r="B1436">
        <v>2672000</v>
      </c>
      <c r="C1436">
        <v>334000</v>
      </c>
    </row>
    <row r="1437" spans="1:3" x14ac:dyDescent="0.2">
      <c r="A1437" s="64">
        <v>34524</v>
      </c>
      <c r="B1437">
        <v>2670000</v>
      </c>
      <c r="C1437">
        <v>341000</v>
      </c>
    </row>
    <row r="1438" spans="1:3" x14ac:dyDescent="0.2">
      <c r="A1438" s="64">
        <v>34531</v>
      </c>
      <c r="B1438">
        <v>2680000</v>
      </c>
      <c r="C1438">
        <v>359000</v>
      </c>
    </row>
    <row r="1439" spans="1:3" x14ac:dyDescent="0.2">
      <c r="A1439" s="64">
        <v>34538</v>
      </c>
      <c r="B1439">
        <v>2650000</v>
      </c>
      <c r="C1439">
        <v>345000</v>
      </c>
    </row>
    <row r="1440" spans="1:3" x14ac:dyDescent="0.2">
      <c r="A1440" s="64">
        <v>34545</v>
      </c>
      <c r="B1440">
        <v>2626000</v>
      </c>
      <c r="C1440">
        <v>332000</v>
      </c>
    </row>
    <row r="1441" spans="1:3" x14ac:dyDescent="0.2">
      <c r="A1441" s="64">
        <v>34552</v>
      </c>
      <c r="B1441">
        <v>2644000</v>
      </c>
      <c r="C1441">
        <v>338000</v>
      </c>
    </row>
    <row r="1442" spans="1:3" x14ac:dyDescent="0.2">
      <c r="A1442" s="64">
        <v>34559</v>
      </c>
      <c r="B1442">
        <v>2639000</v>
      </c>
      <c r="C1442">
        <v>335000</v>
      </c>
    </row>
    <row r="1443" spans="1:3" x14ac:dyDescent="0.2">
      <c r="A1443" s="64">
        <v>34566</v>
      </c>
      <c r="B1443">
        <v>2659000</v>
      </c>
      <c r="C1443">
        <v>331000</v>
      </c>
    </row>
    <row r="1444" spans="1:3" x14ac:dyDescent="0.2">
      <c r="A1444" s="64">
        <v>34573</v>
      </c>
      <c r="B1444">
        <v>2648000</v>
      </c>
      <c r="C1444">
        <v>341000</v>
      </c>
    </row>
    <row r="1445" spans="1:3" x14ac:dyDescent="0.2">
      <c r="A1445" s="64">
        <v>34580</v>
      </c>
      <c r="B1445">
        <v>2645000</v>
      </c>
      <c r="C1445">
        <v>339000</v>
      </c>
    </row>
    <row r="1446" spans="1:3" x14ac:dyDescent="0.2">
      <c r="A1446" s="64">
        <v>34587</v>
      </c>
      <c r="B1446">
        <v>2633000</v>
      </c>
      <c r="C1446">
        <v>331000</v>
      </c>
    </row>
    <row r="1447" spans="1:3" x14ac:dyDescent="0.2">
      <c r="A1447" s="64">
        <v>34594</v>
      </c>
      <c r="B1447">
        <v>2638000</v>
      </c>
      <c r="C1447">
        <v>326000</v>
      </c>
    </row>
    <row r="1448" spans="1:3" x14ac:dyDescent="0.2">
      <c r="A1448" s="64">
        <v>34601</v>
      </c>
      <c r="B1448">
        <v>2601000</v>
      </c>
      <c r="C1448">
        <v>325000</v>
      </c>
    </row>
    <row r="1449" spans="1:3" x14ac:dyDescent="0.2">
      <c r="A1449" s="64">
        <v>34608</v>
      </c>
      <c r="B1449">
        <v>2597000</v>
      </c>
      <c r="C1449">
        <v>330000</v>
      </c>
    </row>
    <row r="1450" spans="1:3" x14ac:dyDescent="0.2">
      <c r="A1450" s="64">
        <v>34615</v>
      </c>
      <c r="B1450">
        <v>2561000</v>
      </c>
      <c r="C1450">
        <v>341000</v>
      </c>
    </row>
    <row r="1451" spans="1:3" x14ac:dyDescent="0.2">
      <c r="A1451" s="64">
        <v>34622</v>
      </c>
      <c r="B1451">
        <v>2620000</v>
      </c>
      <c r="C1451">
        <v>335000</v>
      </c>
    </row>
    <row r="1452" spans="1:3" x14ac:dyDescent="0.2">
      <c r="A1452" s="64">
        <v>34629</v>
      </c>
      <c r="B1452">
        <v>2556000</v>
      </c>
      <c r="C1452">
        <v>330000</v>
      </c>
    </row>
    <row r="1453" spans="1:3" x14ac:dyDescent="0.2">
      <c r="A1453" s="64">
        <v>34636</v>
      </c>
      <c r="B1453">
        <v>2536000</v>
      </c>
      <c r="C1453">
        <v>331000</v>
      </c>
    </row>
    <row r="1454" spans="1:3" x14ac:dyDescent="0.2">
      <c r="A1454" s="64">
        <v>34643</v>
      </c>
      <c r="B1454">
        <v>2538000</v>
      </c>
      <c r="C1454">
        <v>328000</v>
      </c>
    </row>
    <row r="1455" spans="1:3" x14ac:dyDescent="0.2">
      <c r="A1455" s="64">
        <v>34650</v>
      </c>
      <c r="B1455">
        <v>2528000</v>
      </c>
      <c r="C1455">
        <v>329000</v>
      </c>
    </row>
    <row r="1456" spans="1:3" x14ac:dyDescent="0.2">
      <c r="A1456" s="64">
        <v>34657</v>
      </c>
      <c r="B1456">
        <v>2533000</v>
      </c>
      <c r="C1456">
        <v>326000</v>
      </c>
    </row>
    <row r="1457" spans="1:3" x14ac:dyDescent="0.2">
      <c r="A1457" s="64">
        <v>34664</v>
      </c>
      <c r="B1457">
        <v>2530000</v>
      </c>
      <c r="C1457">
        <v>329000</v>
      </c>
    </row>
    <row r="1458" spans="1:3" x14ac:dyDescent="0.2">
      <c r="A1458" s="64">
        <v>34671</v>
      </c>
      <c r="B1458">
        <v>2513000</v>
      </c>
      <c r="C1458">
        <v>324000</v>
      </c>
    </row>
    <row r="1459" spans="1:3" x14ac:dyDescent="0.2">
      <c r="A1459" s="64">
        <v>34678</v>
      </c>
      <c r="B1459">
        <v>2508000</v>
      </c>
      <c r="C1459">
        <v>329000</v>
      </c>
    </row>
    <row r="1460" spans="1:3" x14ac:dyDescent="0.2">
      <c r="A1460" s="64">
        <v>34685</v>
      </c>
      <c r="B1460">
        <v>2557000</v>
      </c>
      <c r="C1460">
        <v>330000</v>
      </c>
    </row>
    <row r="1461" spans="1:3" x14ac:dyDescent="0.2">
      <c r="A1461" s="64">
        <v>34692</v>
      </c>
      <c r="B1461">
        <v>2567000</v>
      </c>
      <c r="C1461">
        <v>314000</v>
      </c>
    </row>
    <row r="1462" spans="1:3" x14ac:dyDescent="0.2">
      <c r="A1462" s="64">
        <v>34699</v>
      </c>
      <c r="B1462">
        <v>2499000</v>
      </c>
      <c r="C1462">
        <v>319000</v>
      </c>
    </row>
    <row r="1463" spans="1:3" x14ac:dyDescent="0.2">
      <c r="A1463" s="64">
        <v>34706</v>
      </c>
      <c r="B1463">
        <v>2486000</v>
      </c>
      <c r="C1463">
        <v>338000</v>
      </c>
    </row>
    <row r="1464" spans="1:3" x14ac:dyDescent="0.2">
      <c r="A1464" s="64">
        <v>34713</v>
      </c>
      <c r="B1464">
        <v>2559000</v>
      </c>
      <c r="C1464">
        <v>347000</v>
      </c>
    </row>
    <row r="1465" spans="1:3" x14ac:dyDescent="0.2">
      <c r="A1465" s="64">
        <v>34720</v>
      </c>
      <c r="B1465">
        <v>2473000</v>
      </c>
      <c r="C1465">
        <v>325000</v>
      </c>
    </row>
    <row r="1466" spans="1:3" x14ac:dyDescent="0.2">
      <c r="A1466" s="64">
        <v>34727</v>
      </c>
      <c r="B1466">
        <v>2532000</v>
      </c>
      <c r="C1466">
        <v>324000</v>
      </c>
    </row>
    <row r="1467" spans="1:3" x14ac:dyDescent="0.2">
      <c r="A1467" s="64">
        <v>34734</v>
      </c>
      <c r="B1467">
        <v>2501000</v>
      </c>
      <c r="C1467">
        <v>324000</v>
      </c>
    </row>
    <row r="1468" spans="1:3" x14ac:dyDescent="0.2">
      <c r="A1468" s="64">
        <v>34741</v>
      </c>
      <c r="B1468">
        <v>2515000</v>
      </c>
      <c r="C1468">
        <v>348000</v>
      </c>
    </row>
    <row r="1469" spans="1:3" x14ac:dyDescent="0.2">
      <c r="A1469" s="64">
        <v>34748</v>
      </c>
      <c r="B1469">
        <v>2541000</v>
      </c>
      <c r="C1469">
        <v>343000</v>
      </c>
    </row>
    <row r="1470" spans="1:3" x14ac:dyDescent="0.2">
      <c r="A1470" s="64">
        <v>34755</v>
      </c>
      <c r="B1470">
        <v>2533000</v>
      </c>
      <c r="C1470">
        <v>336000</v>
      </c>
    </row>
    <row r="1471" spans="1:3" x14ac:dyDescent="0.2">
      <c r="A1471" s="64">
        <v>34762</v>
      </c>
      <c r="B1471">
        <v>2518000</v>
      </c>
      <c r="C1471">
        <v>339000</v>
      </c>
    </row>
    <row r="1472" spans="1:3" x14ac:dyDescent="0.2">
      <c r="A1472" s="64">
        <v>34769</v>
      </c>
      <c r="B1472">
        <v>2564000</v>
      </c>
      <c r="C1472">
        <v>347000</v>
      </c>
    </row>
    <row r="1473" spans="1:3" x14ac:dyDescent="0.2">
      <c r="A1473" s="64">
        <v>34776</v>
      </c>
      <c r="B1473">
        <v>2513000</v>
      </c>
      <c r="C1473">
        <v>343000</v>
      </c>
    </row>
    <row r="1474" spans="1:3" x14ac:dyDescent="0.2">
      <c r="A1474" s="64">
        <v>34783</v>
      </c>
      <c r="B1474">
        <v>2530000</v>
      </c>
      <c r="C1474">
        <v>332000</v>
      </c>
    </row>
    <row r="1475" spans="1:3" x14ac:dyDescent="0.2">
      <c r="A1475" s="64">
        <v>34790</v>
      </c>
      <c r="B1475">
        <v>2484000</v>
      </c>
      <c r="C1475">
        <v>335000</v>
      </c>
    </row>
    <row r="1476" spans="1:3" x14ac:dyDescent="0.2">
      <c r="A1476" s="64">
        <v>34797</v>
      </c>
      <c r="B1476">
        <v>2500000</v>
      </c>
      <c r="C1476">
        <v>347000</v>
      </c>
    </row>
    <row r="1477" spans="1:3" x14ac:dyDescent="0.2">
      <c r="A1477" s="64">
        <v>34804</v>
      </c>
      <c r="B1477">
        <v>2505000</v>
      </c>
      <c r="C1477">
        <v>355000</v>
      </c>
    </row>
    <row r="1478" spans="1:3" x14ac:dyDescent="0.2">
      <c r="A1478" s="64">
        <v>34811</v>
      </c>
      <c r="B1478">
        <v>2569000</v>
      </c>
      <c r="C1478">
        <v>349000</v>
      </c>
    </row>
    <row r="1479" spans="1:3" x14ac:dyDescent="0.2">
      <c r="A1479" s="64">
        <v>34818</v>
      </c>
      <c r="B1479">
        <v>2539000</v>
      </c>
      <c r="C1479">
        <v>365000</v>
      </c>
    </row>
    <row r="1480" spans="1:3" x14ac:dyDescent="0.2">
      <c r="A1480" s="64">
        <v>34825</v>
      </c>
      <c r="B1480">
        <v>2535000</v>
      </c>
      <c r="C1480">
        <v>364000</v>
      </c>
    </row>
    <row r="1481" spans="1:3" x14ac:dyDescent="0.2">
      <c r="A1481" s="64">
        <v>34832</v>
      </c>
      <c r="B1481">
        <v>2567000</v>
      </c>
      <c r="C1481">
        <v>366000</v>
      </c>
    </row>
    <row r="1482" spans="1:3" x14ac:dyDescent="0.2">
      <c r="A1482" s="64">
        <v>34839</v>
      </c>
      <c r="B1482">
        <v>2616000</v>
      </c>
      <c r="C1482">
        <v>377000</v>
      </c>
    </row>
    <row r="1483" spans="1:3" x14ac:dyDescent="0.2">
      <c r="A1483" s="64">
        <v>34846</v>
      </c>
      <c r="B1483">
        <v>2574000</v>
      </c>
      <c r="C1483">
        <v>374000</v>
      </c>
    </row>
    <row r="1484" spans="1:3" x14ac:dyDescent="0.2">
      <c r="A1484" s="64">
        <v>34853</v>
      </c>
      <c r="B1484">
        <v>2608000</v>
      </c>
      <c r="C1484">
        <v>362000</v>
      </c>
    </row>
    <row r="1485" spans="1:3" x14ac:dyDescent="0.2">
      <c r="A1485" s="64">
        <v>34860</v>
      </c>
      <c r="B1485">
        <v>2614000</v>
      </c>
      <c r="C1485">
        <v>367000</v>
      </c>
    </row>
    <row r="1486" spans="1:3" x14ac:dyDescent="0.2">
      <c r="A1486" s="64">
        <v>34867</v>
      </c>
      <c r="B1486">
        <v>2603000</v>
      </c>
      <c r="C1486">
        <v>378000</v>
      </c>
    </row>
    <row r="1487" spans="1:3" x14ac:dyDescent="0.2">
      <c r="A1487" s="64">
        <v>34874</v>
      </c>
      <c r="B1487">
        <v>2602000</v>
      </c>
      <c r="C1487">
        <v>358000</v>
      </c>
    </row>
    <row r="1488" spans="1:3" x14ac:dyDescent="0.2">
      <c r="A1488" s="64">
        <v>34881</v>
      </c>
      <c r="B1488">
        <v>2596000</v>
      </c>
      <c r="C1488">
        <v>355000</v>
      </c>
    </row>
    <row r="1489" spans="1:3" x14ac:dyDescent="0.2">
      <c r="A1489" s="64">
        <v>34888</v>
      </c>
      <c r="B1489">
        <v>2651000</v>
      </c>
      <c r="C1489">
        <v>372000</v>
      </c>
    </row>
    <row r="1490" spans="1:3" x14ac:dyDescent="0.2">
      <c r="A1490" s="64">
        <v>34895</v>
      </c>
      <c r="B1490">
        <v>2677000</v>
      </c>
      <c r="C1490">
        <v>389000</v>
      </c>
    </row>
    <row r="1491" spans="1:3" x14ac:dyDescent="0.2">
      <c r="A1491" s="64">
        <v>34902</v>
      </c>
      <c r="B1491">
        <v>2605000</v>
      </c>
      <c r="C1491">
        <v>390000</v>
      </c>
    </row>
    <row r="1492" spans="1:3" x14ac:dyDescent="0.2">
      <c r="A1492" s="64">
        <v>34909</v>
      </c>
      <c r="B1492">
        <v>2585000</v>
      </c>
      <c r="C1492">
        <v>351000</v>
      </c>
    </row>
    <row r="1493" spans="1:3" x14ac:dyDescent="0.2">
      <c r="A1493" s="64">
        <v>34916</v>
      </c>
      <c r="B1493">
        <v>2592000</v>
      </c>
      <c r="C1493">
        <v>351000</v>
      </c>
    </row>
    <row r="1494" spans="1:3" x14ac:dyDescent="0.2">
      <c r="A1494" s="64">
        <v>34923</v>
      </c>
      <c r="B1494">
        <v>2612000</v>
      </c>
      <c r="C1494">
        <v>353000</v>
      </c>
    </row>
    <row r="1495" spans="1:3" x14ac:dyDescent="0.2">
      <c r="A1495" s="64">
        <v>34930</v>
      </c>
      <c r="B1495">
        <v>2615000</v>
      </c>
      <c r="C1495">
        <v>362000</v>
      </c>
    </row>
    <row r="1496" spans="1:3" x14ac:dyDescent="0.2">
      <c r="A1496" s="64">
        <v>34937</v>
      </c>
      <c r="B1496">
        <v>2610000</v>
      </c>
      <c r="C1496">
        <v>359000</v>
      </c>
    </row>
    <row r="1497" spans="1:3" x14ac:dyDescent="0.2">
      <c r="A1497" s="64">
        <v>34944</v>
      </c>
      <c r="B1497">
        <v>2613000</v>
      </c>
      <c r="C1497">
        <v>355000</v>
      </c>
    </row>
    <row r="1498" spans="1:3" x14ac:dyDescent="0.2">
      <c r="A1498" s="64">
        <v>34951</v>
      </c>
      <c r="B1498">
        <v>2636000</v>
      </c>
      <c r="C1498">
        <v>371000</v>
      </c>
    </row>
    <row r="1499" spans="1:3" x14ac:dyDescent="0.2">
      <c r="A1499" s="64">
        <v>34958</v>
      </c>
      <c r="B1499">
        <v>2650000</v>
      </c>
      <c r="C1499">
        <v>376000</v>
      </c>
    </row>
    <row r="1500" spans="1:3" x14ac:dyDescent="0.2">
      <c r="A1500" s="64">
        <v>34965</v>
      </c>
      <c r="B1500">
        <v>2626000</v>
      </c>
      <c r="C1500">
        <v>353000</v>
      </c>
    </row>
    <row r="1501" spans="1:3" x14ac:dyDescent="0.2">
      <c r="A1501" s="64">
        <v>34972</v>
      </c>
      <c r="B1501">
        <v>2609000</v>
      </c>
      <c r="C1501">
        <v>355000</v>
      </c>
    </row>
    <row r="1502" spans="1:3" x14ac:dyDescent="0.2">
      <c r="A1502" s="64">
        <v>34979</v>
      </c>
      <c r="B1502">
        <v>2651000</v>
      </c>
      <c r="C1502">
        <v>374000</v>
      </c>
    </row>
    <row r="1503" spans="1:3" x14ac:dyDescent="0.2">
      <c r="A1503" s="64">
        <v>34986</v>
      </c>
      <c r="B1503">
        <v>2688000</v>
      </c>
      <c r="C1503">
        <v>369000</v>
      </c>
    </row>
    <row r="1504" spans="1:3" x14ac:dyDescent="0.2">
      <c r="A1504" s="64">
        <v>34993</v>
      </c>
      <c r="B1504">
        <v>2640000</v>
      </c>
      <c r="C1504">
        <v>366000</v>
      </c>
    </row>
    <row r="1505" spans="1:3" x14ac:dyDescent="0.2">
      <c r="A1505" s="64">
        <v>35000</v>
      </c>
      <c r="B1505">
        <v>2674000</v>
      </c>
      <c r="C1505">
        <v>377000</v>
      </c>
    </row>
    <row r="1506" spans="1:3" x14ac:dyDescent="0.2">
      <c r="A1506" s="64">
        <v>35007</v>
      </c>
      <c r="B1506">
        <v>2649000</v>
      </c>
      <c r="C1506">
        <v>380000</v>
      </c>
    </row>
    <row r="1507" spans="1:3" x14ac:dyDescent="0.2">
      <c r="A1507" s="64">
        <v>35014</v>
      </c>
      <c r="B1507">
        <v>2674000</v>
      </c>
      <c r="C1507">
        <v>370000</v>
      </c>
    </row>
    <row r="1508" spans="1:3" x14ac:dyDescent="0.2">
      <c r="A1508" s="64">
        <v>35021</v>
      </c>
      <c r="B1508">
        <v>2653000</v>
      </c>
      <c r="C1508">
        <v>379000</v>
      </c>
    </row>
    <row r="1509" spans="1:3" x14ac:dyDescent="0.2">
      <c r="A1509" s="64">
        <v>35028</v>
      </c>
      <c r="B1509">
        <v>2712000</v>
      </c>
      <c r="C1509">
        <v>379000</v>
      </c>
    </row>
    <row r="1510" spans="1:3" x14ac:dyDescent="0.2">
      <c r="A1510" s="64">
        <v>35035</v>
      </c>
      <c r="B1510">
        <v>2623000</v>
      </c>
      <c r="C1510">
        <v>373000</v>
      </c>
    </row>
    <row r="1511" spans="1:3" x14ac:dyDescent="0.2">
      <c r="A1511" s="64">
        <v>35042</v>
      </c>
      <c r="B1511">
        <v>2629000</v>
      </c>
      <c r="C1511">
        <v>346000</v>
      </c>
    </row>
    <row r="1512" spans="1:3" x14ac:dyDescent="0.2">
      <c r="A1512" s="64">
        <v>35049</v>
      </c>
      <c r="B1512">
        <v>2631000</v>
      </c>
      <c r="C1512">
        <v>373000</v>
      </c>
    </row>
    <row r="1513" spans="1:3" x14ac:dyDescent="0.2">
      <c r="A1513" s="64">
        <v>35056</v>
      </c>
      <c r="B1513">
        <v>2622000</v>
      </c>
      <c r="C1513">
        <v>374000</v>
      </c>
    </row>
    <row r="1514" spans="1:3" x14ac:dyDescent="0.2">
      <c r="A1514" s="64">
        <v>35063</v>
      </c>
      <c r="B1514">
        <v>2558000</v>
      </c>
      <c r="C1514">
        <v>359000</v>
      </c>
    </row>
    <row r="1515" spans="1:3" x14ac:dyDescent="0.2">
      <c r="A1515" s="64">
        <v>35070</v>
      </c>
      <c r="B1515">
        <v>2549000</v>
      </c>
      <c r="C1515">
        <v>361000</v>
      </c>
    </row>
    <row r="1516" spans="1:3" x14ac:dyDescent="0.2">
      <c r="A1516" s="64">
        <v>35077</v>
      </c>
      <c r="B1516">
        <v>2702000</v>
      </c>
      <c r="C1516">
        <v>333000</v>
      </c>
    </row>
    <row r="1517" spans="1:3" x14ac:dyDescent="0.2">
      <c r="A1517" s="64">
        <v>35084</v>
      </c>
      <c r="B1517">
        <v>2707000</v>
      </c>
      <c r="C1517">
        <v>415000</v>
      </c>
    </row>
    <row r="1518" spans="1:3" x14ac:dyDescent="0.2">
      <c r="A1518" s="64">
        <v>35091</v>
      </c>
      <c r="B1518">
        <v>2637000</v>
      </c>
      <c r="C1518">
        <v>387000</v>
      </c>
    </row>
    <row r="1519" spans="1:3" x14ac:dyDescent="0.2">
      <c r="A1519" s="64">
        <v>35098</v>
      </c>
      <c r="B1519">
        <v>2750000</v>
      </c>
      <c r="C1519">
        <v>374000</v>
      </c>
    </row>
    <row r="1520" spans="1:3" x14ac:dyDescent="0.2">
      <c r="A1520" s="64">
        <v>35105</v>
      </c>
      <c r="B1520">
        <v>2672000</v>
      </c>
      <c r="C1520">
        <v>387000</v>
      </c>
    </row>
    <row r="1521" spans="1:3" x14ac:dyDescent="0.2">
      <c r="A1521" s="64">
        <v>35112</v>
      </c>
      <c r="B1521">
        <v>2694000</v>
      </c>
      <c r="C1521">
        <v>383000</v>
      </c>
    </row>
    <row r="1522" spans="1:3" x14ac:dyDescent="0.2">
      <c r="A1522" s="64">
        <v>35119</v>
      </c>
      <c r="B1522">
        <v>2655000</v>
      </c>
      <c r="C1522">
        <v>365000</v>
      </c>
    </row>
    <row r="1523" spans="1:3" x14ac:dyDescent="0.2">
      <c r="A1523" s="64">
        <v>35126</v>
      </c>
      <c r="B1523">
        <v>2688000</v>
      </c>
      <c r="C1523">
        <v>368000</v>
      </c>
    </row>
    <row r="1524" spans="1:3" x14ac:dyDescent="0.2">
      <c r="A1524" s="64">
        <v>35133</v>
      </c>
      <c r="B1524">
        <v>2647000</v>
      </c>
      <c r="C1524">
        <v>361000</v>
      </c>
    </row>
    <row r="1525" spans="1:3" x14ac:dyDescent="0.2">
      <c r="A1525" s="64">
        <v>35140</v>
      </c>
      <c r="B1525">
        <v>2677000</v>
      </c>
      <c r="C1525">
        <v>384000</v>
      </c>
    </row>
    <row r="1526" spans="1:3" x14ac:dyDescent="0.2">
      <c r="A1526" s="64">
        <v>35147</v>
      </c>
      <c r="B1526">
        <v>2738000</v>
      </c>
      <c r="C1526">
        <v>426000</v>
      </c>
    </row>
    <row r="1527" spans="1:3" x14ac:dyDescent="0.2">
      <c r="A1527" s="64">
        <v>35154</v>
      </c>
      <c r="B1527">
        <v>2675000</v>
      </c>
      <c r="C1527">
        <v>393000</v>
      </c>
    </row>
    <row r="1528" spans="1:3" x14ac:dyDescent="0.2">
      <c r="A1528" s="64">
        <v>35161</v>
      </c>
      <c r="B1528">
        <v>2648000</v>
      </c>
      <c r="C1528">
        <v>369000</v>
      </c>
    </row>
    <row r="1529" spans="1:3" x14ac:dyDescent="0.2">
      <c r="A1529" s="64">
        <v>35168</v>
      </c>
      <c r="B1529">
        <v>2657000</v>
      </c>
      <c r="C1529">
        <v>357000</v>
      </c>
    </row>
    <row r="1530" spans="1:3" x14ac:dyDescent="0.2">
      <c r="A1530" s="64">
        <v>35175</v>
      </c>
      <c r="B1530">
        <v>2620000</v>
      </c>
      <c r="C1530">
        <v>368000</v>
      </c>
    </row>
    <row r="1531" spans="1:3" x14ac:dyDescent="0.2">
      <c r="A1531" s="64">
        <v>35182</v>
      </c>
      <c r="B1531">
        <v>2609000</v>
      </c>
      <c r="C1531">
        <v>343000</v>
      </c>
    </row>
    <row r="1532" spans="1:3" x14ac:dyDescent="0.2">
      <c r="A1532" s="64">
        <v>35189</v>
      </c>
      <c r="B1532">
        <v>2602000</v>
      </c>
      <c r="C1532">
        <v>338000</v>
      </c>
    </row>
    <row r="1533" spans="1:3" x14ac:dyDescent="0.2">
      <c r="A1533" s="64">
        <v>35196</v>
      </c>
      <c r="B1533">
        <v>2586000</v>
      </c>
      <c r="C1533">
        <v>352000</v>
      </c>
    </row>
    <row r="1534" spans="1:3" x14ac:dyDescent="0.2">
      <c r="A1534" s="64">
        <v>35203</v>
      </c>
      <c r="B1534">
        <v>2584000</v>
      </c>
      <c r="C1534">
        <v>345000</v>
      </c>
    </row>
    <row r="1535" spans="1:3" x14ac:dyDescent="0.2">
      <c r="A1535" s="64">
        <v>35210</v>
      </c>
      <c r="B1535">
        <v>2590000</v>
      </c>
      <c r="C1535">
        <v>343000</v>
      </c>
    </row>
    <row r="1536" spans="1:3" x14ac:dyDescent="0.2">
      <c r="A1536" s="64">
        <v>35217</v>
      </c>
      <c r="B1536">
        <v>2553000</v>
      </c>
      <c r="C1536">
        <v>340000</v>
      </c>
    </row>
    <row r="1537" spans="1:3" x14ac:dyDescent="0.2">
      <c r="A1537" s="64">
        <v>35224</v>
      </c>
      <c r="B1537">
        <v>2521000</v>
      </c>
      <c r="C1537">
        <v>351000</v>
      </c>
    </row>
    <row r="1538" spans="1:3" x14ac:dyDescent="0.2">
      <c r="A1538" s="64">
        <v>35231</v>
      </c>
      <c r="B1538">
        <v>2560000</v>
      </c>
      <c r="C1538">
        <v>342000</v>
      </c>
    </row>
    <row r="1539" spans="1:3" x14ac:dyDescent="0.2">
      <c r="A1539" s="64">
        <v>35238</v>
      </c>
      <c r="B1539">
        <v>2550000</v>
      </c>
      <c r="C1539">
        <v>341000</v>
      </c>
    </row>
    <row r="1540" spans="1:3" x14ac:dyDescent="0.2">
      <c r="A1540" s="64">
        <v>35245</v>
      </c>
      <c r="B1540">
        <v>2556000</v>
      </c>
      <c r="C1540">
        <v>337000</v>
      </c>
    </row>
    <row r="1541" spans="1:3" x14ac:dyDescent="0.2">
      <c r="A1541" s="64">
        <v>35252</v>
      </c>
      <c r="B1541">
        <v>2501000</v>
      </c>
      <c r="C1541">
        <v>342000</v>
      </c>
    </row>
    <row r="1542" spans="1:3" x14ac:dyDescent="0.2">
      <c r="A1542" s="64">
        <v>35259</v>
      </c>
      <c r="B1542">
        <v>2495000</v>
      </c>
      <c r="C1542">
        <v>347000</v>
      </c>
    </row>
    <row r="1543" spans="1:3" x14ac:dyDescent="0.2">
      <c r="A1543" s="64">
        <v>35266</v>
      </c>
      <c r="B1543">
        <v>2492000</v>
      </c>
      <c r="C1543">
        <v>332000</v>
      </c>
    </row>
    <row r="1544" spans="1:3" x14ac:dyDescent="0.2">
      <c r="A1544" s="64">
        <v>35273</v>
      </c>
      <c r="B1544">
        <v>2472000</v>
      </c>
      <c r="C1544">
        <v>327000</v>
      </c>
    </row>
    <row r="1545" spans="1:3" x14ac:dyDescent="0.2">
      <c r="A1545" s="64">
        <v>35280</v>
      </c>
      <c r="B1545">
        <v>2476000</v>
      </c>
      <c r="C1545">
        <v>326000</v>
      </c>
    </row>
    <row r="1546" spans="1:3" x14ac:dyDescent="0.2">
      <c r="A1546" s="64">
        <v>35287</v>
      </c>
      <c r="B1546">
        <v>2492000</v>
      </c>
      <c r="C1546">
        <v>331000</v>
      </c>
    </row>
    <row r="1547" spans="1:3" x14ac:dyDescent="0.2">
      <c r="A1547" s="64">
        <v>35294</v>
      </c>
      <c r="B1547">
        <v>2495000</v>
      </c>
      <c r="C1547">
        <v>336000</v>
      </c>
    </row>
    <row r="1548" spans="1:3" x14ac:dyDescent="0.2">
      <c r="A1548" s="64">
        <v>35301</v>
      </c>
      <c r="B1548">
        <v>2493000</v>
      </c>
      <c r="C1548">
        <v>337000</v>
      </c>
    </row>
    <row r="1549" spans="1:3" x14ac:dyDescent="0.2">
      <c r="A1549" s="64">
        <v>35308</v>
      </c>
      <c r="B1549">
        <v>2516000</v>
      </c>
      <c r="C1549">
        <v>329000</v>
      </c>
    </row>
    <row r="1550" spans="1:3" x14ac:dyDescent="0.2">
      <c r="A1550" s="64">
        <v>35315</v>
      </c>
      <c r="B1550">
        <v>2443000</v>
      </c>
      <c r="C1550">
        <v>333000</v>
      </c>
    </row>
    <row r="1551" spans="1:3" x14ac:dyDescent="0.2">
      <c r="A1551" s="64">
        <v>35322</v>
      </c>
      <c r="B1551">
        <v>2486000</v>
      </c>
      <c r="C1551">
        <v>338000</v>
      </c>
    </row>
    <row r="1552" spans="1:3" x14ac:dyDescent="0.2">
      <c r="A1552" s="64">
        <v>35329</v>
      </c>
      <c r="B1552">
        <v>2484000</v>
      </c>
      <c r="C1552">
        <v>352000</v>
      </c>
    </row>
    <row r="1553" spans="1:3" x14ac:dyDescent="0.2">
      <c r="A1553" s="64">
        <v>35336</v>
      </c>
      <c r="B1553">
        <v>2479000</v>
      </c>
      <c r="C1553">
        <v>348000</v>
      </c>
    </row>
    <row r="1554" spans="1:3" x14ac:dyDescent="0.2">
      <c r="A1554" s="64">
        <v>35343</v>
      </c>
      <c r="B1554">
        <v>2496000</v>
      </c>
      <c r="C1554">
        <v>335000</v>
      </c>
    </row>
    <row r="1555" spans="1:3" x14ac:dyDescent="0.2">
      <c r="A1555" s="64">
        <v>35350</v>
      </c>
      <c r="B1555">
        <v>2422000</v>
      </c>
      <c r="C1555">
        <v>334000</v>
      </c>
    </row>
    <row r="1556" spans="1:3" x14ac:dyDescent="0.2">
      <c r="A1556" s="64">
        <v>35357</v>
      </c>
      <c r="B1556">
        <v>2449000</v>
      </c>
      <c r="C1556">
        <v>335000</v>
      </c>
    </row>
    <row r="1557" spans="1:3" x14ac:dyDescent="0.2">
      <c r="A1557" s="64">
        <v>35364</v>
      </c>
      <c r="B1557">
        <v>2474000</v>
      </c>
      <c r="C1557">
        <v>352000</v>
      </c>
    </row>
    <row r="1558" spans="1:3" x14ac:dyDescent="0.2">
      <c r="A1558" s="64">
        <v>35371</v>
      </c>
      <c r="B1558">
        <v>2452000</v>
      </c>
      <c r="C1558">
        <v>334000</v>
      </c>
    </row>
    <row r="1559" spans="1:3" x14ac:dyDescent="0.2">
      <c r="A1559" s="64">
        <v>35378</v>
      </c>
      <c r="B1559">
        <v>2475000</v>
      </c>
      <c r="C1559">
        <v>327000</v>
      </c>
    </row>
    <row r="1560" spans="1:3" x14ac:dyDescent="0.2">
      <c r="A1560" s="64">
        <v>35385</v>
      </c>
      <c r="B1560">
        <v>2406000</v>
      </c>
      <c r="C1560">
        <v>342000</v>
      </c>
    </row>
    <row r="1561" spans="1:3" x14ac:dyDescent="0.2">
      <c r="A1561" s="64">
        <v>35392</v>
      </c>
      <c r="B1561">
        <v>2350000</v>
      </c>
      <c r="C1561">
        <v>347000</v>
      </c>
    </row>
    <row r="1562" spans="1:3" x14ac:dyDescent="0.2">
      <c r="A1562" s="64">
        <v>35399</v>
      </c>
      <c r="B1562">
        <v>2460000</v>
      </c>
      <c r="C1562">
        <v>332000</v>
      </c>
    </row>
    <row r="1563" spans="1:3" x14ac:dyDescent="0.2">
      <c r="A1563" s="64">
        <v>35406</v>
      </c>
      <c r="B1563">
        <v>2484000</v>
      </c>
      <c r="C1563">
        <v>355000</v>
      </c>
    </row>
    <row r="1564" spans="1:3" x14ac:dyDescent="0.2">
      <c r="A1564" s="64">
        <v>35413</v>
      </c>
      <c r="B1564">
        <v>2464000</v>
      </c>
      <c r="C1564">
        <v>352000</v>
      </c>
    </row>
    <row r="1565" spans="1:3" x14ac:dyDescent="0.2">
      <c r="A1565" s="64">
        <v>35420</v>
      </c>
      <c r="B1565">
        <v>2506000</v>
      </c>
      <c r="C1565">
        <v>350000</v>
      </c>
    </row>
    <row r="1566" spans="1:3" x14ac:dyDescent="0.2">
      <c r="A1566" s="64">
        <v>35427</v>
      </c>
      <c r="B1566">
        <v>2497000</v>
      </c>
      <c r="C1566">
        <v>357000</v>
      </c>
    </row>
    <row r="1567" spans="1:3" x14ac:dyDescent="0.2">
      <c r="A1567" s="64">
        <v>35434</v>
      </c>
      <c r="B1567">
        <v>2552000</v>
      </c>
      <c r="C1567">
        <v>347000</v>
      </c>
    </row>
    <row r="1568" spans="1:3" x14ac:dyDescent="0.2">
      <c r="A1568" s="64">
        <v>35441</v>
      </c>
      <c r="B1568">
        <v>2473000</v>
      </c>
      <c r="C1568">
        <v>324000</v>
      </c>
    </row>
    <row r="1569" spans="1:3" x14ac:dyDescent="0.2">
      <c r="A1569" s="64">
        <v>35448</v>
      </c>
      <c r="B1569">
        <v>2434000</v>
      </c>
      <c r="C1569">
        <v>345000</v>
      </c>
    </row>
    <row r="1570" spans="1:3" x14ac:dyDescent="0.2">
      <c r="A1570" s="64">
        <v>35455</v>
      </c>
      <c r="B1570">
        <v>2492000</v>
      </c>
      <c r="C1570">
        <v>340000</v>
      </c>
    </row>
    <row r="1571" spans="1:3" x14ac:dyDescent="0.2">
      <c r="A1571" s="64">
        <v>35462</v>
      </c>
      <c r="B1571">
        <v>2403000</v>
      </c>
      <c r="C1571">
        <v>333000</v>
      </c>
    </row>
    <row r="1572" spans="1:3" x14ac:dyDescent="0.2">
      <c r="A1572" s="64">
        <v>35469</v>
      </c>
      <c r="B1572">
        <v>2436000</v>
      </c>
      <c r="C1572">
        <v>315000</v>
      </c>
    </row>
    <row r="1573" spans="1:3" x14ac:dyDescent="0.2">
      <c r="A1573" s="64">
        <v>35476</v>
      </c>
      <c r="B1573">
        <v>2407000</v>
      </c>
      <c r="C1573">
        <v>313000</v>
      </c>
    </row>
    <row r="1574" spans="1:3" x14ac:dyDescent="0.2">
      <c r="A1574" s="64">
        <v>35483</v>
      </c>
      <c r="B1574">
        <v>2414000</v>
      </c>
      <c r="C1574">
        <v>322000</v>
      </c>
    </row>
    <row r="1575" spans="1:3" x14ac:dyDescent="0.2">
      <c r="A1575" s="64">
        <v>35490</v>
      </c>
      <c r="B1575">
        <v>2370000</v>
      </c>
      <c r="C1575">
        <v>321000</v>
      </c>
    </row>
    <row r="1576" spans="1:3" x14ac:dyDescent="0.2">
      <c r="A1576" s="64">
        <v>35497</v>
      </c>
      <c r="B1576">
        <v>2371000</v>
      </c>
      <c r="C1576">
        <v>317000</v>
      </c>
    </row>
    <row r="1577" spans="1:3" x14ac:dyDescent="0.2">
      <c r="A1577" s="64">
        <v>35504</v>
      </c>
      <c r="B1577">
        <v>2344000</v>
      </c>
      <c r="C1577">
        <v>319000</v>
      </c>
    </row>
    <row r="1578" spans="1:3" x14ac:dyDescent="0.2">
      <c r="A1578" s="64">
        <v>35511</v>
      </c>
      <c r="B1578">
        <v>2322000</v>
      </c>
      <c r="C1578">
        <v>315000</v>
      </c>
    </row>
    <row r="1579" spans="1:3" x14ac:dyDescent="0.2">
      <c r="A1579" s="64">
        <v>35518</v>
      </c>
      <c r="B1579">
        <v>2331000</v>
      </c>
      <c r="C1579">
        <v>325000</v>
      </c>
    </row>
    <row r="1580" spans="1:3" x14ac:dyDescent="0.2">
      <c r="A1580" s="64">
        <v>35525</v>
      </c>
      <c r="B1580">
        <v>2359000</v>
      </c>
      <c r="C1580">
        <v>325000</v>
      </c>
    </row>
    <row r="1581" spans="1:3" x14ac:dyDescent="0.2">
      <c r="A1581" s="64">
        <v>35532</v>
      </c>
      <c r="B1581">
        <v>2307000</v>
      </c>
      <c r="C1581">
        <v>330000</v>
      </c>
    </row>
    <row r="1582" spans="1:3" x14ac:dyDescent="0.2">
      <c r="A1582" s="64">
        <v>35539</v>
      </c>
      <c r="B1582">
        <v>2304000</v>
      </c>
      <c r="C1582">
        <v>316000</v>
      </c>
    </row>
    <row r="1583" spans="1:3" x14ac:dyDescent="0.2">
      <c r="A1583" s="64">
        <v>35546</v>
      </c>
      <c r="B1583">
        <v>2327000</v>
      </c>
      <c r="C1583">
        <v>337000</v>
      </c>
    </row>
    <row r="1584" spans="1:3" x14ac:dyDescent="0.2">
      <c r="A1584" s="64">
        <v>35553</v>
      </c>
      <c r="B1584">
        <v>2339000</v>
      </c>
      <c r="C1584">
        <v>342000</v>
      </c>
    </row>
    <row r="1585" spans="1:3" x14ac:dyDescent="0.2">
      <c r="A1585" s="64">
        <v>35560</v>
      </c>
      <c r="B1585">
        <v>2318000</v>
      </c>
      <c r="C1585">
        <v>318000</v>
      </c>
    </row>
    <row r="1586" spans="1:3" x14ac:dyDescent="0.2">
      <c r="A1586" s="64">
        <v>35567</v>
      </c>
      <c r="B1586">
        <v>2276000</v>
      </c>
      <c r="C1586">
        <v>322000</v>
      </c>
    </row>
    <row r="1587" spans="1:3" x14ac:dyDescent="0.2">
      <c r="A1587" s="64">
        <v>35574</v>
      </c>
      <c r="B1587">
        <v>2274000</v>
      </c>
      <c r="C1587">
        <v>316000</v>
      </c>
    </row>
    <row r="1588" spans="1:3" x14ac:dyDescent="0.2">
      <c r="A1588" s="64">
        <v>35581</v>
      </c>
      <c r="B1588">
        <v>2307000</v>
      </c>
      <c r="C1588">
        <v>321000</v>
      </c>
    </row>
    <row r="1589" spans="1:3" x14ac:dyDescent="0.2">
      <c r="A1589" s="64">
        <v>35588</v>
      </c>
      <c r="B1589">
        <v>2276000</v>
      </c>
      <c r="C1589">
        <v>329000</v>
      </c>
    </row>
    <row r="1590" spans="1:3" x14ac:dyDescent="0.2">
      <c r="A1590" s="64">
        <v>35595</v>
      </c>
      <c r="B1590">
        <v>2265000</v>
      </c>
      <c r="C1590">
        <v>335000</v>
      </c>
    </row>
    <row r="1591" spans="1:3" x14ac:dyDescent="0.2">
      <c r="A1591" s="64">
        <v>35602</v>
      </c>
      <c r="B1591">
        <v>2303000</v>
      </c>
      <c r="C1591">
        <v>316000</v>
      </c>
    </row>
    <row r="1592" spans="1:3" x14ac:dyDescent="0.2">
      <c r="A1592" s="64">
        <v>35609</v>
      </c>
      <c r="B1592">
        <v>2338000</v>
      </c>
      <c r="C1592">
        <v>322000</v>
      </c>
    </row>
    <row r="1593" spans="1:3" x14ac:dyDescent="0.2">
      <c r="A1593" s="64">
        <v>35616</v>
      </c>
      <c r="B1593">
        <v>2289000</v>
      </c>
      <c r="C1593">
        <v>346000</v>
      </c>
    </row>
    <row r="1594" spans="1:3" x14ac:dyDescent="0.2">
      <c r="A1594" s="64">
        <v>35623</v>
      </c>
      <c r="B1594">
        <v>2262000</v>
      </c>
      <c r="C1594">
        <v>328000</v>
      </c>
    </row>
    <row r="1595" spans="1:3" x14ac:dyDescent="0.2">
      <c r="A1595" s="64">
        <v>35630</v>
      </c>
      <c r="B1595">
        <v>2268000</v>
      </c>
      <c r="C1595">
        <v>301000</v>
      </c>
    </row>
    <row r="1596" spans="1:3" x14ac:dyDescent="0.2">
      <c r="A1596" s="64">
        <v>35637</v>
      </c>
      <c r="B1596">
        <v>2259000</v>
      </c>
      <c r="C1596">
        <v>306000</v>
      </c>
    </row>
    <row r="1597" spans="1:3" x14ac:dyDescent="0.2">
      <c r="A1597" s="64">
        <v>35644</v>
      </c>
      <c r="B1597">
        <v>2235000</v>
      </c>
      <c r="C1597">
        <v>320000</v>
      </c>
    </row>
    <row r="1598" spans="1:3" x14ac:dyDescent="0.2">
      <c r="A1598" s="64">
        <v>35651</v>
      </c>
      <c r="B1598">
        <v>2270000</v>
      </c>
      <c r="C1598">
        <v>329000</v>
      </c>
    </row>
    <row r="1599" spans="1:3" x14ac:dyDescent="0.2">
      <c r="A1599" s="64">
        <v>35658</v>
      </c>
      <c r="B1599">
        <v>2290000</v>
      </c>
      <c r="C1599">
        <v>343000</v>
      </c>
    </row>
    <row r="1600" spans="1:3" x14ac:dyDescent="0.2">
      <c r="A1600" s="64">
        <v>35665</v>
      </c>
      <c r="B1600">
        <v>2283000</v>
      </c>
      <c r="C1600">
        <v>327000</v>
      </c>
    </row>
    <row r="1601" spans="1:3" x14ac:dyDescent="0.2">
      <c r="A1601" s="64">
        <v>35672</v>
      </c>
      <c r="B1601">
        <v>2284000</v>
      </c>
      <c r="C1601">
        <v>332000</v>
      </c>
    </row>
    <row r="1602" spans="1:3" x14ac:dyDescent="0.2">
      <c r="A1602" s="64">
        <v>35679</v>
      </c>
      <c r="B1602">
        <v>2265000</v>
      </c>
      <c r="C1602">
        <v>313000</v>
      </c>
    </row>
    <row r="1603" spans="1:3" x14ac:dyDescent="0.2">
      <c r="A1603" s="64">
        <v>35686</v>
      </c>
      <c r="B1603">
        <v>2200000</v>
      </c>
      <c r="C1603">
        <v>314000</v>
      </c>
    </row>
    <row r="1604" spans="1:3" x14ac:dyDescent="0.2">
      <c r="A1604" s="64">
        <v>35693</v>
      </c>
      <c r="B1604">
        <v>2241000</v>
      </c>
      <c r="C1604">
        <v>317000</v>
      </c>
    </row>
    <row r="1605" spans="1:3" x14ac:dyDescent="0.2">
      <c r="A1605" s="64">
        <v>35700</v>
      </c>
      <c r="B1605">
        <v>2233000</v>
      </c>
      <c r="C1605">
        <v>317000</v>
      </c>
    </row>
    <row r="1606" spans="1:3" x14ac:dyDescent="0.2">
      <c r="A1606" s="64">
        <v>35707</v>
      </c>
      <c r="B1606">
        <v>2239000</v>
      </c>
      <c r="C1606">
        <v>311000</v>
      </c>
    </row>
    <row r="1607" spans="1:3" x14ac:dyDescent="0.2">
      <c r="A1607" s="64">
        <v>35714</v>
      </c>
      <c r="B1607">
        <v>2213000</v>
      </c>
      <c r="C1607">
        <v>305000</v>
      </c>
    </row>
    <row r="1608" spans="1:3" x14ac:dyDescent="0.2">
      <c r="A1608" s="64">
        <v>35721</v>
      </c>
      <c r="B1608">
        <v>2182000</v>
      </c>
      <c r="C1608">
        <v>318000</v>
      </c>
    </row>
    <row r="1609" spans="1:3" x14ac:dyDescent="0.2">
      <c r="A1609" s="64">
        <v>35728</v>
      </c>
      <c r="B1609">
        <v>2228000</v>
      </c>
      <c r="C1609">
        <v>306000</v>
      </c>
    </row>
    <row r="1610" spans="1:3" x14ac:dyDescent="0.2">
      <c r="A1610" s="64">
        <v>35735</v>
      </c>
      <c r="B1610">
        <v>2201000</v>
      </c>
      <c r="C1610">
        <v>313000</v>
      </c>
    </row>
    <row r="1611" spans="1:3" x14ac:dyDescent="0.2">
      <c r="A1611" s="64">
        <v>35742</v>
      </c>
      <c r="B1611">
        <v>2207000</v>
      </c>
      <c r="C1611">
        <v>308000</v>
      </c>
    </row>
    <row r="1612" spans="1:3" x14ac:dyDescent="0.2">
      <c r="A1612" s="64">
        <v>35749</v>
      </c>
      <c r="B1612">
        <v>2209000</v>
      </c>
      <c r="C1612">
        <v>325000</v>
      </c>
    </row>
    <row r="1613" spans="1:3" x14ac:dyDescent="0.2">
      <c r="A1613" s="64">
        <v>35756</v>
      </c>
      <c r="B1613">
        <v>2216000</v>
      </c>
      <c r="C1613">
        <v>309000</v>
      </c>
    </row>
    <row r="1614" spans="1:3" x14ac:dyDescent="0.2">
      <c r="A1614" s="64">
        <v>35763</v>
      </c>
      <c r="B1614">
        <v>2242000</v>
      </c>
      <c r="C1614">
        <v>318000</v>
      </c>
    </row>
    <row r="1615" spans="1:3" x14ac:dyDescent="0.2">
      <c r="A1615" s="64">
        <v>35770</v>
      </c>
      <c r="B1615">
        <v>2230000</v>
      </c>
      <c r="C1615">
        <v>317000</v>
      </c>
    </row>
    <row r="1616" spans="1:3" x14ac:dyDescent="0.2">
      <c r="A1616" s="64">
        <v>35777</v>
      </c>
      <c r="B1616">
        <v>2231000</v>
      </c>
      <c r="C1616">
        <v>323000</v>
      </c>
    </row>
    <row r="1617" spans="1:3" x14ac:dyDescent="0.2">
      <c r="A1617" s="64">
        <v>35784</v>
      </c>
      <c r="B1617">
        <v>2189000</v>
      </c>
      <c r="C1617">
        <v>310000</v>
      </c>
    </row>
    <row r="1618" spans="1:3" x14ac:dyDescent="0.2">
      <c r="A1618" s="64">
        <v>35791</v>
      </c>
      <c r="B1618">
        <v>2291000</v>
      </c>
      <c r="C1618">
        <v>303000</v>
      </c>
    </row>
    <row r="1619" spans="1:3" x14ac:dyDescent="0.2">
      <c r="A1619" s="64">
        <v>35798</v>
      </c>
      <c r="B1619">
        <v>2369000</v>
      </c>
      <c r="C1619">
        <v>312000</v>
      </c>
    </row>
    <row r="1620" spans="1:3" x14ac:dyDescent="0.2">
      <c r="A1620" s="64">
        <v>35805</v>
      </c>
      <c r="B1620">
        <v>2291000</v>
      </c>
      <c r="C1620">
        <v>331000</v>
      </c>
    </row>
    <row r="1621" spans="1:3" x14ac:dyDescent="0.2">
      <c r="A1621" s="64">
        <v>35812</v>
      </c>
      <c r="B1621">
        <v>2241000</v>
      </c>
      <c r="C1621">
        <v>341000</v>
      </c>
    </row>
    <row r="1622" spans="1:3" x14ac:dyDescent="0.2">
      <c r="A1622" s="64">
        <v>35819</v>
      </c>
      <c r="B1622">
        <v>2275000</v>
      </c>
      <c r="C1622">
        <v>307000</v>
      </c>
    </row>
    <row r="1623" spans="1:3" x14ac:dyDescent="0.2">
      <c r="A1623" s="64">
        <v>35826</v>
      </c>
      <c r="B1623">
        <v>2200000</v>
      </c>
      <c r="C1623">
        <v>315000</v>
      </c>
    </row>
    <row r="1624" spans="1:3" x14ac:dyDescent="0.2">
      <c r="A1624" s="64">
        <v>35833</v>
      </c>
      <c r="B1624">
        <v>2253000</v>
      </c>
      <c r="C1624">
        <v>311000</v>
      </c>
    </row>
    <row r="1625" spans="1:3" x14ac:dyDescent="0.2">
      <c r="A1625" s="64">
        <v>35840</v>
      </c>
      <c r="B1625">
        <v>2227000</v>
      </c>
      <c r="C1625">
        <v>321000</v>
      </c>
    </row>
    <row r="1626" spans="1:3" x14ac:dyDescent="0.2">
      <c r="A1626" s="64">
        <v>35847</v>
      </c>
      <c r="B1626">
        <v>2208000</v>
      </c>
      <c r="C1626">
        <v>327000</v>
      </c>
    </row>
    <row r="1627" spans="1:3" x14ac:dyDescent="0.2">
      <c r="A1627" s="64">
        <v>35854</v>
      </c>
      <c r="B1627">
        <v>2209000</v>
      </c>
      <c r="C1627">
        <v>317000</v>
      </c>
    </row>
    <row r="1628" spans="1:3" x14ac:dyDescent="0.2">
      <c r="A1628" s="64">
        <v>35861</v>
      </c>
      <c r="B1628">
        <v>2208000</v>
      </c>
      <c r="C1628">
        <v>308000</v>
      </c>
    </row>
    <row r="1629" spans="1:3" x14ac:dyDescent="0.2">
      <c r="A1629" s="64">
        <v>35868</v>
      </c>
      <c r="B1629">
        <v>2237000</v>
      </c>
      <c r="C1629">
        <v>319000</v>
      </c>
    </row>
    <row r="1630" spans="1:3" x14ac:dyDescent="0.2">
      <c r="A1630" s="64">
        <v>35875</v>
      </c>
      <c r="B1630">
        <v>2227000</v>
      </c>
      <c r="C1630">
        <v>321000</v>
      </c>
    </row>
    <row r="1631" spans="1:3" x14ac:dyDescent="0.2">
      <c r="A1631" s="64">
        <v>35882</v>
      </c>
      <c r="B1631">
        <v>2215000</v>
      </c>
      <c r="C1631">
        <v>312000</v>
      </c>
    </row>
    <row r="1632" spans="1:3" x14ac:dyDescent="0.2">
      <c r="A1632" s="64">
        <v>35889</v>
      </c>
      <c r="B1632">
        <v>2166000</v>
      </c>
      <c r="C1632">
        <v>312000</v>
      </c>
    </row>
    <row r="1633" spans="1:3" x14ac:dyDescent="0.2">
      <c r="A1633" s="64">
        <v>35896</v>
      </c>
      <c r="B1633">
        <v>2202000</v>
      </c>
      <c r="C1633">
        <v>304000</v>
      </c>
    </row>
    <row r="1634" spans="1:3" x14ac:dyDescent="0.2">
      <c r="A1634" s="64">
        <v>35903</v>
      </c>
      <c r="B1634">
        <v>2210000</v>
      </c>
      <c r="C1634">
        <v>317000</v>
      </c>
    </row>
    <row r="1635" spans="1:3" x14ac:dyDescent="0.2">
      <c r="A1635" s="64">
        <v>35910</v>
      </c>
      <c r="B1635">
        <v>2152000</v>
      </c>
      <c r="C1635">
        <v>311000</v>
      </c>
    </row>
    <row r="1636" spans="1:3" x14ac:dyDescent="0.2">
      <c r="A1636" s="64">
        <v>35917</v>
      </c>
      <c r="B1636">
        <v>2135000</v>
      </c>
      <c r="C1636">
        <v>304000</v>
      </c>
    </row>
    <row r="1637" spans="1:3" x14ac:dyDescent="0.2">
      <c r="A1637" s="64">
        <v>35924</v>
      </c>
      <c r="B1637">
        <v>2140000</v>
      </c>
      <c r="C1637">
        <v>306000</v>
      </c>
    </row>
    <row r="1638" spans="1:3" x14ac:dyDescent="0.2">
      <c r="A1638" s="64">
        <v>35931</v>
      </c>
      <c r="B1638">
        <v>2118000</v>
      </c>
      <c r="C1638">
        <v>315000</v>
      </c>
    </row>
    <row r="1639" spans="1:3" x14ac:dyDescent="0.2">
      <c r="A1639" s="64">
        <v>35938</v>
      </c>
      <c r="B1639">
        <v>2134000</v>
      </c>
      <c r="C1639">
        <v>309000</v>
      </c>
    </row>
    <row r="1640" spans="1:3" x14ac:dyDescent="0.2">
      <c r="A1640" s="64">
        <v>35945</v>
      </c>
      <c r="B1640">
        <v>2146000</v>
      </c>
      <c r="C1640">
        <v>322000</v>
      </c>
    </row>
    <row r="1641" spans="1:3" x14ac:dyDescent="0.2">
      <c r="A1641" s="64">
        <v>35952</v>
      </c>
      <c r="B1641">
        <v>2122000</v>
      </c>
      <c r="C1641">
        <v>306000</v>
      </c>
    </row>
    <row r="1642" spans="1:3" x14ac:dyDescent="0.2">
      <c r="A1642" s="64">
        <v>35959</v>
      </c>
      <c r="B1642">
        <v>2159000</v>
      </c>
      <c r="C1642">
        <v>321000</v>
      </c>
    </row>
    <row r="1643" spans="1:3" x14ac:dyDescent="0.2">
      <c r="A1643" s="64">
        <v>35966</v>
      </c>
      <c r="B1643">
        <v>2188000</v>
      </c>
      <c r="C1643">
        <v>349000</v>
      </c>
    </row>
    <row r="1644" spans="1:3" x14ac:dyDescent="0.2">
      <c r="A1644" s="64">
        <v>35973</v>
      </c>
      <c r="B1644">
        <v>2388000</v>
      </c>
      <c r="C1644">
        <v>376000</v>
      </c>
    </row>
    <row r="1645" spans="1:3" x14ac:dyDescent="0.2">
      <c r="A1645" s="64">
        <v>35980</v>
      </c>
      <c r="B1645">
        <v>2290000</v>
      </c>
      <c r="C1645">
        <v>362000</v>
      </c>
    </row>
    <row r="1646" spans="1:3" x14ac:dyDescent="0.2">
      <c r="A1646" s="64">
        <v>35987</v>
      </c>
      <c r="B1646">
        <v>2323000</v>
      </c>
      <c r="C1646">
        <v>320000</v>
      </c>
    </row>
    <row r="1647" spans="1:3" x14ac:dyDescent="0.2">
      <c r="A1647" s="64">
        <v>35994</v>
      </c>
      <c r="B1647">
        <v>2339000</v>
      </c>
      <c r="C1647">
        <v>315000</v>
      </c>
    </row>
    <row r="1648" spans="1:3" x14ac:dyDescent="0.2">
      <c r="A1648" s="64">
        <v>36001</v>
      </c>
      <c r="B1648">
        <v>2383000</v>
      </c>
      <c r="C1648">
        <v>335000</v>
      </c>
    </row>
    <row r="1649" spans="1:3" x14ac:dyDescent="0.2">
      <c r="A1649" s="64">
        <v>36008</v>
      </c>
      <c r="B1649">
        <v>2336000</v>
      </c>
      <c r="C1649">
        <v>327000</v>
      </c>
    </row>
    <row r="1650" spans="1:3" x14ac:dyDescent="0.2">
      <c r="A1650" s="64">
        <v>36015</v>
      </c>
      <c r="B1650">
        <v>2258000</v>
      </c>
      <c r="C1650">
        <v>316000</v>
      </c>
    </row>
    <row r="1651" spans="1:3" x14ac:dyDescent="0.2">
      <c r="A1651" s="64">
        <v>36022</v>
      </c>
      <c r="B1651">
        <v>2210000</v>
      </c>
      <c r="C1651">
        <v>308000</v>
      </c>
    </row>
    <row r="1652" spans="1:3" x14ac:dyDescent="0.2">
      <c r="A1652" s="64">
        <v>36029</v>
      </c>
      <c r="B1652">
        <v>2202000</v>
      </c>
      <c r="C1652">
        <v>302000</v>
      </c>
    </row>
    <row r="1653" spans="1:3" x14ac:dyDescent="0.2">
      <c r="A1653" s="64">
        <v>36036</v>
      </c>
      <c r="B1653">
        <v>2182000</v>
      </c>
      <c r="C1653">
        <v>310000</v>
      </c>
    </row>
    <row r="1654" spans="1:3" x14ac:dyDescent="0.2">
      <c r="A1654" s="64">
        <v>36043</v>
      </c>
      <c r="B1654">
        <v>2160000</v>
      </c>
      <c r="C1654">
        <v>313000</v>
      </c>
    </row>
    <row r="1655" spans="1:3" x14ac:dyDescent="0.2">
      <c r="A1655" s="64">
        <v>36050</v>
      </c>
      <c r="B1655">
        <v>2190000</v>
      </c>
      <c r="C1655">
        <v>304000</v>
      </c>
    </row>
    <row r="1656" spans="1:3" x14ac:dyDescent="0.2">
      <c r="A1656" s="64">
        <v>36057</v>
      </c>
      <c r="B1656">
        <v>2114000</v>
      </c>
      <c r="C1656">
        <v>305000</v>
      </c>
    </row>
    <row r="1657" spans="1:3" x14ac:dyDescent="0.2">
      <c r="A1657" s="64">
        <v>36064</v>
      </c>
      <c r="B1657">
        <v>2148000</v>
      </c>
      <c r="C1657">
        <v>294000</v>
      </c>
    </row>
    <row r="1658" spans="1:3" x14ac:dyDescent="0.2">
      <c r="A1658" s="64">
        <v>36071</v>
      </c>
      <c r="B1658">
        <v>2156000</v>
      </c>
      <c r="C1658">
        <v>302000</v>
      </c>
    </row>
    <row r="1659" spans="1:3" x14ac:dyDescent="0.2">
      <c r="A1659" s="64">
        <v>36078</v>
      </c>
      <c r="B1659">
        <v>2167000</v>
      </c>
      <c r="C1659">
        <v>316000</v>
      </c>
    </row>
    <row r="1660" spans="1:3" x14ac:dyDescent="0.2">
      <c r="A1660" s="64">
        <v>36085</v>
      </c>
      <c r="B1660">
        <v>2168000</v>
      </c>
      <c r="C1660">
        <v>318000</v>
      </c>
    </row>
    <row r="1661" spans="1:3" x14ac:dyDescent="0.2">
      <c r="A1661" s="64">
        <v>36092</v>
      </c>
      <c r="B1661">
        <v>2169000</v>
      </c>
      <c r="C1661">
        <v>309000</v>
      </c>
    </row>
    <row r="1662" spans="1:3" x14ac:dyDescent="0.2">
      <c r="A1662" s="64">
        <v>36099</v>
      </c>
      <c r="B1662">
        <v>2162000</v>
      </c>
      <c r="C1662">
        <v>308000</v>
      </c>
    </row>
    <row r="1663" spans="1:3" x14ac:dyDescent="0.2">
      <c r="A1663" s="64">
        <v>36106</v>
      </c>
      <c r="B1663">
        <v>2195000</v>
      </c>
      <c r="C1663">
        <v>316000</v>
      </c>
    </row>
    <row r="1664" spans="1:3" x14ac:dyDescent="0.2">
      <c r="A1664" s="64">
        <v>36113</v>
      </c>
      <c r="B1664">
        <v>2177000</v>
      </c>
      <c r="C1664">
        <v>334000</v>
      </c>
    </row>
    <row r="1665" spans="1:3" x14ac:dyDescent="0.2">
      <c r="A1665" s="64">
        <v>36120</v>
      </c>
      <c r="B1665">
        <v>2207000</v>
      </c>
      <c r="C1665">
        <v>304000</v>
      </c>
    </row>
    <row r="1666" spans="1:3" x14ac:dyDescent="0.2">
      <c r="A1666" s="64">
        <v>36127</v>
      </c>
      <c r="B1666">
        <v>2236000</v>
      </c>
      <c r="C1666">
        <v>310000</v>
      </c>
    </row>
    <row r="1667" spans="1:3" x14ac:dyDescent="0.2">
      <c r="A1667" s="64">
        <v>36134</v>
      </c>
      <c r="B1667">
        <v>2239000</v>
      </c>
      <c r="C1667">
        <v>326000</v>
      </c>
    </row>
    <row r="1668" spans="1:3" x14ac:dyDescent="0.2">
      <c r="A1668" s="64">
        <v>36141</v>
      </c>
      <c r="B1668">
        <v>2205000</v>
      </c>
      <c r="C1668">
        <v>305000</v>
      </c>
    </row>
    <row r="1669" spans="1:3" x14ac:dyDescent="0.2">
      <c r="A1669" s="64">
        <v>36148</v>
      </c>
      <c r="B1669">
        <v>2171000</v>
      </c>
      <c r="C1669">
        <v>297000</v>
      </c>
    </row>
    <row r="1670" spans="1:3" x14ac:dyDescent="0.2">
      <c r="A1670" s="64">
        <v>36155</v>
      </c>
      <c r="B1670">
        <v>2266000</v>
      </c>
      <c r="C1670">
        <v>336000</v>
      </c>
    </row>
    <row r="1671" spans="1:3" x14ac:dyDescent="0.2">
      <c r="A1671" s="64">
        <v>36162</v>
      </c>
      <c r="B1671">
        <v>2303000</v>
      </c>
      <c r="C1671">
        <v>331000</v>
      </c>
    </row>
    <row r="1672" spans="1:3" x14ac:dyDescent="0.2">
      <c r="A1672" s="64">
        <v>36169</v>
      </c>
      <c r="B1672">
        <v>2289000</v>
      </c>
      <c r="C1672">
        <v>345000</v>
      </c>
    </row>
    <row r="1673" spans="1:3" x14ac:dyDescent="0.2">
      <c r="A1673" s="64">
        <v>36176</v>
      </c>
      <c r="B1673">
        <v>2316000</v>
      </c>
      <c r="C1673">
        <v>339000</v>
      </c>
    </row>
    <row r="1674" spans="1:3" x14ac:dyDescent="0.2">
      <c r="A1674" s="64">
        <v>36183</v>
      </c>
      <c r="B1674">
        <v>2269000</v>
      </c>
      <c r="C1674">
        <v>311000</v>
      </c>
    </row>
    <row r="1675" spans="1:3" x14ac:dyDescent="0.2">
      <c r="A1675" s="64">
        <v>36190</v>
      </c>
      <c r="B1675">
        <v>2259000</v>
      </c>
      <c r="C1675">
        <v>305000</v>
      </c>
    </row>
    <row r="1676" spans="1:3" x14ac:dyDescent="0.2">
      <c r="A1676" s="64">
        <v>36197</v>
      </c>
      <c r="B1676">
        <v>2253000</v>
      </c>
      <c r="C1676">
        <v>291000</v>
      </c>
    </row>
    <row r="1677" spans="1:3" x14ac:dyDescent="0.2">
      <c r="A1677" s="64">
        <v>36204</v>
      </c>
      <c r="B1677">
        <v>2253000</v>
      </c>
      <c r="C1677">
        <v>312000</v>
      </c>
    </row>
    <row r="1678" spans="1:3" x14ac:dyDescent="0.2">
      <c r="A1678" s="64">
        <v>36211</v>
      </c>
      <c r="B1678">
        <v>2237000</v>
      </c>
      <c r="C1678">
        <v>302000</v>
      </c>
    </row>
    <row r="1679" spans="1:3" x14ac:dyDescent="0.2">
      <c r="A1679" s="64">
        <v>36218</v>
      </c>
      <c r="B1679">
        <v>2219000</v>
      </c>
      <c r="C1679">
        <v>301000</v>
      </c>
    </row>
    <row r="1680" spans="1:3" x14ac:dyDescent="0.2">
      <c r="A1680" s="64">
        <v>36225</v>
      </c>
      <c r="B1680">
        <v>2238000</v>
      </c>
      <c r="C1680">
        <v>300000</v>
      </c>
    </row>
    <row r="1681" spans="1:3" x14ac:dyDescent="0.2">
      <c r="A1681" s="64">
        <v>36232</v>
      </c>
      <c r="B1681">
        <v>2232000</v>
      </c>
      <c r="C1681">
        <v>308000</v>
      </c>
    </row>
    <row r="1682" spans="1:3" x14ac:dyDescent="0.2">
      <c r="A1682" s="64">
        <v>36239</v>
      </c>
      <c r="B1682">
        <v>2247000</v>
      </c>
      <c r="C1682">
        <v>305000</v>
      </c>
    </row>
    <row r="1683" spans="1:3" x14ac:dyDescent="0.2">
      <c r="A1683" s="64">
        <v>36246</v>
      </c>
      <c r="B1683">
        <v>2191000</v>
      </c>
      <c r="C1683">
        <v>298000</v>
      </c>
    </row>
    <row r="1684" spans="1:3" x14ac:dyDescent="0.2">
      <c r="A1684" s="64">
        <v>36253</v>
      </c>
      <c r="B1684">
        <v>2280000</v>
      </c>
      <c r="C1684">
        <v>310000</v>
      </c>
    </row>
    <row r="1685" spans="1:3" x14ac:dyDescent="0.2">
      <c r="A1685" s="64">
        <v>36260</v>
      </c>
      <c r="B1685">
        <v>2247000</v>
      </c>
      <c r="C1685">
        <v>319000</v>
      </c>
    </row>
    <row r="1686" spans="1:3" x14ac:dyDescent="0.2">
      <c r="A1686" s="64">
        <v>36267</v>
      </c>
      <c r="B1686">
        <v>2230000</v>
      </c>
      <c r="C1686">
        <v>314000</v>
      </c>
    </row>
    <row r="1687" spans="1:3" x14ac:dyDescent="0.2">
      <c r="A1687" s="64">
        <v>36274</v>
      </c>
      <c r="B1687">
        <v>2193000</v>
      </c>
      <c r="C1687">
        <v>291000</v>
      </c>
    </row>
    <row r="1688" spans="1:3" x14ac:dyDescent="0.2">
      <c r="A1688" s="64">
        <v>36281</v>
      </c>
      <c r="B1688">
        <v>2226000</v>
      </c>
      <c r="C1688">
        <v>296000</v>
      </c>
    </row>
    <row r="1689" spans="1:3" x14ac:dyDescent="0.2">
      <c r="A1689" s="64">
        <v>36288</v>
      </c>
      <c r="B1689">
        <v>2200000</v>
      </c>
      <c r="C1689">
        <v>310000</v>
      </c>
    </row>
    <row r="1690" spans="1:3" x14ac:dyDescent="0.2">
      <c r="A1690" s="64">
        <v>36295</v>
      </c>
      <c r="B1690">
        <v>2232000</v>
      </c>
      <c r="C1690">
        <v>301000</v>
      </c>
    </row>
    <row r="1691" spans="1:3" x14ac:dyDescent="0.2">
      <c r="A1691" s="64">
        <v>36302</v>
      </c>
      <c r="B1691">
        <v>2223000</v>
      </c>
      <c r="C1691">
        <v>298000</v>
      </c>
    </row>
    <row r="1692" spans="1:3" x14ac:dyDescent="0.2">
      <c r="A1692" s="64">
        <v>36309</v>
      </c>
      <c r="B1692">
        <v>2191000</v>
      </c>
      <c r="C1692">
        <v>303000</v>
      </c>
    </row>
    <row r="1693" spans="1:3" x14ac:dyDescent="0.2">
      <c r="A1693" s="64">
        <v>36316</v>
      </c>
      <c r="B1693">
        <v>2194000</v>
      </c>
      <c r="C1693">
        <v>303000</v>
      </c>
    </row>
    <row r="1694" spans="1:3" x14ac:dyDescent="0.2">
      <c r="A1694" s="64">
        <v>36323</v>
      </c>
      <c r="B1694">
        <v>2215000</v>
      </c>
      <c r="C1694">
        <v>290000</v>
      </c>
    </row>
    <row r="1695" spans="1:3" x14ac:dyDescent="0.2">
      <c r="A1695" s="64">
        <v>36330</v>
      </c>
      <c r="B1695">
        <v>2183000</v>
      </c>
      <c r="C1695">
        <v>292000</v>
      </c>
    </row>
    <row r="1696" spans="1:3" x14ac:dyDescent="0.2">
      <c r="A1696" s="64">
        <v>36337</v>
      </c>
      <c r="B1696">
        <v>2177000</v>
      </c>
      <c r="C1696">
        <v>291000</v>
      </c>
    </row>
    <row r="1697" spans="1:3" x14ac:dyDescent="0.2">
      <c r="A1697" s="64">
        <v>36344</v>
      </c>
      <c r="B1697">
        <v>2202000</v>
      </c>
      <c r="C1697">
        <v>287000</v>
      </c>
    </row>
    <row r="1698" spans="1:3" x14ac:dyDescent="0.2">
      <c r="A1698" s="64">
        <v>36351</v>
      </c>
      <c r="B1698">
        <v>2171000</v>
      </c>
      <c r="C1698">
        <v>288000</v>
      </c>
    </row>
    <row r="1699" spans="1:3" x14ac:dyDescent="0.2">
      <c r="A1699" s="64">
        <v>36358</v>
      </c>
      <c r="B1699">
        <v>2226000</v>
      </c>
      <c r="C1699">
        <v>309000</v>
      </c>
    </row>
    <row r="1700" spans="1:3" x14ac:dyDescent="0.2">
      <c r="A1700" s="64">
        <v>36365</v>
      </c>
      <c r="B1700">
        <v>2203000</v>
      </c>
      <c r="C1700">
        <v>306000</v>
      </c>
    </row>
    <row r="1701" spans="1:3" x14ac:dyDescent="0.2">
      <c r="A1701" s="64">
        <v>36372</v>
      </c>
      <c r="B1701">
        <v>2164000</v>
      </c>
      <c r="C1701">
        <v>300000</v>
      </c>
    </row>
    <row r="1702" spans="1:3" x14ac:dyDescent="0.2">
      <c r="A1702" s="64">
        <v>36379</v>
      </c>
      <c r="B1702">
        <v>2192000</v>
      </c>
      <c r="C1702">
        <v>295000</v>
      </c>
    </row>
    <row r="1703" spans="1:3" x14ac:dyDescent="0.2">
      <c r="A1703" s="64">
        <v>36386</v>
      </c>
      <c r="B1703">
        <v>2176000</v>
      </c>
      <c r="C1703">
        <v>292000</v>
      </c>
    </row>
    <row r="1704" spans="1:3" x14ac:dyDescent="0.2">
      <c r="A1704" s="64">
        <v>36393</v>
      </c>
      <c r="B1704">
        <v>2185000</v>
      </c>
      <c r="C1704">
        <v>286000</v>
      </c>
    </row>
    <row r="1705" spans="1:3" x14ac:dyDescent="0.2">
      <c r="A1705" s="64">
        <v>36400</v>
      </c>
      <c r="B1705">
        <v>2168000</v>
      </c>
      <c r="C1705">
        <v>290000</v>
      </c>
    </row>
    <row r="1706" spans="1:3" x14ac:dyDescent="0.2">
      <c r="A1706" s="64">
        <v>36407</v>
      </c>
      <c r="B1706">
        <v>2157000</v>
      </c>
      <c r="C1706">
        <v>290000</v>
      </c>
    </row>
    <row r="1707" spans="1:3" x14ac:dyDescent="0.2">
      <c r="A1707" s="64">
        <v>36414</v>
      </c>
      <c r="B1707">
        <v>2163000</v>
      </c>
      <c r="C1707">
        <v>281000</v>
      </c>
    </row>
    <row r="1708" spans="1:3" x14ac:dyDescent="0.2">
      <c r="A1708" s="64">
        <v>36421</v>
      </c>
      <c r="B1708">
        <v>2170000</v>
      </c>
      <c r="C1708">
        <v>281000</v>
      </c>
    </row>
    <row r="1709" spans="1:3" x14ac:dyDescent="0.2">
      <c r="A1709" s="64">
        <v>36428</v>
      </c>
      <c r="B1709">
        <v>2158000</v>
      </c>
      <c r="C1709">
        <v>306000</v>
      </c>
    </row>
    <row r="1710" spans="1:3" x14ac:dyDescent="0.2">
      <c r="A1710" s="64">
        <v>36435</v>
      </c>
      <c r="B1710">
        <v>2139000</v>
      </c>
      <c r="C1710">
        <v>309000</v>
      </c>
    </row>
    <row r="1711" spans="1:3" x14ac:dyDescent="0.2">
      <c r="A1711" s="64">
        <v>36442</v>
      </c>
      <c r="B1711">
        <v>2105000</v>
      </c>
      <c r="C1711">
        <v>291000</v>
      </c>
    </row>
    <row r="1712" spans="1:3" x14ac:dyDescent="0.2">
      <c r="A1712" s="64">
        <v>36449</v>
      </c>
      <c r="B1712">
        <v>2102000</v>
      </c>
      <c r="C1712">
        <v>287000</v>
      </c>
    </row>
    <row r="1713" spans="1:3" x14ac:dyDescent="0.2">
      <c r="A1713" s="64">
        <v>36456</v>
      </c>
      <c r="B1713">
        <v>2086000</v>
      </c>
      <c r="C1713">
        <v>280000</v>
      </c>
    </row>
    <row r="1714" spans="1:3" x14ac:dyDescent="0.2">
      <c r="A1714" s="64">
        <v>36463</v>
      </c>
      <c r="B1714">
        <v>2082000</v>
      </c>
      <c r="C1714">
        <v>285000</v>
      </c>
    </row>
    <row r="1715" spans="1:3" x14ac:dyDescent="0.2">
      <c r="A1715" s="64">
        <v>36470</v>
      </c>
      <c r="B1715">
        <v>2099000</v>
      </c>
      <c r="C1715">
        <v>282000</v>
      </c>
    </row>
    <row r="1716" spans="1:3" x14ac:dyDescent="0.2">
      <c r="A1716" s="64">
        <v>36477</v>
      </c>
      <c r="B1716">
        <v>2035000</v>
      </c>
      <c r="C1716">
        <v>281000</v>
      </c>
    </row>
    <row r="1717" spans="1:3" x14ac:dyDescent="0.2">
      <c r="A1717" s="64">
        <v>36484</v>
      </c>
      <c r="B1717">
        <v>2111000</v>
      </c>
      <c r="C1717">
        <v>276000</v>
      </c>
    </row>
    <row r="1718" spans="1:3" x14ac:dyDescent="0.2">
      <c r="A1718" s="64">
        <v>36491</v>
      </c>
      <c r="B1718">
        <v>2098000</v>
      </c>
      <c r="C1718">
        <v>288000</v>
      </c>
    </row>
    <row r="1719" spans="1:3" x14ac:dyDescent="0.2">
      <c r="A1719" s="64">
        <v>36498</v>
      </c>
      <c r="B1719">
        <v>2094000</v>
      </c>
      <c r="C1719">
        <v>287000</v>
      </c>
    </row>
    <row r="1720" spans="1:3" x14ac:dyDescent="0.2">
      <c r="A1720" s="64">
        <v>36505</v>
      </c>
      <c r="B1720">
        <v>2070000</v>
      </c>
      <c r="C1720">
        <v>272000</v>
      </c>
    </row>
    <row r="1721" spans="1:3" x14ac:dyDescent="0.2">
      <c r="A1721" s="64">
        <v>36512</v>
      </c>
      <c r="B1721">
        <v>2123000</v>
      </c>
      <c r="C1721">
        <v>287000</v>
      </c>
    </row>
    <row r="1722" spans="1:3" x14ac:dyDescent="0.2">
      <c r="A1722" s="64">
        <v>36519</v>
      </c>
      <c r="B1722">
        <v>2102000</v>
      </c>
      <c r="C1722">
        <v>268000</v>
      </c>
    </row>
    <row r="1723" spans="1:3" x14ac:dyDescent="0.2">
      <c r="A1723" s="64">
        <v>36526</v>
      </c>
      <c r="B1723">
        <v>2102000</v>
      </c>
      <c r="C1723">
        <v>286000</v>
      </c>
    </row>
    <row r="1724" spans="1:3" x14ac:dyDescent="0.2">
      <c r="A1724" s="64">
        <v>36533</v>
      </c>
      <c r="B1724">
        <v>2107000</v>
      </c>
      <c r="C1724">
        <v>298000</v>
      </c>
    </row>
    <row r="1725" spans="1:3" x14ac:dyDescent="0.2">
      <c r="A1725" s="64">
        <v>36540</v>
      </c>
      <c r="B1725">
        <v>2115000</v>
      </c>
      <c r="C1725">
        <v>289000</v>
      </c>
    </row>
    <row r="1726" spans="1:3" x14ac:dyDescent="0.2">
      <c r="A1726" s="64">
        <v>36547</v>
      </c>
      <c r="B1726">
        <v>2061000</v>
      </c>
      <c r="C1726">
        <v>284000</v>
      </c>
    </row>
    <row r="1727" spans="1:3" x14ac:dyDescent="0.2">
      <c r="A1727" s="64">
        <v>36554</v>
      </c>
      <c r="B1727">
        <v>2164000</v>
      </c>
      <c r="C1727">
        <v>285000</v>
      </c>
    </row>
    <row r="1728" spans="1:3" x14ac:dyDescent="0.2">
      <c r="A1728" s="64">
        <v>36561</v>
      </c>
      <c r="B1728">
        <v>2160000</v>
      </c>
      <c r="C1728">
        <v>312000</v>
      </c>
    </row>
    <row r="1729" spans="1:3" x14ac:dyDescent="0.2">
      <c r="A1729" s="64">
        <v>36568</v>
      </c>
      <c r="B1729">
        <v>2141000</v>
      </c>
      <c r="C1729">
        <v>300000</v>
      </c>
    </row>
    <row r="1730" spans="1:3" x14ac:dyDescent="0.2">
      <c r="A1730" s="64">
        <v>36575</v>
      </c>
      <c r="B1730">
        <v>2132000</v>
      </c>
      <c r="C1730">
        <v>283000</v>
      </c>
    </row>
    <row r="1731" spans="1:3" x14ac:dyDescent="0.2">
      <c r="A1731" s="64">
        <v>36582</v>
      </c>
      <c r="B1731">
        <v>2157000</v>
      </c>
      <c r="C1731">
        <v>280000</v>
      </c>
    </row>
    <row r="1732" spans="1:3" x14ac:dyDescent="0.2">
      <c r="A1732" s="64">
        <v>36589</v>
      </c>
      <c r="B1732">
        <v>2098000</v>
      </c>
      <c r="C1732">
        <v>286000</v>
      </c>
    </row>
    <row r="1733" spans="1:3" x14ac:dyDescent="0.2">
      <c r="A1733" s="64">
        <v>36596</v>
      </c>
      <c r="B1733">
        <v>2099000</v>
      </c>
      <c r="C1733">
        <v>270000</v>
      </c>
    </row>
    <row r="1734" spans="1:3" x14ac:dyDescent="0.2">
      <c r="A1734" s="64">
        <v>36603</v>
      </c>
      <c r="B1734">
        <v>2051000</v>
      </c>
      <c r="C1734">
        <v>271000</v>
      </c>
    </row>
    <row r="1735" spans="1:3" x14ac:dyDescent="0.2">
      <c r="A1735" s="64">
        <v>36610</v>
      </c>
      <c r="B1735">
        <v>2068000</v>
      </c>
      <c r="C1735">
        <v>272000</v>
      </c>
    </row>
    <row r="1736" spans="1:3" x14ac:dyDescent="0.2">
      <c r="A1736" s="64">
        <v>36617</v>
      </c>
      <c r="B1736">
        <v>2026000</v>
      </c>
      <c r="C1736">
        <v>266000</v>
      </c>
    </row>
    <row r="1737" spans="1:3" x14ac:dyDescent="0.2">
      <c r="A1737" s="64">
        <v>36624</v>
      </c>
      <c r="B1737">
        <v>2027000</v>
      </c>
      <c r="C1737">
        <v>268000</v>
      </c>
    </row>
    <row r="1738" spans="1:3" x14ac:dyDescent="0.2">
      <c r="A1738" s="64">
        <v>36631</v>
      </c>
      <c r="B1738">
        <v>1962000</v>
      </c>
      <c r="C1738">
        <v>259000</v>
      </c>
    </row>
    <row r="1739" spans="1:3" x14ac:dyDescent="0.2">
      <c r="A1739" s="64">
        <v>36638</v>
      </c>
      <c r="B1739">
        <v>2035000</v>
      </c>
      <c r="C1739">
        <v>274000</v>
      </c>
    </row>
    <row r="1740" spans="1:3" x14ac:dyDescent="0.2">
      <c r="A1740" s="64">
        <v>36645</v>
      </c>
      <c r="B1740">
        <v>2027000</v>
      </c>
      <c r="C1740">
        <v>291000</v>
      </c>
    </row>
    <row r="1741" spans="1:3" x14ac:dyDescent="0.2">
      <c r="A1741" s="64">
        <v>36652</v>
      </c>
      <c r="B1741">
        <v>1991000</v>
      </c>
      <c r="C1741">
        <v>293000</v>
      </c>
    </row>
    <row r="1742" spans="1:3" x14ac:dyDescent="0.2">
      <c r="A1742" s="64">
        <v>36659</v>
      </c>
      <c r="B1742">
        <v>1982000</v>
      </c>
      <c r="C1742">
        <v>276000</v>
      </c>
    </row>
    <row r="1743" spans="1:3" x14ac:dyDescent="0.2">
      <c r="A1743" s="64">
        <v>36666</v>
      </c>
      <c r="B1743">
        <v>1998000</v>
      </c>
      <c r="C1743">
        <v>280000</v>
      </c>
    </row>
    <row r="1744" spans="1:3" x14ac:dyDescent="0.2">
      <c r="A1744" s="64">
        <v>36673</v>
      </c>
      <c r="B1744">
        <v>1987000</v>
      </c>
      <c r="C1744">
        <v>280000</v>
      </c>
    </row>
    <row r="1745" spans="1:3" x14ac:dyDescent="0.2">
      <c r="A1745" s="64">
        <v>36680</v>
      </c>
      <c r="B1745">
        <v>2019000</v>
      </c>
      <c r="C1745">
        <v>290000</v>
      </c>
    </row>
    <row r="1746" spans="1:3" x14ac:dyDescent="0.2">
      <c r="A1746" s="64">
        <v>36687</v>
      </c>
      <c r="B1746">
        <v>2020000</v>
      </c>
      <c r="C1746">
        <v>284000</v>
      </c>
    </row>
    <row r="1747" spans="1:3" x14ac:dyDescent="0.2">
      <c r="A1747" s="64">
        <v>36694</v>
      </c>
      <c r="B1747">
        <v>2041000</v>
      </c>
      <c r="C1747">
        <v>294000</v>
      </c>
    </row>
    <row r="1748" spans="1:3" x14ac:dyDescent="0.2">
      <c r="A1748" s="64">
        <v>36701</v>
      </c>
      <c r="B1748">
        <v>2033000</v>
      </c>
      <c r="C1748">
        <v>296000</v>
      </c>
    </row>
    <row r="1749" spans="1:3" x14ac:dyDescent="0.2">
      <c r="A1749" s="64">
        <v>36708</v>
      </c>
      <c r="B1749">
        <v>2052000</v>
      </c>
      <c r="C1749">
        <v>281000</v>
      </c>
    </row>
    <row r="1750" spans="1:3" x14ac:dyDescent="0.2">
      <c r="A1750" s="64">
        <v>36715</v>
      </c>
      <c r="B1750">
        <v>2099000</v>
      </c>
      <c r="C1750">
        <v>293000</v>
      </c>
    </row>
    <row r="1751" spans="1:3" x14ac:dyDescent="0.2">
      <c r="A1751" s="64">
        <v>36722</v>
      </c>
      <c r="B1751">
        <v>2122000</v>
      </c>
      <c r="C1751">
        <v>303000</v>
      </c>
    </row>
    <row r="1752" spans="1:3" x14ac:dyDescent="0.2">
      <c r="A1752" s="64">
        <v>36729</v>
      </c>
      <c r="B1752">
        <v>2070000</v>
      </c>
      <c r="C1752">
        <v>300000</v>
      </c>
    </row>
    <row r="1753" spans="1:3" x14ac:dyDescent="0.2">
      <c r="A1753" s="64">
        <v>36736</v>
      </c>
      <c r="B1753">
        <v>2085000</v>
      </c>
      <c r="C1753">
        <v>298000</v>
      </c>
    </row>
    <row r="1754" spans="1:3" x14ac:dyDescent="0.2">
      <c r="A1754" s="64">
        <v>36743</v>
      </c>
      <c r="B1754">
        <v>2096000</v>
      </c>
      <c r="C1754">
        <v>306000</v>
      </c>
    </row>
    <row r="1755" spans="1:3" x14ac:dyDescent="0.2">
      <c r="A1755" s="64">
        <v>36750</v>
      </c>
      <c r="B1755">
        <v>2109000</v>
      </c>
      <c r="C1755">
        <v>315000</v>
      </c>
    </row>
    <row r="1756" spans="1:3" x14ac:dyDescent="0.2">
      <c r="A1756" s="64">
        <v>36757</v>
      </c>
      <c r="B1756">
        <v>2145000</v>
      </c>
      <c r="C1756">
        <v>318000</v>
      </c>
    </row>
    <row r="1757" spans="1:3" x14ac:dyDescent="0.2">
      <c r="A1757" s="64">
        <v>36764</v>
      </c>
      <c r="B1757">
        <v>2119000</v>
      </c>
      <c r="C1757">
        <v>312000</v>
      </c>
    </row>
    <row r="1758" spans="1:3" x14ac:dyDescent="0.2">
      <c r="A1758" s="64">
        <v>36771</v>
      </c>
      <c r="B1758">
        <v>2169000</v>
      </c>
      <c r="C1758">
        <v>301000</v>
      </c>
    </row>
    <row r="1759" spans="1:3" x14ac:dyDescent="0.2">
      <c r="A1759" s="64">
        <v>36778</v>
      </c>
      <c r="B1759">
        <v>2139000</v>
      </c>
      <c r="C1759">
        <v>309000</v>
      </c>
    </row>
    <row r="1760" spans="1:3" x14ac:dyDescent="0.2">
      <c r="A1760" s="64">
        <v>36785</v>
      </c>
      <c r="B1760">
        <v>2115000</v>
      </c>
      <c r="C1760">
        <v>311000</v>
      </c>
    </row>
    <row r="1761" spans="1:3" x14ac:dyDescent="0.2">
      <c r="A1761" s="64">
        <v>36792</v>
      </c>
      <c r="B1761">
        <v>2098000</v>
      </c>
      <c r="C1761">
        <v>288000</v>
      </c>
    </row>
    <row r="1762" spans="1:3" x14ac:dyDescent="0.2">
      <c r="A1762" s="64">
        <v>36799</v>
      </c>
      <c r="B1762">
        <v>2077000</v>
      </c>
      <c r="C1762">
        <v>292000</v>
      </c>
    </row>
    <row r="1763" spans="1:3" x14ac:dyDescent="0.2">
      <c r="A1763" s="64">
        <v>36806</v>
      </c>
      <c r="B1763">
        <v>2133000</v>
      </c>
      <c r="C1763">
        <v>309000</v>
      </c>
    </row>
    <row r="1764" spans="1:3" x14ac:dyDescent="0.2">
      <c r="A1764" s="64">
        <v>36813</v>
      </c>
      <c r="B1764">
        <v>2124000</v>
      </c>
      <c r="C1764">
        <v>299000</v>
      </c>
    </row>
    <row r="1765" spans="1:3" x14ac:dyDescent="0.2">
      <c r="A1765" s="64">
        <v>36820</v>
      </c>
      <c r="B1765">
        <v>2082000</v>
      </c>
      <c r="C1765">
        <v>295000</v>
      </c>
    </row>
    <row r="1766" spans="1:3" x14ac:dyDescent="0.2">
      <c r="A1766" s="64">
        <v>36827</v>
      </c>
      <c r="B1766">
        <v>2126000</v>
      </c>
      <c r="C1766">
        <v>301000</v>
      </c>
    </row>
    <row r="1767" spans="1:3" x14ac:dyDescent="0.2">
      <c r="A1767" s="64">
        <v>36834</v>
      </c>
      <c r="B1767">
        <v>2110000</v>
      </c>
      <c r="C1767">
        <v>331000</v>
      </c>
    </row>
    <row r="1768" spans="1:3" x14ac:dyDescent="0.2">
      <c r="A1768" s="64">
        <v>36841</v>
      </c>
      <c r="B1768">
        <v>2161000</v>
      </c>
      <c r="C1768">
        <v>318000</v>
      </c>
    </row>
    <row r="1769" spans="1:3" x14ac:dyDescent="0.2">
      <c r="A1769" s="64">
        <v>36848</v>
      </c>
      <c r="B1769">
        <v>2279000</v>
      </c>
      <c r="C1769">
        <v>332000</v>
      </c>
    </row>
    <row r="1770" spans="1:3" x14ac:dyDescent="0.2">
      <c r="A1770" s="64">
        <v>36855</v>
      </c>
      <c r="B1770">
        <v>2295000</v>
      </c>
      <c r="C1770">
        <v>356000</v>
      </c>
    </row>
    <row r="1771" spans="1:3" x14ac:dyDescent="0.2">
      <c r="A1771" s="64">
        <v>36862</v>
      </c>
      <c r="B1771">
        <v>2229000</v>
      </c>
      <c r="C1771">
        <v>338000</v>
      </c>
    </row>
    <row r="1772" spans="1:3" x14ac:dyDescent="0.2">
      <c r="A1772" s="64">
        <v>36869</v>
      </c>
      <c r="B1772">
        <v>2263000</v>
      </c>
      <c r="C1772">
        <v>321000</v>
      </c>
    </row>
    <row r="1773" spans="1:3" x14ac:dyDescent="0.2">
      <c r="A1773" s="64">
        <v>36876</v>
      </c>
      <c r="B1773">
        <v>2322000</v>
      </c>
      <c r="C1773">
        <v>354000</v>
      </c>
    </row>
    <row r="1774" spans="1:3" x14ac:dyDescent="0.2">
      <c r="A1774" s="64">
        <v>36883</v>
      </c>
      <c r="B1774">
        <v>2340000</v>
      </c>
      <c r="C1774">
        <v>364000</v>
      </c>
    </row>
    <row r="1775" spans="1:3" x14ac:dyDescent="0.2">
      <c r="A1775" s="64">
        <v>36890</v>
      </c>
      <c r="B1775">
        <v>2378000</v>
      </c>
      <c r="C1775">
        <v>353000</v>
      </c>
    </row>
    <row r="1776" spans="1:3" x14ac:dyDescent="0.2">
      <c r="A1776" s="64">
        <v>36897</v>
      </c>
      <c r="B1776">
        <v>2357000</v>
      </c>
      <c r="C1776">
        <v>337000</v>
      </c>
    </row>
    <row r="1777" spans="1:3" x14ac:dyDescent="0.2">
      <c r="A1777" s="64">
        <v>36904</v>
      </c>
      <c r="B1777">
        <v>2367000</v>
      </c>
      <c r="C1777">
        <v>318000</v>
      </c>
    </row>
    <row r="1778" spans="1:3" x14ac:dyDescent="0.2">
      <c r="A1778" s="64">
        <v>36911</v>
      </c>
      <c r="B1778">
        <v>2419000</v>
      </c>
      <c r="C1778">
        <v>343000</v>
      </c>
    </row>
    <row r="1779" spans="1:3" x14ac:dyDescent="0.2">
      <c r="A1779" s="64">
        <v>36918</v>
      </c>
      <c r="B1779">
        <v>2440000</v>
      </c>
      <c r="C1779">
        <v>362000</v>
      </c>
    </row>
    <row r="1780" spans="1:3" x14ac:dyDescent="0.2">
      <c r="A1780" s="64">
        <v>36925</v>
      </c>
      <c r="B1780">
        <v>2489000</v>
      </c>
      <c r="C1780">
        <v>376000</v>
      </c>
    </row>
    <row r="1781" spans="1:3" x14ac:dyDescent="0.2">
      <c r="A1781" s="64">
        <v>36932</v>
      </c>
      <c r="B1781">
        <v>2435000</v>
      </c>
      <c r="C1781">
        <v>365000</v>
      </c>
    </row>
    <row r="1782" spans="1:3" x14ac:dyDescent="0.2">
      <c r="A1782" s="64">
        <v>36939</v>
      </c>
      <c r="B1782">
        <v>2516000</v>
      </c>
      <c r="C1782">
        <v>358000</v>
      </c>
    </row>
    <row r="1783" spans="1:3" x14ac:dyDescent="0.2">
      <c r="A1783" s="64">
        <v>36946</v>
      </c>
      <c r="B1783">
        <v>2506000</v>
      </c>
      <c r="C1783">
        <v>386000</v>
      </c>
    </row>
    <row r="1784" spans="1:3" x14ac:dyDescent="0.2">
      <c r="A1784" s="64">
        <v>36953</v>
      </c>
      <c r="B1784">
        <v>2558000</v>
      </c>
      <c r="C1784">
        <v>384000</v>
      </c>
    </row>
    <row r="1785" spans="1:3" x14ac:dyDescent="0.2">
      <c r="A1785" s="64">
        <v>36960</v>
      </c>
      <c r="B1785">
        <v>2557000</v>
      </c>
      <c r="C1785">
        <v>393000</v>
      </c>
    </row>
    <row r="1786" spans="1:3" x14ac:dyDescent="0.2">
      <c r="A1786" s="64">
        <v>36967</v>
      </c>
      <c r="B1786">
        <v>2605000</v>
      </c>
      <c r="C1786">
        <v>393000</v>
      </c>
    </row>
    <row r="1787" spans="1:3" x14ac:dyDescent="0.2">
      <c r="A1787" s="64">
        <v>36974</v>
      </c>
      <c r="B1787">
        <v>2587000</v>
      </c>
      <c r="C1787">
        <v>378000</v>
      </c>
    </row>
    <row r="1788" spans="1:3" x14ac:dyDescent="0.2">
      <c r="A1788" s="64">
        <v>36981</v>
      </c>
      <c r="B1788">
        <v>2620000</v>
      </c>
      <c r="C1788">
        <v>388000</v>
      </c>
    </row>
    <row r="1789" spans="1:3" x14ac:dyDescent="0.2">
      <c r="A1789" s="64">
        <v>36988</v>
      </c>
      <c r="B1789">
        <v>2582000</v>
      </c>
      <c r="C1789">
        <v>398000</v>
      </c>
    </row>
    <row r="1790" spans="1:3" x14ac:dyDescent="0.2">
      <c r="A1790" s="64">
        <v>36995</v>
      </c>
      <c r="B1790">
        <v>2742000</v>
      </c>
      <c r="C1790">
        <v>383000</v>
      </c>
    </row>
    <row r="1791" spans="1:3" x14ac:dyDescent="0.2">
      <c r="A1791" s="64">
        <v>37002</v>
      </c>
      <c r="B1791">
        <v>2737000</v>
      </c>
      <c r="C1791">
        <v>400000</v>
      </c>
    </row>
    <row r="1792" spans="1:3" x14ac:dyDescent="0.2">
      <c r="A1792" s="64">
        <v>37009</v>
      </c>
      <c r="B1792">
        <v>2728000</v>
      </c>
      <c r="C1792">
        <v>406000</v>
      </c>
    </row>
    <row r="1793" spans="1:3" x14ac:dyDescent="0.2">
      <c r="A1793" s="64">
        <v>37016</v>
      </c>
      <c r="B1793">
        <v>2732000</v>
      </c>
      <c r="C1793">
        <v>381000</v>
      </c>
    </row>
    <row r="1794" spans="1:3" x14ac:dyDescent="0.2">
      <c r="A1794" s="64">
        <v>37023</v>
      </c>
      <c r="B1794">
        <v>2800000</v>
      </c>
      <c r="C1794">
        <v>390000</v>
      </c>
    </row>
    <row r="1795" spans="1:3" x14ac:dyDescent="0.2">
      <c r="A1795" s="64">
        <v>37030</v>
      </c>
      <c r="B1795">
        <v>2819000</v>
      </c>
      <c r="C1795">
        <v>402000</v>
      </c>
    </row>
    <row r="1796" spans="1:3" x14ac:dyDescent="0.2">
      <c r="A1796" s="64">
        <v>37037</v>
      </c>
      <c r="B1796">
        <v>2926000</v>
      </c>
      <c r="C1796">
        <v>405000</v>
      </c>
    </row>
    <row r="1797" spans="1:3" x14ac:dyDescent="0.2">
      <c r="A1797" s="64">
        <v>37044</v>
      </c>
      <c r="B1797">
        <v>2919000</v>
      </c>
      <c r="C1797">
        <v>406000</v>
      </c>
    </row>
    <row r="1798" spans="1:3" x14ac:dyDescent="0.2">
      <c r="A1798" s="64">
        <v>37051</v>
      </c>
      <c r="B1798">
        <v>2948000</v>
      </c>
      <c r="C1798">
        <v>411000</v>
      </c>
    </row>
    <row r="1799" spans="1:3" x14ac:dyDescent="0.2">
      <c r="A1799" s="64">
        <v>37058</v>
      </c>
      <c r="B1799">
        <v>2939000</v>
      </c>
      <c r="C1799">
        <v>394000</v>
      </c>
    </row>
    <row r="1800" spans="1:3" x14ac:dyDescent="0.2">
      <c r="A1800" s="64">
        <v>37065</v>
      </c>
      <c r="B1800">
        <v>2972000</v>
      </c>
      <c r="C1800">
        <v>381000</v>
      </c>
    </row>
    <row r="1801" spans="1:3" x14ac:dyDescent="0.2">
      <c r="A1801" s="64">
        <v>37072</v>
      </c>
      <c r="B1801">
        <v>2959000</v>
      </c>
      <c r="C1801">
        <v>394000</v>
      </c>
    </row>
    <row r="1802" spans="1:3" x14ac:dyDescent="0.2">
      <c r="A1802" s="64">
        <v>37079</v>
      </c>
      <c r="B1802">
        <v>3063000</v>
      </c>
      <c r="C1802">
        <v>401000</v>
      </c>
    </row>
    <row r="1803" spans="1:3" x14ac:dyDescent="0.2">
      <c r="A1803" s="64">
        <v>37086</v>
      </c>
      <c r="B1803">
        <v>3029000</v>
      </c>
      <c r="C1803">
        <v>405000</v>
      </c>
    </row>
    <row r="1804" spans="1:3" x14ac:dyDescent="0.2">
      <c r="A1804" s="64">
        <v>37093</v>
      </c>
      <c r="B1804">
        <v>2975000</v>
      </c>
      <c r="C1804">
        <v>398000</v>
      </c>
    </row>
    <row r="1805" spans="1:3" x14ac:dyDescent="0.2">
      <c r="A1805" s="64">
        <v>37100</v>
      </c>
      <c r="B1805">
        <v>3056000</v>
      </c>
      <c r="C1805">
        <v>388000</v>
      </c>
    </row>
    <row r="1806" spans="1:3" x14ac:dyDescent="0.2">
      <c r="A1806" s="64">
        <v>37107</v>
      </c>
      <c r="B1806">
        <v>3079000</v>
      </c>
      <c r="C1806">
        <v>401000</v>
      </c>
    </row>
    <row r="1807" spans="1:3" x14ac:dyDescent="0.2">
      <c r="A1807" s="64">
        <v>37114</v>
      </c>
      <c r="B1807">
        <v>3125000</v>
      </c>
      <c r="C1807">
        <v>394000</v>
      </c>
    </row>
    <row r="1808" spans="1:3" x14ac:dyDescent="0.2">
      <c r="A1808" s="64">
        <v>37121</v>
      </c>
      <c r="B1808">
        <v>3113000</v>
      </c>
      <c r="C1808">
        <v>402000</v>
      </c>
    </row>
    <row r="1809" spans="1:3" x14ac:dyDescent="0.2">
      <c r="A1809" s="64">
        <v>37128</v>
      </c>
      <c r="B1809">
        <v>3163000</v>
      </c>
      <c r="C1809">
        <v>395000</v>
      </c>
    </row>
    <row r="1810" spans="1:3" x14ac:dyDescent="0.2">
      <c r="A1810" s="64">
        <v>37135</v>
      </c>
      <c r="B1810">
        <v>3213000</v>
      </c>
      <c r="C1810">
        <v>402000</v>
      </c>
    </row>
    <row r="1811" spans="1:3" x14ac:dyDescent="0.2">
      <c r="A1811" s="64">
        <v>37142</v>
      </c>
      <c r="B1811">
        <v>3197000</v>
      </c>
      <c r="C1811">
        <v>408000</v>
      </c>
    </row>
    <row r="1812" spans="1:3" x14ac:dyDescent="0.2">
      <c r="A1812" s="64">
        <v>37149</v>
      </c>
      <c r="B1812">
        <v>3214000</v>
      </c>
      <c r="C1812">
        <v>395000</v>
      </c>
    </row>
    <row r="1813" spans="1:3" x14ac:dyDescent="0.2">
      <c r="A1813" s="64">
        <v>37156</v>
      </c>
      <c r="B1813">
        <v>3302000</v>
      </c>
      <c r="C1813">
        <v>453000</v>
      </c>
    </row>
    <row r="1814" spans="1:3" x14ac:dyDescent="0.2">
      <c r="A1814" s="64">
        <v>37163</v>
      </c>
      <c r="B1814">
        <v>3385000</v>
      </c>
      <c r="C1814">
        <v>517000</v>
      </c>
    </row>
    <row r="1815" spans="1:3" x14ac:dyDescent="0.2">
      <c r="A1815" s="64">
        <v>37170</v>
      </c>
      <c r="B1815">
        <v>3432000</v>
      </c>
      <c r="C1815">
        <v>476000</v>
      </c>
    </row>
    <row r="1816" spans="1:3" x14ac:dyDescent="0.2">
      <c r="A1816" s="64">
        <v>37177</v>
      </c>
      <c r="B1816">
        <v>3521000</v>
      </c>
      <c r="C1816">
        <v>482000</v>
      </c>
    </row>
    <row r="1817" spans="1:3" x14ac:dyDescent="0.2">
      <c r="A1817" s="64">
        <v>37184</v>
      </c>
      <c r="B1817">
        <v>3557000</v>
      </c>
      <c r="C1817">
        <v>482000</v>
      </c>
    </row>
    <row r="1818" spans="1:3" x14ac:dyDescent="0.2">
      <c r="A1818" s="64">
        <v>37191</v>
      </c>
      <c r="B1818">
        <v>3600000</v>
      </c>
      <c r="C1818">
        <v>483000</v>
      </c>
    </row>
    <row r="1819" spans="1:3" x14ac:dyDescent="0.2">
      <c r="A1819" s="64">
        <v>37198</v>
      </c>
      <c r="B1819">
        <v>3616000</v>
      </c>
      <c r="C1819">
        <v>440000</v>
      </c>
    </row>
    <row r="1820" spans="1:3" x14ac:dyDescent="0.2">
      <c r="A1820" s="64">
        <v>37205</v>
      </c>
      <c r="B1820">
        <v>3627000</v>
      </c>
      <c r="C1820">
        <v>428000</v>
      </c>
    </row>
    <row r="1821" spans="1:3" x14ac:dyDescent="0.2">
      <c r="A1821" s="64">
        <v>37212</v>
      </c>
      <c r="B1821">
        <v>3790000</v>
      </c>
      <c r="C1821">
        <v>431000</v>
      </c>
    </row>
    <row r="1822" spans="1:3" x14ac:dyDescent="0.2">
      <c r="A1822" s="64">
        <v>37219</v>
      </c>
      <c r="B1822">
        <v>3593000</v>
      </c>
      <c r="C1822">
        <v>491000</v>
      </c>
    </row>
    <row r="1823" spans="1:3" x14ac:dyDescent="0.2">
      <c r="A1823" s="64">
        <v>37226</v>
      </c>
      <c r="B1823">
        <v>3619000</v>
      </c>
      <c r="C1823">
        <v>465000</v>
      </c>
    </row>
    <row r="1824" spans="1:3" x14ac:dyDescent="0.2">
      <c r="A1824" s="64">
        <v>37233</v>
      </c>
      <c r="B1824">
        <v>3626000</v>
      </c>
      <c r="C1824">
        <v>393000</v>
      </c>
    </row>
    <row r="1825" spans="1:3" x14ac:dyDescent="0.2">
      <c r="A1825" s="64">
        <v>37240</v>
      </c>
      <c r="B1825">
        <v>3637000</v>
      </c>
      <c r="C1825">
        <v>389000</v>
      </c>
    </row>
    <row r="1826" spans="1:3" x14ac:dyDescent="0.2">
      <c r="A1826" s="64">
        <v>37247</v>
      </c>
      <c r="B1826">
        <v>3591000</v>
      </c>
      <c r="C1826">
        <v>416000</v>
      </c>
    </row>
    <row r="1827" spans="1:3" x14ac:dyDescent="0.2">
      <c r="A1827" s="64">
        <v>37254</v>
      </c>
      <c r="B1827">
        <v>3474000</v>
      </c>
      <c r="C1827">
        <v>421000</v>
      </c>
    </row>
    <row r="1828" spans="1:3" x14ac:dyDescent="0.2">
      <c r="A1828" s="64">
        <v>37261</v>
      </c>
      <c r="B1828">
        <v>3587000</v>
      </c>
      <c r="C1828">
        <v>397000</v>
      </c>
    </row>
    <row r="1829" spans="1:3" x14ac:dyDescent="0.2">
      <c r="A1829" s="64">
        <v>37268</v>
      </c>
      <c r="B1829">
        <v>3500000</v>
      </c>
      <c r="C1829">
        <v>418000</v>
      </c>
    </row>
    <row r="1830" spans="1:3" x14ac:dyDescent="0.2">
      <c r="A1830" s="64">
        <v>37275</v>
      </c>
      <c r="B1830">
        <v>3557000</v>
      </c>
      <c r="C1830">
        <v>405000</v>
      </c>
    </row>
    <row r="1831" spans="1:3" x14ac:dyDescent="0.2">
      <c r="A1831" s="64">
        <v>37282</v>
      </c>
      <c r="B1831">
        <v>3558000</v>
      </c>
      <c r="C1831">
        <v>414000</v>
      </c>
    </row>
    <row r="1832" spans="1:3" x14ac:dyDescent="0.2">
      <c r="A1832" s="64">
        <v>37289</v>
      </c>
      <c r="B1832">
        <v>3537000</v>
      </c>
      <c r="C1832">
        <v>404000</v>
      </c>
    </row>
    <row r="1833" spans="1:3" x14ac:dyDescent="0.2">
      <c r="A1833" s="64">
        <v>37296</v>
      </c>
      <c r="B1833">
        <v>3562000</v>
      </c>
      <c r="C1833">
        <v>397000</v>
      </c>
    </row>
    <row r="1834" spans="1:3" x14ac:dyDescent="0.2">
      <c r="A1834" s="64">
        <v>37303</v>
      </c>
      <c r="B1834">
        <v>3580000</v>
      </c>
      <c r="C1834">
        <v>397000</v>
      </c>
    </row>
    <row r="1835" spans="1:3" x14ac:dyDescent="0.2">
      <c r="A1835" s="64">
        <v>37310</v>
      </c>
      <c r="B1835">
        <v>3538000</v>
      </c>
      <c r="C1835">
        <v>398000</v>
      </c>
    </row>
    <row r="1836" spans="1:3" x14ac:dyDescent="0.2">
      <c r="A1836" s="64">
        <v>37317</v>
      </c>
      <c r="B1836">
        <v>3567000</v>
      </c>
      <c r="C1836">
        <v>392000</v>
      </c>
    </row>
    <row r="1837" spans="1:3" x14ac:dyDescent="0.2">
      <c r="A1837" s="64">
        <v>37324</v>
      </c>
      <c r="B1837">
        <v>3567000</v>
      </c>
      <c r="C1837">
        <v>399000</v>
      </c>
    </row>
    <row r="1838" spans="1:3" x14ac:dyDescent="0.2">
      <c r="A1838" s="64">
        <v>37331</v>
      </c>
      <c r="B1838">
        <v>3598000</v>
      </c>
      <c r="C1838">
        <v>392000</v>
      </c>
    </row>
    <row r="1839" spans="1:3" x14ac:dyDescent="0.2">
      <c r="A1839" s="64">
        <v>37338</v>
      </c>
      <c r="B1839">
        <v>3599000</v>
      </c>
      <c r="C1839">
        <v>415000</v>
      </c>
    </row>
    <row r="1840" spans="1:3" x14ac:dyDescent="0.2">
      <c r="A1840" s="64">
        <v>37345</v>
      </c>
      <c r="B1840">
        <v>3723000</v>
      </c>
      <c r="C1840">
        <v>479000</v>
      </c>
    </row>
    <row r="1841" spans="1:3" x14ac:dyDescent="0.2">
      <c r="A1841" s="64">
        <v>37352</v>
      </c>
      <c r="B1841">
        <v>3732000</v>
      </c>
      <c r="C1841">
        <v>445000</v>
      </c>
    </row>
    <row r="1842" spans="1:3" x14ac:dyDescent="0.2">
      <c r="A1842" s="64">
        <v>37359</v>
      </c>
      <c r="B1842">
        <v>3650000</v>
      </c>
      <c r="C1842">
        <v>442000</v>
      </c>
    </row>
    <row r="1843" spans="1:3" x14ac:dyDescent="0.2">
      <c r="A1843" s="64">
        <v>37366</v>
      </c>
      <c r="B1843">
        <v>3675000</v>
      </c>
      <c r="C1843">
        <v>416000</v>
      </c>
    </row>
    <row r="1844" spans="1:3" x14ac:dyDescent="0.2">
      <c r="A1844" s="64">
        <v>37373</v>
      </c>
      <c r="B1844">
        <v>3700000</v>
      </c>
      <c r="C1844">
        <v>414000</v>
      </c>
    </row>
    <row r="1845" spans="1:3" x14ac:dyDescent="0.2">
      <c r="A1845" s="64">
        <v>37380</v>
      </c>
      <c r="B1845">
        <v>3712000</v>
      </c>
      <c r="C1845">
        <v>409000</v>
      </c>
    </row>
    <row r="1846" spans="1:3" x14ac:dyDescent="0.2">
      <c r="A1846" s="64">
        <v>37387</v>
      </c>
      <c r="B1846">
        <v>3729000</v>
      </c>
      <c r="C1846">
        <v>413000</v>
      </c>
    </row>
    <row r="1847" spans="1:3" x14ac:dyDescent="0.2">
      <c r="A1847" s="64">
        <v>37394</v>
      </c>
      <c r="B1847">
        <v>3695000</v>
      </c>
      <c r="C1847">
        <v>411000</v>
      </c>
    </row>
    <row r="1848" spans="1:3" x14ac:dyDescent="0.2">
      <c r="A1848" s="64">
        <v>37401</v>
      </c>
      <c r="B1848">
        <v>3712000</v>
      </c>
      <c r="C1848">
        <v>403000</v>
      </c>
    </row>
    <row r="1849" spans="1:3" x14ac:dyDescent="0.2">
      <c r="A1849" s="64">
        <v>37408</v>
      </c>
      <c r="B1849">
        <v>3664000</v>
      </c>
      <c r="C1849">
        <v>378000</v>
      </c>
    </row>
    <row r="1850" spans="1:3" x14ac:dyDescent="0.2">
      <c r="A1850" s="64">
        <v>37415</v>
      </c>
      <c r="B1850">
        <v>3681000</v>
      </c>
      <c r="C1850">
        <v>388000</v>
      </c>
    </row>
    <row r="1851" spans="1:3" x14ac:dyDescent="0.2">
      <c r="A1851" s="64">
        <v>37422</v>
      </c>
      <c r="B1851">
        <v>3604000</v>
      </c>
      <c r="C1851">
        <v>396000</v>
      </c>
    </row>
    <row r="1852" spans="1:3" x14ac:dyDescent="0.2">
      <c r="A1852" s="64">
        <v>37429</v>
      </c>
      <c r="B1852">
        <v>3639000</v>
      </c>
      <c r="C1852">
        <v>388000</v>
      </c>
    </row>
    <row r="1853" spans="1:3" x14ac:dyDescent="0.2">
      <c r="A1853" s="64">
        <v>37436</v>
      </c>
      <c r="B1853">
        <v>3588000</v>
      </c>
      <c r="C1853">
        <v>386000</v>
      </c>
    </row>
    <row r="1854" spans="1:3" x14ac:dyDescent="0.2">
      <c r="A1854" s="64">
        <v>37443</v>
      </c>
      <c r="B1854">
        <v>3554000</v>
      </c>
      <c r="C1854">
        <v>391000</v>
      </c>
    </row>
    <row r="1855" spans="1:3" x14ac:dyDescent="0.2">
      <c r="A1855" s="64">
        <v>37450</v>
      </c>
      <c r="B1855">
        <v>3495000</v>
      </c>
      <c r="C1855">
        <v>384000</v>
      </c>
    </row>
    <row r="1856" spans="1:3" x14ac:dyDescent="0.2">
      <c r="A1856" s="64">
        <v>37457</v>
      </c>
      <c r="B1856">
        <v>3473000</v>
      </c>
      <c r="C1856">
        <v>379000</v>
      </c>
    </row>
    <row r="1857" spans="1:3" x14ac:dyDescent="0.2">
      <c r="A1857" s="64">
        <v>37464</v>
      </c>
      <c r="B1857">
        <v>3495000</v>
      </c>
      <c r="C1857">
        <v>390000</v>
      </c>
    </row>
    <row r="1858" spans="1:3" x14ac:dyDescent="0.2">
      <c r="A1858" s="64">
        <v>37471</v>
      </c>
      <c r="B1858">
        <v>3498000</v>
      </c>
      <c r="C1858">
        <v>388000</v>
      </c>
    </row>
    <row r="1859" spans="1:3" x14ac:dyDescent="0.2">
      <c r="A1859" s="64">
        <v>37478</v>
      </c>
      <c r="B1859">
        <v>3485000</v>
      </c>
      <c r="C1859">
        <v>389000</v>
      </c>
    </row>
    <row r="1860" spans="1:3" x14ac:dyDescent="0.2">
      <c r="A1860" s="64">
        <v>37485</v>
      </c>
      <c r="B1860">
        <v>3531000</v>
      </c>
      <c r="C1860">
        <v>399000</v>
      </c>
    </row>
    <row r="1861" spans="1:3" x14ac:dyDescent="0.2">
      <c r="A1861" s="64">
        <v>37492</v>
      </c>
      <c r="B1861">
        <v>3521000</v>
      </c>
      <c r="C1861">
        <v>398000</v>
      </c>
    </row>
    <row r="1862" spans="1:3" x14ac:dyDescent="0.2">
      <c r="A1862" s="64">
        <v>37499</v>
      </c>
      <c r="B1862">
        <v>3549000</v>
      </c>
      <c r="C1862">
        <v>394000</v>
      </c>
    </row>
    <row r="1863" spans="1:3" x14ac:dyDescent="0.2">
      <c r="A1863" s="64">
        <v>37506</v>
      </c>
      <c r="B1863">
        <v>3532000</v>
      </c>
      <c r="C1863">
        <v>416000</v>
      </c>
    </row>
    <row r="1864" spans="1:3" x14ac:dyDescent="0.2">
      <c r="A1864" s="64">
        <v>37513</v>
      </c>
      <c r="B1864">
        <v>3554000</v>
      </c>
      <c r="C1864">
        <v>412000</v>
      </c>
    </row>
    <row r="1865" spans="1:3" x14ac:dyDescent="0.2">
      <c r="A1865" s="64">
        <v>37520</v>
      </c>
      <c r="B1865">
        <v>3579000</v>
      </c>
      <c r="C1865">
        <v>401000</v>
      </c>
    </row>
    <row r="1866" spans="1:3" x14ac:dyDescent="0.2">
      <c r="A1866" s="64">
        <v>37527</v>
      </c>
      <c r="B1866">
        <v>3555000</v>
      </c>
      <c r="C1866">
        <v>409000</v>
      </c>
    </row>
    <row r="1867" spans="1:3" x14ac:dyDescent="0.2">
      <c r="A1867" s="64">
        <v>37534</v>
      </c>
      <c r="B1867">
        <v>3619000</v>
      </c>
      <c r="C1867">
        <v>404000</v>
      </c>
    </row>
    <row r="1868" spans="1:3" x14ac:dyDescent="0.2">
      <c r="A1868" s="64">
        <v>37541</v>
      </c>
      <c r="B1868">
        <v>3529000</v>
      </c>
      <c r="C1868">
        <v>405000</v>
      </c>
    </row>
    <row r="1869" spans="1:3" x14ac:dyDescent="0.2">
      <c r="A1869" s="64">
        <v>37548</v>
      </c>
      <c r="B1869">
        <v>3518000</v>
      </c>
      <c r="C1869">
        <v>412000</v>
      </c>
    </row>
    <row r="1870" spans="1:3" x14ac:dyDescent="0.2">
      <c r="A1870" s="64">
        <v>37555</v>
      </c>
      <c r="B1870">
        <v>3557000</v>
      </c>
      <c r="C1870">
        <v>409000</v>
      </c>
    </row>
    <row r="1871" spans="1:3" x14ac:dyDescent="0.2">
      <c r="A1871" s="64">
        <v>37562</v>
      </c>
      <c r="B1871">
        <v>3557000</v>
      </c>
      <c r="C1871">
        <v>405000</v>
      </c>
    </row>
    <row r="1872" spans="1:3" x14ac:dyDescent="0.2">
      <c r="A1872" s="64">
        <v>37569</v>
      </c>
      <c r="B1872">
        <v>3539000</v>
      </c>
      <c r="C1872">
        <v>400000</v>
      </c>
    </row>
    <row r="1873" spans="1:3" x14ac:dyDescent="0.2">
      <c r="A1873" s="64">
        <v>37576</v>
      </c>
      <c r="B1873">
        <v>3438000</v>
      </c>
      <c r="C1873">
        <v>389000</v>
      </c>
    </row>
    <row r="1874" spans="1:3" x14ac:dyDescent="0.2">
      <c r="A1874" s="64">
        <v>37583</v>
      </c>
      <c r="B1874">
        <v>3474000</v>
      </c>
      <c r="C1874">
        <v>390000</v>
      </c>
    </row>
    <row r="1875" spans="1:3" x14ac:dyDescent="0.2">
      <c r="A1875" s="64">
        <v>37590</v>
      </c>
      <c r="B1875">
        <v>3404000</v>
      </c>
      <c r="C1875">
        <v>377000</v>
      </c>
    </row>
    <row r="1876" spans="1:3" x14ac:dyDescent="0.2">
      <c r="A1876" s="64">
        <v>37597</v>
      </c>
      <c r="B1876">
        <v>3537000</v>
      </c>
      <c r="C1876">
        <v>425000</v>
      </c>
    </row>
    <row r="1877" spans="1:3" x14ac:dyDescent="0.2">
      <c r="A1877" s="64">
        <v>37604</v>
      </c>
      <c r="B1877">
        <v>3497000</v>
      </c>
      <c r="C1877">
        <v>429000</v>
      </c>
    </row>
    <row r="1878" spans="1:3" x14ac:dyDescent="0.2">
      <c r="A1878" s="64">
        <v>37611</v>
      </c>
      <c r="B1878">
        <v>3435000</v>
      </c>
      <c r="C1878">
        <v>394000</v>
      </c>
    </row>
    <row r="1879" spans="1:3" x14ac:dyDescent="0.2">
      <c r="A1879" s="64">
        <v>37618</v>
      </c>
      <c r="B1879">
        <v>3462000</v>
      </c>
      <c r="C1879">
        <v>409000</v>
      </c>
    </row>
    <row r="1880" spans="1:3" x14ac:dyDescent="0.2">
      <c r="A1880" s="64">
        <v>37625</v>
      </c>
      <c r="B1880">
        <v>3438000</v>
      </c>
      <c r="C1880">
        <v>393000</v>
      </c>
    </row>
    <row r="1881" spans="1:3" x14ac:dyDescent="0.2">
      <c r="A1881" s="64">
        <v>37632</v>
      </c>
      <c r="B1881">
        <v>3388000</v>
      </c>
      <c r="C1881">
        <v>378000</v>
      </c>
    </row>
    <row r="1882" spans="1:3" x14ac:dyDescent="0.2">
      <c r="A1882" s="64">
        <v>37639</v>
      </c>
      <c r="B1882">
        <v>3357000</v>
      </c>
      <c r="C1882">
        <v>402000</v>
      </c>
    </row>
    <row r="1883" spans="1:3" x14ac:dyDescent="0.2">
      <c r="A1883" s="64">
        <v>37646</v>
      </c>
      <c r="B1883">
        <v>3475000</v>
      </c>
      <c r="C1883">
        <v>407000</v>
      </c>
    </row>
    <row r="1884" spans="1:3" x14ac:dyDescent="0.2">
      <c r="A1884" s="64">
        <v>37653</v>
      </c>
      <c r="B1884">
        <v>3368000</v>
      </c>
      <c r="C1884">
        <v>413000</v>
      </c>
    </row>
    <row r="1885" spans="1:3" x14ac:dyDescent="0.2">
      <c r="A1885" s="64">
        <v>37660</v>
      </c>
      <c r="B1885">
        <v>3457000</v>
      </c>
      <c r="C1885">
        <v>390000</v>
      </c>
    </row>
    <row r="1886" spans="1:3" x14ac:dyDescent="0.2">
      <c r="A1886" s="64">
        <v>37667</v>
      </c>
      <c r="B1886">
        <v>3423000</v>
      </c>
      <c r="C1886">
        <v>420000</v>
      </c>
    </row>
    <row r="1887" spans="1:3" x14ac:dyDescent="0.2">
      <c r="A1887" s="64">
        <v>37674</v>
      </c>
      <c r="B1887">
        <v>3500000</v>
      </c>
      <c r="C1887">
        <v>421000</v>
      </c>
    </row>
    <row r="1888" spans="1:3" x14ac:dyDescent="0.2">
      <c r="A1888" s="64">
        <v>37681</v>
      </c>
      <c r="B1888">
        <v>3496000</v>
      </c>
      <c r="C1888">
        <v>436000</v>
      </c>
    </row>
    <row r="1889" spans="1:3" x14ac:dyDescent="0.2">
      <c r="A1889" s="64">
        <v>37688</v>
      </c>
      <c r="B1889">
        <v>3559000</v>
      </c>
      <c r="C1889">
        <v>424000</v>
      </c>
    </row>
    <row r="1890" spans="1:3" x14ac:dyDescent="0.2">
      <c r="A1890" s="64">
        <v>37695</v>
      </c>
      <c r="B1890">
        <v>3528000</v>
      </c>
      <c r="C1890">
        <v>430000</v>
      </c>
    </row>
    <row r="1891" spans="1:3" x14ac:dyDescent="0.2">
      <c r="A1891" s="64">
        <v>37702</v>
      </c>
      <c r="B1891">
        <v>3585000</v>
      </c>
      <c r="C1891">
        <v>411000</v>
      </c>
    </row>
    <row r="1892" spans="1:3" x14ac:dyDescent="0.2">
      <c r="A1892" s="64">
        <v>37709</v>
      </c>
      <c r="B1892">
        <v>3536000</v>
      </c>
      <c r="C1892">
        <v>436000</v>
      </c>
    </row>
    <row r="1893" spans="1:3" x14ac:dyDescent="0.2">
      <c r="A1893" s="64">
        <v>37716</v>
      </c>
      <c r="B1893">
        <v>3583000</v>
      </c>
      <c r="C1893">
        <v>417000</v>
      </c>
    </row>
    <row r="1894" spans="1:3" x14ac:dyDescent="0.2">
      <c r="A1894" s="64">
        <v>37723</v>
      </c>
      <c r="B1894">
        <v>3586000</v>
      </c>
      <c r="C1894">
        <v>434000</v>
      </c>
    </row>
    <row r="1895" spans="1:3" x14ac:dyDescent="0.2">
      <c r="A1895" s="64">
        <v>37730</v>
      </c>
      <c r="B1895">
        <v>3674000</v>
      </c>
      <c r="C1895">
        <v>450000</v>
      </c>
    </row>
    <row r="1896" spans="1:3" x14ac:dyDescent="0.2">
      <c r="A1896" s="64">
        <v>37737</v>
      </c>
      <c r="B1896">
        <v>3676000</v>
      </c>
      <c r="C1896">
        <v>444000</v>
      </c>
    </row>
    <row r="1897" spans="1:3" x14ac:dyDescent="0.2">
      <c r="A1897" s="64">
        <v>37744</v>
      </c>
      <c r="B1897">
        <v>3730000</v>
      </c>
      <c r="C1897">
        <v>428000</v>
      </c>
    </row>
    <row r="1898" spans="1:3" x14ac:dyDescent="0.2">
      <c r="A1898" s="64">
        <v>37751</v>
      </c>
      <c r="B1898">
        <v>3704000</v>
      </c>
      <c r="C1898">
        <v>417000</v>
      </c>
    </row>
    <row r="1899" spans="1:3" x14ac:dyDescent="0.2">
      <c r="A1899" s="64">
        <v>37758</v>
      </c>
      <c r="B1899">
        <v>3716000</v>
      </c>
      <c r="C1899">
        <v>425000</v>
      </c>
    </row>
    <row r="1900" spans="1:3" x14ac:dyDescent="0.2">
      <c r="A1900" s="64">
        <v>37765</v>
      </c>
      <c r="B1900">
        <v>3672000</v>
      </c>
      <c r="C1900">
        <v>419000</v>
      </c>
    </row>
    <row r="1901" spans="1:3" x14ac:dyDescent="0.2">
      <c r="A1901" s="64">
        <v>37772</v>
      </c>
      <c r="B1901">
        <v>3774000</v>
      </c>
      <c r="C1901">
        <v>431000</v>
      </c>
    </row>
    <row r="1902" spans="1:3" x14ac:dyDescent="0.2">
      <c r="A1902" s="64">
        <v>37779</v>
      </c>
      <c r="B1902">
        <v>3682000</v>
      </c>
      <c r="C1902">
        <v>429000</v>
      </c>
    </row>
    <row r="1903" spans="1:3" x14ac:dyDescent="0.2">
      <c r="A1903" s="64">
        <v>37786</v>
      </c>
      <c r="B1903">
        <v>3695000</v>
      </c>
      <c r="C1903">
        <v>421000</v>
      </c>
    </row>
    <row r="1904" spans="1:3" x14ac:dyDescent="0.2">
      <c r="A1904" s="64">
        <v>37793</v>
      </c>
      <c r="B1904">
        <v>3692000</v>
      </c>
      <c r="C1904">
        <v>408000</v>
      </c>
    </row>
    <row r="1905" spans="1:3" x14ac:dyDescent="0.2">
      <c r="A1905" s="64">
        <v>37800</v>
      </c>
      <c r="B1905">
        <v>3737000</v>
      </c>
      <c r="C1905">
        <v>429000</v>
      </c>
    </row>
    <row r="1906" spans="1:3" x14ac:dyDescent="0.2">
      <c r="A1906" s="64">
        <v>37807</v>
      </c>
      <c r="B1906">
        <v>3627000</v>
      </c>
      <c r="C1906">
        <v>433000</v>
      </c>
    </row>
    <row r="1907" spans="1:3" x14ac:dyDescent="0.2">
      <c r="A1907" s="64">
        <v>37814</v>
      </c>
      <c r="B1907">
        <v>3599000</v>
      </c>
      <c r="C1907">
        <v>412000</v>
      </c>
    </row>
    <row r="1908" spans="1:3" x14ac:dyDescent="0.2">
      <c r="A1908" s="64">
        <v>37821</v>
      </c>
      <c r="B1908">
        <v>3592000</v>
      </c>
      <c r="C1908">
        <v>403000</v>
      </c>
    </row>
    <row r="1909" spans="1:3" x14ac:dyDescent="0.2">
      <c r="A1909" s="64">
        <v>37828</v>
      </c>
      <c r="B1909">
        <v>3647000</v>
      </c>
      <c r="C1909">
        <v>398000</v>
      </c>
    </row>
    <row r="1910" spans="1:3" x14ac:dyDescent="0.2">
      <c r="A1910" s="64">
        <v>37835</v>
      </c>
      <c r="B1910">
        <v>3601000</v>
      </c>
      <c r="C1910">
        <v>401000</v>
      </c>
    </row>
    <row r="1911" spans="1:3" x14ac:dyDescent="0.2">
      <c r="A1911" s="64">
        <v>37842</v>
      </c>
      <c r="B1911">
        <v>3596000</v>
      </c>
      <c r="C1911">
        <v>404000</v>
      </c>
    </row>
    <row r="1912" spans="1:3" x14ac:dyDescent="0.2">
      <c r="A1912" s="64">
        <v>37849</v>
      </c>
      <c r="B1912">
        <v>3603000</v>
      </c>
      <c r="C1912">
        <v>398000</v>
      </c>
    </row>
    <row r="1913" spans="1:3" x14ac:dyDescent="0.2">
      <c r="A1913" s="64">
        <v>37856</v>
      </c>
      <c r="B1913">
        <v>3574000</v>
      </c>
      <c r="C1913">
        <v>391000</v>
      </c>
    </row>
    <row r="1914" spans="1:3" x14ac:dyDescent="0.2">
      <c r="A1914" s="64">
        <v>37863</v>
      </c>
      <c r="B1914">
        <v>3608000</v>
      </c>
      <c r="C1914">
        <v>407000</v>
      </c>
    </row>
    <row r="1915" spans="1:3" x14ac:dyDescent="0.2">
      <c r="A1915" s="64">
        <v>37870</v>
      </c>
      <c r="B1915">
        <v>3598000</v>
      </c>
      <c r="C1915">
        <v>422000</v>
      </c>
    </row>
    <row r="1916" spans="1:3" x14ac:dyDescent="0.2">
      <c r="A1916" s="64">
        <v>37877</v>
      </c>
      <c r="B1916">
        <v>3559000</v>
      </c>
      <c r="C1916">
        <v>394000</v>
      </c>
    </row>
    <row r="1917" spans="1:3" x14ac:dyDescent="0.2">
      <c r="A1917" s="64">
        <v>37884</v>
      </c>
      <c r="B1917">
        <v>3588000</v>
      </c>
      <c r="C1917">
        <v>379000</v>
      </c>
    </row>
    <row r="1918" spans="1:3" x14ac:dyDescent="0.2">
      <c r="A1918" s="64">
        <v>37891</v>
      </c>
      <c r="B1918">
        <v>3558000</v>
      </c>
      <c r="C1918">
        <v>387000</v>
      </c>
    </row>
    <row r="1919" spans="1:3" x14ac:dyDescent="0.2">
      <c r="A1919" s="64">
        <v>37898</v>
      </c>
      <c r="B1919">
        <v>3570000</v>
      </c>
      <c r="C1919">
        <v>386000</v>
      </c>
    </row>
    <row r="1920" spans="1:3" x14ac:dyDescent="0.2">
      <c r="A1920" s="64">
        <v>37905</v>
      </c>
      <c r="B1920">
        <v>3468000</v>
      </c>
      <c r="C1920">
        <v>376000</v>
      </c>
    </row>
    <row r="1921" spans="1:3" x14ac:dyDescent="0.2">
      <c r="A1921" s="64">
        <v>37912</v>
      </c>
      <c r="B1921">
        <v>3466000</v>
      </c>
      <c r="C1921">
        <v>387000</v>
      </c>
    </row>
    <row r="1922" spans="1:3" x14ac:dyDescent="0.2">
      <c r="A1922" s="64">
        <v>37919</v>
      </c>
      <c r="B1922">
        <v>3441000</v>
      </c>
      <c r="C1922">
        <v>379000</v>
      </c>
    </row>
    <row r="1923" spans="1:3" x14ac:dyDescent="0.2">
      <c r="A1923" s="64">
        <v>37926</v>
      </c>
      <c r="B1923">
        <v>3427000</v>
      </c>
      <c r="C1923">
        <v>363000</v>
      </c>
    </row>
    <row r="1924" spans="1:3" x14ac:dyDescent="0.2">
      <c r="A1924" s="64">
        <v>37933</v>
      </c>
      <c r="B1924">
        <v>3441000</v>
      </c>
      <c r="C1924">
        <v>371000</v>
      </c>
    </row>
    <row r="1925" spans="1:3" x14ac:dyDescent="0.2">
      <c r="A1925" s="64">
        <v>37940</v>
      </c>
      <c r="B1925">
        <v>3331000</v>
      </c>
      <c r="C1925">
        <v>370000</v>
      </c>
    </row>
    <row r="1926" spans="1:3" x14ac:dyDescent="0.2">
      <c r="A1926" s="64">
        <v>37947</v>
      </c>
      <c r="B1926">
        <v>3337000</v>
      </c>
      <c r="C1926">
        <v>354000</v>
      </c>
    </row>
    <row r="1927" spans="1:3" x14ac:dyDescent="0.2">
      <c r="A1927" s="64">
        <v>37954</v>
      </c>
      <c r="B1927">
        <v>3331000</v>
      </c>
      <c r="C1927">
        <v>357000</v>
      </c>
    </row>
    <row r="1928" spans="1:3" x14ac:dyDescent="0.2">
      <c r="A1928" s="64">
        <v>37961</v>
      </c>
      <c r="B1928">
        <v>3318000</v>
      </c>
      <c r="C1928">
        <v>367000</v>
      </c>
    </row>
    <row r="1929" spans="1:3" x14ac:dyDescent="0.2">
      <c r="A1929" s="64">
        <v>37968</v>
      </c>
      <c r="B1929">
        <v>3251000</v>
      </c>
      <c r="C1929">
        <v>363000</v>
      </c>
    </row>
    <row r="1930" spans="1:3" x14ac:dyDescent="0.2">
      <c r="A1930" s="64">
        <v>37975</v>
      </c>
      <c r="B1930">
        <v>3254000</v>
      </c>
      <c r="C1930">
        <v>354000</v>
      </c>
    </row>
    <row r="1931" spans="1:3" x14ac:dyDescent="0.2">
      <c r="A1931" s="64">
        <v>37982</v>
      </c>
      <c r="B1931">
        <v>3258000</v>
      </c>
      <c r="C1931">
        <v>349000</v>
      </c>
    </row>
    <row r="1932" spans="1:3" x14ac:dyDescent="0.2">
      <c r="A1932" s="64">
        <v>37989</v>
      </c>
      <c r="B1932">
        <v>3188000</v>
      </c>
      <c r="C1932">
        <v>356000</v>
      </c>
    </row>
    <row r="1933" spans="1:3" x14ac:dyDescent="0.2">
      <c r="A1933" s="64">
        <v>37996</v>
      </c>
      <c r="B1933">
        <v>3154000</v>
      </c>
      <c r="C1933">
        <v>354000</v>
      </c>
    </row>
    <row r="1934" spans="1:3" x14ac:dyDescent="0.2">
      <c r="A1934" s="64">
        <v>38003</v>
      </c>
      <c r="B1934">
        <v>3139000</v>
      </c>
      <c r="C1934">
        <v>362000</v>
      </c>
    </row>
    <row r="1935" spans="1:3" x14ac:dyDescent="0.2">
      <c r="A1935" s="64">
        <v>38010</v>
      </c>
      <c r="B1935">
        <v>3142000</v>
      </c>
      <c r="C1935">
        <v>353000</v>
      </c>
    </row>
    <row r="1936" spans="1:3" x14ac:dyDescent="0.2">
      <c r="A1936" s="64">
        <v>38017</v>
      </c>
      <c r="B1936">
        <v>3118000</v>
      </c>
      <c r="C1936">
        <v>376000</v>
      </c>
    </row>
    <row r="1937" spans="1:3" x14ac:dyDescent="0.2">
      <c r="A1937" s="64">
        <v>38024</v>
      </c>
      <c r="B1937">
        <v>3179000</v>
      </c>
      <c r="C1937">
        <v>380000</v>
      </c>
    </row>
    <row r="1938" spans="1:3" x14ac:dyDescent="0.2">
      <c r="A1938" s="64">
        <v>38031</v>
      </c>
      <c r="B1938">
        <v>3131000</v>
      </c>
      <c r="C1938">
        <v>356000</v>
      </c>
    </row>
    <row r="1939" spans="1:3" x14ac:dyDescent="0.2">
      <c r="A1939" s="64">
        <v>38038</v>
      </c>
      <c r="B1939">
        <v>3092000</v>
      </c>
      <c r="C1939">
        <v>359000</v>
      </c>
    </row>
    <row r="1940" spans="1:3" x14ac:dyDescent="0.2">
      <c r="A1940" s="64">
        <v>38045</v>
      </c>
      <c r="B1940">
        <v>3057000</v>
      </c>
      <c r="C1940">
        <v>348000</v>
      </c>
    </row>
    <row r="1941" spans="1:3" x14ac:dyDescent="0.2">
      <c r="A1941" s="64">
        <v>38052</v>
      </c>
      <c r="B1941">
        <v>3072000</v>
      </c>
      <c r="C1941">
        <v>344000</v>
      </c>
    </row>
    <row r="1942" spans="1:3" x14ac:dyDescent="0.2">
      <c r="A1942" s="64">
        <v>38059</v>
      </c>
      <c r="B1942">
        <v>3040000</v>
      </c>
      <c r="C1942">
        <v>338000</v>
      </c>
    </row>
    <row r="1943" spans="1:3" x14ac:dyDescent="0.2">
      <c r="A1943" s="64">
        <v>38066</v>
      </c>
      <c r="B1943">
        <v>3066000</v>
      </c>
      <c r="C1943">
        <v>346000</v>
      </c>
    </row>
    <row r="1944" spans="1:3" x14ac:dyDescent="0.2">
      <c r="A1944" s="64">
        <v>38073</v>
      </c>
      <c r="B1944">
        <v>3007000</v>
      </c>
      <c r="C1944">
        <v>340000</v>
      </c>
    </row>
    <row r="1945" spans="1:3" x14ac:dyDescent="0.2">
      <c r="A1945" s="64">
        <v>38080</v>
      </c>
      <c r="B1945">
        <v>2990000</v>
      </c>
      <c r="C1945">
        <v>335000</v>
      </c>
    </row>
    <row r="1946" spans="1:3" x14ac:dyDescent="0.2">
      <c r="A1946" s="64">
        <v>38087</v>
      </c>
      <c r="B1946">
        <v>3022000</v>
      </c>
      <c r="C1946">
        <v>355000</v>
      </c>
    </row>
    <row r="1947" spans="1:3" x14ac:dyDescent="0.2">
      <c r="A1947" s="64">
        <v>38094</v>
      </c>
      <c r="B1947">
        <v>3031000</v>
      </c>
      <c r="C1947">
        <v>364000</v>
      </c>
    </row>
    <row r="1948" spans="1:3" x14ac:dyDescent="0.2">
      <c r="A1948" s="64">
        <v>38101</v>
      </c>
      <c r="B1948">
        <v>2960000</v>
      </c>
      <c r="C1948">
        <v>339000</v>
      </c>
    </row>
    <row r="1949" spans="1:3" x14ac:dyDescent="0.2">
      <c r="A1949" s="64">
        <v>38108</v>
      </c>
      <c r="B1949">
        <v>2998000</v>
      </c>
      <c r="C1949">
        <v>324000</v>
      </c>
    </row>
    <row r="1950" spans="1:3" x14ac:dyDescent="0.2">
      <c r="A1950" s="64">
        <v>38115</v>
      </c>
      <c r="B1950">
        <v>2978000</v>
      </c>
      <c r="C1950">
        <v>329000</v>
      </c>
    </row>
    <row r="1951" spans="1:3" x14ac:dyDescent="0.2">
      <c r="A1951" s="64">
        <v>38122</v>
      </c>
      <c r="B1951">
        <v>2976000</v>
      </c>
      <c r="C1951">
        <v>349000</v>
      </c>
    </row>
    <row r="1952" spans="1:3" x14ac:dyDescent="0.2">
      <c r="A1952" s="64">
        <v>38129</v>
      </c>
      <c r="B1952">
        <v>3010000</v>
      </c>
      <c r="C1952">
        <v>342000</v>
      </c>
    </row>
    <row r="1953" spans="1:3" x14ac:dyDescent="0.2">
      <c r="A1953" s="64">
        <v>38136</v>
      </c>
      <c r="B1953">
        <v>2916000</v>
      </c>
      <c r="C1953">
        <v>337000</v>
      </c>
    </row>
    <row r="1954" spans="1:3" x14ac:dyDescent="0.2">
      <c r="A1954" s="64">
        <v>38143</v>
      </c>
      <c r="B1954">
        <v>2923000</v>
      </c>
      <c r="C1954">
        <v>355000</v>
      </c>
    </row>
    <row r="1955" spans="1:3" x14ac:dyDescent="0.2">
      <c r="A1955" s="64">
        <v>38150</v>
      </c>
      <c r="B1955">
        <v>2990000</v>
      </c>
      <c r="C1955">
        <v>339000</v>
      </c>
    </row>
    <row r="1956" spans="1:3" x14ac:dyDescent="0.2">
      <c r="A1956" s="64">
        <v>38157</v>
      </c>
      <c r="B1956">
        <v>2973000</v>
      </c>
      <c r="C1956">
        <v>354000</v>
      </c>
    </row>
    <row r="1957" spans="1:3" x14ac:dyDescent="0.2">
      <c r="A1957" s="64">
        <v>38164</v>
      </c>
      <c r="B1957">
        <v>2917000</v>
      </c>
      <c r="C1957">
        <v>348000</v>
      </c>
    </row>
    <row r="1958" spans="1:3" x14ac:dyDescent="0.2">
      <c r="A1958" s="64">
        <v>38171</v>
      </c>
      <c r="B1958">
        <v>2948000</v>
      </c>
      <c r="C1958">
        <v>326000</v>
      </c>
    </row>
    <row r="1959" spans="1:3" x14ac:dyDescent="0.2">
      <c r="A1959" s="64">
        <v>38178</v>
      </c>
      <c r="B1959">
        <v>2852000</v>
      </c>
      <c r="C1959">
        <v>345000</v>
      </c>
    </row>
    <row r="1960" spans="1:3" x14ac:dyDescent="0.2">
      <c r="A1960" s="64">
        <v>38185</v>
      </c>
      <c r="B1960">
        <v>2956000</v>
      </c>
      <c r="C1960">
        <v>355000</v>
      </c>
    </row>
    <row r="1961" spans="1:3" x14ac:dyDescent="0.2">
      <c r="A1961" s="64">
        <v>38192</v>
      </c>
      <c r="B1961">
        <v>2935000</v>
      </c>
      <c r="C1961">
        <v>348000</v>
      </c>
    </row>
    <row r="1962" spans="1:3" x14ac:dyDescent="0.2">
      <c r="A1962" s="64">
        <v>38199</v>
      </c>
      <c r="B1962">
        <v>2894000</v>
      </c>
      <c r="C1962">
        <v>341000</v>
      </c>
    </row>
    <row r="1963" spans="1:3" x14ac:dyDescent="0.2">
      <c r="A1963" s="64">
        <v>38206</v>
      </c>
      <c r="B1963">
        <v>2920000</v>
      </c>
      <c r="C1963">
        <v>336000</v>
      </c>
    </row>
    <row r="1964" spans="1:3" x14ac:dyDescent="0.2">
      <c r="A1964" s="64">
        <v>38213</v>
      </c>
      <c r="B1964">
        <v>2889000</v>
      </c>
      <c r="C1964">
        <v>332000</v>
      </c>
    </row>
    <row r="1965" spans="1:3" x14ac:dyDescent="0.2">
      <c r="A1965" s="64">
        <v>38220</v>
      </c>
      <c r="B1965">
        <v>2877000</v>
      </c>
      <c r="C1965">
        <v>343000</v>
      </c>
    </row>
    <row r="1966" spans="1:3" x14ac:dyDescent="0.2">
      <c r="A1966" s="64">
        <v>38227</v>
      </c>
      <c r="B1966">
        <v>2880000</v>
      </c>
      <c r="C1966">
        <v>352000</v>
      </c>
    </row>
    <row r="1967" spans="1:3" x14ac:dyDescent="0.2">
      <c r="A1967" s="64">
        <v>38234</v>
      </c>
      <c r="B1967">
        <v>2872000</v>
      </c>
      <c r="C1967">
        <v>326000</v>
      </c>
    </row>
    <row r="1968" spans="1:3" x14ac:dyDescent="0.2">
      <c r="A1968" s="64">
        <v>38241</v>
      </c>
      <c r="B1968">
        <v>2875000</v>
      </c>
      <c r="C1968">
        <v>331000</v>
      </c>
    </row>
    <row r="1969" spans="1:3" x14ac:dyDescent="0.2">
      <c r="A1969" s="64">
        <v>38248</v>
      </c>
      <c r="B1969">
        <v>2865000</v>
      </c>
      <c r="C1969">
        <v>341000</v>
      </c>
    </row>
    <row r="1970" spans="1:3" x14ac:dyDescent="0.2">
      <c r="A1970" s="64">
        <v>38255</v>
      </c>
      <c r="B1970">
        <v>2839000</v>
      </c>
      <c r="C1970">
        <v>351000</v>
      </c>
    </row>
    <row r="1971" spans="1:3" x14ac:dyDescent="0.2">
      <c r="A1971" s="64">
        <v>38262</v>
      </c>
      <c r="B1971">
        <v>2799000</v>
      </c>
      <c r="C1971">
        <v>335000</v>
      </c>
    </row>
    <row r="1972" spans="1:3" x14ac:dyDescent="0.2">
      <c r="A1972" s="64">
        <v>38269</v>
      </c>
      <c r="B1972">
        <v>2773000</v>
      </c>
      <c r="C1972">
        <v>338000</v>
      </c>
    </row>
    <row r="1973" spans="1:3" x14ac:dyDescent="0.2">
      <c r="A1973" s="64">
        <v>38276</v>
      </c>
      <c r="B1973">
        <v>2781000</v>
      </c>
      <c r="C1973">
        <v>327000</v>
      </c>
    </row>
    <row r="1974" spans="1:3" x14ac:dyDescent="0.2">
      <c r="A1974" s="64">
        <v>38283</v>
      </c>
      <c r="B1974">
        <v>2774000</v>
      </c>
      <c r="C1974">
        <v>338000</v>
      </c>
    </row>
    <row r="1975" spans="1:3" x14ac:dyDescent="0.2">
      <c r="A1975" s="64">
        <v>38290</v>
      </c>
      <c r="B1975">
        <v>2763000</v>
      </c>
      <c r="C1975">
        <v>332000</v>
      </c>
    </row>
    <row r="1976" spans="1:3" x14ac:dyDescent="0.2">
      <c r="A1976" s="64">
        <v>38297</v>
      </c>
      <c r="B1976">
        <v>2765000</v>
      </c>
      <c r="C1976">
        <v>330000</v>
      </c>
    </row>
    <row r="1977" spans="1:3" x14ac:dyDescent="0.2">
      <c r="A1977" s="64">
        <v>38304</v>
      </c>
      <c r="B1977">
        <v>2707000</v>
      </c>
      <c r="C1977">
        <v>337000</v>
      </c>
    </row>
    <row r="1978" spans="1:3" x14ac:dyDescent="0.2">
      <c r="A1978" s="64">
        <v>38311</v>
      </c>
      <c r="B1978">
        <v>2705000</v>
      </c>
      <c r="C1978">
        <v>313000</v>
      </c>
    </row>
    <row r="1979" spans="1:3" x14ac:dyDescent="0.2">
      <c r="A1979" s="64">
        <v>38318</v>
      </c>
      <c r="B1979">
        <v>2761000</v>
      </c>
      <c r="C1979">
        <v>335000</v>
      </c>
    </row>
    <row r="1980" spans="1:3" x14ac:dyDescent="0.2">
      <c r="A1980" s="64">
        <v>38325</v>
      </c>
      <c r="B1980">
        <v>2725000</v>
      </c>
      <c r="C1980">
        <v>343000</v>
      </c>
    </row>
    <row r="1981" spans="1:3" x14ac:dyDescent="0.2">
      <c r="A1981" s="64">
        <v>38332</v>
      </c>
      <c r="B1981">
        <v>2692000</v>
      </c>
      <c r="C1981">
        <v>316000</v>
      </c>
    </row>
    <row r="1982" spans="1:3" x14ac:dyDescent="0.2">
      <c r="A1982" s="64">
        <v>38339</v>
      </c>
      <c r="B1982">
        <v>2688000</v>
      </c>
      <c r="C1982">
        <v>322000</v>
      </c>
    </row>
    <row r="1983" spans="1:3" x14ac:dyDescent="0.2">
      <c r="A1983" s="64">
        <v>38346</v>
      </c>
      <c r="B1983">
        <v>2771000</v>
      </c>
      <c r="C1983">
        <v>320000</v>
      </c>
    </row>
    <row r="1984" spans="1:3" x14ac:dyDescent="0.2">
      <c r="A1984" s="64">
        <v>38353</v>
      </c>
      <c r="B1984">
        <v>2672000</v>
      </c>
      <c r="C1984">
        <v>356000</v>
      </c>
    </row>
    <row r="1985" spans="1:3" x14ac:dyDescent="0.2">
      <c r="A1985" s="64">
        <v>38360</v>
      </c>
      <c r="B1985">
        <v>2720000</v>
      </c>
      <c r="C1985">
        <v>369000</v>
      </c>
    </row>
    <row r="1986" spans="1:3" x14ac:dyDescent="0.2">
      <c r="A1986" s="64">
        <v>38367</v>
      </c>
      <c r="B1986">
        <v>2790000</v>
      </c>
      <c r="C1986">
        <v>332000</v>
      </c>
    </row>
    <row r="1987" spans="1:3" x14ac:dyDescent="0.2">
      <c r="A1987" s="64">
        <v>38374</v>
      </c>
      <c r="B1987">
        <v>2706000</v>
      </c>
      <c r="C1987">
        <v>329000</v>
      </c>
    </row>
    <row r="1988" spans="1:3" x14ac:dyDescent="0.2">
      <c r="A1988" s="64">
        <v>38381</v>
      </c>
      <c r="B1988">
        <v>2731000</v>
      </c>
      <c r="C1988">
        <v>331000</v>
      </c>
    </row>
    <row r="1989" spans="1:3" x14ac:dyDescent="0.2">
      <c r="A1989" s="64">
        <v>38388</v>
      </c>
      <c r="B1989">
        <v>2710000</v>
      </c>
      <c r="C1989">
        <v>307000</v>
      </c>
    </row>
    <row r="1990" spans="1:3" x14ac:dyDescent="0.2">
      <c r="A1990" s="64">
        <v>38395</v>
      </c>
      <c r="B1990">
        <v>2666000</v>
      </c>
      <c r="C1990">
        <v>308000</v>
      </c>
    </row>
    <row r="1991" spans="1:3" x14ac:dyDescent="0.2">
      <c r="A1991" s="64">
        <v>38402</v>
      </c>
      <c r="B1991">
        <v>2667000</v>
      </c>
      <c r="C1991">
        <v>318000</v>
      </c>
    </row>
    <row r="1992" spans="1:3" x14ac:dyDescent="0.2">
      <c r="A1992" s="64">
        <v>38409</v>
      </c>
      <c r="B1992">
        <v>2703000</v>
      </c>
      <c r="C1992">
        <v>314000</v>
      </c>
    </row>
    <row r="1993" spans="1:3" x14ac:dyDescent="0.2">
      <c r="A1993" s="64">
        <v>38416</v>
      </c>
      <c r="B1993">
        <v>2658000</v>
      </c>
      <c r="C1993">
        <v>333000</v>
      </c>
    </row>
    <row r="1994" spans="1:3" x14ac:dyDescent="0.2">
      <c r="A1994" s="64">
        <v>38423</v>
      </c>
      <c r="B1994">
        <v>2681000</v>
      </c>
      <c r="C1994">
        <v>324000</v>
      </c>
    </row>
    <row r="1995" spans="1:3" x14ac:dyDescent="0.2">
      <c r="A1995" s="64">
        <v>38430</v>
      </c>
      <c r="B1995">
        <v>2616000</v>
      </c>
      <c r="C1995">
        <v>329000</v>
      </c>
    </row>
    <row r="1996" spans="1:3" x14ac:dyDescent="0.2">
      <c r="A1996" s="64">
        <v>38437</v>
      </c>
      <c r="B1996">
        <v>2683000</v>
      </c>
      <c r="C1996">
        <v>342000</v>
      </c>
    </row>
    <row r="1997" spans="1:3" x14ac:dyDescent="0.2">
      <c r="A1997" s="64">
        <v>38444</v>
      </c>
      <c r="B1997">
        <v>2653000</v>
      </c>
      <c r="C1997">
        <v>335000</v>
      </c>
    </row>
    <row r="1998" spans="1:3" x14ac:dyDescent="0.2">
      <c r="A1998" s="64">
        <v>38451</v>
      </c>
      <c r="B1998">
        <v>2626000</v>
      </c>
      <c r="C1998">
        <v>323000</v>
      </c>
    </row>
    <row r="1999" spans="1:3" x14ac:dyDescent="0.2">
      <c r="A1999" s="64">
        <v>38458</v>
      </c>
      <c r="B1999">
        <v>2559000</v>
      </c>
      <c r="C1999">
        <v>307000</v>
      </c>
    </row>
    <row r="2000" spans="1:3" x14ac:dyDescent="0.2">
      <c r="A2000" s="64">
        <v>38465</v>
      </c>
      <c r="B2000">
        <v>2588000</v>
      </c>
      <c r="C2000">
        <v>317000</v>
      </c>
    </row>
    <row r="2001" spans="1:3" x14ac:dyDescent="0.2">
      <c r="A2001" s="64">
        <v>38472</v>
      </c>
      <c r="B2001">
        <v>2596000</v>
      </c>
      <c r="C2001">
        <v>334000</v>
      </c>
    </row>
    <row r="2002" spans="1:3" x14ac:dyDescent="0.2">
      <c r="A2002" s="64">
        <v>38479</v>
      </c>
      <c r="B2002">
        <v>2605000</v>
      </c>
      <c r="C2002">
        <v>327000</v>
      </c>
    </row>
    <row r="2003" spans="1:3" x14ac:dyDescent="0.2">
      <c r="A2003" s="64">
        <v>38486</v>
      </c>
      <c r="B2003">
        <v>2568000</v>
      </c>
      <c r="C2003">
        <v>321000</v>
      </c>
    </row>
    <row r="2004" spans="1:3" x14ac:dyDescent="0.2">
      <c r="A2004" s="64">
        <v>38493</v>
      </c>
      <c r="B2004">
        <v>2595000</v>
      </c>
      <c r="C2004">
        <v>320000</v>
      </c>
    </row>
    <row r="2005" spans="1:3" x14ac:dyDescent="0.2">
      <c r="A2005" s="64">
        <v>38500</v>
      </c>
      <c r="B2005">
        <v>2577000</v>
      </c>
      <c r="C2005">
        <v>340000</v>
      </c>
    </row>
    <row r="2006" spans="1:3" x14ac:dyDescent="0.2">
      <c r="A2006" s="64">
        <v>38507</v>
      </c>
      <c r="B2006">
        <v>2630000</v>
      </c>
      <c r="C2006">
        <v>338000</v>
      </c>
    </row>
    <row r="2007" spans="1:3" x14ac:dyDescent="0.2">
      <c r="A2007" s="64">
        <v>38514</v>
      </c>
      <c r="B2007">
        <v>2599000</v>
      </c>
      <c r="C2007">
        <v>333000</v>
      </c>
    </row>
    <row r="2008" spans="1:3" x14ac:dyDescent="0.2">
      <c r="A2008" s="64">
        <v>38521</v>
      </c>
      <c r="B2008">
        <v>2602000</v>
      </c>
      <c r="C2008">
        <v>321000</v>
      </c>
    </row>
    <row r="2009" spans="1:3" x14ac:dyDescent="0.2">
      <c r="A2009" s="64">
        <v>38528</v>
      </c>
      <c r="B2009">
        <v>2569000</v>
      </c>
      <c r="C2009">
        <v>311000</v>
      </c>
    </row>
    <row r="2010" spans="1:3" x14ac:dyDescent="0.2">
      <c r="A2010" s="64">
        <v>38535</v>
      </c>
      <c r="B2010">
        <v>2612000</v>
      </c>
      <c r="C2010">
        <v>327000</v>
      </c>
    </row>
    <row r="2011" spans="1:3" x14ac:dyDescent="0.2">
      <c r="A2011" s="64">
        <v>38542</v>
      </c>
      <c r="B2011">
        <v>2583000</v>
      </c>
      <c r="C2011">
        <v>338000</v>
      </c>
    </row>
    <row r="2012" spans="1:3" x14ac:dyDescent="0.2">
      <c r="A2012" s="64">
        <v>38549</v>
      </c>
      <c r="B2012">
        <v>2619000</v>
      </c>
      <c r="C2012">
        <v>323000</v>
      </c>
    </row>
    <row r="2013" spans="1:3" x14ac:dyDescent="0.2">
      <c r="A2013" s="64">
        <v>38556</v>
      </c>
      <c r="B2013">
        <v>2592000</v>
      </c>
      <c r="C2013">
        <v>318000</v>
      </c>
    </row>
    <row r="2014" spans="1:3" x14ac:dyDescent="0.2">
      <c r="A2014" s="64">
        <v>38563</v>
      </c>
      <c r="B2014">
        <v>2570000</v>
      </c>
      <c r="C2014">
        <v>316000</v>
      </c>
    </row>
    <row r="2015" spans="1:3" x14ac:dyDescent="0.2">
      <c r="A2015" s="64">
        <v>38570</v>
      </c>
      <c r="B2015">
        <v>2584000</v>
      </c>
      <c r="C2015">
        <v>311000</v>
      </c>
    </row>
    <row r="2016" spans="1:3" x14ac:dyDescent="0.2">
      <c r="A2016" s="64">
        <v>38577</v>
      </c>
      <c r="B2016">
        <v>2573000</v>
      </c>
      <c r="C2016">
        <v>319000</v>
      </c>
    </row>
    <row r="2017" spans="1:3" x14ac:dyDescent="0.2">
      <c r="A2017" s="64">
        <v>38584</v>
      </c>
      <c r="B2017">
        <v>2598000</v>
      </c>
      <c r="C2017">
        <v>315000</v>
      </c>
    </row>
    <row r="2018" spans="1:3" x14ac:dyDescent="0.2">
      <c r="A2018" s="64">
        <v>38591</v>
      </c>
      <c r="B2018">
        <v>2568000</v>
      </c>
      <c r="C2018">
        <v>318000</v>
      </c>
    </row>
    <row r="2019" spans="1:3" x14ac:dyDescent="0.2">
      <c r="A2019" s="64">
        <v>38598</v>
      </c>
      <c r="B2019">
        <v>2575000</v>
      </c>
      <c r="C2019">
        <v>326000</v>
      </c>
    </row>
    <row r="2020" spans="1:3" x14ac:dyDescent="0.2">
      <c r="A2020" s="64">
        <v>38605</v>
      </c>
      <c r="B2020">
        <v>2651000</v>
      </c>
      <c r="C2020">
        <v>422000</v>
      </c>
    </row>
    <row r="2021" spans="1:3" x14ac:dyDescent="0.2">
      <c r="A2021" s="64">
        <v>38612</v>
      </c>
      <c r="B2021">
        <v>2787000</v>
      </c>
      <c r="C2021">
        <v>424000</v>
      </c>
    </row>
    <row r="2022" spans="1:3" x14ac:dyDescent="0.2">
      <c r="A2022" s="64">
        <v>38619</v>
      </c>
      <c r="B2022">
        <v>2853000</v>
      </c>
      <c r="C2022">
        <v>359000</v>
      </c>
    </row>
    <row r="2023" spans="1:3" x14ac:dyDescent="0.2">
      <c r="A2023" s="64">
        <v>38626</v>
      </c>
      <c r="B2023">
        <v>2841000</v>
      </c>
      <c r="C2023">
        <v>384000</v>
      </c>
    </row>
    <row r="2024" spans="1:3" x14ac:dyDescent="0.2">
      <c r="A2024" s="64">
        <v>38633</v>
      </c>
      <c r="B2024">
        <v>2831000</v>
      </c>
      <c r="C2024">
        <v>383000</v>
      </c>
    </row>
    <row r="2025" spans="1:3" x14ac:dyDescent="0.2">
      <c r="A2025" s="64">
        <v>38640</v>
      </c>
      <c r="B2025">
        <v>2821000</v>
      </c>
      <c r="C2025">
        <v>348000</v>
      </c>
    </row>
    <row r="2026" spans="1:3" x14ac:dyDescent="0.2">
      <c r="A2026" s="64">
        <v>38647</v>
      </c>
      <c r="B2026">
        <v>2772000</v>
      </c>
      <c r="C2026">
        <v>324000</v>
      </c>
    </row>
    <row r="2027" spans="1:3" x14ac:dyDescent="0.2">
      <c r="A2027" s="64">
        <v>38654</v>
      </c>
      <c r="B2027">
        <v>2752000</v>
      </c>
      <c r="C2027">
        <v>322000</v>
      </c>
    </row>
    <row r="2028" spans="1:3" x14ac:dyDescent="0.2">
      <c r="A2028" s="64">
        <v>38661</v>
      </c>
      <c r="B2028">
        <v>2746000</v>
      </c>
      <c r="C2028">
        <v>325000</v>
      </c>
    </row>
    <row r="2029" spans="1:3" x14ac:dyDescent="0.2">
      <c r="A2029" s="64">
        <v>38668</v>
      </c>
      <c r="B2029">
        <v>2760000</v>
      </c>
      <c r="C2029">
        <v>309000</v>
      </c>
    </row>
    <row r="2030" spans="1:3" x14ac:dyDescent="0.2">
      <c r="A2030" s="64">
        <v>38675</v>
      </c>
      <c r="B2030">
        <v>2712000</v>
      </c>
      <c r="C2030">
        <v>324000</v>
      </c>
    </row>
    <row r="2031" spans="1:3" x14ac:dyDescent="0.2">
      <c r="A2031" s="64">
        <v>38682</v>
      </c>
      <c r="B2031">
        <v>2587000</v>
      </c>
      <c r="C2031">
        <v>311000</v>
      </c>
    </row>
    <row r="2032" spans="1:3" x14ac:dyDescent="0.2">
      <c r="A2032" s="64">
        <v>38689</v>
      </c>
      <c r="B2032">
        <v>2589000</v>
      </c>
      <c r="C2032">
        <v>321000</v>
      </c>
    </row>
    <row r="2033" spans="1:3" x14ac:dyDescent="0.2">
      <c r="A2033" s="64">
        <v>38696</v>
      </c>
      <c r="B2033">
        <v>2620000</v>
      </c>
      <c r="C2033">
        <v>327000</v>
      </c>
    </row>
    <row r="2034" spans="1:3" x14ac:dyDescent="0.2">
      <c r="A2034" s="64">
        <v>38703</v>
      </c>
      <c r="B2034">
        <v>2660000</v>
      </c>
      <c r="C2034">
        <v>312000</v>
      </c>
    </row>
    <row r="2035" spans="1:3" x14ac:dyDescent="0.2">
      <c r="A2035" s="64">
        <v>38710</v>
      </c>
      <c r="B2035">
        <v>2668000</v>
      </c>
      <c r="C2035">
        <v>320000</v>
      </c>
    </row>
    <row r="2036" spans="1:3" x14ac:dyDescent="0.2">
      <c r="A2036" s="64">
        <v>38717</v>
      </c>
      <c r="B2036">
        <v>2660000</v>
      </c>
      <c r="C2036">
        <v>302000</v>
      </c>
    </row>
    <row r="2037" spans="1:3" x14ac:dyDescent="0.2">
      <c r="A2037" s="64">
        <v>38724</v>
      </c>
      <c r="B2037">
        <v>2561000</v>
      </c>
      <c r="C2037">
        <v>326000</v>
      </c>
    </row>
    <row r="2038" spans="1:3" x14ac:dyDescent="0.2">
      <c r="A2038" s="64">
        <v>38731</v>
      </c>
      <c r="B2038">
        <v>2586000</v>
      </c>
      <c r="C2038">
        <v>285000</v>
      </c>
    </row>
    <row r="2039" spans="1:3" x14ac:dyDescent="0.2">
      <c r="A2039" s="64">
        <v>38738</v>
      </c>
      <c r="B2039">
        <v>2516000</v>
      </c>
      <c r="C2039">
        <v>290000</v>
      </c>
    </row>
    <row r="2040" spans="1:3" x14ac:dyDescent="0.2">
      <c r="A2040" s="64">
        <v>38745</v>
      </c>
      <c r="B2040">
        <v>2565000</v>
      </c>
      <c r="C2040">
        <v>282000</v>
      </c>
    </row>
    <row r="2041" spans="1:3" x14ac:dyDescent="0.2">
      <c r="A2041" s="64">
        <v>38752</v>
      </c>
      <c r="B2041">
        <v>2520000</v>
      </c>
      <c r="C2041">
        <v>289000</v>
      </c>
    </row>
    <row r="2042" spans="1:3" x14ac:dyDescent="0.2">
      <c r="A2042" s="64">
        <v>38759</v>
      </c>
      <c r="B2042">
        <v>2517000</v>
      </c>
      <c r="C2042">
        <v>298000</v>
      </c>
    </row>
    <row r="2043" spans="1:3" x14ac:dyDescent="0.2">
      <c r="A2043" s="64">
        <v>38766</v>
      </c>
      <c r="B2043">
        <v>2488000</v>
      </c>
      <c r="C2043">
        <v>283000</v>
      </c>
    </row>
    <row r="2044" spans="1:3" x14ac:dyDescent="0.2">
      <c r="A2044" s="64">
        <v>38773</v>
      </c>
      <c r="B2044">
        <v>2504000</v>
      </c>
      <c r="C2044">
        <v>293000</v>
      </c>
    </row>
    <row r="2045" spans="1:3" x14ac:dyDescent="0.2">
      <c r="A2045" s="64">
        <v>38780</v>
      </c>
      <c r="B2045">
        <v>2453000</v>
      </c>
      <c r="C2045">
        <v>302000</v>
      </c>
    </row>
    <row r="2046" spans="1:3" x14ac:dyDescent="0.2">
      <c r="A2046" s="64">
        <v>38787</v>
      </c>
      <c r="B2046">
        <v>2474000</v>
      </c>
      <c r="C2046">
        <v>307000</v>
      </c>
    </row>
    <row r="2047" spans="1:3" x14ac:dyDescent="0.2">
      <c r="A2047" s="64">
        <v>38794</v>
      </c>
      <c r="B2047">
        <v>2456000</v>
      </c>
      <c r="C2047">
        <v>303000</v>
      </c>
    </row>
    <row r="2048" spans="1:3" x14ac:dyDescent="0.2">
      <c r="A2048" s="64">
        <v>38801</v>
      </c>
      <c r="B2048">
        <v>2439000</v>
      </c>
      <c r="C2048">
        <v>295000</v>
      </c>
    </row>
    <row r="2049" spans="1:3" x14ac:dyDescent="0.2">
      <c r="A2049" s="64">
        <v>38808</v>
      </c>
      <c r="B2049">
        <v>2405000</v>
      </c>
      <c r="C2049">
        <v>291000</v>
      </c>
    </row>
    <row r="2050" spans="1:3" x14ac:dyDescent="0.2">
      <c r="A2050" s="64">
        <v>38815</v>
      </c>
      <c r="B2050">
        <v>2411000</v>
      </c>
      <c r="C2050">
        <v>299000</v>
      </c>
    </row>
    <row r="2051" spans="1:3" x14ac:dyDescent="0.2">
      <c r="A2051" s="64">
        <v>38822</v>
      </c>
      <c r="B2051">
        <v>2408000</v>
      </c>
      <c r="C2051">
        <v>299000</v>
      </c>
    </row>
    <row r="2052" spans="1:3" x14ac:dyDescent="0.2">
      <c r="A2052" s="64">
        <v>38829</v>
      </c>
      <c r="B2052">
        <v>2424000</v>
      </c>
      <c r="C2052">
        <v>308000</v>
      </c>
    </row>
    <row r="2053" spans="1:3" x14ac:dyDescent="0.2">
      <c r="A2053" s="64">
        <v>38836</v>
      </c>
      <c r="B2053">
        <v>2357000</v>
      </c>
      <c r="C2053">
        <v>321000</v>
      </c>
    </row>
    <row r="2054" spans="1:3" x14ac:dyDescent="0.2">
      <c r="A2054" s="64">
        <v>38843</v>
      </c>
      <c r="B2054">
        <v>2372000</v>
      </c>
      <c r="C2054">
        <v>347000</v>
      </c>
    </row>
    <row r="2055" spans="1:3" x14ac:dyDescent="0.2">
      <c r="A2055" s="64">
        <v>38850</v>
      </c>
      <c r="B2055">
        <v>2383000</v>
      </c>
      <c r="C2055">
        <v>335000</v>
      </c>
    </row>
    <row r="2056" spans="1:3" x14ac:dyDescent="0.2">
      <c r="A2056" s="64">
        <v>38857</v>
      </c>
      <c r="B2056">
        <v>2399000</v>
      </c>
      <c r="C2056">
        <v>319000</v>
      </c>
    </row>
    <row r="2057" spans="1:3" x14ac:dyDescent="0.2">
      <c r="A2057" s="64">
        <v>38864</v>
      </c>
      <c r="B2057">
        <v>2381000</v>
      </c>
      <c r="C2057">
        <v>330000</v>
      </c>
    </row>
    <row r="2058" spans="1:3" x14ac:dyDescent="0.2">
      <c r="A2058" s="64">
        <v>38871</v>
      </c>
      <c r="B2058">
        <v>2408000</v>
      </c>
      <c r="C2058">
        <v>307000</v>
      </c>
    </row>
    <row r="2059" spans="1:3" x14ac:dyDescent="0.2">
      <c r="A2059" s="64">
        <v>38878</v>
      </c>
      <c r="B2059">
        <v>2412000</v>
      </c>
      <c r="C2059">
        <v>298000</v>
      </c>
    </row>
    <row r="2060" spans="1:3" x14ac:dyDescent="0.2">
      <c r="A2060" s="64">
        <v>38885</v>
      </c>
      <c r="B2060">
        <v>2395000</v>
      </c>
      <c r="C2060">
        <v>308000</v>
      </c>
    </row>
    <row r="2061" spans="1:3" x14ac:dyDescent="0.2">
      <c r="A2061" s="64">
        <v>38892</v>
      </c>
      <c r="B2061">
        <v>2419000</v>
      </c>
      <c r="C2061">
        <v>309000</v>
      </c>
    </row>
    <row r="2062" spans="1:3" x14ac:dyDescent="0.2">
      <c r="A2062" s="64">
        <v>38899</v>
      </c>
      <c r="B2062">
        <v>2399000</v>
      </c>
      <c r="C2062">
        <v>316000</v>
      </c>
    </row>
    <row r="2063" spans="1:3" x14ac:dyDescent="0.2">
      <c r="A2063" s="64">
        <v>38906</v>
      </c>
      <c r="B2063">
        <v>2491000</v>
      </c>
      <c r="C2063">
        <v>343000</v>
      </c>
    </row>
    <row r="2064" spans="1:3" x14ac:dyDescent="0.2">
      <c r="A2064" s="64">
        <v>38913</v>
      </c>
      <c r="B2064">
        <v>2475000</v>
      </c>
      <c r="C2064">
        <v>318000</v>
      </c>
    </row>
    <row r="2065" spans="1:3" x14ac:dyDescent="0.2">
      <c r="A2065" s="64">
        <v>38920</v>
      </c>
      <c r="B2065">
        <v>2422000</v>
      </c>
      <c r="C2065">
        <v>306000</v>
      </c>
    </row>
    <row r="2066" spans="1:3" x14ac:dyDescent="0.2">
      <c r="A2066" s="64">
        <v>38927</v>
      </c>
      <c r="B2066">
        <v>2460000</v>
      </c>
      <c r="C2066">
        <v>311000</v>
      </c>
    </row>
    <row r="2067" spans="1:3" x14ac:dyDescent="0.2">
      <c r="A2067" s="64">
        <v>38934</v>
      </c>
      <c r="B2067">
        <v>2477000</v>
      </c>
      <c r="C2067">
        <v>318000</v>
      </c>
    </row>
    <row r="2068" spans="1:3" x14ac:dyDescent="0.2">
      <c r="A2068" s="64">
        <v>38941</v>
      </c>
      <c r="B2068">
        <v>2467000</v>
      </c>
      <c r="C2068">
        <v>310000</v>
      </c>
    </row>
    <row r="2069" spans="1:3" x14ac:dyDescent="0.2">
      <c r="A2069" s="64">
        <v>38948</v>
      </c>
      <c r="B2069">
        <v>2464000</v>
      </c>
      <c r="C2069">
        <v>315000</v>
      </c>
    </row>
    <row r="2070" spans="1:3" x14ac:dyDescent="0.2">
      <c r="A2070" s="64">
        <v>38955</v>
      </c>
      <c r="B2070">
        <v>2457000</v>
      </c>
      <c r="C2070">
        <v>314000</v>
      </c>
    </row>
    <row r="2071" spans="1:3" x14ac:dyDescent="0.2">
      <c r="A2071" s="64">
        <v>38962</v>
      </c>
      <c r="B2071">
        <v>2467000</v>
      </c>
      <c r="C2071">
        <v>315000</v>
      </c>
    </row>
    <row r="2072" spans="1:3" x14ac:dyDescent="0.2">
      <c r="A2072" s="64">
        <v>38969</v>
      </c>
      <c r="B2072">
        <v>2449000</v>
      </c>
      <c r="C2072">
        <v>314000</v>
      </c>
    </row>
    <row r="2073" spans="1:3" x14ac:dyDescent="0.2">
      <c r="A2073" s="64">
        <v>38976</v>
      </c>
      <c r="B2073">
        <v>2438000</v>
      </c>
      <c r="C2073">
        <v>324000</v>
      </c>
    </row>
    <row r="2074" spans="1:3" x14ac:dyDescent="0.2">
      <c r="A2074" s="64">
        <v>38983</v>
      </c>
      <c r="B2074">
        <v>2440000</v>
      </c>
      <c r="C2074">
        <v>319000</v>
      </c>
    </row>
    <row r="2075" spans="1:3" x14ac:dyDescent="0.2">
      <c r="A2075" s="64">
        <v>38990</v>
      </c>
      <c r="B2075">
        <v>2437000</v>
      </c>
      <c r="C2075">
        <v>309000</v>
      </c>
    </row>
    <row r="2076" spans="1:3" x14ac:dyDescent="0.2">
      <c r="A2076" s="64">
        <v>38997</v>
      </c>
      <c r="B2076">
        <v>2449000</v>
      </c>
      <c r="C2076">
        <v>316000</v>
      </c>
    </row>
    <row r="2077" spans="1:3" x14ac:dyDescent="0.2">
      <c r="A2077" s="64">
        <v>39004</v>
      </c>
      <c r="B2077">
        <v>2459000</v>
      </c>
      <c r="C2077">
        <v>305000</v>
      </c>
    </row>
    <row r="2078" spans="1:3" x14ac:dyDescent="0.2">
      <c r="A2078" s="64">
        <v>39011</v>
      </c>
      <c r="B2078">
        <v>2428000</v>
      </c>
      <c r="C2078">
        <v>313000</v>
      </c>
    </row>
    <row r="2079" spans="1:3" x14ac:dyDescent="0.2">
      <c r="A2079" s="64">
        <v>39018</v>
      </c>
      <c r="B2079">
        <v>2449000</v>
      </c>
      <c r="C2079">
        <v>328000</v>
      </c>
    </row>
    <row r="2080" spans="1:3" x14ac:dyDescent="0.2">
      <c r="A2080" s="64">
        <v>39025</v>
      </c>
      <c r="B2080">
        <v>2414000</v>
      </c>
      <c r="C2080">
        <v>319000</v>
      </c>
    </row>
    <row r="2081" spans="1:3" x14ac:dyDescent="0.2">
      <c r="A2081" s="64">
        <v>39032</v>
      </c>
      <c r="B2081">
        <v>2467000</v>
      </c>
      <c r="C2081">
        <v>311000</v>
      </c>
    </row>
    <row r="2082" spans="1:3" x14ac:dyDescent="0.2">
      <c r="A2082" s="64">
        <v>39039</v>
      </c>
      <c r="B2082">
        <v>2506000</v>
      </c>
      <c r="C2082">
        <v>326000</v>
      </c>
    </row>
    <row r="2083" spans="1:3" x14ac:dyDescent="0.2">
      <c r="A2083" s="64">
        <v>39046</v>
      </c>
      <c r="B2083">
        <v>2517000</v>
      </c>
      <c r="C2083">
        <v>349000</v>
      </c>
    </row>
    <row r="2084" spans="1:3" x14ac:dyDescent="0.2">
      <c r="A2084" s="64">
        <v>39053</v>
      </c>
      <c r="B2084">
        <v>2472000</v>
      </c>
      <c r="C2084">
        <v>327000</v>
      </c>
    </row>
    <row r="2085" spans="1:3" x14ac:dyDescent="0.2">
      <c r="A2085" s="64">
        <v>39060</v>
      </c>
      <c r="B2085">
        <v>2517000</v>
      </c>
      <c r="C2085">
        <v>311000</v>
      </c>
    </row>
    <row r="2086" spans="1:3" x14ac:dyDescent="0.2">
      <c r="A2086" s="64">
        <v>39067</v>
      </c>
      <c r="B2086">
        <v>2513000</v>
      </c>
      <c r="C2086">
        <v>318000</v>
      </c>
    </row>
    <row r="2087" spans="1:3" x14ac:dyDescent="0.2">
      <c r="A2087" s="64">
        <v>39074</v>
      </c>
      <c r="B2087">
        <v>2449000</v>
      </c>
      <c r="C2087">
        <v>323000</v>
      </c>
    </row>
    <row r="2088" spans="1:3" x14ac:dyDescent="0.2">
      <c r="A2088" s="64">
        <v>39081</v>
      </c>
      <c r="B2088">
        <v>2455000</v>
      </c>
      <c r="C2088">
        <v>341000</v>
      </c>
    </row>
    <row r="2089" spans="1:3" x14ac:dyDescent="0.2">
      <c r="A2089" s="64">
        <v>39088</v>
      </c>
      <c r="B2089">
        <v>2518000</v>
      </c>
      <c r="C2089">
        <v>330000</v>
      </c>
    </row>
    <row r="2090" spans="1:3" x14ac:dyDescent="0.2">
      <c r="A2090" s="64">
        <v>39095</v>
      </c>
      <c r="B2090">
        <v>2507000</v>
      </c>
      <c r="C2090">
        <v>296000</v>
      </c>
    </row>
    <row r="2091" spans="1:3" x14ac:dyDescent="0.2">
      <c r="A2091" s="64">
        <v>39102</v>
      </c>
      <c r="B2091">
        <v>2552000</v>
      </c>
      <c r="C2091">
        <v>335000</v>
      </c>
    </row>
    <row r="2092" spans="1:3" x14ac:dyDescent="0.2">
      <c r="A2092" s="64">
        <v>39109</v>
      </c>
      <c r="B2092">
        <v>2520000</v>
      </c>
      <c r="C2092">
        <v>308000</v>
      </c>
    </row>
    <row r="2093" spans="1:3" x14ac:dyDescent="0.2">
      <c r="A2093" s="64">
        <v>39116</v>
      </c>
      <c r="B2093">
        <v>2575000</v>
      </c>
      <c r="C2093">
        <v>310000</v>
      </c>
    </row>
    <row r="2094" spans="1:3" x14ac:dyDescent="0.2">
      <c r="A2094" s="64">
        <v>39123</v>
      </c>
      <c r="B2094">
        <v>2527000</v>
      </c>
      <c r="C2094">
        <v>338000</v>
      </c>
    </row>
    <row r="2095" spans="1:3" x14ac:dyDescent="0.2">
      <c r="A2095" s="64">
        <v>39130</v>
      </c>
      <c r="B2095">
        <v>2626000</v>
      </c>
      <c r="C2095">
        <v>321000</v>
      </c>
    </row>
    <row r="2096" spans="1:3" x14ac:dyDescent="0.2">
      <c r="A2096" s="64">
        <v>39137</v>
      </c>
      <c r="B2096">
        <v>2549000</v>
      </c>
      <c r="C2096">
        <v>322000</v>
      </c>
    </row>
    <row r="2097" spans="1:3" x14ac:dyDescent="0.2">
      <c r="A2097" s="64">
        <v>39144</v>
      </c>
      <c r="B2097">
        <v>2581000</v>
      </c>
      <c r="C2097">
        <v>320000</v>
      </c>
    </row>
    <row r="2098" spans="1:3" x14ac:dyDescent="0.2">
      <c r="A2098" s="64">
        <v>39151</v>
      </c>
      <c r="B2098">
        <v>2511000</v>
      </c>
      <c r="C2098">
        <v>308000</v>
      </c>
    </row>
    <row r="2099" spans="1:3" x14ac:dyDescent="0.2">
      <c r="A2099" s="64">
        <v>39158</v>
      </c>
      <c r="B2099">
        <v>2515000</v>
      </c>
      <c r="C2099">
        <v>309000</v>
      </c>
    </row>
    <row r="2100" spans="1:3" x14ac:dyDescent="0.2">
      <c r="A2100" s="64">
        <v>39165</v>
      </c>
      <c r="B2100">
        <v>2489000</v>
      </c>
      <c r="C2100">
        <v>303000</v>
      </c>
    </row>
    <row r="2101" spans="1:3" x14ac:dyDescent="0.2">
      <c r="A2101" s="64">
        <v>39172</v>
      </c>
      <c r="B2101">
        <v>2499000</v>
      </c>
      <c r="C2101">
        <v>307000</v>
      </c>
    </row>
    <row r="2102" spans="1:3" x14ac:dyDescent="0.2">
      <c r="A2102" s="64">
        <v>39179</v>
      </c>
      <c r="B2102">
        <v>2497000</v>
      </c>
      <c r="C2102">
        <v>332000</v>
      </c>
    </row>
    <row r="2103" spans="1:3" x14ac:dyDescent="0.2">
      <c r="A2103" s="64">
        <v>39186</v>
      </c>
      <c r="B2103">
        <v>2538000</v>
      </c>
      <c r="C2103">
        <v>327000</v>
      </c>
    </row>
    <row r="2104" spans="1:3" x14ac:dyDescent="0.2">
      <c r="A2104" s="64">
        <v>39193</v>
      </c>
      <c r="B2104">
        <v>2463000</v>
      </c>
      <c r="C2104">
        <v>321000</v>
      </c>
    </row>
    <row r="2105" spans="1:3" x14ac:dyDescent="0.2">
      <c r="A2105" s="64">
        <v>39200</v>
      </c>
      <c r="B2105">
        <v>2486000</v>
      </c>
      <c r="C2105">
        <v>301000</v>
      </c>
    </row>
    <row r="2106" spans="1:3" x14ac:dyDescent="0.2">
      <c r="A2106" s="64">
        <v>39207</v>
      </c>
      <c r="B2106">
        <v>2429000</v>
      </c>
      <c r="C2106">
        <v>300000</v>
      </c>
    </row>
    <row r="2107" spans="1:3" x14ac:dyDescent="0.2">
      <c r="A2107" s="64">
        <v>39214</v>
      </c>
      <c r="B2107">
        <v>2465000</v>
      </c>
      <c r="C2107">
        <v>297000</v>
      </c>
    </row>
    <row r="2108" spans="1:3" x14ac:dyDescent="0.2">
      <c r="A2108" s="64">
        <v>39221</v>
      </c>
      <c r="B2108">
        <v>2417000</v>
      </c>
      <c r="C2108">
        <v>310000</v>
      </c>
    </row>
    <row r="2109" spans="1:3" x14ac:dyDescent="0.2">
      <c r="A2109" s="64">
        <v>39228</v>
      </c>
      <c r="B2109">
        <v>2480000</v>
      </c>
      <c r="C2109">
        <v>310000</v>
      </c>
    </row>
    <row r="2110" spans="1:3" x14ac:dyDescent="0.2">
      <c r="A2110" s="64">
        <v>39235</v>
      </c>
      <c r="B2110">
        <v>2452000</v>
      </c>
      <c r="C2110">
        <v>313000</v>
      </c>
    </row>
    <row r="2111" spans="1:3" x14ac:dyDescent="0.2">
      <c r="A2111" s="64">
        <v>39242</v>
      </c>
      <c r="B2111">
        <v>2484000</v>
      </c>
      <c r="C2111">
        <v>313000</v>
      </c>
    </row>
    <row r="2112" spans="1:3" x14ac:dyDescent="0.2">
      <c r="A2112" s="64">
        <v>39249</v>
      </c>
      <c r="B2112">
        <v>2453000</v>
      </c>
      <c r="C2112">
        <v>320000</v>
      </c>
    </row>
    <row r="2113" spans="1:3" x14ac:dyDescent="0.2">
      <c r="A2113" s="64">
        <v>39256</v>
      </c>
      <c r="B2113">
        <v>2520000</v>
      </c>
      <c r="C2113">
        <v>313000</v>
      </c>
    </row>
    <row r="2114" spans="1:3" x14ac:dyDescent="0.2">
      <c r="A2114" s="64">
        <v>39263</v>
      </c>
      <c r="B2114">
        <v>2501000</v>
      </c>
      <c r="C2114">
        <v>317000</v>
      </c>
    </row>
    <row r="2115" spans="1:3" x14ac:dyDescent="0.2">
      <c r="A2115" s="64">
        <v>39270</v>
      </c>
      <c r="B2115">
        <v>2563000</v>
      </c>
      <c r="C2115">
        <v>321000</v>
      </c>
    </row>
    <row r="2116" spans="1:3" x14ac:dyDescent="0.2">
      <c r="A2116" s="64">
        <v>39277</v>
      </c>
      <c r="B2116">
        <v>2555000</v>
      </c>
      <c r="C2116">
        <v>317000</v>
      </c>
    </row>
    <row r="2117" spans="1:3" x14ac:dyDescent="0.2">
      <c r="A2117" s="64">
        <v>39284</v>
      </c>
      <c r="B2117">
        <v>2514000</v>
      </c>
      <c r="C2117">
        <v>310000</v>
      </c>
    </row>
    <row r="2118" spans="1:3" x14ac:dyDescent="0.2">
      <c r="A2118" s="64">
        <v>39291</v>
      </c>
      <c r="B2118">
        <v>2537000</v>
      </c>
      <c r="C2118">
        <v>305000</v>
      </c>
    </row>
    <row r="2119" spans="1:3" x14ac:dyDescent="0.2">
      <c r="A2119" s="64">
        <v>39298</v>
      </c>
      <c r="B2119">
        <v>2531000</v>
      </c>
      <c r="C2119">
        <v>314000</v>
      </c>
    </row>
    <row r="2120" spans="1:3" x14ac:dyDescent="0.2">
      <c r="A2120" s="64">
        <v>39305</v>
      </c>
      <c r="B2120">
        <v>2556000</v>
      </c>
      <c r="C2120">
        <v>316000</v>
      </c>
    </row>
    <row r="2121" spans="1:3" x14ac:dyDescent="0.2">
      <c r="A2121" s="64">
        <v>39312</v>
      </c>
      <c r="B2121">
        <v>2556000</v>
      </c>
      <c r="C2121">
        <v>321000</v>
      </c>
    </row>
    <row r="2122" spans="1:3" x14ac:dyDescent="0.2">
      <c r="A2122" s="64">
        <v>39319</v>
      </c>
      <c r="B2122">
        <v>2569000</v>
      </c>
      <c r="C2122">
        <v>329000</v>
      </c>
    </row>
    <row r="2123" spans="1:3" x14ac:dyDescent="0.2">
      <c r="A2123" s="64">
        <v>39326</v>
      </c>
      <c r="B2123">
        <v>2565000</v>
      </c>
      <c r="C2123">
        <v>314000</v>
      </c>
    </row>
    <row r="2124" spans="1:3" x14ac:dyDescent="0.2">
      <c r="A2124" s="64">
        <v>39333</v>
      </c>
      <c r="B2124">
        <v>2537000</v>
      </c>
      <c r="C2124">
        <v>321000</v>
      </c>
    </row>
    <row r="2125" spans="1:3" x14ac:dyDescent="0.2">
      <c r="A2125" s="64">
        <v>39340</v>
      </c>
      <c r="B2125">
        <v>2536000</v>
      </c>
      <c r="C2125">
        <v>313000</v>
      </c>
    </row>
    <row r="2126" spans="1:3" x14ac:dyDescent="0.2">
      <c r="A2126" s="64">
        <v>39347</v>
      </c>
      <c r="B2126">
        <v>2530000</v>
      </c>
      <c r="C2126">
        <v>302000</v>
      </c>
    </row>
    <row r="2127" spans="1:3" x14ac:dyDescent="0.2">
      <c r="A2127" s="64">
        <v>39354</v>
      </c>
      <c r="B2127">
        <v>2518000</v>
      </c>
      <c r="C2127">
        <v>317000</v>
      </c>
    </row>
    <row r="2128" spans="1:3" x14ac:dyDescent="0.2">
      <c r="A2128" s="64">
        <v>39361</v>
      </c>
      <c r="B2128">
        <v>2521000</v>
      </c>
      <c r="C2128">
        <v>316000</v>
      </c>
    </row>
    <row r="2129" spans="1:3" x14ac:dyDescent="0.2">
      <c r="A2129" s="64">
        <v>39368</v>
      </c>
      <c r="B2129">
        <v>2541000</v>
      </c>
      <c r="C2129">
        <v>335000</v>
      </c>
    </row>
    <row r="2130" spans="1:3" x14ac:dyDescent="0.2">
      <c r="A2130" s="64">
        <v>39375</v>
      </c>
      <c r="B2130">
        <v>2598000</v>
      </c>
      <c r="C2130">
        <v>334000</v>
      </c>
    </row>
    <row r="2131" spans="1:3" x14ac:dyDescent="0.2">
      <c r="A2131" s="64">
        <v>39382</v>
      </c>
      <c r="B2131">
        <v>2587000</v>
      </c>
      <c r="C2131">
        <v>328000</v>
      </c>
    </row>
    <row r="2132" spans="1:3" x14ac:dyDescent="0.2">
      <c r="A2132" s="64">
        <v>39389</v>
      </c>
      <c r="B2132">
        <v>2617000</v>
      </c>
      <c r="C2132">
        <v>327000</v>
      </c>
    </row>
    <row r="2133" spans="1:3" x14ac:dyDescent="0.2">
      <c r="A2133" s="64">
        <v>39396</v>
      </c>
      <c r="B2133">
        <v>2607000</v>
      </c>
      <c r="C2133">
        <v>333000</v>
      </c>
    </row>
    <row r="2134" spans="1:3" x14ac:dyDescent="0.2">
      <c r="A2134" s="64">
        <v>39403</v>
      </c>
      <c r="B2134">
        <v>2609000</v>
      </c>
      <c r="C2134">
        <v>332000</v>
      </c>
    </row>
    <row r="2135" spans="1:3" x14ac:dyDescent="0.2">
      <c r="A2135" s="64">
        <v>39410</v>
      </c>
      <c r="B2135">
        <v>2634000</v>
      </c>
      <c r="C2135">
        <v>352000</v>
      </c>
    </row>
    <row r="2136" spans="1:3" x14ac:dyDescent="0.2">
      <c r="A2136" s="64">
        <v>39417</v>
      </c>
      <c r="B2136">
        <v>2639000</v>
      </c>
      <c r="C2136">
        <v>344000</v>
      </c>
    </row>
    <row r="2137" spans="1:3" x14ac:dyDescent="0.2">
      <c r="A2137" s="64">
        <v>39424</v>
      </c>
      <c r="B2137">
        <v>2672000</v>
      </c>
      <c r="C2137">
        <v>332000</v>
      </c>
    </row>
    <row r="2138" spans="1:3" x14ac:dyDescent="0.2">
      <c r="A2138" s="64">
        <v>39431</v>
      </c>
      <c r="B2138">
        <v>2737000</v>
      </c>
      <c r="C2138">
        <v>350000</v>
      </c>
    </row>
    <row r="2139" spans="1:3" x14ac:dyDescent="0.2">
      <c r="A2139" s="64">
        <v>39438</v>
      </c>
      <c r="B2139">
        <v>2752000</v>
      </c>
      <c r="C2139">
        <v>355000</v>
      </c>
    </row>
    <row r="2140" spans="1:3" x14ac:dyDescent="0.2">
      <c r="A2140" s="64">
        <v>39445</v>
      </c>
      <c r="B2140">
        <v>2760000</v>
      </c>
      <c r="C2140">
        <v>360000</v>
      </c>
    </row>
    <row r="2141" spans="1:3" x14ac:dyDescent="0.2">
      <c r="A2141" s="64">
        <v>39452</v>
      </c>
      <c r="B2141">
        <v>2828000</v>
      </c>
      <c r="C2141">
        <v>346000</v>
      </c>
    </row>
    <row r="2142" spans="1:3" x14ac:dyDescent="0.2">
      <c r="A2142" s="64">
        <v>39459</v>
      </c>
      <c r="B2142">
        <v>2752000</v>
      </c>
      <c r="C2142">
        <v>322000</v>
      </c>
    </row>
    <row r="2143" spans="1:3" x14ac:dyDescent="0.2">
      <c r="A2143" s="64">
        <v>39466</v>
      </c>
      <c r="B2143">
        <v>2770000</v>
      </c>
      <c r="C2143">
        <v>321000</v>
      </c>
    </row>
    <row r="2144" spans="1:3" x14ac:dyDescent="0.2">
      <c r="A2144" s="64">
        <v>39473</v>
      </c>
      <c r="B2144">
        <v>2845000</v>
      </c>
      <c r="C2144">
        <v>366000</v>
      </c>
    </row>
    <row r="2145" spans="1:3" x14ac:dyDescent="0.2">
      <c r="A2145" s="64">
        <v>39480</v>
      </c>
      <c r="B2145">
        <v>2810000</v>
      </c>
      <c r="C2145">
        <v>350000</v>
      </c>
    </row>
    <row r="2146" spans="1:3" x14ac:dyDescent="0.2">
      <c r="A2146" s="64">
        <v>39487</v>
      </c>
      <c r="B2146">
        <v>2846000</v>
      </c>
      <c r="C2146">
        <v>344000</v>
      </c>
    </row>
    <row r="2147" spans="1:3" x14ac:dyDescent="0.2">
      <c r="A2147" s="64">
        <v>39494</v>
      </c>
      <c r="B2147">
        <v>2837000</v>
      </c>
      <c r="C2147">
        <v>339000</v>
      </c>
    </row>
    <row r="2148" spans="1:3" x14ac:dyDescent="0.2">
      <c r="A2148" s="64">
        <v>39501</v>
      </c>
      <c r="B2148">
        <v>2884000</v>
      </c>
      <c r="C2148">
        <v>354000</v>
      </c>
    </row>
    <row r="2149" spans="1:3" x14ac:dyDescent="0.2">
      <c r="A2149" s="64">
        <v>39508</v>
      </c>
      <c r="B2149">
        <v>2867000</v>
      </c>
      <c r="C2149">
        <v>345000</v>
      </c>
    </row>
    <row r="2150" spans="1:3" x14ac:dyDescent="0.2">
      <c r="A2150" s="64">
        <v>39515</v>
      </c>
      <c r="B2150">
        <v>2895000</v>
      </c>
      <c r="C2150">
        <v>348000</v>
      </c>
    </row>
    <row r="2151" spans="1:3" x14ac:dyDescent="0.2">
      <c r="A2151" s="64">
        <v>39522</v>
      </c>
      <c r="B2151">
        <v>2897000</v>
      </c>
      <c r="C2151">
        <v>369000</v>
      </c>
    </row>
    <row r="2152" spans="1:3" x14ac:dyDescent="0.2">
      <c r="A2152" s="64">
        <v>39529</v>
      </c>
      <c r="B2152">
        <v>2938000</v>
      </c>
      <c r="C2152">
        <v>368000</v>
      </c>
    </row>
    <row r="2153" spans="1:3" x14ac:dyDescent="0.2">
      <c r="A2153" s="64">
        <v>39536</v>
      </c>
      <c r="B2153">
        <v>2967000</v>
      </c>
      <c r="C2153">
        <v>387000</v>
      </c>
    </row>
    <row r="2154" spans="1:3" x14ac:dyDescent="0.2">
      <c r="A2154" s="64">
        <v>39543</v>
      </c>
      <c r="B2154">
        <v>2969000</v>
      </c>
      <c r="C2154">
        <v>354000</v>
      </c>
    </row>
    <row r="2155" spans="1:3" x14ac:dyDescent="0.2">
      <c r="A2155" s="64">
        <v>39550</v>
      </c>
      <c r="B2155">
        <v>2937000</v>
      </c>
      <c r="C2155">
        <v>365000</v>
      </c>
    </row>
    <row r="2156" spans="1:3" x14ac:dyDescent="0.2">
      <c r="A2156" s="64">
        <v>39557</v>
      </c>
      <c r="B2156">
        <v>2964000</v>
      </c>
      <c r="C2156">
        <v>349000</v>
      </c>
    </row>
    <row r="2157" spans="1:3" x14ac:dyDescent="0.2">
      <c r="A2157" s="64">
        <v>39564</v>
      </c>
      <c r="B2157">
        <v>2986000</v>
      </c>
      <c r="C2157">
        <v>370000</v>
      </c>
    </row>
    <row r="2158" spans="1:3" x14ac:dyDescent="0.2">
      <c r="A2158" s="64">
        <v>39571</v>
      </c>
      <c r="B2158">
        <v>2993000</v>
      </c>
      <c r="C2158">
        <v>370000</v>
      </c>
    </row>
    <row r="2159" spans="1:3" x14ac:dyDescent="0.2">
      <c r="A2159" s="64">
        <v>39578</v>
      </c>
      <c r="B2159">
        <v>2997000</v>
      </c>
      <c r="C2159">
        <v>366000</v>
      </c>
    </row>
    <row r="2160" spans="1:3" x14ac:dyDescent="0.2">
      <c r="A2160" s="64">
        <v>39585</v>
      </c>
      <c r="B2160">
        <v>3016000</v>
      </c>
      <c r="C2160">
        <v>367000</v>
      </c>
    </row>
    <row r="2161" spans="1:3" x14ac:dyDescent="0.2">
      <c r="A2161" s="64">
        <v>39592</v>
      </c>
      <c r="B2161">
        <v>3007000</v>
      </c>
      <c r="C2161">
        <v>369000</v>
      </c>
    </row>
    <row r="2162" spans="1:3" x14ac:dyDescent="0.2">
      <c r="A2162" s="64">
        <v>39599</v>
      </c>
      <c r="B2162">
        <v>3055000</v>
      </c>
      <c r="C2162">
        <v>362000</v>
      </c>
    </row>
    <row r="2163" spans="1:3" x14ac:dyDescent="0.2">
      <c r="A2163" s="64">
        <v>39606</v>
      </c>
      <c r="B2163">
        <v>3010000</v>
      </c>
      <c r="C2163">
        <v>382000</v>
      </c>
    </row>
    <row r="2164" spans="1:3" x14ac:dyDescent="0.2">
      <c r="A2164" s="64">
        <v>39613</v>
      </c>
      <c r="B2164">
        <v>3057000</v>
      </c>
      <c r="C2164">
        <v>378000</v>
      </c>
    </row>
    <row r="2165" spans="1:3" x14ac:dyDescent="0.2">
      <c r="A2165" s="64">
        <v>39620</v>
      </c>
      <c r="B2165">
        <v>3054000</v>
      </c>
      <c r="C2165">
        <v>381000</v>
      </c>
    </row>
    <row r="2166" spans="1:3" x14ac:dyDescent="0.2">
      <c r="A2166" s="64">
        <v>39627</v>
      </c>
      <c r="B2166">
        <v>3110000</v>
      </c>
      <c r="C2166">
        <v>392000</v>
      </c>
    </row>
    <row r="2167" spans="1:3" x14ac:dyDescent="0.2">
      <c r="A2167" s="64">
        <v>39634</v>
      </c>
      <c r="B2167">
        <v>3113000</v>
      </c>
      <c r="C2167">
        <v>371000</v>
      </c>
    </row>
    <row r="2168" spans="1:3" x14ac:dyDescent="0.2">
      <c r="A2168" s="64">
        <v>39641</v>
      </c>
      <c r="B2168">
        <v>3104000</v>
      </c>
      <c r="C2168">
        <v>385000</v>
      </c>
    </row>
    <row r="2169" spans="1:3" x14ac:dyDescent="0.2">
      <c r="A2169" s="64">
        <v>39648</v>
      </c>
      <c r="B2169">
        <v>3227000</v>
      </c>
      <c r="C2169">
        <v>402000</v>
      </c>
    </row>
    <row r="2170" spans="1:3" x14ac:dyDescent="0.2">
      <c r="A2170" s="64">
        <v>39655</v>
      </c>
      <c r="B2170">
        <v>3261000</v>
      </c>
      <c r="C2170">
        <v>434000</v>
      </c>
    </row>
    <row r="2171" spans="1:3" x14ac:dyDescent="0.2">
      <c r="A2171" s="64">
        <v>39662</v>
      </c>
      <c r="B2171">
        <v>3330000</v>
      </c>
      <c r="C2171">
        <v>448000</v>
      </c>
    </row>
    <row r="2172" spans="1:3" x14ac:dyDescent="0.2">
      <c r="A2172" s="64">
        <v>39669</v>
      </c>
      <c r="B2172">
        <v>3327000</v>
      </c>
      <c r="C2172">
        <v>430000</v>
      </c>
    </row>
    <row r="2173" spans="1:3" x14ac:dyDescent="0.2">
      <c r="A2173" s="64">
        <v>39676</v>
      </c>
      <c r="B2173">
        <v>3385000</v>
      </c>
      <c r="C2173">
        <v>424000</v>
      </c>
    </row>
    <row r="2174" spans="1:3" x14ac:dyDescent="0.2">
      <c r="A2174" s="64">
        <v>39683</v>
      </c>
      <c r="B2174">
        <v>3384000</v>
      </c>
      <c r="C2174">
        <v>421000</v>
      </c>
    </row>
    <row r="2175" spans="1:3" x14ac:dyDescent="0.2">
      <c r="A2175" s="64">
        <v>39690</v>
      </c>
      <c r="B2175">
        <v>3464000</v>
      </c>
      <c r="C2175">
        <v>442000</v>
      </c>
    </row>
    <row r="2176" spans="1:3" x14ac:dyDescent="0.2">
      <c r="A2176" s="64">
        <v>39697</v>
      </c>
      <c r="B2176">
        <v>3420000</v>
      </c>
      <c r="C2176">
        <v>441000</v>
      </c>
    </row>
    <row r="2177" spans="1:3" x14ac:dyDescent="0.2">
      <c r="A2177" s="64">
        <v>39704</v>
      </c>
      <c r="B2177">
        <v>3493000</v>
      </c>
      <c r="C2177">
        <v>449000</v>
      </c>
    </row>
    <row r="2178" spans="1:3" x14ac:dyDescent="0.2">
      <c r="A2178" s="64">
        <v>39711</v>
      </c>
      <c r="B2178">
        <v>3551000</v>
      </c>
      <c r="C2178">
        <v>483000</v>
      </c>
    </row>
    <row r="2179" spans="1:3" x14ac:dyDescent="0.2">
      <c r="A2179" s="64">
        <v>39718</v>
      </c>
      <c r="B2179">
        <v>3623000</v>
      </c>
      <c r="C2179">
        <v>483000</v>
      </c>
    </row>
    <row r="2180" spans="1:3" x14ac:dyDescent="0.2">
      <c r="A2180" s="64">
        <v>39725</v>
      </c>
      <c r="B2180">
        <v>3676000</v>
      </c>
      <c r="C2180">
        <v>482000</v>
      </c>
    </row>
    <row r="2181" spans="1:3" x14ac:dyDescent="0.2">
      <c r="A2181" s="64">
        <v>39732</v>
      </c>
      <c r="B2181">
        <v>3696000</v>
      </c>
      <c r="C2181">
        <v>461000</v>
      </c>
    </row>
    <row r="2182" spans="1:3" x14ac:dyDescent="0.2">
      <c r="A2182" s="64">
        <v>39739</v>
      </c>
      <c r="B2182">
        <v>3729000</v>
      </c>
      <c r="C2182">
        <v>478000</v>
      </c>
    </row>
    <row r="2183" spans="1:3" x14ac:dyDescent="0.2">
      <c r="A2183" s="64">
        <v>39746</v>
      </c>
      <c r="B2183">
        <v>3823000</v>
      </c>
      <c r="C2183">
        <v>480000</v>
      </c>
    </row>
    <row r="2184" spans="1:3" x14ac:dyDescent="0.2">
      <c r="A2184" s="64">
        <v>39753</v>
      </c>
      <c r="B2184">
        <v>3928000</v>
      </c>
      <c r="C2184">
        <v>490000</v>
      </c>
    </row>
    <row r="2185" spans="1:3" x14ac:dyDescent="0.2">
      <c r="A2185" s="64">
        <v>39760</v>
      </c>
      <c r="B2185">
        <v>4011000</v>
      </c>
      <c r="C2185">
        <v>512000</v>
      </c>
    </row>
    <row r="2186" spans="1:3" x14ac:dyDescent="0.2">
      <c r="A2186" s="64">
        <v>39767</v>
      </c>
      <c r="B2186">
        <v>4002000</v>
      </c>
      <c r="C2186">
        <v>536000</v>
      </c>
    </row>
    <row r="2187" spans="1:3" x14ac:dyDescent="0.2">
      <c r="A2187" s="64">
        <v>39774</v>
      </c>
      <c r="B2187">
        <v>4095000</v>
      </c>
      <c r="C2187">
        <v>532000</v>
      </c>
    </row>
    <row r="2188" spans="1:3" x14ac:dyDescent="0.2">
      <c r="A2188" s="64">
        <v>39781</v>
      </c>
      <c r="B2188">
        <v>4447000</v>
      </c>
      <c r="C2188">
        <v>529000</v>
      </c>
    </row>
    <row r="2189" spans="1:3" x14ac:dyDescent="0.2">
      <c r="A2189" s="64">
        <v>39788</v>
      </c>
      <c r="B2189">
        <v>4417000</v>
      </c>
      <c r="C2189">
        <v>570000</v>
      </c>
    </row>
    <row r="2190" spans="1:3" x14ac:dyDescent="0.2">
      <c r="A2190" s="64">
        <v>39795</v>
      </c>
      <c r="B2190">
        <v>4445000</v>
      </c>
      <c r="C2190">
        <v>566000</v>
      </c>
    </row>
    <row r="2191" spans="1:3" x14ac:dyDescent="0.2">
      <c r="A2191" s="64">
        <v>39802</v>
      </c>
      <c r="B2191">
        <v>4548000</v>
      </c>
      <c r="C2191">
        <v>587000</v>
      </c>
    </row>
    <row r="2192" spans="1:3" x14ac:dyDescent="0.2">
      <c r="A2192" s="64">
        <v>39809</v>
      </c>
      <c r="B2192">
        <v>4679000</v>
      </c>
      <c r="C2192">
        <v>533000</v>
      </c>
    </row>
    <row r="2193" spans="1:3" x14ac:dyDescent="0.2">
      <c r="A2193" s="64">
        <v>39816</v>
      </c>
      <c r="B2193">
        <v>4692000</v>
      </c>
      <c r="C2193">
        <v>503000</v>
      </c>
    </row>
    <row r="2194" spans="1:3" x14ac:dyDescent="0.2">
      <c r="A2194" s="64">
        <v>39823</v>
      </c>
      <c r="B2194">
        <v>4760000</v>
      </c>
      <c r="C2194">
        <v>551000</v>
      </c>
    </row>
    <row r="2195" spans="1:3" x14ac:dyDescent="0.2">
      <c r="A2195" s="64">
        <v>39830</v>
      </c>
      <c r="B2195">
        <v>4864000</v>
      </c>
      <c r="C2195">
        <v>591000</v>
      </c>
    </row>
    <row r="2196" spans="1:3" x14ac:dyDescent="0.2">
      <c r="A2196" s="64">
        <v>39837</v>
      </c>
      <c r="B2196">
        <v>4980000</v>
      </c>
      <c r="C2196">
        <v>586000</v>
      </c>
    </row>
    <row r="2197" spans="1:3" x14ac:dyDescent="0.2">
      <c r="A2197" s="64">
        <v>39844</v>
      </c>
      <c r="B2197">
        <v>5010000</v>
      </c>
      <c r="C2197">
        <v>629000</v>
      </c>
    </row>
    <row r="2198" spans="1:3" x14ac:dyDescent="0.2">
      <c r="A2198" s="64">
        <v>39851</v>
      </c>
      <c r="B2198">
        <v>5157000</v>
      </c>
      <c r="C2198">
        <v>637000</v>
      </c>
    </row>
    <row r="2199" spans="1:3" x14ac:dyDescent="0.2">
      <c r="A2199" s="64">
        <v>39858</v>
      </c>
      <c r="B2199">
        <v>5279000</v>
      </c>
      <c r="C2199">
        <v>632000</v>
      </c>
    </row>
    <row r="2200" spans="1:3" x14ac:dyDescent="0.2">
      <c r="A2200" s="64">
        <v>39865</v>
      </c>
      <c r="B2200">
        <v>5307000</v>
      </c>
      <c r="C2200">
        <v>655000</v>
      </c>
    </row>
    <row r="2201" spans="1:3" x14ac:dyDescent="0.2">
      <c r="A2201" s="64">
        <v>39872</v>
      </c>
      <c r="B2201">
        <v>5445000</v>
      </c>
      <c r="C2201">
        <v>652000</v>
      </c>
    </row>
    <row r="2202" spans="1:3" x14ac:dyDescent="0.2">
      <c r="A2202" s="64">
        <v>39879</v>
      </c>
      <c r="B2202">
        <v>5600000</v>
      </c>
      <c r="C2202">
        <v>660000</v>
      </c>
    </row>
    <row r="2203" spans="1:3" x14ac:dyDescent="0.2">
      <c r="A2203" s="64">
        <v>39886</v>
      </c>
      <c r="B2203">
        <v>5699000</v>
      </c>
      <c r="C2203">
        <v>651000</v>
      </c>
    </row>
    <row r="2204" spans="1:3" x14ac:dyDescent="0.2">
      <c r="A2204" s="64">
        <v>39893</v>
      </c>
      <c r="B2204">
        <v>5829000</v>
      </c>
      <c r="C2204">
        <v>661000</v>
      </c>
    </row>
    <row r="2205" spans="1:3" x14ac:dyDescent="0.2">
      <c r="A2205" s="64">
        <v>39900</v>
      </c>
      <c r="B2205">
        <v>5935000</v>
      </c>
      <c r="C2205">
        <v>665000</v>
      </c>
    </row>
    <row r="2206" spans="1:3" x14ac:dyDescent="0.2">
      <c r="A2206" s="64">
        <v>39907</v>
      </c>
      <c r="B2206">
        <v>6044000</v>
      </c>
      <c r="C2206">
        <v>653000</v>
      </c>
    </row>
    <row r="2207" spans="1:3" x14ac:dyDescent="0.2">
      <c r="A2207" s="64">
        <v>39914</v>
      </c>
      <c r="B2207">
        <v>6130000</v>
      </c>
      <c r="C2207">
        <v>599000</v>
      </c>
    </row>
    <row r="2208" spans="1:3" x14ac:dyDescent="0.2">
      <c r="A2208" s="64">
        <v>39921</v>
      </c>
      <c r="B2208">
        <v>6264000</v>
      </c>
      <c r="C2208">
        <v>639000</v>
      </c>
    </row>
    <row r="2209" spans="1:3" x14ac:dyDescent="0.2">
      <c r="A2209" s="64">
        <v>39928</v>
      </c>
      <c r="B2209">
        <v>6300000</v>
      </c>
      <c r="C2209">
        <v>620000</v>
      </c>
    </row>
    <row r="2210" spans="1:3" x14ac:dyDescent="0.2">
      <c r="A2210" s="64">
        <v>39935</v>
      </c>
      <c r="B2210">
        <v>6416000</v>
      </c>
      <c r="C2210">
        <v>602000</v>
      </c>
    </row>
    <row r="2211" spans="1:3" x14ac:dyDescent="0.2">
      <c r="A2211" s="64">
        <v>39942</v>
      </c>
      <c r="B2211">
        <v>6516000</v>
      </c>
      <c r="C2211">
        <v>625000</v>
      </c>
    </row>
    <row r="2212" spans="1:3" x14ac:dyDescent="0.2">
      <c r="A2212" s="64">
        <v>39949</v>
      </c>
      <c r="B2212">
        <v>6539000</v>
      </c>
      <c r="C2212">
        <v>620000</v>
      </c>
    </row>
    <row r="2213" spans="1:3" x14ac:dyDescent="0.2">
      <c r="A2213" s="64">
        <v>39956</v>
      </c>
      <c r="B2213">
        <v>6522000</v>
      </c>
      <c r="C2213">
        <v>606000</v>
      </c>
    </row>
    <row r="2214" spans="1:3" x14ac:dyDescent="0.2">
      <c r="A2214" s="64">
        <v>39963</v>
      </c>
      <c r="B2214">
        <v>6635000</v>
      </c>
      <c r="C2214">
        <v>607000</v>
      </c>
    </row>
    <row r="2215" spans="1:3" x14ac:dyDescent="0.2">
      <c r="A2215" s="64">
        <v>39970</v>
      </c>
      <c r="B2215">
        <v>6506000</v>
      </c>
      <c r="C2215">
        <v>596000</v>
      </c>
    </row>
    <row r="2216" spans="1:3" x14ac:dyDescent="0.2">
      <c r="A2216" s="64">
        <v>39977</v>
      </c>
      <c r="B2216">
        <v>6525000</v>
      </c>
      <c r="C2216">
        <v>595000</v>
      </c>
    </row>
    <row r="2217" spans="1:3" x14ac:dyDescent="0.2">
      <c r="A2217" s="64">
        <v>39984</v>
      </c>
      <c r="B2217">
        <v>6488000</v>
      </c>
      <c r="C2217">
        <v>608000</v>
      </c>
    </row>
    <row r="2218" spans="1:3" x14ac:dyDescent="0.2">
      <c r="A2218" s="64">
        <v>39991</v>
      </c>
      <c r="B2218">
        <v>6618000</v>
      </c>
      <c r="C2218">
        <v>594000</v>
      </c>
    </row>
    <row r="2219" spans="1:3" x14ac:dyDescent="0.2">
      <c r="A2219" s="64">
        <v>39998</v>
      </c>
      <c r="B2219">
        <v>6145000</v>
      </c>
      <c r="C2219">
        <v>573000</v>
      </c>
    </row>
    <row r="2220" spans="1:3" x14ac:dyDescent="0.2">
      <c r="A2220" s="64">
        <v>40005</v>
      </c>
      <c r="B2220">
        <v>6136000</v>
      </c>
      <c r="C2220">
        <v>546000</v>
      </c>
    </row>
    <row r="2221" spans="1:3" x14ac:dyDescent="0.2">
      <c r="A2221" s="64">
        <v>40012</v>
      </c>
      <c r="B2221">
        <v>6118000</v>
      </c>
      <c r="C2221">
        <v>560000</v>
      </c>
    </row>
    <row r="2222" spans="1:3" x14ac:dyDescent="0.2">
      <c r="A2222" s="64">
        <v>40019</v>
      </c>
      <c r="B2222">
        <v>6157000</v>
      </c>
      <c r="C2222">
        <v>587000</v>
      </c>
    </row>
    <row r="2223" spans="1:3" x14ac:dyDescent="0.2">
      <c r="A2223" s="64">
        <v>40026</v>
      </c>
      <c r="B2223">
        <v>6111000</v>
      </c>
      <c r="C2223">
        <v>555000</v>
      </c>
    </row>
    <row r="2224" spans="1:3" x14ac:dyDescent="0.2">
      <c r="A2224" s="64">
        <v>40033</v>
      </c>
      <c r="B2224">
        <v>6090000</v>
      </c>
      <c r="C2224">
        <v>555000</v>
      </c>
    </row>
    <row r="2225" spans="1:3" x14ac:dyDescent="0.2">
      <c r="A2225" s="64">
        <v>40040</v>
      </c>
      <c r="B2225">
        <v>6008000</v>
      </c>
      <c r="C2225">
        <v>562000</v>
      </c>
    </row>
    <row r="2226" spans="1:3" x14ac:dyDescent="0.2">
      <c r="A2226" s="64">
        <v>40047</v>
      </c>
      <c r="B2226">
        <v>6060000</v>
      </c>
      <c r="C2226">
        <v>560000</v>
      </c>
    </row>
    <row r="2227" spans="1:3" x14ac:dyDescent="0.2">
      <c r="A2227" s="64">
        <v>40054</v>
      </c>
      <c r="B2227">
        <v>5970000</v>
      </c>
      <c r="C2227">
        <v>564000</v>
      </c>
    </row>
    <row r="2228" spans="1:3" x14ac:dyDescent="0.2">
      <c r="A2228" s="64">
        <v>40061</v>
      </c>
      <c r="B2228">
        <v>6079000</v>
      </c>
      <c r="C2228">
        <v>558000</v>
      </c>
    </row>
    <row r="2229" spans="1:3" x14ac:dyDescent="0.2">
      <c r="A2229" s="64">
        <v>40068</v>
      </c>
      <c r="B2229">
        <v>6006000</v>
      </c>
      <c r="C2229">
        <v>542000</v>
      </c>
    </row>
    <row r="2230" spans="1:3" x14ac:dyDescent="0.2">
      <c r="A2230" s="64">
        <v>40075</v>
      </c>
      <c r="B2230">
        <v>5942000</v>
      </c>
      <c r="C2230">
        <v>536000</v>
      </c>
    </row>
    <row r="2231" spans="1:3" x14ac:dyDescent="0.2">
      <c r="A2231" s="64">
        <v>40082</v>
      </c>
      <c r="B2231">
        <v>5912000</v>
      </c>
      <c r="C2231">
        <v>554000</v>
      </c>
    </row>
    <row r="2232" spans="1:3" x14ac:dyDescent="0.2">
      <c r="A2232" s="64">
        <v>40089</v>
      </c>
      <c r="B2232">
        <v>5900000</v>
      </c>
      <c r="C2232">
        <v>533000</v>
      </c>
    </row>
    <row r="2233" spans="1:3" x14ac:dyDescent="0.2">
      <c r="A2233" s="64">
        <v>40096</v>
      </c>
      <c r="B2233">
        <v>5828000</v>
      </c>
      <c r="C2233">
        <v>511000</v>
      </c>
    </row>
    <row r="2234" spans="1:3" x14ac:dyDescent="0.2">
      <c r="A2234" s="64">
        <v>40103</v>
      </c>
      <c r="B2234">
        <v>5746000</v>
      </c>
      <c r="C2234">
        <v>531000</v>
      </c>
    </row>
    <row r="2235" spans="1:3" x14ac:dyDescent="0.2">
      <c r="A2235" s="64">
        <v>40110</v>
      </c>
      <c r="B2235">
        <v>5705000</v>
      </c>
      <c r="C2235">
        <v>530000</v>
      </c>
    </row>
    <row r="2236" spans="1:3" x14ac:dyDescent="0.2">
      <c r="A2236" s="64">
        <v>40117</v>
      </c>
      <c r="B2236">
        <v>5649000</v>
      </c>
      <c r="C2236">
        <v>522000</v>
      </c>
    </row>
    <row r="2237" spans="1:3" x14ac:dyDescent="0.2">
      <c r="A2237" s="64">
        <v>40124</v>
      </c>
      <c r="B2237">
        <v>5568000</v>
      </c>
      <c r="C2237">
        <v>512000</v>
      </c>
    </row>
    <row r="2238" spans="1:3" x14ac:dyDescent="0.2">
      <c r="A2238" s="64">
        <v>40131</v>
      </c>
      <c r="B2238">
        <v>5462000</v>
      </c>
      <c r="C2238">
        <v>507000</v>
      </c>
    </row>
    <row r="2239" spans="1:3" x14ac:dyDescent="0.2">
      <c r="A2239" s="64">
        <v>40138</v>
      </c>
      <c r="B2239">
        <v>5489000</v>
      </c>
      <c r="C2239">
        <v>482000</v>
      </c>
    </row>
    <row r="2240" spans="1:3" x14ac:dyDescent="0.2">
      <c r="A2240" s="64">
        <v>40145</v>
      </c>
      <c r="B2240">
        <v>5323000</v>
      </c>
      <c r="C2240">
        <v>475000</v>
      </c>
    </row>
    <row r="2241" spans="1:3" x14ac:dyDescent="0.2">
      <c r="A2241" s="64">
        <v>40152</v>
      </c>
      <c r="B2241">
        <v>5289000</v>
      </c>
      <c r="C2241">
        <v>497000</v>
      </c>
    </row>
    <row r="2242" spans="1:3" x14ac:dyDescent="0.2">
      <c r="A2242" s="64">
        <v>40159</v>
      </c>
      <c r="B2242">
        <v>5191000</v>
      </c>
      <c r="C2242">
        <v>498000</v>
      </c>
    </row>
    <row r="2243" spans="1:3" x14ac:dyDescent="0.2">
      <c r="A2243" s="64">
        <v>40166</v>
      </c>
      <c r="B2243">
        <v>5100000</v>
      </c>
      <c r="C2243">
        <v>479000</v>
      </c>
    </row>
    <row r="2244" spans="1:3" x14ac:dyDescent="0.2">
      <c r="A2244" s="64">
        <v>40173</v>
      </c>
      <c r="B2244">
        <v>4987000</v>
      </c>
      <c r="C2244">
        <v>468000</v>
      </c>
    </row>
    <row r="2245" spans="1:3" x14ac:dyDescent="0.2">
      <c r="A2245" s="64">
        <v>40180</v>
      </c>
      <c r="B2245">
        <v>4870000</v>
      </c>
      <c r="C2245">
        <v>456000</v>
      </c>
    </row>
    <row r="2246" spans="1:3" x14ac:dyDescent="0.2">
      <c r="A2246" s="64">
        <v>40187</v>
      </c>
      <c r="B2246">
        <v>4879000</v>
      </c>
      <c r="C2246">
        <v>469000</v>
      </c>
    </row>
    <row r="2247" spans="1:3" x14ac:dyDescent="0.2">
      <c r="A2247" s="64">
        <v>40194</v>
      </c>
      <c r="B2247">
        <v>4809000</v>
      </c>
      <c r="C2247">
        <v>507000</v>
      </c>
    </row>
    <row r="2248" spans="1:3" x14ac:dyDescent="0.2">
      <c r="A2248" s="64">
        <v>40201</v>
      </c>
      <c r="B2248">
        <v>4841000</v>
      </c>
      <c r="C2248">
        <v>471000</v>
      </c>
    </row>
    <row r="2249" spans="1:3" x14ac:dyDescent="0.2">
      <c r="A2249" s="64">
        <v>40208</v>
      </c>
      <c r="B2249">
        <v>4796000</v>
      </c>
      <c r="C2249">
        <v>496000</v>
      </c>
    </row>
    <row r="2250" spans="1:3" x14ac:dyDescent="0.2">
      <c r="A2250" s="64">
        <v>40215</v>
      </c>
      <c r="B2250">
        <v>4838000</v>
      </c>
      <c r="C2250">
        <v>466000</v>
      </c>
    </row>
    <row r="2251" spans="1:3" x14ac:dyDescent="0.2">
      <c r="A2251" s="64">
        <v>40222</v>
      </c>
      <c r="B2251">
        <v>4815000</v>
      </c>
      <c r="C2251">
        <v>489000</v>
      </c>
    </row>
    <row r="2252" spans="1:3" x14ac:dyDescent="0.2">
      <c r="A2252" s="64">
        <v>40229</v>
      </c>
      <c r="B2252">
        <v>4767000</v>
      </c>
      <c r="C2252">
        <v>500000</v>
      </c>
    </row>
    <row r="2253" spans="1:3" x14ac:dyDescent="0.2">
      <c r="A2253" s="64">
        <v>40236</v>
      </c>
      <c r="B2253">
        <v>4755000</v>
      </c>
      <c r="C2253">
        <v>488000</v>
      </c>
    </row>
    <row r="2254" spans="1:3" x14ac:dyDescent="0.2">
      <c r="A2254" s="64">
        <v>40243</v>
      </c>
      <c r="B2254">
        <v>4766000</v>
      </c>
      <c r="C2254">
        <v>472000</v>
      </c>
    </row>
    <row r="2255" spans="1:3" x14ac:dyDescent="0.2">
      <c r="A2255" s="64">
        <v>40250</v>
      </c>
      <c r="B2255">
        <v>4750000</v>
      </c>
      <c r="C2255">
        <v>478000</v>
      </c>
    </row>
    <row r="2256" spans="1:3" x14ac:dyDescent="0.2">
      <c r="A2256" s="64">
        <v>40257</v>
      </c>
      <c r="B2256">
        <v>4743000</v>
      </c>
      <c r="C2256">
        <v>472000</v>
      </c>
    </row>
    <row r="2257" spans="1:3" x14ac:dyDescent="0.2">
      <c r="A2257" s="64">
        <v>40264</v>
      </c>
      <c r="B2257">
        <v>4668000</v>
      </c>
      <c r="C2257">
        <v>459000</v>
      </c>
    </row>
    <row r="2258" spans="1:3" x14ac:dyDescent="0.2">
      <c r="A2258" s="64">
        <v>40271</v>
      </c>
      <c r="B2258">
        <v>4755000</v>
      </c>
      <c r="C2258">
        <v>479000</v>
      </c>
    </row>
    <row r="2259" spans="1:3" x14ac:dyDescent="0.2">
      <c r="A2259" s="64">
        <v>40278</v>
      </c>
      <c r="B2259">
        <v>4746000</v>
      </c>
      <c r="C2259">
        <v>479000</v>
      </c>
    </row>
    <row r="2260" spans="1:3" x14ac:dyDescent="0.2">
      <c r="A2260" s="64">
        <v>40285</v>
      </c>
      <c r="B2260">
        <v>4721000</v>
      </c>
      <c r="C2260">
        <v>469000</v>
      </c>
    </row>
    <row r="2261" spans="1:3" x14ac:dyDescent="0.2">
      <c r="A2261" s="64">
        <v>40292</v>
      </c>
      <c r="B2261">
        <v>4690000</v>
      </c>
      <c r="C2261">
        <v>449000</v>
      </c>
    </row>
    <row r="2262" spans="1:3" x14ac:dyDescent="0.2">
      <c r="A2262" s="64">
        <v>40299</v>
      </c>
      <c r="B2262">
        <v>4695000</v>
      </c>
      <c r="C2262">
        <v>451000</v>
      </c>
    </row>
    <row r="2263" spans="1:3" x14ac:dyDescent="0.2">
      <c r="A2263" s="64">
        <v>40306</v>
      </c>
      <c r="B2263">
        <v>4707000</v>
      </c>
      <c r="C2263">
        <v>451000</v>
      </c>
    </row>
    <row r="2264" spans="1:3" x14ac:dyDescent="0.2">
      <c r="A2264" s="64">
        <v>40313</v>
      </c>
      <c r="B2264">
        <v>4688000</v>
      </c>
      <c r="C2264">
        <v>474000</v>
      </c>
    </row>
    <row r="2265" spans="1:3" x14ac:dyDescent="0.2">
      <c r="A2265" s="64">
        <v>40320</v>
      </c>
      <c r="B2265">
        <v>4731000</v>
      </c>
      <c r="C2265">
        <v>463000</v>
      </c>
    </row>
    <row r="2266" spans="1:3" x14ac:dyDescent="0.2">
      <c r="A2266" s="64">
        <v>40327</v>
      </c>
      <c r="B2266">
        <v>4553000</v>
      </c>
      <c r="C2266">
        <v>458000</v>
      </c>
    </row>
    <row r="2267" spans="1:3" x14ac:dyDescent="0.2">
      <c r="A2267" s="64">
        <v>40334</v>
      </c>
      <c r="B2267">
        <v>4624000</v>
      </c>
      <c r="C2267">
        <v>459000</v>
      </c>
    </row>
    <row r="2268" spans="1:3" x14ac:dyDescent="0.2">
      <c r="A2268" s="64">
        <v>40341</v>
      </c>
      <c r="B2268">
        <v>4606000</v>
      </c>
      <c r="C2268">
        <v>467000</v>
      </c>
    </row>
    <row r="2269" spans="1:3" x14ac:dyDescent="0.2">
      <c r="A2269" s="64">
        <v>40348</v>
      </c>
      <c r="B2269">
        <v>4619000</v>
      </c>
      <c r="C2269">
        <v>452000</v>
      </c>
    </row>
    <row r="2270" spans="1:3" x14ac:dyDescent="0.2">
      <c r="A2270" s="64">
        <v>40355</v>
      </c>
      <c r="B2270">
        <v>4484000</v>
      </c>
      <c r="C2270">
        <v>464000</v>
      </c>
    </row>
    <row r="2271" spans="1:3" x14ac:dyDescent="0.2">
      <c r="A2271" s="64">
        <v>40362</v>
      </c>
      <c r="B2271">
        <v>4620000</v>
      </c>
      <c r="C2271">
        <v>454000</v>
      </c>
    </row>
    <row r="2272" spans="1:3" x14ac:dyDescent="0.2">
      <c r="A2272" s="64">
        <v>40369</v>
      </c>
      <c r="B2272">
        <v>4482000</v>
      </c>
      <c r="C2272">
        <v>439000</v>
      </c>
    </row>
    <row r="2273" spans="1:3" x14ac:dyDescent="0.2">
      <c r="A2273" s="64">
        <v>40376</v>
      </c>
      <c r="B2273">
        <v>4545000</v>
      </c>
      <c r="C2273">
        <v>462000</v>
      </c>
    </row>
    <row r="2274" spans="1:3" x14ac:dyDescent="0.2">
      <c r="A2274" s="64">
        <v>40383</v>
      </c>
      <c r="B2274">
        <v>4529000</v>
      </c>
      <c r="C2274">
        <v>465000</v>
      </c>
    </row>
    <row r="2275" spans="1:3" x14ac:dyDescent="0.2">
      <c r="A2275" s="64">
        <v>40390</v>
      </c>
      <c r="B2275">
        <v>4467000</v>
      </c>
      <c r="C2275">
        <v>476000</v>
      </c>
    </row>
    <row r="2276" spans="1:3" x14ac:dyDescent="0.2">
      <c r="A2276" s="64">
        <v>40397</v>
      </c>
      <c r="B2276">
        <v>4478000</v>
      </c>
      <c r="C2276">
        <v>483000</v>
      </c>
    </row>
    <row r="2277" spans="1:3" x14ac:dyDescent="0.2">
      <c r="A2277" s="64">
        <v>40404</v>
      </c>
      <c r="B2277">
        <v>4432000</v>
      </c>
      <c r="C2277">
        <v>486000</v>
      </c>
    </row>
    <row r="2278" spans="1:3" x14ac:dyDescent="0.2">
      <c r="A2278" s="64">
        <v>40411</v>
      </c>
      <c r="B2278">
        <v>4426000</v>
      </c>
      <c r="C2278">
        <v>464000</v>
      </c>
    </row>
    <row r="2279" spans="1:3" x14ac:dyDescent="0.2">
      <c r="A2279" s="64">
        <v>40418</v>
      </c>
      <c r="B2279">
        <v>4509000</v>
      </c>
      <c r="C2279">
        <v>467000</v>
      </c>
    </row>
    <row r="2280" spans="1:3" x14ac:dyDescent="0.2">
      <c r="A2280" s="64">
        <v>40425</v>
      </c>
      <c r="B2280">
        <v>4501000</v>
      </c>
      <c r="C2280">
        <v>452000</v>
      </c>
    </row>
    <row r="2281" spans="1:3" x14ac:dyDescent="0.2">
      <c r="A2281" s="64">
        <v>40432</v>
      </c>
      <c r="B2281">
        <v>4487000</v>
      </c>
      <c r="C2281">
        <v>444000</v>
      </c>
    </row>
    <row r="2282" spans="1:3" x14ac:dyDescent="0.2">
      <c r="A2282" s="64">
        <v>40439</v>
      </c>
      <c r="B2282">
        <v>4452000</v>
      </c>
      <c r="C2282">
        <v>459000</v>
      </c>
    </row>
    <row r="2283" spans="1:3" x14ac:dyDescent="0.2">
      <c r="A2283" s="64">
        <v>40446</v>
      </c>
      <c r="B2283">
        <v>4431000</v>
      </c>
      <c r="C2283">
        <v>459000</v>
      </c>
    </row>
    <row r="2284" spans="1:3" x14ac:dyDescent="0.2">
      <c r="A2284" s="64">
        <v>40453</v>
      </c>
      <c r="B2284">
        <v>4407000</v>
      </c>
      <c r="C2284">
        <v>446000</v>
      </c>
    </row>
    <row r="2285" spans="1:3" x14ac:dyDescent="0.2">
      <c r="A2285" s="64">
        <v>40460</v>
      </c>
      <c r="B2285">
        <v>4403000</v>
      </c>
      <c r="C2285">
        <v>459000</v>
      </c>
    </row>
    <row r="2286" spans="1:3" x14ac:dyDescent="0.2">
      <c r="A2286" s="64">
        <v>40467</v>
      </c>
      <c r="B2286">
        <v>4348000</v>
      </c>
      <c r="C2286">
        <v>444000</v>
      </c>
    </row>
    <row r="2287" spans="1:3" x14ac:dyDescent="0.2">
      <c r="A2287" s="64">
        <v>40474</v>
      </c>
      <c r="B2287">
        <v>4331000</v>
      </c>
      <c r="C2287">
        <v>432000</v>
      </c>
    </row>
    <row r="2288" spans="1:3" x14ac:dyDescent="0.2">
      <c r="A2288" s="64">
        <v>40481</v>
      </c>
      <c r="B2288">
        <v>4328000</v>
      </c>
      <c r="C2288">
        <v>453000</v>
      </c>
    </row>
    <row r="2289" spans="1:3" x14ac:dyDescent="0.2">
      <c r="A2289" s="64">
        <v>40488</v>
      </c>
      <c r="B2289">
        <v>4270000</v>
      </c>
      <c r="C2289">
        <v>434000</v>
      </c>
    </row>
    <row r="2290" spans="1:3" x14ac:dyDescent="0.2">
      <c r="A2290" s="64">
        <v>40495</v>
      </c>
      <c r="B2290">
        <v>4176000</v>
      </c>
      <c r="C2290">
        <v>432000</v>
      </c>
    </row>
    <row r="2291" spans="1:3" x14ac:dyDescent="0.2">
      <c r="A2291" s="64">
        <v>40502</v>
      </c>
      <c r="B2291">
        <v>4218000</v>
      </c>
      <c r="C2291">
        <v>407000</v>
      </c>
    </row>
    <row r="2292" spans="1:3" x14ac:dyDescent="0.2">
      <c r="A2292" s="64">
        <v>40509</v>
      </c>
      <c r="B2292">
        <v>4118000</v>
      </c>
      <c r="C2292">
        <v>432000</v>
      </c>
    </row>
    <row r="2293" spans="1:3" x14ac:dyDescent="0.2">
      <c r="A2293" s="64">
        <v>40516</v>
      </c>
      <c r="B2293">
        <v>4137000</v>
      </c>
      <c r="C2293">
        <v>428000</v>
      </c>
    </row>
    <row r="2294" spans="1:3" x14ac:dyDescent="0.2">
      <c r="A2294" s="64">
        <v>40523</v>
      </c>
      <c r="B2294">
        <v>4062000</v>
      </c>
      <c r="C2294">
        <v>425000</v>
      </c>
    </row>
    <row r="2295" spans="1:3" x14ac:dyDescent="0.2">
      <c r="A2295" s="64">
        <v>40530</v>
      </c>
      <c r="B2295">
        <v>4113000</v>
      </c>
      <c r="C2295">
        <v>424000</v>
      </c>
    </row>
    <row r="2296" spans="1:3" x14ac:dyDescent="0.2">
      <c r="A2296" s="64">
        <v>40537</v>
      </c>
      <c r="B2296">
        <v>4088000</v>
      </c>
      <c r="C2296">
        <v>404000</v>
      </c>
    </row>
    <row r="2297" spans="1:3" x14ac:dyDescent="0.2">
      <c r="A2297" s="64">
        <v>40544</v>
      </c>
      <c r="B2297">
        <v>3898000</v>
      </c>
      <c r="C2297">
        <v>413000</v>
      </c>
    </row>
    <row r="2298" spans="1:3" x14ac:dyDescent="0.2">
      <c r="A2298" s="64">
        <v>40551</v>
      </c>
      <c r="B2298">
        <v>3907000</v>
      </c>
      <c r="C2298">
        <v>434000</v>
      </c>
    </row>
    <row r="2299" spans="1:3" x14ac:dyDescent="0.2">
      <c r="A2299" s="64">
        <v>40558</v>
      </c>
      <c r="B2299">
        <v>3974000</v>
      </c>
      <c r="C2299">
        <v>421000</v>
      </c>
    </row>
    <row r="2300" spans="1:3" x14ac:dyDescent="0.2">
      <c r="A2300" s="64">
        <v>40565</v>
      </c>
      <c r="B2300">
        <v>3926000</v>
      </c>
      <c r="C2300">
        <v>446000</v>
      </c>
    </row>
    <row r="2301" spans="1:3" x14ac:dyDescent="0.2">
      <c r="A2301" s="64">
        <v>40572</v>
      </c>
      <c r="B2301">
        <v>3887000</v>
      </c>
      <c r="C2301">
        <v>420000</v>
      </c>
    </row>
    <row r="2302" spans="1:3" x14ac:dyDescent="0.2">
      <c r="A2302" s="64">
        <v>40579</v>
      </c>
      <c r="B2302">
        <v>3928000</v>
      </c>
      <c r="C2302">
        <v>402000</v>
      </c>
    </row>
    <row r="2303" spans="1:3" x14ac:dyDescent="0.2">
      <c r="A2303" s="64">
        <v>40586</v>
      </c>
      <c r="B2303">
        <v>3839000</v>
      </c>
      <c r="C2303">
        <v>425000</v>
      </c>
    </row>
    <row r="2304" spans="1:3" x14ac:dyDescent="0.2">
      <c r="A2304" s="64">
        <v>40593</v>
      </c>
      <c r="B2304">
        <v>3821000</v>
      </c>
      <c r="C2304">
        <v>394000</v>
      </c>
    </row>
    <row r="2305" spans="1:3" x14ac:dyDescent="0.2">
      <c r="A2305" s="64">
        <v>40600</v>
      </c>
      <c r="B2305">
        <v>3809000</v>
      </c>
      <c r="C2305">
        <v>385000</v>
      </c>
    </row>
    <row r="2306" spans="1:3" x14ac:dyDescent="0.2">
      <c r="A2306" s="64">
        <v>40607</v>
      </c>
      <c r="B2306">
        <v>3772000</v>
      </c>
      <c r="C2306">
        <v>414000</v>
      </c>
    </row>
    <row r="2307" spans="1:3" x14ac:dyDescent="0.2">
      <c r="A2307" s="64">
        <v>40614</v>
      </c>
      <c r="B2307">
        <v>3772000</v>
      </c>
      <c r="C2307">
        <v>404000</v>
      </c>
    </row>
    <row r="2308" spans="1:3" x14ac:dyDescent="0.2">
      <c r="A2308" s="64">
        <v>40621</v>
      </c>
      <c r="B2308">
        <v>3752000</v>
      </c>
      <c r="C2308">
        <v>407000</v>
      </c>
    </row>
    <row r="2309" spans="1:3" x14ac:dyDescent="0.2">
      <c r="A2309" s="64">
        <v>40628</v>
      </c>
      <c r="B2309">
        <v>3766000</v>
      </c>
      <c r="C2309">
        <v>399000</v>
      </c>
    </row>
    <row r="2310" spans="1:3" x14ac:dyDescent="0.2">
      <c r="A2310" s="64">
        <v>40635</v>
      </c>
      <c r="B2310">
        <v>3756000</v>
      </c>
      <c r="C2310">
        <v>395000</v>
      </c>
    </row>
    <row r="2311" spans="1:3" x14ac:dyDescent="0.2">
      <c r="A2311" s="64">
        <v>40642</v>
      </c>
      <c r="B2311">
        <v>3751000</v>
      </c>
      <c r="C2311">
        <v>416000</v>
      </c>
    </row>
    <row r="2312" spans="1:3" x14ac:dyDescent="0.2">
      <c r="A2312" s="64">
        <v>40649</v>
      </c>
      <c r="B2312">
        <v>3717000</v>
      </c>
      <c r="C2312">
        <v>402000</v>
      </c>
    </row>
    <row r="2313" spans="1:3" x14ac:dyDescent="0.2">
      <c r="A2313" s="64">
        <v>40656</v>
      </c>
      <c r="B2313">
        <v>3796000</v>
      </c>
      <c r="C2313">
        <v>422000</v>
      </c>
    </row>
    <row r="2314" spans="1:3" x14ac:dyDescent="0.2">
      <c r="A2314" s="64">
        <v>40663</v>
      </c>
      <c r="B2314">
        <v>3834000</v>
      </c>
      <c r="C2314">
        <v>468000</v>
      </c>
    </row>
    <row r="2315" spans="1:3" x14ac:dyDescent="0.2">
      <c r="A2315" s="64">
        <v>40670</v>
      </c>
      <c r="B2315">
        <v>3787000</v>
      </c>
      <c r="C2315">
        <v>435000</v>
      </c>
    </row>
    <row r="2316" spans="1:3" x14ac:dyDescent="0.2">
      <c r="A2316" s="64">
        <v>40677</v>
      </c>
      <c r="B2316">
        <v>3781000</v>
      </c>
      <c r="C2316">
        <v>414000</v>
      </c>
    </row>
    <row r="2317" spans="1:3" x14ac:dyDescent="0.2">
      <c r="A2317" s="64">
        <v>40684</v>
      </c>
      <c r="B2317">
        <v>3799000</v>
      </c>
      <c r="C2317">
        <v>423000</v>
      </c>
    </row>
    <row r="2318" spans="1:3" x14ac:dyDescent="0.2">
      <c r="A2318" s="64">
        <v>40691</v>
      </c>
      <c r="B2318">
        <v>3728000</v>
      </c>
      <c r="C2318">
        <v>418000</v>
      </c>
    </row>
    <row r="2319" spans="1:3" x14ac:dyDescent="0.2">
      <c r="A2319" s="64">
        <v>40698</v>
      </c>
      <c r="B2319">
        <v>3750000</v>
      </c>
      <c r="C2319">
        <v>423000</v>
      </c>
    </row>
    <row r="2320" spans="1:3" x14ac:dyDescent="0.2">
      <c r="A2320" s="64">
        <v>40705</v>
      </c>
      <c r="B2320">
        <v>3746000</v>
      </c>
      <c r="C2320">
        <v>413000</v>
      </c>
    </row>
    <row r="2321" spans="1:3" x14ac:dyDescent="0.2">
      <c r="A2321" s="64">
        <v>40712</v>
      </c>
      <c r="B2321">
        <v>3752000</v>
      </c>
      <c r="C2321">
        <v>416000</v>
      </c>
    </row>
    <row r="2322" spans="1:3" x14ac:dyDescent="0.2">
      <c r="A2322" s="64">
        <v>40719</v>
      </c>
      <c r="B2322">
        <v>3719000</v>
      </c>
      <c r="C2322">
        <v>421000</v>
      </c>
    </row>
    <row r="2323" spans="1:3" x14ac:dyDescent="0.2">
      <c r="A2323" s="64">
        <v>40726</v>
      </c>
      <c r="B2323">
        <v>3733000</v>
      </c>
      <c r="C2323">
        <v>418000</v>
      </c>
    </row>
    <row r="2324" spans="1:3" x14ac:dyDescent="0.2">
      <c r="A2324" s="64">
        <v>40733</v>
      </c>
      <c r="B2324">
        <v>3724000</v>
      </c>
      <c r="C2324">
        <v>408000</v>
      </c>
    </row>
    <row r="2325" spans="1:3" x14ac:dyDescent="0.2">
      <c r="A2325" s="64">
        <v>40740</v>
      </c>
      <c r="B2325">
        <v>3734000</v>
      </c>
      <c r="C2325">
        <v>420000</v>
      </c>
    </row>
    <row r="2326" spans="1:3" x14ac:dyDescent="0.2">
      <c r="A2326" s="64">
        <v>40747</v>
      </c>
      <c r="B2326">
        <v>3741000</v>
      </c>
      <c r="C2326">
        <v>411000</v>
      </c>
    </row>
    <row r="2327" spans="1:3" x14ac:dyDescent="0.2">
      <c r="A2327" s="64">
        <v>40754</v>
      </c>
      <c r="B2327">
        <v>3676000</v>
      </c>
      <c r="C2327">
        <v>406000</v>
      </c>
    </row>
    <row r="2328" spans="1:3" x14ac:dyDescent="0.2">
      <c r="A2328" s="64">
        <v>40761</v>
      </c>
      <c r="B2328">
        <v>3709000</v>
      </c>
      <c r="C2328">
        <v>405000</v>
      </c>
    </row>
    <row r="2329" spans="1:3" x14ac:dyDescent="0.2">
      <c r="A2329" s="64">
        <v>40768</v>
      </c>
      <c r="B2329">
        <v>3717000</v>
      </c>
      <c r="C2329">
        <v>409000</v>
      </c>
    </row>
    <row r="2330" spans="1:3" x14ac:dyDescent="0.2">
      <c r="A2330" s="64">
        <v>40775</v>
      </c>
      <c r="B2330">
        <v>3715000</v>
      </c>
      <c r="C2330">
        <v>415000</v>
      </c>
    </row>
    <row r="2331" spans="1:3" x14ac:dyDescent="0.2">
      <c r="A2331" s="64">
        <v>40782</v>
      </c>
      <c r="B2331">
        <v>3723000</v>
      </c>
      <c r="C2331">
        <v>409000</v>
      </c>
    </row>
    <row r="2332" spans="1:3" x14ac:dyDescent="0.2">
      <c r="A2332" s="64">
        <v>40789</v>
      </c>
      <c r="B2332">
        <v>3759000</v>
      </c>
      <c r="C2332">
        <v>414000</v>
      </c>
    </row>
    <row r="2333" spans="1:3" x14ac:dyDescent="0.2">
      <c r="A2333" s="64">
        <v>40796</v>
      </c>
      <c r="B2333">
        <v>3758000</v>
      </c>
      <c r="C2333">
        <v>429000</v>
      </c>
    </row>
    <row r="2334" spans="1:3" x14ac:dyDescent="0.2">
      <c r="A2334" s="64">
        <v>40803</v>
      </c>
      <c r="B2334">
        <v>3747000</v>
      </c>
      <c r="C2334">
        <v>422000</v>
      </c>
    </row>
    <row r="2335" spans="1:3" x14ac:dyDescent="0.2">
      <c r="A2335" s="64">
        <v>40810</v>
      </c>
      <c r="B2335">
        <v>3707000</v>
      </c>
      <c r="C2335">
        <v>406000</v>
      </c>
    </row>
    <row r="2336" spans="1:3" x14ac:dyDescent="0.2">
      <c r="A2336" s="64">
        <v>40817</v>
      </c>
      <c r="B2336">
        <v>3697000</v>
      </c>
      <c r="C2336">
        <v>405000</v>
      </c>
    </row>
    <row r="2337" spans="1:3" x14ac:dyDescent="0.2">
      <c r="A2337" s="64">
        <v>40824</v>
      </c>
      <c r="B2337">
        <v>3731000</v>
      </c>
      <c r="C2337">
        <v>410000</v>
      </c>
    </row>
    <row r="2338" spans="1:3" x14ac:dyDescent="0.2">
      <c r="A2338" s="64">
        <v>40831</v>
      </c>
      <c r="B2338">
        <v>3704000</v>
      </c>
      <c r="C2338">
        <v>395000</v>
      </c>
    </row>
    <row r="2339" spans="1:3" x14ac:dyDescent="0.2">
      <c r="A2339" s="64">
        <v>40838</v>
      </c>
      <c r="B2339">
        <v>3699000</v>
      </c>
      <c r="C2339">
        <v>403000</v>
      </c>
    </row>
    <row r="2340" spans="1:3" x14ac:dyDescent="0.2">
      <c r="A2340" s="64">
        <v>40845</v>
      </c>
      <c r="B2340">
        <v>3677000</v>
      </c>
      <c r="C2340">
        <v>399000</v>
      </c>
    </row>
    <row r="2341" spans="1:3" x14ac:dyDescent="0.2">
      <c r="A2341" s="64">
        <v>40852</v>
      </c>
      <c r="B2341">
        <v>3603000</v>
      </c>
      <c r="C2341">
        <v>392000</v>
      </c>
    </row>
    <row r="2342" spans="1:3" x14ac:dyDescent="0.2">
      <c r="A2342" s="64">
        <v>40859</v>
      </c>
      <c r="B2342">
        <v>3676000</v>
      </c>
      <c r="C2342">
        <v>383000</v>
      </c>
    </row>
    <row r="2343" spans="1:3" x14ac:dyDescent="0.2">
      <c r="A2343" s="64">
        <v>40866</v>
      </c>
      <c r="B2343">
        <v>3739000</v>
      </c>
      <c r="C2343">
        <v>385000</v>
      </c>
    </row>
    <row r="2344" spans="1:3" x14ac:dyDescent="0.2">
      <c r="A2344" s="64">
        <v>40873</v>
      </c>
      <c r="B2344">
        <v>3592000</v>
      </c>
      <c r="C2344">
        <v>397000</v>
      </c>
    </row>
    <row r="2345" spans="1:3" x14ac:dyDescent="0.2">
      <c r="A2345" s="64">
        <v>40880</v>
      </c>
      <c r="B2345">
        <v>3595000</v>
      </c>
      <c r="C2345">
        <v>387000</v>
      </c>
    </row>
    <row r="2346" spans="1:3" x14ac:dyDescent="0.2">
      <c r="A2346" s="64">
        <v>40887</v>
      </c>
      <c r="B2346">
        <v>3543000</v>
      </c>
      <c r="C2346">
        <v>368000</v>
      </c>
    </row>
    <row r="2347" spans="1:3" x14ac:dyDescent="0.2">
      <c r="A2347" s="64">
        <v>40894</v>
      </c>
      <c r="B2347">
        <v>3588000</v>
      </c>
      <c r="C2347">
        <v>368000</v>
      </c>
    </row>
    <row r="2348" spans="1:3" x14ac:dyDescent="0.2">
      <c r="A2348" s="64">
        <v>40901</v>
      </c>
      <c r="B2348">
        <v>3575000</v>
      </c>
      <c r="C2348">
        <v>386000</v>
      </c>
    </row>
    <row r="2349" spans="1:3" x14ac:dyDescent="0.2">
      <c r="A2349" s="64">
        <v>40908</v>
      </c>
      <c r="B2349">
        <v>3566000</v>
      </c>
      <c r="C2349">
        <v>376000</v>
      </c>
    </row>
    <row r="2350" spans="1:3" x14ac:dyDescent="0.2">
      <c r="A2350" s="64">
        <v>40915</v>
      </c>
      <c r="B2350">
        <v>3421000</v>
      </c>
      <c r="C2350">
        <v>391000</v>
      </c>
    </row>
    <row r="2351" spans="1:3" x14ac:dyDescent="0.2">
      <c r="A2351" s="64">
        <v>40922</v>
      </c>
      <c r="B2351">
        <v>3511000</v>
      </c>
      <c r="C2351">
        <v>367000</v>
      </c>
    </row>
    <row r="2352" spans="1:3" x14ac:dyDescent="0.2">
      <c r="A2352" s="64">
        <v>40929</v>
      </c>
      <c r="B2352">
        <v>3419000</v>
      </c>
      <c r="C2352">
        <v>381000</v>
      </c>
    </row>
    <row r="2353" spans="1:3" x14ac:dyDescent="0.2">
      <c r="A2353" s="64">
        <v>40936</v>
      </c>
      <c r="B2353">
        <v>3454000</v>
      </c>
      <c r="C2353">
        <v>372000</v>
      </c>
    </row>
    <row r="2354" spans="1:3" x14ac:dyDescent="0.2">
      <c r="A2354" s="64">
        <v>40943</v>
      </c>
      <c r="B2354">
        <v>3391000</v>
      </c>
      <c r="C2354">
        <v>368000</v>
      </c>
    </row>
    <row r="2355" spans="1:3" x14ac:dyDescent="0.2">
      <c r="A2355" s="64">
        <v>40950</v>
      </c>
      <c r="B2355">
        <v>3362000</v>
      </c>
      <c r="C2355">
        <v>361000</v>
      </c>
    </row>
    <row r="2356" spans="1:3" x14ac:dyDescent="0.2">
      <c r="A2356" s="64">
        <v>40957</v>
      </c>
      <c r="B2356">
        <v>3382000</v>
      </c>
      <c r="C2356">
        <v>359000</v>
      </c>
    </row>
    <row r="2357" spans="1:3" x14ac:dyDescent="0.2">
      <c r="A2357" s="64">
        <v>40964</v>
      </c>
      <c r="B2357">
        <v>3392000</v>
      </c>
      <c r="C2357">
        <v>365000</v>
      </c>
    </row>
    <row r="2358" spans="1:3" x14ac:dyDescent="0.2">
      <c r="A2358" s="64">
        <v>40971</v>
      </c>
      <c r="B2358">
        <v>3367000</v>
      </c>
      <c r="C2358">
        <v>375000</v>
      </c>
    </row>
    <row r="2359" spans="1:3" x14ac:dyDescent="0.2">
      <c r="A2359" s="64">
        <v>40978</v>
      </c>
      <c r="B2359">
        <v>3353000</v>
      </c>
      <c r="C2359">
        <v>369000</v>
      </c>
    </row>
    <row r="2360" spans="1:3" x14ac:dyDescent="0.2">
      <c r="A2360" s="64">
        <v>40985</v>
      </c>
      <c r="B2360">
        <v>3342000</v>
      </c>
      <c r="C2360">
        <v>368000</v>
      </c>
    </row>
    <row r="2361" spans="1:3" x14ac:dyDescent="0.2">
      <c r="A2361" s="64">
        <v>40992</v>
      </c>
      <c r="B2361">
        <v>3336000</v>
      </c>
      <c r="C2361">
        <v>363000</v>
      </c>
    </row>
    <row r="2362" spans="1:3" x14ac:dyDescent="0.2">
      <c r="A2362" s="64">
        <v>40999</v>
      </c>
      <c r="B2362">
        <v>3286000</v>
      </c>
      <c r="C2362">
        <v>358000</v>
      </c>
    </row>
    <row r="2363" spans="1:3" x14ac:dyDescent="0.2">
      <c r="A2363" s="64">
        <v>41006</v>
      </c>
      <c r="B2363">
        <v>3325000</v>
      </c>
      <c r="C2363">
        <v>387000</v>
      </c>
    </row>
    <row r="2364" spans="1:3" x14ac:dyDescent="0.2">
      <c r="A2364" s="64">
        <v>41013</v>
      </c>
      <c r="B2364">
        <v>3355000</v>
      </c>
      <c r="C2364">
        <v>381000</v>
      </c>
    </row>
    <row r="2365" spans="1:3" x14ac:dyDescent="0.2">
      <c r="A2365" s="64">
        <v>41020</v>
      </c>
      <c r="B2365">
        <v>3316000</v>
      </c>
      <c r="C2365">
        <v>387000</v>
      </c>
    </row>
    <row r="2366" spans="1:3" x14ac:dyDescent="0.2">
      <c r="A2366" s="64">
        <v>41027</v>
      </c>
      <c r="B2366">
        <v>3296000</v>
      </c>
      <c r="C2366">
        <v>372000</v>
      </c>
    </row>
    <row r="2367" spans="1:3" x14ac:dyDescent="0.2">
      <c r="A2367" s="64">
        <v>41034</v>
      </c>
      <c r="B2367">
        <v>3326000</v>
      </c>
      <c r="C2367">
        <v>373000</v>
      </c>
    </row>
    <row r="2368" spans="1:3" x14ac:dyDescent="0.2">
      <c r="A2368" s="64">
        <v>41041</v>
      </c>
      <c r="B2368">
        <v>3334000</v>
      </c>
      <c r="C2368">
        <v>369000</v>
      </c>
    </row>
    <row r="2369" spans="1:3" x14ac:dyDescent="0.2">
      <c r="A2369" s="64">
        <v>41048</v>
      </c>
      <c r="B2369">
        <v>3301000</v>
      </c>
      <c r="C2369">
        <v>371000</v>
      </c>
    </row>
    <row r="2370" spans="1:3" x14ac:dyDescent="0.2">
      <c r="A2370" s="64">
        <v>41055</v>
      </c>
      <c r="B2370">
        <v>3351000</v>
      </c>
      <c r="C2370">
        <v>381000</v>
      </c>
    </row>
    <row r="2371" spans="1:3" x14ac:dyDescent="0.2">
      <c r="A2371" s="64">
        <v>41062</v>
      </c>
      <c r="B2371">
        <v>3327000</v>
      </c>
      <c r="C2371">
        <v>377000</v>
      </c>
    </row>
    <row r="2372" spans="1:3" x14ac:dyDescent="0.2">
      <c r="A2372" s="64">
        <v>41069</v>
      </c>
      <c r="B2372">
        <v>3343000</v>
      </c>
      <c r="C2372">
        <v>383000</v>
      </c>
    </row>
    <row r="2373" spans="1:3" x14ac:dyDescent="0.2">
      <c r="A2373" s="64">
        <v>41076</v>
      </c>
      <c r="B2373">
        <v>3323000</v>
      </c>
      <c r="C2373">
        <v>384000</v>
      </c>
    </row>
    <row r="2374" spans="1:3" x14ac:dyDescent="0.2">
      <c r="A2374" s="64">
        <v>41083</v>
      </c>
      <c r="B2374">
        <v>3325000</v>
      </c>
      <c r="C2374">
        <v>380000</v>
      </c>
    </row>
    <row r="2375" spans="1:3" x14ac:dyDescent="0.2">
      <c r="A2375" s="64">
        <v>41090</v>
      </c>
      <c r="B2375">
        <v>3304000</v>
      </c>
      <c r="C2375">
        <v>372000</v>
      </c>
    </row>
    <row r="2376" spans="1:3" x14ac:dyDescent="0.2">
      <c r="A2376" s="64">
        <v>41097</v>
      </c>
      <c r="B2376">
        <v>3314000</v>
      </c>
      <c r="C2376">
        <v>360000</v>
      </c>
    </row>
    <row r="2377" spans="1:3" x14ac:dyDescent="0.2">
      <c r="A2377" s="64">
        <v>41104</v>
      </c>
      <c r="B2377">
        <v>3307000</v>
      </c>
      <c r="C2377">
        <v>390000</v>
      </c>
    </row>
    <row r="2378" spans="1:3" x14ac:dyDescent="0.2">
      <c r="A2378" s="64">
        <v>41111</v>
      </c>
      <c r="B2378">
        <v>3290000</v>
      </c>
      <c r="C2378">
        <v>368000</v>
      </c>
    </row>
    <row r="2379" spans="1:3" x14ac:dyDescent="0.2">
      <c r="A2379" s="64">
        <v>41118</v>
      </c>
      <c r="B2379">
        <v>3312000</v>
      </c>
      <c r="C2379">
        <v>372000</v>
      </c>
    </row>
    <row r="2380" spans="1:3" x14ac:dyDescent="0.2">
      <c r="A2380" s="64">
        <v>41125</v>
      </c>
      <c r="B2380">
        <v>3302000</v>
      </c>
      <c r="C2380">
        <v>371000</v>
      </c>
    </row>
    <row r="2381" spans="1:3" x14ac:dyDescent="0.2">
      <c r="A2381" s="64">
        <v>41132</v>
      </c>
      <c r="B2381">
        <v>3296000</v>
      </c>
      <c r="C2381">
        <v>369000</v>
      </c>
    </row>
    <row r="2382" spans="1:3" x14ac:dyDescent="0.2">
      <c r="A2382" s="64">
        <v>41139</v>
      </c>
      <c r="B2382">
        <v>3306000</v>
      </c>
      <c r="C2382">
        <v>376000</v>
      </c>
    </row>
    <row r="2383" spans="1:3" x14ac:dyDescent="0.2">
      <c r="A2383" s="64">
        <v>41146</v>
      </c>
      <c r="B2383">
        <v>3321000</v>
      </c>
      <c r="C2383">
        <v>377000</v>
      </c>
    </row>
    <row r="2384" spans="1:3" x14ac:dyDescent="0.2">
      <c r="A2384" s="64">
        <v>41153</v>
      </c>
      <c r="B2384">
        <v>3327000</v>
      </c>
      <c r="C2384">
        <v>371000</v>
      </c>
    </row>
    <row r="2385" spans="1:3" x14ac:dyDescent="0.2">
      <c r="A2385" s="64">
        <v>41160</v>
      </c>
      <c r="B2385">
        <v>3312000</v>
      </c>
      <c r="C2385">
        <v>393000</v>
      </c>
    </row>
    <row r="2386" spans="1:3" x14ac:dyDescent="0.2">
      <c r="A2386" s="64">
        <v>41167</v>
      </c>
      <c r="B2386">
        <v>3316000</v>
      </c>
      <c r="C2386">
        <v>392000</v>
      </c>
    </row>
    <row r="2387" spans="1:3" x14ac:dyDescent="0.2">
      <c r="A2387" s="64">
        <v>41174</v>
      </c>
      <c r="B2387">
        <v>3308000</v>
      </c>
      <c r="C2387">
        <v>377000</v>
      </c>
    </row>
    <row r="2388" spans="1:3" x14ac:dyDescent="0.2">
      <c r="A2388" s="64">
        <v>41181</v>
      </c>
      <c r="B2388">
        <v>3309000</v>
      </c>
      <c r="C2388">
        <v>376000</v>
      </c>
    </row>
    <row r="2389" spans="1:3" x14ac:dyDescent="0.2">
      <c r="A2389" s="64">
        <v>41188</v>
      </c>
      <c r="B2389">
        <v>3295000</v>
      </c>
      <c r="C2389">
        <v>350000</v>
      </c>
    </row>
    <row r="2390" spans="1:3" x14ac:dyDescent="0.2">
      <c r="A2390" s="64">
        <v>41195</v>
      </c>
      <c r="B2390">
        <v>3302000</v>
      </c>
      <c r="C2390">
        <v>386000</v>
      </c>
    </row>
    <row r="2391" spans="1:3" x14ac:dyDescent="0.2">
      <c r="A2391" s="64">
        <v>41202</v>
      </c>
      <c r="B2391">
        <v>3285000</v>
      </c>
      <c r="C2391">
        <v>374000</v>
      </c>
    </row>
    <row r="2392" spans="1:3" x14ac:dyDescent="0.2">
      <c r="A2392" s="64">
        <v>41209</v>
      </c>
      <c r="B2392">
        <v>3223000</v>
      </c>
      <c r="C2392">
        <v>364000</v>
      </c>
    </row>
    <row r="2393" spans="1:3" x14ac:dyDescent="0.2">
      <c r="A2393" s="64">
        <v>41216</v>
      </c>
      <c r="B2393">
        <v>3368000</v>
      </c>
      <c r="C2393">
        <v>365000</v>
      </c>
    </row>
    <row r="2394" spans="1:3" x14ac:dyDescent="0.2">
      <c r="A2394" s="64">
        <v>41223</v>
      </c>
      <c r="B2394">
        <v>3364000</v>
      </c>
      <c r="C2394">
        <v>446000</v>
      </c>
    </row>
    <row r="2395" spans="1:3" x14ac:dyDescent="0.2">
      <c r="A2395" s="64">
        <v>41230</v>
      </c>
      <c r="B2395">
        <v>3325000</v>
      </c>
      <c r="C2395">
        <v>406000</v>
      </c>
    </row>
    <row r="2396" spans="1:3" x14ac:dyDescent="0.2">
      <c r="A2396" s="64">
        <v>41237</v>
      </c>
      <c r="B2396">
        <v>3248000</v>
      </c>
      <c r="C2396">
        <v>388000</v>
      </c>
    </row>
    <row r="2397" spans="1:3" x14ac:dyDescent="0.2">
      <c r="A2397" s="64">
        <v>41244</v>
      </c>
      <c r="B2397">
        <v>3195000</v>
      </c>
      <c r="C2397">
        <v>375000</v>
      </c>
    </row>
    <row r="2398" spans="1:3" x14ac:dyDescent="0.2">
      <c r="A2398" s="64">
        <v>41251</v>
      </c>
      <c r="B2398">
        <v>3229000</v>
      </c>
      <c r="C2398">
        <v>340000</v>
      </c>
    </row>
    <row r="2399" spans="1:3" x14ac:dyDescent="0.2">
      <c r="A2399" s="64">
        <v>41258</v>
      </c>
      <c r="B2399">
        <v>3179000</v>
      </c>
      <c r="C2399">
        <v>356000</v>
      </c>
    </row>
    <row r="2400" spans="1:3" x14ac:dyDescent="0.2">
      <c r="A2400" s="64">
        <v>41265</v>
      </c>
      <c r="B2400">
        <v>3221000</v>
      </c>
      <c r="C2400">
        <v>362000</v>
      </c>
    </row>
    <row r="2401" spans="1:3" x14ac:dyDescent="0.2">
      <c r="A2401" s="64">
        <v>41272</v>
      </c>
      <c r="B2401">
        <v>3127000</v>
      </c>
      <c r="C2401">
        <v>362000</v>
      </c>
    </row>
    <row r="2402" spans="1:3" x14ac:dyDescent="0.2">
      <c r="A2402" s="64">
        <v>41279</v>
      </c>
      <c r="B2402">
        <v>3147000</v>
      </c>
      <c r="C2402">
        <v>363000</v>
      </c>
    </row>
    <row r="2403" spans="1:3" x14ac:dyDescent="0.2">
      <c r="A2403" s="64">
        <v>41286</v>
      </c>
      <c r="B2403">
        <v>3108000</v>
      </c>
      <c r="C2403">
        <v>344000</v>
      </c>
    </row>
    <row r="2404" spans="1:3" x14ac:dyDescent="0.2">
      <c r="A2404" s="64">
        <v>41293</v>
      </c>
      <c r="B2404">
        <v>3138000</v>
      </c>
      <c r="C2404">
        <v>339000</v>
      </c>
    </row>
    <row r="2405" spans="1:3" x14ac:dyDescent="0.2">
      <c r="A2405" s="64">
        <v>41300</v>
      </c>
      <c r="B2405">
        <v>3138000</v>
      </c>
      <c r="C2405">
        <v>366000</v>
      </c>
    </row>
    <row r="2406" spans="1:3" x14ac:dyDescent="0.2">
      <c r="A2406" s="64">
        <v>41307</v>
      </c>
      <c r="B2406">
        <v>3075000</v>
      </c>
      <c r="C2406">
        <v>361000</v>
      </c>
    </row>
    <row r="2407" spans="1:3" x14ac:dyDescent="0.2">
      <c r="A2407" s="64">
        <v>41314</v>
      </c>
      <c r="B2407">
        <v>3081000</v>
      </c>
      <c r="C2407">
        <v>347000</v>
      </c>
    </row>
    <row r="2408" spans="1:3" x14ac:dyDescent="0.2">
      <c r="A2408" s="64">
        <v>41321</v>
      </c>
      <c r="B2408">
        <v>3036000</v>
      </c>
      <c r="C2408">
        <v>362000</v>
      </c>
    </row>
    <row r="2409" spans="1:3" x14ac:dyDescent="0.2">
      <c r="A2409" s="64">
        <v>41328</v>
      </c>
      <c r="B2409">
        <v>3043000</v>
      </c>
      <c r="C2409">
        <v>342000</v>
      </c>
    </row>
    <row r="2410" spans="1:3" x14ac:dyDescent="0.2">
      <c r="A2410" s="64">
        <v>41335</v>
      </c>
      <c r="B2410">
        <v>3011000</v>
      </c>
      <c r="C2410">
        <v>340000</v>
      </c>
    </row>
    <row r="2411" spans="1:3" x14ac:dyDescent="0.2">
      <c r="A2411" s="64">
        <v>41342</v>
      </c>
      <c r="B2411">
        <v>3024000</v>
      </c>
      <c r="C2411">
        <v>343000</v>
      </c>
    </row>
    <row r="2412" spans="1:3" x14ac:dyDescent="0.2">
      <c r="A2412" s="64">
        <v>41349</v>
      </c>
      <c r="B2412">
        <v>3028000</v>
      </c>
      <c r="C2412">
        <v>343000</v>
      </c>
    </row>
    <row r="2413" spans="1:3" x14ac:dyDescent="0.2">
      <c r="A2413" s="64">
        <v>41356</v>
      </c>
      <c r="B2413">
        <v>3046000</v>
      </c>
      <c r="C2413">
        <v>358000</v>
      </c>
    </row>
    <row r="2414" spans="1:3" x14ac:dyDescent="0.2">
      <c r="A2414" s="64">
        <v>41363</v>
      </c>
      <c r="B2414">
        <v>3080000</v>
      </c>
      <c r="C2414">
        <v>375000</v>
      </c>
    </row>
    <row r="2415" spans="1:3" x14ac:dyDescent="0.2">
      <c r="A2415" s="64">
        <v>41370</v>
      </c>
      <c r="B2415">
        <v>3076000</v>
      </c>
      <c r="C2415">
        <v>359000</v>
      </c>
    </row>
    <row r="2416" spans="1:3" x14ac:dyDescent="0.2">
      <c r="A2416" s="64">
        <v>41377</v>
      </c>
      <c r="B2416">
        <v>3024000</v>
      </c>
      <c r="C2416">
        <v>356000</v>
      </c>
    </row>
    <row r="2417" spans="1:3" x14ac:dyDescent="0.2">
      <c r="A2417" s="64">
        <v>41384</v>
      </c>
      <c r="B2417">
        <v>3027000</v>
      </c>
      <c r="C2417">
        <v>343000</v>
      </c>
    </row>
    <row r="2418" spans="1:3" x14ac:dyDescent="0.2">
      <c r="A2418" s="64">
        <v>41391</v>
      </c>
      <c r="B2418">
        <v>3039000</v>
      </c>
      <c r="C2418">
        <v>331000</v>
      </c>
    </row>
    <row r="2419" spans="1:3" x14ac:dyDescent="0.2">
      <c r="A2419" s="64">
        <v>41398</v>
      </c>
      <c r="B2419">
        <v>3042000</v>
      </c>
      <c r="C2419">
        <v>335000</v>
      </c>
    </row>
    <row r="2420" spans="1:3" x14ac:dyDescent="0.2">
      <c r="A2420" s="64">
        <v>41405</v>
      </c>
      <c r="B2420">
        <v>2975000</v>
      </c>
      <c r="C2420">
        <v>360000</v>
      </c>
    </row>
    <row r="2421" spans="1:3" x14ac:dyDescent="0.2">
      <c r="A2421" s="64">
        <v>41412</v>
      </c>
      <c r="B2421">
        <v>3020000</v>
      </c>
      <c r="C2421">
        <v>343000</v>
      </c>
    </row>
    <row r="2422" spans="1:3" x14ac:dyDescent="0.2">
      <c r="A2422" s="64">
        <v>41419</v>
      </c>
      <c r="B2422">
        <v>3012000</v>
      </c>
      <c r="C2422">
        <v>353000</v>
      </c>
    </row>
    <row r="2423" spans="1:3" x14ac:dyDescent="0.2">
      <c r="A2423" s="64">
        <v>41426</v>
      </c>
      <c r="B2423">
        <v>2999000</v>
      </c>
      <c r="C2423">
        <v>346000</v>
      </c>
    </row>
    <row r="2424" spans="1:3" x14ac:dyDescent="0.2">
      <c r="A2424" s="64">
        <v>41433</v>
      </c>
      <c r="B2424">
        <v>3004000</v>
      </c>
      <c r="C2424">
        <v>337000</v>
      </c>
    </row>
    <row r="2425" spans="1:3" x14ac:dyDescent="0.2">
      <c r="A2425" s="64">
        <v>41440</v>
      </c>
      <c r="B2425">
        <v>2996000</v>
      </c>
      <c r="C2425">
        <v>353000</v>
      </c>
    </row>
    <row r="2426" spans="1:3" x14ac:dyDescent="0.2">
      <c r="A2426" s="64">
        <v>41447</v>
      </c>
      <c r="B2426">
        <v>2962000</v>
      </c>
      <c r="C2426">
        <v>347000</v>
      </c>
    </row>
    <row r="2427" spans="1:3" x14ac:dyDescent="0.2">
      <c r="A2427" s="64">
        <v>41454</v>
      </c>
      <c r="B2427">
        <v>3003000</v>
      </c>
      <c r="C2427">
        <v>340000</v>
      </c>
    </row>
    <row r="2428" spans="1:3" x14ac:dyDescent="0.2">
      <c r="A2428" s="64">
        <v>41461</v>
      </c>
      <c r="B2428">
        <v>3113000</v>
      </c>
      <c r="C2428">
        <v>351000</v>
      </c>
    </row>
    <row r="2429" spans="1:3" x14ac:dyDescent="0.2">
      <c r="A2429" s="64">
        <v>41468</v>
      </c>
      <c r="B2429">
        <v>3011000</v>
      </c>
      <c r="C2429">
        <v>344000</v>
      </c>
    </row>
    <row r="2430" spans="1:3" x14ac:dyDescent="0.2">
      <c r="A2430" s="64">
        <v>41475</v>
      </c>
      <c r="B2430">
        <v>2947000</v>
      </c>
      <c r="C2430">
        <v>355000</v>
      </c>
    </row>
    <row r="2431" spans="1:3" x14ac:dyDescent="0.2">
      <c r="A2431" s="64">
        <v>41482</v>
      </c>
      <c r="B2431">
        <v>3010000</v>
      </c>
      <c r="C2431">
        <v>334000</v>
      </c>
    </row>
    <row r="2432" spans="1:3" x14ac:dyDescent="0.2">
      <c r="A2432" s="64">
        <v>41489</v>
      </c>
      <c r="B2432">
        <v>2944000</v>
      </c>
      <c r="C2432">
        <v>339000</v>
      </c>
    </row>
    <row r="2433" spans="1:3" x14ac:dyDescent="0.2">
      <c r="A2433" s="64">
        <v>41496</v>
      </c>
      <c r="B2433">
        <v>2987000</v>
      </c>
      <c r="C2433">
        <v>327000</v>
      </c>
    </row>
    <row r="2434" spans="1:3" x14ac:dyDescent="0.2">
      <c r="A2434" s="64">
        <v>41503</v>
      </c>
      <c r="B2434">
        <v>2968000</v>
      </c>
      <c r="C2434">
        <v>340000</v>
      </c>
    </row>
    <row r="2435" spans="1:3" x14ac:dyDescent="0.2">
      <c r="A2435" s="64">
        <v>41510</v>
      </c>
      <c r="B2435">
        <v>2934000</v>
      </c>
      <c r="C2435">
        <v>336000</v>
      </c>
    </row>
    <row r="2436" spans="1:3" x14ac:dyDescent="0.2">
      <c r="A2436" s="64">
        <v>41517</v>
      </c>
      <c r="B2436">
        <v>2839000</v>
      </c>
      <c r="C2436">
        <v>325000</v>
      </c>
    </row>
    <row r="2437" spans="1:3" x14ac:dyDescent="0.2">
      <c r="A2437" s="64">
        <v>41524</v>
      </c>
      <c r="B2437">
        <v>2822000</v>
      </c>
      <c r="C2437">
        <v>300000</v>
      </c>
    </row>
    <row r="2438" spans="1:3" x14ac:dyDescent="0.2">
      <c r="A2438" s="64">
        <v>41531</v>
      </c>
      <c r="B2438">
        <v>2863000</v>
      </c>
      <c r="C2438">
        <v>323000</v>
      </c>
    </row>
    <row r="2439" spans="1:3" x14ac:dyDescent="0.2">
      <c r="A2439" s="64">
        <v>41538</v>
      </c>
      <c r="B2439">
        <v>2954000</v>
      </c>
      <c r="C2439">
        <v>314000</v>
      </c>
    </row>
    <row r="2440" spans="1:3" x14ac:dyDescent="0.2">
      <c r="A2440" s="64">
        <v>41545</v>
      </c>
      <c r="B2440">
        <v>2944000</v>
      </c>
      <c r="C2440">
        <v>319000</v>
      </c>
    </row>
    <row r="2441" spans="1:3" x14ac:dyDescent="0.2">
      <c r="A2441" s="64">
        <v>41552</v>
      </c>
      <c r="B2441">
        <v>2929000</v>
      </c>
      <c r="C2441">
        <v>368000</v>
      </c>
    </row>
    <row r="2442" spans="1:3" x14ac:dyDescent="0.2">
      <c r="A2442" s="64">
        <v>41559</v>
      </c>
      <c r="B2442">
        <v>2925000</v>
      </c>
      <c r="C2442">
        <v>368000</v>
      </c>
    </row>
    <row r="2443" spans="1:3" x14ac:dyDescent="0.2">
      <c r="A2443" s="64">
        <v>41566</v>
      </c>
      <c r="B2443">
        <v>2933000</v>
      </c>
      <c r="C2443">
        <v>351000</v>
      </c>
    </row>
    <row r="2444" spans="1:3" x14ac:dyDescent="0.2">
      <c r="A2444" s="64">
        <v>41573</v>
      </c>
      <c r="B2444">
        <v>2927000</v>
      </c>
      <c r="C2444">
        <v>347000</v>
      </c>
    </row>
    <row r="2445" spans="1:3" x14ac:dyDescent="0.2">
      <c r="A2445" s="64">
        <v>41580</v>
      </c>
      <c r="B2445">
        <v>2873000</v>
      </c>
      <c r="C2445">
        <v>342000</v>
      </c>
    </row>
    <row r="2446" spans="1:3" x14ac:dyDescent="0.2">
      <c r="A2446" s="64">
        <v>41587</v>
      </c>
      <c r="B2446">
        <v>2925000</v>
      </c>
      <c r="C2446">
        <v>340000</v>
      </c>
    </row>
    <row r="2447" spans="1:3" x14ac:dyDescent="0.2">
      <c r="A2447" s="64">
        <v>41594</v>
      </c>
      <c r="B2447">
        <v>2837000</v>
      </c>
      <c r="C2447">
        <v>331000</v>
      </c>
    </row>
    <row r="2448" spans="1:3" x14ac:dyDescent="0.2">
      <c r="A2448" s="64">
        <v>41601</v>
      </c>
      <c r="B2448">
        <v>2813000</v>
      </c>
      <c r="C2448">
        <v>316000</v>
      </c>
    </row>
    <row r="2449" spans="1:3" x14ac:dyDescent="0.2">
      <c r="A2449" s="64">
        <v>41608</v>
      </c>
      <c r="B2449">
        <v>2808000</v>
      </c>
      <c r="C2449">
        <v>312000</v>
      </c>
    </row>
    <row r="2450" spans="1:3" x14ac:dyDescent="0.2">
      <c r="A2450" s="64">
        <v>41615</v>
      </c>
      <c r="B2450">
        <v>2892000</v>
      </c>
      <c r="C2450">
        <v>354000</v>
      </c>
    </row>
    <row r="2451" spans="1:3" x14ac:dyDescent="0.2">
      <c r="A2451" s="64">
        <v>41622</v>
      </c>
      <c r="B2451">
        <v>2903000</v>
      </c>
      <c r="C2451">
        <v>364000</v>
      </c>
    </row>
    <row r="2452" spans="1:3" x14ac:dyDescent="0.2">
      <c r="A2452" s="64">
        <v>41629</v>
      </c>
      <c r="B2452">
        <v>2832000</v>
      </c>
      <c r="C2452">
        <v>334000</v>
      </c>
    </row>
    <row r="2453" spans="1:3" x14ac:dyDescent="0.2">
      <c r="A2453" s="64">
        <v>41636</v>
      </c>
      <c r="B2453">
        <v>2807000</v>
      </c>
      <c r="C2453">
        <v>332000</v>
      </c>
    </row>
    <row r="2454" spans="1:3" x14ac:dyDescent="0.2">
      <c r="A2454" s="64">
        <v>41643</v>
      </c>
      <c r="B2454">
        <v>2903000</v>
      </c>
      <c r="C2454">
        <v>322000</v>
      </c>
    </row>
    <row r="2455" spans="1:3" x14ac:dyDescent="0.2">
      <c r="A2455" s="64">
        <v>41650</v>
      </c>
      <c r="B2455">
        <v>2907000</v>
      </c>
      <c r="C2455">
        <v>318000</v>
      </c>
    </row>
    <row r="2456" spans="1:3" x14ac:dyDescent="0.2">
      <c r="A2456" s="64">
        <v>41657</v>
      </c>
      <c r="B2456">
        <v>2847000</v>
      </c>
      <c r="C2456">
        <v>327000</v>
      </c>
    </row>
    <row r="2457" spans="1:3" x14ac:dyDescent="0.2">
      <c r="A2457" s="64">
        <v>41664</v>
      </c>
      <c r="B2457">
        <v>2850000</v>
      </c>
      <c r="C2457">
        <v>340000</v>
      </c>
    </row>
    <row r="2458" spans="1:3" x14ac:dyDescent="0.2">
      <c r="A2458" s="64">
        <v>41671</v>
      </c>
      <c r="B2458">
        <v>2852000</v>
      </c>
      <c r="C2458">
        <v>331000</v>
      </c>
    </row>
    <row r="2459" spans="1:3" x14ac:dyDescent="0.2">
      <c r="A2459" s="64">
        <v>41678</v>
      </c>
      <c r="B2459">
        <v>2859000</v>
      </c>
      <c r="C2459">
        <v>337000</v>
      </c>
    </row>
    <row r="2460" spans="1:3" x14ac:dyDescent="0.2">
      <c r="A2460" s="64">
        <v>41685</v>
      </c>
      <c r="B2460">
        <v>2861000</v>
      </c>
      <c r="C2460">
        <v>332000</v>
      </c>
    </row>
    <row r="2461" spans="1:3" x14ac:dyDescent="0.2">
      <c r="A2461" s="64">
        <v>41692</v>
      </c>
      <c r="B2461">
        <v>2823000</v>
      </c>
      <c r="C2461">
        <v>341000</v>
      </c>
    </row>
    <row r="2462" spans="1:3" x14ac:dyDescent="0.2">
      <c r="A2462" s="64">
        <v>41699</v>
      </c>
      <c r="B2462">
        <v>2787000</v>
      </c>
      <c r="C2462">
        <v>319000</v>
      </c>
    </row>
    <row r="2463" spans="1:3" x14ac:dyDescent="0.2">
      <c r="A2463" s="64">
        <v>41706</v>
      </c>
      <c r="B2463">
        <v>2816000</v>
      </c>
      <c r="C2463">
        <v>322000</v>
      </c>
    </row>
    <row r="2464" spans="1:3" x14ac:dyDescent="0.2">
      <c r="A2464" s="64">
        <v>41713</v>
      </c>
      <c r="B2464">
        <v>2764000</v>
      </c>
      <c r="C2464">
        <v>321000</v>
      </c>
    </row>
    <row r="2465" spans="1:3" x14ac:dyDescent="0.2">
      <c r="A2465" s="64">
        <v>41720</v>
      </c>
      <c r="B2465">
        <v>2800000</v>
      </c>
      <c r="C2465">
        <v>313000</v>
      </c>
    </row>
    <row r="2466" spans="1:3" x14ac:dyDescent="0.2">
      <c r="A2466" s="64">
        <v>41727</v>
      </c>
      <c r="B2466">
        <v>2729000</v>
      </c>
      <c r="C2466">
        <v>330000</v>
      </c>
    </row>
    <row r="2467" spans="1:3" x14ac:dyDescent="0.2">
      <c r="A2467" s="64">
        <v>41734</v>
      </c>
      <c r="B2467">
        <v>2730000</v>
      </c>
      <c r="C2467">
        <v>311000</v>
      </c>
    </row>
    <row r="2468" spans="1:3" x14ac:dyDescent="0.2">
      <c r="A2468" s="64">
        <v>41741</v>
      </c>
      <c r="B2468">
        <v>2680000</v>
      </c>
      <c r="C2468">
        <v>308000</v>
      </c>
    </row>
    <row r="2469" spans="1:3" x14ac:dyDescent="0.2">
      <c r="A2469" s="64">
        <v>41748</v>
      </c>
      <c r="B2469">
        <v>2767000</v>
      </c>
      <c r="C2469">
        <v>327000</v>
      </c>
    </row>
    <row r="2470" spans="1:3" x14ac:dyDescent="0.2">
      <c r="A2470" s="64">
        <v>41755</v>
      </c>
      <c r="B2470">
        <v>2707000</v>
      </c>
      <c r="C2470">
        <v>345000</v>
      </c>
    </row>
    <row r="2471" spans="1:3" x14ac:dyDescent="0.2">
      <c r="A2471" s="64">
        <v>41762</v>
      </c>
      <c r="B2471">
        <v>2702000</v>
      </c>
      <c r="C2471">
        <v>325000</v>
      </c>
    </row>
    <row r="2472" spans="1:3" x14ac:dyDescent="0.2">
      <c r="A2472" s="64">
        <v>41769</v>
      </c>
      <c r="B2472">
        <v>2691000</v>
      </c>
      <c r="C2472">
        <v>303000</v>
      </c>
    </row>
    <row r="2473" spans="1:3" x14ac:dyDescent="0.2">
      <c r="A2473" s="64">
        <v>41776</v>
      </c>
      <c r="B2473">
        <v>2657000</v>
      </c>
      <c r="C2473">
        <v>324000</v>
      </c>
    </row>
    <row r="2474" spans="1:3" x14ac:dyDescent="0.2">
      <c r="A2474" s="64">
        <v>41783</v>
      </c>
      <c r="B2474">
        <v>2646000</v>
      </c>
      <c r="C2474">
        <v>305000</v>
      </c>
    </row>
    <row r="2475" spans="1:3" x14ac:dyDescent="0.2">
      <c r="A2475" s="64">
        <v>41790</v>
      </c>
      <c r="B2475">
        <v>2641000</v>
      </c>
      <c r="C2475">
        <v>312000</v>
      </c>
    </row>
    <row r="2476" spans="1:3" x14ac:dyDescent="0.2">
      <c r="A2476" s="64">
        <v>41797</v>
      </c>
      <c r="B2476">
        <v>2598000</v>
      </c>
      <c r="C2476">
        <v>317000</v>
      </c>
    </row>
    <row r="2477" spans="1:3" x14ac:dyDescent="0.2">
      <c r="A2477" s="64">
        <v>41804</v>
      </c>
      <c r="B2477">
        <v>2595000</v>
      </c>
      <c r="C2477">
        <v>314000</v>
      </c>
    </row>
    <row r="2478" spans="1:3" x14ac:dyDescent="0.2">
      <c r="A2478" s="64">
        <v>41811</v>
      </c>
      <c r="B2478">
        <v>2583000</v>
      </c>
      <c r="C2478">
        <v>315000</v>
      </c>
    </row>
    <row r="2479" spans="1:3" x14ac:dyDescent="0.2">
      <c r="A2479" s="64">
        <v>41818</v>
      </c>
      <c r="B2479">
        <v>2579000</v>
      </c>
      <c r="C2479">
        <v>308000</v>
      </c>
    </row>
    <row r="2480" spans="1:3" x14ac:dyDescent="0.2">
      <c r="A2480" s="64">
        <v>41825</v>
      </c>
      <c r="B2480">
        <v>2540000</v>
      </c>
      <c r="C2480">
        <v>302000</v>
      </c>
    </row>
    <row r="2481" spans="1:3" x14ac:dyDescent="0.2">
      <c r="A2481" s="64">
        <v>41832</v>
      </c>
      <c r="B2481">
        <v>2528000</v>
      </c>
      <c r="C2481">
        <v>308000</v>
      </c>
    </row>
    <row r="2482" spans="1:3" x14ac:dyDescent="0.2">
      <c r="A2482" s="64">
        <v>41839</v>
      </c>
      <c r="B2482">
        <v>2542000</v>
      </c>
      <c r="C2482">
        <v>294000</v>
      </c>
    </row>
    <row r="2483" spans="1:3" x14ac:dyDescent="0.2">
      <c r="A2483" s="64">
        <v>41846</v>
      </c>
      <c r="B2483">
        <v>2524000</v>
      </c>
      <c r="C2483">
        <v>303000</v>
      </c>
    </row>
    <row r="2484" spans="1:3" x14ac:dyDescent="0.2">
      <c r="A2484" s="64">
        <v>41853</v>
      </c>
      <c r="B2484">
        <v>2530000</v>
      </c>
      <c r="C2484">
        <v>295000</v>
      </c>
    </row>
    <row r="2485" spans="1:3" x14ac:dyDescent="0.2">
      <c r="A2485" s="64">
        <v>41860</v>
      </c>
      <c r="B2485">
        <v>2508000</v>
      </c>
      <c r="C2485">
        <v>309000</v>
      </c>
    </row>
    <row r="2486" spans="1:3" x14ac:dyDescent="0.2">
      <c r="A2486" s="64">
        <v>41867</v>
      </c>
      <c r="B2486">
        <v>2517000</v>
      </c>
      <c r="C2486">
        <v>303000</v>
      </c>
    </row>
    <row r="2487" spans="1:3" x14ac:dyDescent="0.2">
      <c r="A2487" s="64">
        <v>41874</v>
      </c>
      <c r="B2487">
        <v>2483000</v>
      </c>
      <c r="C2487">
        <v>300000</v>
      </c>
    </row>
    <row r="2488" spans="1:3" x14ac:dyDescent="0.2">
      <c r="A2488" s="64">
        <v>41881</v>
      </c>
      <c r="B2488">
        <v>2486000</v>
      </c>
      <c r="C2488">
        <v>303000</v>
      </c>
    </row>
    <row r="2489" spans="1:3" x14ac:dyDescent="0.2">
      <c r="A2489" s="64">
        <v>41888</v>
      </c>
      <c r="B2489">
        <v>2452000</v>
      </c>
      <c r="C2489">
        <v>307000</v>
      </c>
    </row>
    <row r="2490" spans="1:3" x14ac:dyDescent="0.2">
      <c r="A2490" s="64">
        <v>41895</v>
      </c>
      <c r="B2490">
        <v>2465000</v>
      </c>
      <c r="C2490">
        <v>288000</v>
      </c>
    </row>
    <row r="2491" spans="1:3" x14ac:dyDescent="0.2">
      <c r="A2491" s="64">
        <v>41902</v>
      </c>
      <c r="B2491">
        <v>2447000</v>
      </c>
      <c r="C2491">
        <v>295000</v>
      </c>
    </row>
    <row r="2492" spans="1:3" x14ac:dyDescent="0.2">
      <c r="A2492" s="64">
        <v>41909</v>
      </c>
      <c r="B2492">
        <v>2427000</v>
      </c>
      <c r="C2492">
        <v>290000</v>
      </c>
    </row>
    <row r="2493" spans="1:3" x14ac:dyDescent="0.2">
      <c r="A2493" s="64">
        <v>41916</v>
      </c>
      <c r="B2493">
        <v>2441000</v>
      </c>
      <c r="C2493">
        <v>293000</v>
      </c>
    </row>
    <row r="2494" spans="1:3" x14ac:dyDescent="0.2">
      <c r="A2494" s="64">
        <v>41923</v>
      </c>
      <c r="B2494">
        <v>2409000</v>
      </c>
      <c r="C2494">
        <v>281000</v>
      </c>
    </row>
    <row r="2495" spans="1:3" x14ac:dyDescent="0.2">
      <c r="A2495" s="64">
        <v>41930</v>
      </c>
      <c r="B2495">
        <v>2437000</v>
      </c>
      <c r="C2495">
        <v>290000</v>
      </c>
    </row>
    <row r="2496" spans="1:3" x14ac:dyDescent="0.2">
      <c r="A2496" s="64">
        <v>41937</v>
      </c>
      <c r="B2496">
        <v>2406000</v>
      </c>
      <c r="C2496">
        <v>291000</v>
      </c>
    </row>
    <row r="2497" spans="1:3" x14ac:dyDescent="0.2">
      <c r="A2497" s="64">
        <v>41944</v>
      </c>
      <c r="B2497">
        <v>2436000</v>
      </c>
      <c r="C2497">
        <v>280000</v>
      </c>
    </row>
    <row r="2498" spans="1:3" x14ac:dyDescent="0.2">
      <c r="A2498" s="64">
        <v>41951</v>
      </c>
      <c r="B2498">
        <v>2384000</v>
      </c>
      <c r="C2498">
        <v>291000</v>
      </c>
    </row>
    <row r="2499" spans="1:3" x14ac:dyDescent="0.2">
      <c r="A2499" s="64">
        <v>41958</v>
      </c>
      <c r="B2499">
        <v>2351000</v>
      </c>
      <c r="C2499">
        <v>293000</v>
      </c>
    </row>
    <row r="2500" spans="1:3" x14ac:dyDescent="0.2">
      <c r="A2500" s="64">
        <v>41965</v>
      </c>
      <c r="B2500">
        <v>2389000</v>
      </c>
      <c r="C2500">
        <v>303000</v>
      </c>
    </row>
    <row r="2501" spans="1:3" x14ac:dyDescent="0.2">
      <c r="A2501" s="64">
        <v>41972</v>
      </c>
      <c r="B2501">
        <v>2484000</v>
      </c>
      <c r="C2501">
        <v>291000</v>
      </c>
    </row>
    <row r="2502" spans="1:3" x14ac:dyDescent="0.2">
      <c r="A2502" s="64">
        <v>41979</v>
      </c>
      <c r="B2502">
        <v>2381000</v>
      </c>
      <c r="C2502">
        <v>291000</v>
      </c>
    </row>
    <row r="2503" spans="1:3" x14ac:dyDescent="0.2">
      <c r="A2503" s="64">
        <v>41986</v>
      </c>
      <c r="B2503">
        <v>2379000</v>
      </c>
      <c r="C2503">
        <v>286000</v>
      </c>
    </row>
    <row r="2504" spans="1:3" x14ac:dyDescent="0.2">
      <c r="A2504" s="64">
        <v>41993</v>
      </c>
      <c r="B2504">
        <v>2338000</v>
      </c>
      <c r="C2504">
        <v>276000</v>
      </c>
    </row>
    <row r="2505" spans="1:3" x14ac:dyDescent="0.2">
      <c r="A2505" s="64">
        <v>42000</v>
      </c>
      <c r="B2505">
        <v>2422000</v>
      </c>
      <c r="C2505">
        <v>285000</v>
      </c>
    </row>
    <row r="2506" spans="1:3" x14ac:dyDescent="0.2">
      <c r="A2506" s="64">
        <v>42007</v>
      </c>
      <c r="B2506">
        <v>2381000</v>
      </c>
      <c r="C2506">
        <v>294000</v>
      </c>
    </row>
    <row r="2507" spans="1:3" x14ac:dyDescent="0.2">
      <c r="A2507" s="64">
        <v>42014</v>
      </c>
      <c r="B2507">
        <v>2400000</v>
      </c>
      <c r="C2507">
        <v>304000</v>
      </c>
    </row>
    <row r="2508" spans="1:3" x14ac:dyDescent="0.2">
      <c r="A2508" s="64">
        <v>42021</v>
      </c>
      <c r="B2508">
        <v>2336000</v>
      </c>
      <c r="C2508">
        <v>298000</v>
      </c>
    </row>
    <row r="2509" spans="1:3" x14ac:dyDescent="0.2">
      <c r="A2509" s="64">
        <v>42028</v>
      </c>
      <c r="B2509">
        <v>2335000</v>
      </c>
      <c r="C2509">
        <v>261000</v>
      </c>
    </row>
    <row r="2510" spans="1:3" x14ac:dyDescent="0.2">
      <c r="A2510" s="64">
        <v>42035</v>
      </c>
      <c r="B2510">
        <v>2297000</v>
      </c>
      <c r="C2510">
        <v>281000</v>
      </c>
    </row>
    <row r="2511" spans="1:3" x14ac:dyDescent="0.2">
      <c r="A2511" s="64">
        <v>42042</v>
      </c>
      <c r="B2511">
        <v>2344000</v>
      </c>
      <c r="C2511">
        <v>298000</v>
      </c>
    </row>
    <row r="2512" spans="1:3" x14ac:dyDescent="0.2">
      <c r="A2512" s="64">
        <v>42049</v>
      </c>
      <c r="B2512">
        <v>2319000</v>
      </c>
      <c r="C2512">
        <v>285000</v>
      </c>
    </row>
    <row r="2513" spans="1:3" x14ac:dyDescent="0.2">
      <c r="A2513" s="64">
        <v>42056</v>
      </c>
      <c r="B2513">
        <v>2341000</v>
      </c>
      <c r="C2513">
        <v>305000</v>
      </c>
    </row>
    <row r="2514" spans="1:3" x14ac:dyDescent="0.2">
      <c r="A2514" s="64">
        <v>42063</v>
      </c>
      <c r="B2514">
        <v>2357000</v>
      </c>
      <c r="C2514">
        <v>317000</v>
      </c>
    </row>
    <row r="2515" spans="1:3" x14ac:dyDescent="0.2">
      <c r="A2515" s="64">
        <v>42070</v>
      </c>
      <c r="B2515">
        <v>2361000</v>
      </c>
      <c r="C2515">
        <v>293000</v>
      </c>
    </row>
    <row r="2516" spans="1:3" x14ac:dyDescent="0.2">
      <c r="A2516" s="64">
        <v>42077</v>
      </c>
      <c r="B2516">
        <v>2361000</v>
      </c>
      <c r="C2516">
        <v>290000</v>
      </c>
    </row>
    <row r="2517" spans="1:3" x14ac:dyDescent="0.2">
      <c r="A2517" s="64">
        <v>42084</v>
      </c>
      <c r="B2517">
        <v>2306000</v>
      </c>
      <c r="C2517">
        <v>284000</v>
      </c>
    </row>
    <row r="2518" spans="1:3" x14ac:dyDescent="0.2">
      <c r="A2518" s="64">
        <v>42091</v>
      </c>
      <c r="B2518">
        <v>2278000</v>
      </c>
      <c r="C2518">
        <v>269000</v>
      </c>
    </row>
    <row r="2519" spans="1:3" x14ac:dyDescent="0.2">
      <c r="A2519" s="64">
        <v>42098</v>
      </c>
      <c r="B2519">
        <v>2273000</v>
      </c>
      <c r="C2519">
        <v>282000</v>
      </c>
    </row>
    <row r="2520" spans="1:3" x14ac:dyDescent="0.2">
      <c r="A2520" s="64">
        <v>42105</v>
      </c>
      <c r="B2520">
        <v>2320000</v>
      </c>
      <c r="C2520">
        <v>298000</v>
      </c>
    </row>
    <row r="2521" spans="1:3" x14ac:dyDescent="0.2">
      <c r="A2521" s="64">
        <v>42112</v>
      </c>
      <c r="B2521">
        <v>2279000</v>
      </c>
      <c r="C2521">
        <v>295000</v>
      </c>
    </row>
    <row r="2522" spans="1:3" x14ac:dyDescent="0.2">
      <c r="A2522" s="64">
        <v>42119</v>
      </c>
      <c r="B2522">
        <v>2254000</v>
      </c>
      <c r="C2522">
        <v>269000</v>
      </c>
    </row>
    <row r="2523" spans="1:3" x14ac:dyDescent="0.2">
      <c r="A2523" s="64">
        <v>42126</v>
      </c>
      <c r="B2523">
        <v>2261000</v>
      </c>
      <c r="C2523">
        <v>267000</v>
      </c>
    </row>
    <row r="2524" spans="1:3" x14ac:dyDescent="0.2">
      <c r="A2524" s="64">
        <v>42133</v>
      </c>
      <c r="B2524">
        <v>2253000</v>
      </c>
      <c r="C2524">
        <v>271000</v>
      </c>
    </row>
    <row r="2525" spans="1:3" x14ac:dyDescent="0.2">
      <c r="A2525" s="64">
        <v>42140</v>
      </c>
      <c r="B2525">
        <v>2258000</v>
      </c>
      <c r="C2525">
        <v>276000</v>
      </c>
    </row>
    <row r="2526" spans="1:3" x14ac:dyDescent="0.2">
      <c r="A2526" s="64">
        <v>42147</v>
      </c>
      <c r="B2526">
        <v>2236000</v>
      </c>
      <c r="C2526">
        <v>281000</v>
      </c>
    </row>
    <row r="2527" spans="1:3" x14ac:dyDescent="0.2">
      <c r="A2527" s="64">
        <v>42154</v>
      </c>
      <c r="B2527">
        <v>2294000</v>
      </c>
      <c r="C2527">
        <v>275000</v>
      </c>
    </row>
    <row r="2528" spans="1:3" x14ac:dyDescent="0.2">
      <c r="A2528" s="64">
        <v>42161</v>
      </c>
      <c r="B2528">
        <v>2250000</v>
      </c>
      <c r="C2528">
        <v>278000</v>
      </c>
    </row>
    <row r="2529" spans="1:3" x14ac:dyDescent="0.2">
      <c r="A2529" s="64">
        <v>42168</v>
      </c>
      <c r="B2529">
        <v>2268000</v>
      </c>
      <c r="C2529">
        <v>269000</v>
      </c>
    </row>
    <row r="2530" spans="1:3" x14ac:dyDescent="0.2">
      <c r="A2530" s="64">
        <v>42175</v>
      </c>
      <c r="B2530">
        <v>2265000</v>
      </c>
      <c r="C2530">
        <v>273000</v>
      </c>
    </row>
    <row r="2531" spans="1:3" x14ac:dyDescent="0.2">
      <c r="A2531" s="64">
        <v>42182</v>
      </c>
      <c r="B2531">
        <v>2312000</v>
      </c>
      <c r="C2531">
        <v>275000</v>
      </c>
    </row>
    <row r="2532" spans="1:3" x14ac:dyDescent="0.2">
      <c r="A2532" s="64">
        <v>42189</v>
      </c>
      <c r="B2532">
        <v>2233000</v>
      </c>
      <c r="C2532">
        <v>292000</v>
      </c>
    </row>
    <row r="2533" spans="1:3" x14ac:dyDescent="0.2">
      <c r="A2533" s="64">
        <v>42196</v>
      </c>
      <c r="B2533">
        <v>2226000</v>
      </c>
      <c r="C2533">
        <v>285000</v>
      </c>
    </row>
    <row r="2534" spans="1:3" x14ac:dyDescent="0.2">
      <c r="A2534" s="64">
        <v>42203</v>
      </c>
      <c r="B2534">
        <v>2267000</v>
      </c>
      <c r="C2534">
        <v>265000</v>
      </c>
    </row>
    <row r="2535" spans="1:3" x14ac:dyDescent="0.2">
      <c r="A2535" s="64">
        <v>42210</v>
      </c>
      <c r="B2535">
        <v>2253000</v>
      </c>
      <c r="C2535">
        <v>269000</v>
      </c>
    </row>
    <row r="2536" spans="1:3" x14ac:dyDescent="0.2">
      <c r="A2536" s="64">
        <v>42217</v>
      </c>
      <c r="B2536">
        <v>2257000</v>
      </c>
      <c r="C2536">
        <v>270000</v>
      </c>
    </row>
    <row r="2537" spans="1:3" x14ac:dyDescent="0.2">
      <c r="A2537" s="64">
        <v>42224</v>
      </c>
      <c r="B2537">
        <v>2247000</v>
      </c>
      <c r="C2537">
        <v>274000</v>
      </c>
    </row>
    <row r="2538" spans="1:3" x14ac:dyDescent="0.2">
      <c r="A2538" s="64">
        <v>42231</v>
      </c>
      <c r="B2538">
        <v>2256000</v>
      </c>
      <c r="C2538">
        <v>279000</v>
      </c>
    </row>
    <row r="2539" spans="1:3" x14ac:dyDescent="0.2">
      <c r="A2539" s="64">
        <v>42238</v>
      </c>
      <c r="B2539">
        <v>2252000</v>
      </c>
      <c r="C2539">
        <v>274000</v>
      </c>
    </row>
    <row r="2540" spans="1:3" x14ac:dyDescent="0.2">
      <c r="A2540" s="64">
        <v>42245</v>
      </c>
      <c r="B2540">
        <v>2258000</v>
      </c>
      <c r="C2540">
        <v>279000</v>
      </c>
    </row>
    <row r="2541" spans="1:3" x14ac:dyDescent="0.2">
      <c r="A2541" s="64">
        <v>42252</v>
      </c>
      <c r="B2541">
        <v>2243000</v>
      </c>
      <c r="C2541">
        <v>273000</v>
      </c>
    </row>
    <row r="2542" spans="1:3" x14ac:dyDescent="0.2">
      <c r="A2542" s="64">
        <v>42259</v>
      </c>
      <c r="B2542">
        <v>2255000</v>
      </c>
      <c r="C2542">
        <v>264000</v>
      </c>
    </row>
    <row r="2543" spans="1:3" x14ac:dyDescent="0.2">
      <c r="A2543" s="64">
        <v>42266</v>
      </c>
      <c r="B2543">
        <v>2234000</v>
      </c>
      <c r="C2543">
        <v>269000</v>
      </c>
    </row>
    <row r="2544" spans="1:3" x14ac:dyDescent="0.2">
      <c r="A2544" s="64">
        <v>42273</v>
      </c>
      <c r="B2544">
        <v>2240000</v>
      </c>
      <c r="C2544">
        <v>272000</v>
      </c>
    </row>
    <row r="2545" spans="1:3" x14ac:dyDescent="0.2">
      <c r="A2545" s="64">
        <v>42280</v>
      </c>
      <c r="B2545">
        <v>2207000</v>
      </c>
      <c r="C2545">
        <v>267000</v>
      </c>
    </row>
    <row r="2546" spans="1:3" x14ac:dyDescent="0.2">
      <c r="A2546" s="64">
        <v>42287</v>
      </c>
      <c r="B2546">
        <v>2214000</v>
      </c>
      <c r="C2546">
        <v>265000</v>
      </c>
    </row>
    <row r="2547" spans="1:3" x14ac:dyDescent="0.2">
      <c r="A2547" s="64">
        <v>42294</v>
      </c>
      <c r="B2547">
        <v>2194000</v>
      </c>
      <c r="C2547">
        <v>264000</v>
      </c>
    </row>
    <row r="2548" spans="1:3" x14ac:dyDescent="0.2">
      <c r="A2548" s="64">
        <v>42301</v>
      </c>
      <c r="B2548">
        <v>2218000</v>
      </c>
      <c r="C2548">
        <v>264000</v>
      </c>
    </row>
    <row r="2549" spans="1:3" x14ac:dyDescent="0.2">
      <c r="A2549" s="64">
        <v>42308</v>
      </c>
      <c r="B2549">
        <v>2205000</v>
      </c>
      <c r="C2549">
        <v>275000</v>
      </c>
    </row>
    <row r="2550" spans="1:3" x14ac:dyDescent="0.2">
      <c r="A2550" s="64">
        <v>42315</v>
      </c>
      <c r="B2550">
        <v>2209000</v>
      </c>
      <c r="C2550">
        <v>276000</v>
      </c>
    </row>
    <row r="2551" spans="1:3" x14ac:dyDescent="0.2">
      <c r="A2551" s="64">
        <v>42322</v>
      </c>
      <c r="B2551">
        <v>2185000</v>
      </c>
      <c r="C2551">
        <v>272000</v>
      </c>
    </row>
    <row r="2552" spans="1:3" x14ac:dyDescent="0.2">
      <c r="A2552" s="64">
        <v>42329</v>
      </c>
      <c r="B2552">
        <v>2181000</v>
      </c>
      <c r="C2552">
        <v>261000</v>
      </c>
    </row>
    <row r="2553" spans="1:3" x14ac:dyDescent="0.2">
      <c r="A2553" s="64">
        <v>42336</v>
      </c>
      <c r="B2553">
        <v>2259000</v>
      </c>
      <c r="C2553">
        <v>265000</v>
      </c>
    </row>
    <row r="2554" spans="1:3" x14ac:dyDescent="0.2">
      <c r="A2554" s="64">
        <v>42343</v>
      </c>
      <c r="B2554">
        <v>2242000</v>
      </c>
      <c r="C2554">
        <v>280000</v>
      </c>
    </row>
    <row r="2555" spans="1:3" x14ac:dyDescent="0.2">
      <c r="A2555" s="64">
        <v>42350</v>
      </c>
      <c r="B2555">
        <v>2190000</v>
      </c>
      <c r="C2555">
        <v>268000</v>
      </c>
    </row>
    <row r="2556" spans="1:3" x14ac:dyDescent="0.2">
      <c r="A2556" s="64">
        <v>42357</v>
      </c>
      <c r="B2556">
        <v>2176000</v>
      </c>
      <c r="C2556">
        <v>260000</v>
      </c>
    </row>
    <row r="2557" spans="1:3" x14ac:dyDescent="0.2">
      <c r="A2557" s="64">
        <v>42364</v>
      </c>
      <c r="B2557">
        <v>2207000</v>
      </c>
      <c r="C2557">
        <v>276000</v>
      </c>
    </row>
    <row r="2558" spans="1:3" x14ac:dyDescent="0.2">
      <c r="A2558" s="64">
        <v>42371</v>
      </c>
      <c r="B2558">
        <v>2218000</v>
      </c>
      <c r="C2558">
        <v>273000</v>
      </c>
    </row>
    <row r="2559" spans="1:3" x14ac:dyDescent="0.2">
      <c r="A2559" s="64">
        <v>42378</v>
      </c>
      <c r="B2559">
        <v>2190000</v>
      </c>
      <c r="C2559">
        <v>284000</v>
      </c>
    </row>
    <row r="2560" spans="1:3" x14ac:dyDescent="0.2">
      <c r="A2560" s="64">
        <v>42385</v>
      </c>
      <c r="B2560">
        <v>2221000</v>
      </c>
      <c r="C2560">
        <v>290000</v>
      </c>
    </row>
    <row r="2561" spans="1:3" x14ac:dyDescent="0.2">
      <c r="A2561" s="64">
        <v>42392</v>
      </c>
      <c r="B2561">
        <v>2199000</v>
      </c>
      <c r="C2561">
        <v>269000</v>
      </c>
    </row>
    <row r="2562" spans="1:3" x14ac:dyDescent="0.2">
      <c r="A2562" s="64">
        <v>42399</v>
      </c>
      <c r="B2562">
        <v>2210000</v>
      </c>
      <c r="C2562">
        <v>282000</v>
      </c>
    </row>
    <row r="2563" spans="1:3" x14ac:dyDescent="0.2">
      <c r="A2563" s="64">
        <v>42406</v>
      </c>
      <c r="B2563">
        <v>2213000</v>
      </c>
      <c r="C2563">
        <v>266000</v>
      </c>
    </row>
    <row r="2564" spans="1:3" x14ac:dyDescent="0.2">
      <c r="A2564" s="64">
        <v>42413</v>
      </c>
      <c r="B2564">
        <v>2206000</v>
      </c>
      <c r="C2564">
        <v>262000</v>
      </c>
    </row>
    <row r="2565" spans="1:3" x14ac:dyDescent="0.2">
      <c r="A2565" s="64">
        <v>42420</v>
      </c>
      <c r="B2565">
        <v>2203000</v>
      </c>
      <c r="C2565">
        <v>270000</v>
      </c>
    </row>
    <row r="2566" spans="1:3" x14ac:dyDescent="0.2">
      <c r="A2566" s="64">
        <v>42427</v>
      </c>
      <c r="B2566">
        <v>2180000</v>
      </c>
      <c r="C2566">
        <v>269000</v>
      </c>
    </row>
    <row r="2567" spans="1:3" x14ac:dyDescent="0.2">
      <c r="A2567" s="64">
        <v>42434</v>
      </c>
      <c r="B2567">
        <v>2203000</v>
      </c>
      <c r="C2567">
        <v>255000</v>
      </c>
    </row>
    <row r="2568" spans="1:3" x14ac:dyDescent="0.2">
      <c r="A2568" s="64">
        <v>42441</v>
      </c>
      <c r="B2568">
        <v>2163000</v>
      </c>
      <c r="C2568">
        <v>263000</v>
      </c>
    </row>
    <row r="2569" spans="1:3" x14ac:dyDescent="0.2">
      <c r="A2569" s="64">
        <v>42448</v>
      </c>
      <c r="B2569">
        <v>2138000</v>
      </c>
      <c r="C2569">
        <v>264000</v>
      </c>
    </row>
    <row r="2570" spans="1:3" x14ac:dyDescent="0.2">
      <c r="A2570" s="64">
        <v>42455</v>
      </c>
      <c r="B2570">
        <v>2165000</v>
      </c>
      <c r="C2570">
        <v>271000</v>
      </c>
    </row>
    <row r="2571" spans="1:3" x14ac:dyDescent="0.2">
      <c r="A2571" s="64">
        <v>42462</v>
      </c>
      <c r="B2571">
        <v>2151000</v>
      </c>
      <c r="C2571">
        <v>273000</v>
      </c>
    </row>
    <row r="2572" spans="1:3" x14ac:dyDescent="0.2">
      <c r="A2572" s="64">
        <v>42469</v>
      </c>
      <c r="B2572">
        <v>2139000</v>
      </c>
      <c r="C2572">
        <v>263000</v>
      </c>
    </row>
    <row r="2573" spans="1:3" x14ac:dyDescent="0.2">
      <c r="A2573" s="64">
        <v>42476</v>
      </c>
      <c r="B2573">
        <v>2135000</v>
      </c>
      <c r="C2573">
        <v>257000</v>
      </c>
    </row>
    <row r="2574" spans="1:3" x14ac:dyDescent="0.2">
      <c r="A2574" s="64">
        <v>42483</v>
      </c>
      <c r="B2574">
        <v>2137000</v>
      </c>
      <c r="C2574">
        <v>259000</v>
      </c>
    </row>
    <row r="2575" spans="1:3" x14ac:dyDescent="0.2">
      <c r="A2575" s="64">
        <v>42490</v>
      </c>
      <c r="B2575">
        <v>2183000</v>
      </c>
      <c r="C2575">
        <v>278000</v>
      </c>
    </row>
    <row r="2576" spans="1:3" x14ac:dyDescent="0.2">
      <c r="A2576" s="64">
        <v>42497</v>
      </c>
      <c r="B2576">
        <v>2185000</v>
      </c>
      <c r="C2576">
        <v>289000</v>
      </c>
    </row>
    <row r="2577" spans="1:3" x14ac:dyDescent="0.2">
      <c r="A2577" s="64">
        <v>42504</v>
      </c>
      <c r="B2577">
        <v>2177000</v>
      </c>
      <c r="C2577">
        <v>279000</v>
      </c>
    </row>
    <row r="2578" spans="1:3" x14ac:dyDescent="0.2">
      <c r="A2578" s="64">
        <v>42511</v>
      </c>
      <c r="B2578">
        <v>2186000</v>
      </c>
      <c r="C2578">
        <v>267000</v>
      </c>
    </row>
    <row r="2579" spans="1:3" x14ac:dyDescent="0.2">
      <c r="A2579" s="64">
        <v>42518</v>
      </c>
      <c r="B2579">
        <v>2131000</v>
      </c>
      <c r="C2579">
        <v>263000</v>
      </c>
    </row>
    <row r="2580" spans="1:3" x14ac:dyDescent="0.2">
      <c r="A2580" s="64">
        <v>42525</v>
      </c>
      <c r="B2580">
        <v>2170000</v>
      </c>
      <c r="C2580">
        <v>265000</v>
      </c>
    </row>
    <row r="2581" spans="1:3" x14ac:dyDescent="0.2">
      <c r="A2581" s="64">
        <v>42532</v>
      </c>
      <c r="B2581">
        <v>2158000</v>
      </c>
      <c r="C2581">
        <v>273000</v>
      </c>
    </row>
    <row r="2582" spans="1:3" x14ac:dyDescent="0.2">
      <c r="A2582" s="64">
        <v>42539</v>
      </c>
      <c r="B2582">
        <v>2160000</v>
      </c>
      <c r="C2582">
        <v>261000</v>
      </c>
    </row>
    <row r="2583" spans="1:3" x14ac:dyDescent="0.2">
      <c r="A2583" s="64">
        <v>42546</v>
      </c>
      <c r="B2583">
        <v>2139000</v>
      </c>
      <c r="C2583">
        <v>262000</v>
      </c>
    </row>
    <row r="2584" spans="1:3" x14ac:dyDescent="0.2">
      <c r="A2584" s="64">
        <v>42553</v>
      </c>
      <c r="B2584">
        <v>2131000</v>
      </c>
      <c r="C2584">
        <v>255000</v>
      </c>
    </row>
    <row r="2585" spans="1:3" x14ac:dyDescent="0.2">
      <c r="A2585" s="64">
        <v>42560</v>
      </c>
      <c r="B2585">
        <v>2125000</v>
      </c>
      <c r="C2585">
        <v>252000</v>
      </c>
    </row>
    <row r="2586" spans="1:3" x14ac:dyDescent="0.2">
      <c r="A2586" s="64">
        <v>42567</v>
      </c>
      <c r="B2586">
        <v>2140000</v>
      </c>
      <c r="C2586">
        <v>260000</v>
      </c>
    </row>
    <row r="2587" spans="1:3" x14ac:dyDescent="0.2">
      <c r="A2587" s="64">
        <v>42574</v>
      </c>
      <c r="B2587">
        <v>2134000</v>
      </c>
      <c r="C2587">
        <v>264000</v>
      </c>
    </row>
    <row r="2588" spans="1:3" x14ac:dyDescent="0.2">
      <c r="A2588" s="64">
        <v>42581</v>
      </c>
      <c r="B2588">
        <v>2143000</v>
      </c>
      <c r="C2588">
        <v>266000</v>
      </c>
    </row>
    <row r="2589" spans="1:3" x14ac:dyDescent="0.2">
      <c r="A2589" s="64">
        <v>42588</v>
      </c>
      <c r="B2589">
        <v>2157000</v>
      </c>
      <c r="C2589">
        <v>265000</v>
      </c>
    </row>
    <row r="2590" spans="1:3" x14ac:dyDescent="0.2">
      <c r="A2590" s="64">
        <v>42595</v>
      </c>
      <c r="B2590">
        <v>2137000</v>
      </c>
      <c r="C2590">
        <v>264000</v>
      </c>
    </row>
    <row r="2591" spans="1:3" x14ac:dyDescent="0.2">
      <c r="A2591" s="64">
        <v>42602</v>
      </c>
      <c r="B2591">
        <v>2148000</v>
      </c>
      <c r="C2591">
        <v>264000</v>
      </c>
    </row>
    <row r="2592" spans="1:3" x14ac:dyDescent="0.2">
      <c r="A2592" s="64">
        <v>42609</v>
      </c>
      <c r="B2592">
        <v>2138000</v>
      </c>
      <c r="C2592">
        <v>261000</v>
      </c>
    </row>
    <row r="2593" spans="1:3" x14ac:dyDescent="0.2">
      <c r="A2593" s="64">
        <v>42616</v>
      </c>
      <c r="B2593">
        <v>2149000</v>
      </c>
      <c r="C2593">
        <v>257000</v>
      </c>
    </row>
    <row r="2594" spans="1:3" x14ac:dyDescent="0.2">
      <c r="A2594" s="64">
        <v>42623</v>
      </c>
      <c r="B2594">
        <v>2110000</v>
      </c>
      <c r="C2594">
        <v>252000</v>
      </c>
    </row>
    <row r="2595" spans="1:3" x14ac:dyDescent="0.2">
      <c r="A2595" s="64">
        <v>42630</v>
      </c>
      <c r="B2595">
        <v>2098000</v>
      </c>
      <c r="C2595">
        <v>250000</v>
      </c>
    </row>
    <row r="2596" spans="1:3" x14ac:dyDescent="0.2">
      <c r="A2596" s="64">
        <v>42637</v>
      </c>
      <c r="B2596">
        <v>2081000</v>
      </c>
      <c r="C2596">
        <v>247000</v>
      </c>
    </row>
    <row r="2597" spans="1:3" x14ac:dyDescent="0.2">
      <c r="A2597" s="64">
        <v>42644</v>
      </c>
      <c r="B2597">
        <v>2080000</v>
      </c>
      <c r="C2597">
        <v>245000</v>
      </c>
    </row>
    <row r="2598" spans="1:3" x14ac:dyDescent="0.2">
      <c r="A2598" s="64">
        <v>42651</v>
      </c>
      <c r="B2598">
        <v>2081000</v>
      </c>
      <c r="C2598">
        <v>250000</v>
      </c>
    </row>
    <row r="2599" spans="1:3" x14ac:dyDescent="0.2">
      <c r="A2599" s="64">
        <v>42658</v>
      </c>
      <c r="B2599">
        <v>2069000</v>
      </c>
      <c r="C2599">
        <v>263000</v>
      </c>
    </row>
    <row r="2600" spans="1:3" x14ac:dyDescent="0.2">
      <c r="A2600" s="64">
        <v>42665</v>
      </c>
      <c r="B2600">
        <v>2066000</v>
      </c>
      <c r="C2600">
        <v>256000</v>
      </c>
    </row>
    <row r="2601" spans="1:3" x14ac:dyDescent="0.2">
      <c r="A2601" s="64">
        <v>42672</v>
      </c>
      <c r="B2601">
        <v>2067000</v>
      </c>
      <c r="C2601">
        <v>265000</v>
      </c>
    </row>
    <row r="2602" spans="1:3" x14ac:dyDescent="0.2">
      <c r="A2602" s="64">
        <v>42679</v>
      </c>
      <c r="B2602">
        <v>2046000</v>
      </c>
      <c r="C2602">
        <v>250000</v>
      </c>
    </row>
    <row r="2603" spans="1:3" x14ac:dyDescent="0.2">
      <c r="A2603" s="64">
        <v>42686</v>
      </c>
      <c r="B2603">
        <v>2045000</v>
      </c>
      <c r="C2603">
        <v>232000</v>
      </c>
    </row>
    <row r="2604" spans="1:3" x14ac:dyDescent="0.2">
      <c r="A2604" s="64">
        <v>42693</v>
      </c>
      <c r="B2604">
        <v>2050000</v>
      </c>
      <c r="C2604">
        <v>246000</v>
      </c>
    </row>
    <row r="2605" spans="1:3" x14ac:dyDescent="0.2">
      <c r="A2605" s="64">
        <v>42700</v>
      </c>
      <c r="B2605">
        <v>2038000</v>
      </c>
      <c r="C2605">
        <v>255000</v>
      </c>
    </row>
    <row r="2606" spans="1:3" x14ac:dyDescent="0.2">
      <c r="A2606" s="64">
        <v>42707</v>
      </c>
      <c r="B2606">
        <v>2029000</v>
      </c>
      <c r="C2606">
        <v>248000</v>
      </c>
    </row>
    <row r="2607" spans="1:3" x14ac:dyDescent="0.2">
      <c r="A2607" s="64">
        <v>42714</v>
      </c>
      <c r="B2607">
        <v>2030000</v>
      </c>
      <c r="C2607">
        <v>252000</v>
      </c>
    </row>
    <row r="2608" spans="1:3" x14ac:dyDescent="0.2">
      <c r="A2608" s="64">
        <v>42721</v>
      </c>
      <c r="B2608">
        <v>2078000</v>
      </c>
      <c r="C2608">
        <v>260000</v>
      </c>
    </row>
    <row r="2609" spans="1:3" x14ac:dyDescent="0.2">
      <c r="A2609" s="64">
        <v>42728</v>
      </c>
      <c r="B2609">
        <v>2077000</v>
      </c>
      <c r="C2609">
        <v>257000</v>
      </c>
    </row>
    <row r="2610" spans="1:3" x14ac:dyDescent="0.2">
      <c r="A2610" s="64">
        <v>42735</v>
      </c>
      <c r="B2610">
        <v>2028000</v>
      </c>
      <c r="C2610">
        <v>244000</v>
      </c>
    </row>
    <row r="2611" spans="1:3" x14ac:dyDescent="0.2">
      <c r="A2611" s="64">
        <v>42742</v>
      </c>
      <c r="B2611">
        <v>2020000</v>
      </c>
      <c r="C2611">
        <v>243000</v>
      </c>
    </row>
    <row r="2612" spans="1:3" x14ac:dyDescent="0.2">
      <c r="A2612" s="64">
        <v>42749</v>
      </c>
      <c r="B2612">
        <v>2060000</v>
      </c>
      <c r="C2612">
        <v>244000</v>
      </c>
    </row>
    <row r="2613" spans="1:3" x14ac:dyDescent="0.2">
      <c r="A2613" s="64">
        <v>42756</v>
      </c>
      <c r="B2613">
        <v>2030000</v>
      </c>
      <c r="C2613">
        <v>254000</v>
      </c>
    </row>
    <row r="2614" spans="1:3" x14ac:dyDescent="0.2">
      <c r="A2614" s="64">
        <v>42763</v>
      </c>
      <c r="B2614">
        <v>2045000</v>
      </c>
      <c r="C2614">
        <v>245000</v>
      </c>
    </row>
    <row r="2615" spans="1:3" x14ac:dyDescent="0.2">
      <c r="A2615" s="64">
        <v>42770</v>
      </c>
      <c r="B2615">
        <v>2030000</v>
      </c>
      <c r="C2615">
        <v>237000</v>
      </c>
    </row>
    <row r="2616" spans="1:3" x14ac:dyDescent="0.2">
      <c r="A2616" s="64">
        <v>42777</v>
      </c>
      <c r="B2616">
        <v>2049000</v>
      </c>
      <c r="C2616">
        <v>243000</v>
      </c>
    </row>
    <row r="2617" spans="1:3" x14ac:dyDescent="0.2">
      <c r="A2617" s="64">
        <v>42784</v>
      </c>
      <c r="B2617">
        <v>2009000</v>
      </c>
      <c r="C2617">
        <v>248000</v>
      </c>
    </row>
    <row r="2618" spans="1:3" x14ac:dyDescent="0.2">
      <c r="A2618" s="64">
        <v>42791</v>
      </c>
      <c r="B2618">
        <v>2040000</v>
      </c>
      <c r="C2618">
        <v>231000</v>
      </c>
    </row>
    <row r="2619" spans="1:3" x14ac:dyDescent="0.2">
      <c r="A2619" s="64">
        <v>42798</v>
      </c>
      <c r="B2619">
        <v>2005000</v>
      </c>
      <c r="C2619">
        <v>246000</v>
      </c>
    </row>
    <row r="2620" spans="1:3" x14ac:dyDescent="0.2">
      <c r="A2620" s="64">
        <v>42805</v>
      </c>
      <c r="B2620">
        <v>1984000</v>
      </c>
      <c r="C2620">
        <v>244000</v>
      </c>
    </row>
    <row r="2621" spans="1:3" x14ac:dyDescent="0.2">
      <c r="A2621" s="64">
        <v>42812</v>
      </c>
      <c r="B2621">
        <v>1993000</v>
      </c>
      <c r="C2621">
        <v>255000</v>
      </c>
    </row>
    <row r="2622" spans="1:3" x14ac:dyDescent="0.2">
      <c r="A2622" s="64">
        <v>42819</v>
      </c>
      <c r="B2622">
        <v>2011000</v>
      </c>
      <c r="C2622">
        <v>256000</v>
      </c>
    </row>
    <row r="2623" spans="1:3" x14ac:dyDescent="0.2">
      <c r="A2623" s="64">
        <v>42826</v>
      </c>
      <c r="B2623">
        <v>1982000</v>
      </c>
      <c r="C2623">
        <v>237000</v>
      </c>
    </row>
    <row r="2624" spans="1:3" x14ac:dyDescent="0.2">
      <c r="A2624" s="64">
        <v>42833</v>
      </c>
      <c r="B2624">
        <v>1970000</v>
      </c>
      <c r="C2624">
        <v>238000</v>
      </c>
    </row>
    <row r="2625" spans="1:3" x14ac:dyDescent="0.2">
      <c r="A2625" s="64">
        <v>42840</v>
      </c>
      <c r="B2625">
        <v>1973000</v>
      </c>
      <c r="C2625">
        <v>242000</v>
      </c>
    </row>
    <row r="2626" spans="1:3" x14ac:dyDescent="0.2">
      <c r="A2626" s="64">
        <v>42847</v>
      </c>
      <c r="B2626">
        <v>1984000</v>
      </c>
      <c r="C2626">
        <v>252000</v>
      </c>
    </row>
    <row r="2627" spans="1:3" x14ac:dyDescent="0.2">
      <c r="A2627" s="64">
        <v>42854</v>
      </c>
      <c r="B2627">
        <v>1925000</v>
      </c>
      <c r="C2627">
        <v>241000</v>
      </c>
    </row>
    <row r="2628" spans="1:3" x14ac:dyDescent="0.2">
      <c r="A2628" s="64">
        <v>42861</v>
      </c>
      <c r="B2628">
        <v>1935000</v>
      </c>
      <c r="C2628">
        <v>237000</v>
      </c>
    </row>
    <row r="2629" spans="1:3" x14ac:dyDescent="0.2">
      <c r="A2629" s="64">
        <v>42868</v>
      </c>
      <c r="B2629">
        <v>1935000</v>
      </c>
      <c r="C2629">
        <v>237000</v>
      </c>
    </row>
    <row r="2630" spans="1:3" x14ac:dyDescent="0.2">
      <c r="A2630" s="64">
        <v>42875</v>
      </c>
      <c r="B2630">
        <v>1944000</v>
      </c>
      <c r="C2630">
        <v>234000</v>
      </c>
    </row>
    <row r="2631" spans="1:3" x14ac:dyDescent="0.2">
      <c r="A2631" s="64">
        <v>42882</v>
      </c>
      <c r="B2631">
        <v>1935000</v>
      </c>
      <c r="C2631">
        <v>251000</v>
      </c>
    </row>
    <row r="2632" spans="1:3" x14ac:dyDescent="0.2">
      <c r="A2632" s="64">
        <v>42889</v>
      </c>
      <c r="B2632">
        <v>1955000</v>
      </c>
      <c r="C2632">
        <v>244000</v>
      </c>
    </row>
    <row r="2633" spans="1:3" x14ac:dyDescent="0.2">
      <c r="A2633" s="64">
        <v>42896</v>
      </c>
      <c r="B2633">
        <v>1953000</v>
      </c>
      <c r="C2633">
        <v>237000</v>
      </c>
    </row>
    <row r="2634" spans="1:3" x14ac:dyDescent="0.2">
      <c r="A2634" s="64">
        <v>42903</v>
      </c>
      <c r="B2634">
        <v>1956000</v>
      </c>
      <c r="C2634">
        <v>243000</v>
      </c>
    </row>
    <row r="2635" spans="1:3" x14ac:dyDescent="0.2">
      <c r="A2635" s="64">
        <v>42910</v>
      </c>
      <c r="B2635">
        <v>1966000</v>
      </c>
      <c r="C2635">
        <v>237000</v>
      </c>
    </row>
    <row r="2636" spans="1:3" x14ac:dyDescent="0.2">
      <c r="A2636" s="64">
        <v>42917</v>
      </c>
      <c r="B2636">
        <v>1941000</v>
      </c>
      <c r="C2636">
        <v>247000</v>
      </c>
    </row>
    <row r="2637" spans="1:3" x14ac:dyDescent="0.2">
      <c r="A2637" s="64">
        <v>42924</v>
      </c>
      <c r="B2637">
        <v>1965000</v>
      </c>
      <c r="C2637">
        <v>243000</v>
      </c>
    </row>
    <row r="2638" spans="1:3" x14ac:dyDescent="0.2">
      <c r="A2638" s="64">
        <v>42931</v>
      </c>
      <c r="B2638">
        <v>1964000</v>
      </c>
      <c r="C2638">
        <v>241000</v>
      </c>
    </row>
    <row r="2639" spans="1:3" x14ac:dyDescent="0.2">
      <c r="A2639" s="64">
        <v>42938</v>
      </c>
      <c r="B2639">
        <v>1961000</v>
      </c>
      <c r="C2639">
        <v>245000</v>
      </c>
    </row>
    <row r="2640" spans="1:3" x14ac:dyDescent="0.2">
      <c r="A2640" s="64">
        <v>42945</v>
      </c>
      <c r="B2640">
        <v>1946000</v>
      </c>
      <c r="C2640">
        <v>242000</v>
      </c>
    </row>
    <row r="2641" spans="1:3" x14ac:dyDescent="0.2">
      <c r="A2641" s="64">
        <v>42952</v>
      </c>
      <c r="B2641">
        <v>1948000</v>
      </c>
      <c r="C2641">
        <v>245000</v>
      </c>
    </row>
    <row r="2642" spans="1:3" x14ac:dyDescent="0.2">
      <c r="A2642" s="64">
        <v>42959</v>
      </c>
      <c r="B2642">
        <v>1952000</v>
      </c>
      <c r="C2642">
        <v>236000</v>
      </c>
    </row>
    <row r="2643" spans="1:3" x14ac:dyDescent="0.2">
      <c r="A2643" s="64">
        <v>42966</v>
      </c>
      <c r="B2643">
        <v>1949000</v>
      </c>
      <c r="C2643">
        <v>240000</v>
      </c>
    </row>
    <row r="2644" spans="1:3" x14ac:dyDescent="0.2">
      <c r="A2644" s="64">
        <v>42973</v>
      </c>
      <c r="B2644">
        <v>1951000</v>
      </c>
      <c r="C2644">
        <v>238000</v>
      </c>
    </row>
    <row r="2645" spans="1:3" x14ac:dyDescent="0.2">
      <c r="A2645" s="64">
        <v>42980</v>
      </c>
      <c r="B2645">
        <v>1951000</v>
      </c>
      <c r="C2645">
        <v>298000</v>
      </c>
    </row>
    <row r="2646" spans="1:3" x14ac:dyDescent="0.2">
      <c r="A2646" s="64">
        <v>42987</v>
      </c>
      <c r="B2646">
        <v>1990000</v>
      </c>
      <c r="C2646">
        <v>274000</v>
      </c>
    </row>
    <row r="2647" spans="1:3" x14ac:dyDescent="0.2">
      <c r="A2647" s="64">
        <v>42994</v>
      </c>
      <c r="B2647">
        <v>1941000</v>
      </c>
      <c r="C2647">
        <v>259000</v>
      </c>
    </row>
    <row r="2648" spans="1:3" x14ac:dyDescent="0.2">
      <c r="A2648" s="64">
        <v>43001</v>
      </c>
      <c r="B2648">
        <v>1932000</v>
      </c>
      <c r="C2648">
        <v>262000</v>
      </c>
    </row>
    <row r="2649" spans="1:3" x14ac:dyDescent="0.2">
      <c r="A2649" s="64">
        <v>43008</v>
      </c>
      <c r="B2649">
        <v>1928000</v>
      </c>
      <c r="C2649">
        <v>254000</v>
      </c>
    </row>
    <row r="2650" spans="1:3" x14ac:dyDescent="0.2">
      <c r="A2650" s="64">
        <v>43015</v>
      </c>
      <c r="B2650">
        <v>1922000</v>
      </c>
      <c r="C2650">
        <v>245000</v>
      </c>
    </row>
    <row r="2651" spans="1:3" x14ac:dyDescent="0.2">
      <c r="A2651" s="64">
        <v>43022</v>
      </c>
      <c r="B2651">
        <v>1923000</v>
      </c>
      <c r="C2651">
        <v>230000</v>
      </c>
    </row>
    <row r="2652" spans="1:3" x14ac:dyDescent="0.2">
      <c r="A2652" s="64">
        <v>43029</v>
      </c>
      <c r="B2652">
        <v>1917000</v>
      </c>
      <c r="C2652">
        <v>235000</v>
      </c>
    </row>
    <row r="2653" spans="1:3" x14ac:dyDescent="0.2">
      <c r="A2653" s="64">
        <v>43036</v>
      </c>
      <c r="B2653">
        <v>1927000</v>
      </c>
      <c r="C2653">
        <v>235000</v>
      </c>
    </row>
    <row r="2654" spans="1:3" x14ac:dyDescent="0.2">
      <c r="A2654" s="64">
        <v>43043</v>
      </c>
      <c r="B2654">
        <v>1926000</v>
      </c>
      <c r="C2654">
        <v>239000</v>
      </c>
    </row>
    <row r="2655" spans="1:3" x14ac:dyDescent="0.2">
      <c r="A2655" s="64">
        <v>43050</v>
      </c>
      <c r="B2655">
        <v>1914000</v>
      </c>
      <c r="C2655">
        <v>247000</v>
      </c>
    </row>
    <row r="2656" spans="1:3" x14ac:dyDescent="0.2">
      <c r="A2656" s="64">
        <v>43057</v>
      </c>
      <c r="B2656">
        <v>1922000</v>
      </c>
      <c r="C2656">
        <v>235000</v>
      </c>
    </row>
    <row r="2657" spans="1:3" x14ac:dyDescent="0.2">
      <c r="A2657" s="64">
        <v>43064</v>
      </c>
      <c r="B2657">
        <v>1940000</v>
      </c>
      <c r="C2657">
        <v>233000</v>
      </c>
    </row>
    <row r="2658" spans="1:3" x14ac:dyDescent="0.2">
      <c r="A2658" s="64">
        <v>43071</v>
      </c>
      <c r="B2658">
        <v>1892000</v>
      </c>
      <c r="C2658">
        <v>230000</v>
      </c>
    </row>
    <row r="2659" spans="1:3" x14ac:dyDescent="0.2">
      <c r="A2659" s="64">
        <v>43078</v>
      </c>
      <c r="B2659">
        <v>1926000</v>
      </c>
      <c r="C2659">
        <v>226000</v>
      </c>
    </row>
    <row r="2660" spans="1:3" x14ac:dyDescent="0.2">
      <c r="A2660" s="64">
        <v>43085</v>
      </c>
      <c r="B2660">
        <v>1928000</v>
      </c>
      <c r="C2660">
        <v>239000</v>
      </c>
    </row>
    <row r="2661" spans="1:3" x14ac:dyDescent="0.2">
      <c r="A2661" s="64">
        <v>43092</v>
      </c>
      <c r="B2661">
        <v>1908000</v>
      </c>
      <c r="C2661">
        <v>243000</v>
      </c>
    </row>
    <row r="2662" spans="1:3" x14ac:dyDescent="0.2">
      <c r="A2662" s="64">
        <v>43099</v>
      </c>
      <c r="B2662">
        <v>1862000</v>
      </c>
      <c r="C2662">
        <v>241000</v>
      </c>
    </row>
    <row r="2663" spans="1:3" x14ac:dyDescent="0.2">
      <c r="A2663" s="64">
        <v>43106</v>
      </c>
      <c r="B2663">
        <v>1919000</v>
      </c>
      <c r="C2663">
        <v>249000</v>
      </c>
    </row>
    <row r="2664" spans="1:3" x14ac:dyDescent="0.2">
      <c r="A2664" s="64">
        <v>43113</v>
      </c>
      <c r="B2664">
        <v>1908000</v>
      </c>
      <c r="C2664">
        <v>228000</v>
      </c>
    </row>
    <row r="2665" spans="1:3" x14ac:dyDescent="0.2">
      <c r="A2665" s="64">
        <v>43120</v>
      </c>
      <c r="B2665">
        <v>1921000</v>
      </c>
      <c r="C2665">
        <v>233000</v>
      </c>
    </row>
    <row r="2666" spans="1:3" x14ac:dyDescent="0.2">
      <c r="A2666" s="64">
        <v>43127</v>
      </c>
      <c r="B2666">
        <v>1899000</v>
      </c>
      <c r="C2666">
        <v>227000</v>
      </c>
    </row>
    <row r="2667" spans="1:3" x14ac:dyDescent="0.2">
      <c r="A2667" s="64">
        <v>43134</v>
      </c>
      <c r="B2667">
        <v>1900000</v>
      </c>
      <c r="C2667">
        <v>224000</v>
      </c>
    </row>
    <row r="2668" spans="1:3" x14ac:dyDescent="0.2">
      <c r="A2668" s="64">
        <v>43141</v>
      </c>
      <c r="B2668">
        <v>1865000</v>
      </c>
      <c r="C2668">
        <v>227000</v>
      </c>
    </row>
    <row r="2669" spans="1:3" x14ac:dyDescent="0.2">
      <c r="A2669" s="64">
        <v>43148</v>
      </c>
      <c r="B2669">
        <v>1879000</v>
      </c>
      <c r="C2669">
        <v>220000</v>
      </c>
    </row>
    <row r="2670" spans="1:3" x14ac:dyDescent="0.2">
      <c r="A2670" s="64">
        <v>43155</v>
      </c>
      <c r="B2670">
        <v>1854000</v>
      </c>
      <c r="C2670">
        <v>215000</v>
      </c>
    </row>
    <row r="2671" spans="1:3" x14ac:dyDescent="0.2">
      <c r="A2671" s="64">
        <v>43162</v>
      </c>
      <c r="B2671">
        <v>1853000</v>
      </c>
      <c r="C2671">
        <v>226000</v>
      </c>
    </row>
    <row r="2672" spans="1:3" x14ac:dyDescent="0.2">
      <c r="A2672" s="64">
        <v>43169</v>
      </c>
      <c r="B2672">
        <v>1833000</v>
      </c>
      <c r="C2672">
        <v>223000</v>
      </c>
    </row>
    <row r="2673" spans="1:3" x14ac:dyDescent="0.2">
      <c r="A2673" s="64">
        <v>43176</v>
      </c>
      <c r="B2673">
        <v>1821000</v>
      </c>
      <c r="C2673">
        <v>224000</v>
      </c>
    </row>
    <row r="2674" spans="1:3" x14ac:dyDescent="0.2">
      <c r="A2674" s="64">
        <v>43183</v>
      </c>
      <c r="B2674">
        <v>1805000</v>
      </c>
      <c r="C2674">
        <v>220000</v>
      </c>
    </row>
    <row r="2675" spans="1:3" x14ac:dyDescent="0.2">
      <c r="A2675" s="64">
        <v>43190</v>
      </c>
      <c r="B2675">
        <v>1835000</v>
      </c>
      <c r="C2675">
        <v>235000</v>
      </c>
    </row>
    <row r="2676" spans="1:3" x14ac:dyDescent="0.2">
      <c r="A2676" s="64">
        <v>43197</v>
      </c>
      <c r="B2676">
        <v>1856000</v>
      </c>
      <c r="C2676">
        <v>235000</v>
      </c>
    </row>
    <row r="2677" spans="1:3" x14ac:dyDescent="0.2">
      <c r="A2677" s="64">
        <v>43204</v>
      </c>
      <c r="B2677">
        <v>1815000</v>
      </c>
      <c r="C2677">
        <v>235000</v>
      </c>
    </row>
    <row r="2678" spans="1:3" x14ac:dyDescent="0.2">
      <c r="A2678" s="64">
        <v>43211</v>
      </c>
      <c r="B2678">
        <v>1769000</v>
      </c>
      <c r="C2678">
        <v>208000</v>
      </c>
    </row>
    <row r="2679" spans="1:3" x14ac:dyDescent="0.2">
      <c r="A2679" s="64">
        <v>43218</v>
      </c>
      <c r="B2679">
        <v>1780000</v>
      </c>
      <c r="C2679">
        <v>212000</v>
      </c>
    </row>
    <row r="2680" spans="1:3" x14ac:dyDescent="0.2">
      <c r="A2680" s="64">
        <v>43225</v>
      </c>
      <c r="B2680">
        <v>1734000</v>
      </c>
      <c r="C2680">
        <v>210000</v>
      </c>
    </row>
    <row r="2681" spans="1:3" x14ac:dyDescent="0.2">
      <c r="A2681" s="64">
        <v>43232</v>
      </c>
      <c r="B2681">
        <v>1742000</v>
      </c>
      <c r="C2681">
        <v>224000</v>
      </c>
    </row>
    <row r="2682" spans="1:3" x14ac:dyDescent="0.2">
      <c r="A2682" s="64">
        <v>43239</v>
      </c>
      <c r="B2682">
        <v>1739000</v>
      </c>
      <c r="C2682">
        <v>230000</v>
      </c>
    </row>
    <row r="2683" spans="1:3" x14ac:dyDescent="0.2">
      <c r="A2683" s="64">
        <v>43246</v>
      </c>
      <c r="B2683">
        <v>1742000</v>
      </c>
      <c r="C2683">
        <v>221000</v>
      </c>
    </row>
    <row r="2684" spans="1:3" x14ac:dyDescent="0.2">
      <c r="A2684" s="64">
        <v>43253</v>
      </c>
      <c r="B2684">
        <v>1714000</v>
      </c>
      <c r="C2684">
        <v>221000</v>
      </c>
    </row>
    <row r="2685" spans="1:3" x14ac:dyDescent="0.2">
      <c r="A2685" s="64">
        <v>43260</v>
      </c>
      <c r="B2685">
        <v>1736000</v>
      </c>
      <c r="C2685">
        <v>218000</v>
      </c>
    </row>
    <row r="2686" spans="1:3" x14ac:dyDescent="0.2">
      <c r="A2686" s="64">
        <v>43267</v>
      </c>
      <c r="B2686">
        <v>1716000</v>
      </c>
      <c r="C2686">
        <v>220000</v>
      </c>
    </row>
    <row r="2687" spans="1:3" x14ac:dyDescent="0.2">
      <c r="A2687" s="64">
        <v>43274</v>
      </c>
      <c r="B2687">
        <v>1740000</v>
      </c>
      <c r="C2687">
        <v>220000</v>
      </c>
    </row>
    <row r="2688" spans="1:3" x14ac:dyDescent="0.2">
      <c r="A2688" s="64">
        <v>43281</v>
      </c>
      <c r="B2688">
        <v>1734000</v>
      </c>
      <c r="C2688">
        <v>229000</v>
      </c>
    </row>
    <row r="2689" spans="1:3" x14ac:dyDescent="0.2">
      <c r="A2689" s="64">
        <v>43288</v>
      </c>
      <c r="B2689">
        <v>1750000</v>
      </c>
      <c r="C2689">
        <v>229000</v>
      </c>
    </row>
    <row r="2690" spans="1:3" x14ac:dyDescent="0.2">
      <c r="A2690" s="64">
        <v>43295</v>
      </c>
      <c r="B2690">
        <v>1747000</v>
      </c>
      <c r="C2690">
        <v>212000</v>
      </c>
    </row>
    <row r="2691" spans="1:3" x14ac:dyDescent="0.2">
      <c r="A2691" s="64">
        <v>43302</v>
      </c>
      <c r="B2691">
        <v>1726000</v>
      </c>
      <c r="C2691">
        <v>220000</v>
      </c>
    </row>
    <row r="2692" spans="1:3" x14ac:dyDescent="0.2">
      <c r="A2692" s="64">
        <v>43309</v>
      </c>
      <c r="B2692">
        <v>1753000</v>
      </c>
      <c r="C2692">
        <v>218000</v>
      </c>
    </row>
    <row r="2693" spans="1:3" x14ac:dyDescent="0.2">
      <c r="A2693" s="64">
        <v>43316</v>
      </c>
      <c r="B2693">
        <v>1722000</v>
      </c>
      <c r="C2693">
        <v>217000</v>
      </c>
    </row>
    <row r="2694" spans="1:3" x14ac:dyDescent="0.2">
      <c r="A2694" s="64">
        <v>43323</v>
      </c>
      <c r="B2694">
        <v>1729000</v>
      </c>
      <c r="C2694">
        <v>212000</v>
      </c>
    </row>
    <row r="2695" spans="1:3" x14ac:dyDescent="0.2">
      <c r="A2695" s="64">
        <v>43330</v>
      </c>
      <c r="B2695">
        <v>1713000</v>
      </c>
      <c r="C2695">
        <v>215000</v>
      </c>
    </row>
    <row r="2696" spans="1:3" x14ac:dyDescent="0.2">
      <c r="A2696" s="64">
        <v>43337</v>
      </c>
      <c r="B2696">
        <v>1717000</v>
      </c>
      <c r="C2696">
        <v>214000</v>
      </c>
    </row>
    <row r="2697" spans="1:3" x14ac:dyDescent="0.2">
      <c r="A2697" s="64">
        <v>43344</v>
      </c>
      <c r="B2697">
        <v>1710000</v>
      </c>
      <c r="C2697">
        <v>209000</v>
      </c>
    </row>
    <row r="2698" spans="1:3" x14ac:dyDescent="0.2">
      <c r="A2698" s="64">
        <v>43351</v>
      </c>
      <c r="B2698">
        <v>1670000</v>
      </c>
      <c r="C2698">
        <v>210000</v>
      </c>
    </row>
    <row r="2699" spans="1:3" x14ac:dyDescent="0.2">
      <c r="A2699" s="64">
        <v>43358</v>
      </c>
      <c r="B2699">
        <v>1690000</v>
      </c>
      <c r="C2699">
        <v>212000</v>
      </c>
    </row>
    <row r="2700" spans="1:3" x14ac:dyDescent="0.2">
      <c r="A2700" s="64">
        <v>43365</v>
      </c>
      <c r="B2700">
        <v>1675000</v>
      </c>
      <c r="C2700">
        <v>212000</v>
      </c>
    </row>
    <row r="2701" spans="1:3" x14ac:dyDescent="0.2">
      <c r="A2701" s="64">
        <v>43372</v>
      </c>
      <c r="B2701">
        <v>1670000</v>
      </c>
      <c r="C2701">
        <v>216000</v>
      </c>
    </row>
    <row r="2702" spans="1:3" x14ac:dyDescent="0.2">
      <c r="A2702" s="64">
        <v>43379</v>
      </c>
      <c r="B2702">
        <v>1664000</v>
      </c>
      <c r="C2702">
        <v>212000</v>
      </c>
    </row>
    <row r="2703" spans="1:3" x14ac:dyDescent="0.2">
      <c r="A2703" s="64">
        <v>43386</v>
      </c>
      <c r="B2703">
        <v>1656000</v>
      </c>
      <c r="C2703">
        <v>212000</v>
      </c>
    </row>
    <row r="2704" spans="1:3" x14ac:dyDescent="0.2">
      <c r="A2704" s="64">
        <v>43393</v>
      </c>
      <c r="B2704">
        <v>1657000</v>
      </c>
      <c r="C2704">
        <v>219000</v>
      </c>
    </row>
    <row r="2705" spans="1:3" x14ac:dyDescent="0.2">
      <c r="A2705" s="64">
        <v>43400</v>
      </c>
      <c r="B2705">
        <v>1651000</v>
      </c>
      <c r="C2705">
        <v>216000</v>
      </c>
    </row>
    <row r="2706" spans="1:3" x14ac:dyDescent="0.2">
      <c r="A2706" s="64">
        <v>43407</v>
      </c>
      <c r="B2706">
        <v>1663000</v>
      </c>
      <c r="C2706">
        <v>216000</v>
      </c>
    </row>
    <row r="2707" spans="1:3" x14ac:dyDescent="0.2">
      <c r="A2707" s="64">
        <v>43414</v>
      </c>
      <c r="B2707">
        <v>1671000</v>
      </c>
      <c r="C2707">
        <v>217000</v>
      </c>
    </row>
    <row r="2708" spans="1:3" x14ac:dyDescent="0.2">
      <c r="A2708" s="64">
        <v>43421</v>
      </c>
      <c r="B2708">
        <v>1726000</v>
      </c>
      <c r="C2708">
        <v>220000</v>
      </c>
    </row>
    <row r="2709" spans="1:3" x14ac:dyDescent="0.2">
      <c r="A2709" s="64">
        <v>43428</v>
      </c>
      <c r="B2709">
        <v>1664000</v>
      </c>
      <c r="C2709">
        <v>230000</v>
      </c>
    </row>
    <row r="2710" spans="1:3" x14ac:dyDescent="0.2">
      <c r="A2710" s="64">
        <v>43435</v>
      </c>
      <c r="B2710">
        <v>1663000</v>
      </c>
      <c r="C2710">
        <v>225000</v>
      </c>
    </row>
    <row r="2711" spans="1:3" x14ac:dyDescent="0.2">
      <c r="A2711" s="64">
        <v>43442</v>
      </c>
      <c r="B2711">
        <v>1703000</v>
      </c>
      <c r="C2711">
        <v>203000</v>
      </c>
    </row>
    <row r="2712" spans="1:3" x14ac:dyDescent="0.2">
      <c r="A2712" s="64">
        <v>43449</v>
      </c>
      <c r="B2712">
        <v>1697000</v>
      </c>
      <c r="C2712">
        <v>214000</v>
      </c>
    </row>
    <row r="2713" spans="1:3" x14ac:dyDescent="0.2">
      <c r="A2713" s="64">
        <v>43456</v>
      </c>
      <c r="B2713">
        <v>1723000</v>
      </c>
      <c r="C2713">
        <v>220000</v>
      </c>
    </row>
    <row r="2714" spans="1:3" x14ac:dyDescent="0.2">
      <c r="A2714" s="64">
        <v>43463</v>
      </c>
      <c r="B2714">
        <v>1697000</v>
      </c>
      <c r="C2714">
        <v>226000</v>
      </c>
    </row>
    <row r="2715" spans="1:3" x14ac:dyDescent="0.2">
      <c r="A2715" s="64">
        <v>43470</v>
      </c>
      <c r="B2715">
        <v>1713000</v>
      </c>
      <c r="C2715">
        <v>218000</v>
      </c>
    </row>
    <row r="2716" spans="1:3" x14ac:dyDescent="0.2">
      <c r="A2716" s="64">
        <v>43477</v>
      </c>
      <c r="B2716">
        <v>1709000</v>
      </c>
      <c r="C2716">
        <v>215000</v>
      </c>
    </row>
    <row r="2717" spans="1:3" x14ac:dyDescent="0.2">
      <c r="A2717" s="64">
        <v>43484</v>
      </c>
      <c r="B2717">
        <v>1740000</v>
      </c>
      <c r="C2717">
        <v>211000</v>
      </c>
    </row>
    <row r="2718" spans="1:3" x14ac:dyDescent="0.2">
      <c r="A2718" s="64">
        <v>43491</v>
      </c>
      <c r="B2718">
        <v>1717000</v>
      </c>
      <c r="C2718">
        <v>236000</v>
      </c>
    </row>
    <row r="2719" spans="1:3" x14ac:dyDescent="0.2">
      <c r="A2719" s="64">
        <v>43498</v>
      </c>
      <c r="B2719">
        <v>1743000</v>
      </c>
      <c r="C2719">
        <v>233000</v>
      </c>
    </row>
    <row r="2720" spans="1:3" x14ac:dyDescent="0.2">
      <c r="A2720" s="64">
        <v>43505</v>
      </c>
      <c r="B2720">
        <v>1723000</v>
      </c>
      <c r="C2720">
        <v>232000</v>
      </c>
    </row>
    <row r="2721" spans="1:3" x14ac:dyDescent="0.2">
      <c r="A2721" s="64">
        <v>43512</v>
      </c>
      <c r="B2721">
        <v>1758000</v>
      </c>
      <c r="C2721">
        <v>218000</v>
      </c>
    </row>
    <row r="2722" spans="1:3" x14ac:dyDescent="0.2">
      <c r="A2722" s="64">
        <v>43519</v>
      </c>
      <c r="B2722">
        <v>1747000</v>
      </c>
      <c r="C2722">
        <v>223000</v>
      </c>
    </row>
    <row r="2723" spans="1:3" x14ac:dyDescent="0.2">
      <c r="A2723" s="64">
        <v>43526</v>
      </c>
      <c r="B2723">
        <v>1748000</v>
      </c>
      <c r="C2723">
        <v>220000</v>
      </c>
    </row>
    <row r="2724" spans="1:3" x14ac:dyDescent="0.2">
      <c r="A2724" s="64">
        <v>43533</v>
      </c>
      <c r="B2724">
        <v>1745000</v>
      </c>
      <c r="C2724">
        <v>225000</v>
      </c>
    </row>
    <row r="2725" spans="1:3" x14ac:dyDescent="0.2">
      <c r="A2725" s="64">
        <v>43540</v>
      </c>
      <c r="B2725">
        <v>1719000</v>
      </c>
      <c r="C2725">
        <v>218000</v>
      </c>
    </row>
    <row r="2726" spans="1:3" x14ac:dyDescent="0.2">
      <c r="A2726" s="64">
        <v>43547</v>
      </c>
      <c r="B2726">
        <v>1710000</v>
      </c>
      <c r="C2726">
        <v>215000</v>
      </c>
    </row>
    <row r="2727" spans="1:3" x14ac:dyDescent="0.2">
      <c r="A2727" s="64">
        <v>43554</v>
      </c>
      <c r="B2727">
        <v>1692000</v>
      </c>
      <c r="C2727">
        <v>211000</v>
      </c>
    </row>
    <row r="2728" spans="1:3" x14ac:dyDescent="0.2">
      <c r="A2728" s="64">
        <v>43561</v>
      </c>
      <c r="B2728">
        <v>1659000</v>
      </c>
      <c r="C2728">
        <v>203000</v>
      </c>
    </row>
    <row r="2729" spans="1:3" x14ac:dyDescent="0.2">
      <c r="A2729" s="64">
        <v>43568</v>
      </c>
      <c r="B2729">
        <v>1649000</v>
      </c>
      <c r="C2729">
        <v>203000</v>
      </c>
    </row>
    <row r="2730" spans="1:3" x14ac:dyDescent="0.2">
      <c r="A2730" s="64">
        <v>43575</v>
      </c>
      <c r="B2730">
        <v>1671000</v>
      </c>
      <c r="C2730">
        <v>224000</v>
      </c>
    </row>
    <row r="2731" spans="1:3" x14ac:dyDescent="0.2">
      <c r="A2731" s="64">
        <v>43582</v>
      </c>
      <c r="B2731">
        <v>1675000</v>
      </c>
      <c r="C2731">
        <v>230000</v>
      </c>
    </row>
    <row r="2732" spans="1:3" x14ac:dyDescent="0.2">
      <c r="A2732" s="64">
        <v>43589</v>
      </c>
      <c r="B2732">
        <v>1667000</v>
      </c>
      <c r="C2732">
        <v>225000</v>
      </c>
    </row>
    <row r="2733" spans="1:3" x14ac:dyDescent="0.2">
      <c r="A2733" s="64">
        <v>43596</v>
      </c>
      <c r="B2733">
        <v>1676000</v>
      </c>
      <c r="C2733">
        <v>216000</v>
      </c>
    </row>
    <row r="2734" spans="1:3" x14ac:dyDescent="0.2">
      <c r="A2734" s="64">
        <v>43603</v>
      </c>
      <c r="B2734">
        <v>1666000</v>
      </c>
      <c r="C2734">
        <v>213000</v>
      </c>
    </row>
    <row r="2735" spans="1:3" x14ac:dyDescent="0.2">
      <c r="A2735" s="64">
        <v>43610</v>
      </c>
      <c r="B2735">
        <v>1687000</v>
      </c>
      <c r="C2735">
        <v>218000</v>
      </c>
    </row>
    <row r="2736" spans="1:3" x14ac:dyDescent="0.2">
      <c r="A2736" s="64">
        <v>43617</v>
      </c>
      <c r="B2736">
        <v>1692000</v>
      </c>
      <c r="C2736">
        <v>220000</v>
      </c>
    </row>
    <row r="2737" spans="1:3" x14ac:dyDescent="0.2">
      <c r="A2737" s="64">
        <v>43624</v>
      </c>
      <c r="B2737">
        <v>1668000</v>
      </c>
      <c r="C2737">
        <v>220000</v>
      </c>
    </row>
    <row r="2738" spans="1:3" x14ac:dyDescent="0.2">
      <c r="A2738" s="64">
        <v>43631</v>
      </c>
      <c r="B2738">
        <v>1689000</v>
      </c>
      <c r="C2738">
        <v>219000</v>
      </c>
    </row>
    <row r="2739" spans="1:3" x14ac:dyDescent="0.2">
      <c r="A2739" s="64">
        <v>43638</v>
      </c>
      <c r="B2739">
        <v>1689000</v>
      </c>
      <c r="C2739">
        <v>224000</v>
      </c>
    </row>
    <row r="2740" spans="1:3" x14ac:dyDescent="0.2">
      <c r="A2740" s="64">
        <v>43645</v>
      </c>
      <c r="B2740">
        <v>1712000</v>
      </c>
      <c r="C2740">
        <v>223000</v>
      </c>
    </row>
    <row r="2741" spans="1:3" x14ac:dyDescent="0.2">
      <c r="A2741" s="64">
        <v>43652</v>
      </c>
      <c r="B2741">
        <v>1688000</v>
      </c>
      <c r="C2741">
        <v>205000</v>
      </c>
    </row>
    <row r="2742" spans="1:3" x14ac:dyDescent="0.2">
      <c r="A2742" s="64">
        <v>43659</v>
      </c>
      <c r="B2742">
        <v>1679000</v>
      </c>
      <c r="C2742">
        <v>217000</v>
      </c>
    </row>
    <row r="2743" spans="1:3" x14ac:dyDescent="0.2">
      <c r="A2743" s="64">
        <v>43666</v>
      </c>
      <c r="B2743">
        <v>1692000</v>
      </c>
      <c r="C2743">
        <v>210000</v>
      </c>
    </row>
    <row r="2744" spans="1:3" x14ac:dyDescent="0.2">
      <c r="A2744" s="64">
        <v>43673</v>
      </c>
      <c r="B2744">
        <v>1689000</v>
      </c>
      <c r="C2744">
        <v>216000</v>
      </c>
    </row>
    <row r="2745" spans="1:3" x14ac:dyDescent="0.2">
      <c r="A2745" s="64">
        <v>43680</v>
      </c>
      <c r="B2745">
        <v>1714000</v>
      </c>
      <c r="C2745">
        <v>214000</v>
      </c>
    </row>
    <row r="2746" spans="1:3" x14ac:dyDescent="0.2">
      <c r="A2746" s="64">
        <v>43687</v>
      </c>
      <c r="B2746">
        <v>1682000</v>
      </c>
      <c r="C2746">
        <v>218000</v>
      </c>
    </row>
    <row r="2747" spans="1:3" x14ac:dyDescent="0.2">
      <c r="A2747" s="64">
        <v>43694</v>
      </c>
      <c r="B2747">
        <v>1697000</v>
      </c>
      <c r="C2747">
        <v>214000</v>
      </c>
    </row>
    <row r="2748" spans="1:3" x14ac:dyDescent="0.2">
      <c r="A2748" s="64">
        <v>43701</v>
      </c>
      <c r="B2748">
        <v>1678000</v>
      </c>
      <c r="C2748">
        <v>215000</v>
      </c>
    </row>
    <row r="2749" spans="1:3" x14ac:dyDescent="0.2">
      <c r="A2749" s="64">
        <v>43708</v>
      </c>
      <c r="B2749">
        <v>1679000</v>
      </c>
      <c r="C2749">
        <v>218000</v>
      </c>
    </row>
    <row r="2750" spans="1:3" x14ac:dyDescent="0.2">
      <c r="A2750" s="64">
        <v>43715</v>
      </c>
      <c r="B2750">
        <v>1673000</v>
      </c>
      <c r="C2750">
        <v>208000</v>
      </c>
    </row>
    <row r="2751" spans="1:3" x14ac:dyDescent="0.2">
      <c r="A2751" s="64">
        <v>43722</v>
      </c>
      <c r="B2751">
        <v>1668000</v>
      </c>
      <c r="C2751">
        <v>211000</v>
      </c>
    </row>
    <row r="2752" spans="1:3" x14ac:dyDescent="0.2">
      <c r="A2752" s="64">
        <v>43729</v>
      </c>
      <c r="B2752">
        <v>1665000</v>
      </c>
      <c r="C2752">
        <v>215000</v>
      </c>
    </row>
    <row r="2753" spans="1:3" x14ac:dyDescent="0.2">
      <c r="A2753" s="64">
        <v>43736</v>
      </c>
      <c r="B2753">
        <v>1696000</v>
      </c>
      <c r="C2753">
        <v>217000</v>
      </c>
    </row>
    <row r="2754" spans="1:3" x14ac:dyDescent="0.2">
      <c r="A2754" s="64">
        <v>43743</v>
      </c>
      <c r="B2754">
        <v>1687000</v>
      </c>
      <c r="C2754">
        <v>212000</v>
      </c>
    </row>
    <row r="2755" spans="1:3" x14ac:dyDescent="0.2">
      <c r="A2755" s="64">
        <v>43750</v>
      </c>
      <c r="B2755">
        <v>1693000</v>
      </c>
      <c r="C2755">
        <v>217000</v>
      </c>
    </row>
    <row r="2756" spans="1:3" x14ac:dyDescent="0.2">
      <c r="A2756" s="64">
        <v>43757</v>
      </c>
      <c r="B2756">
        <v>1694000</v>
      </c>
      <c r="C2756">
        <v>212000</v>
      </c>
    </row>
    <row r="2757" spans="1:3" x14ac:dyDescent="0.2">
      <c r="A2757" s="64">
        <v>43764</v>
      </c>
      <c r="B2757">
        <v>1695000</v>
      </c>
      <c r="C2757">
        <v>216000</v>
      </c>
    </row>
    <row r="2758" spans="1:3" x14ac:dyDescent="0.2">
      <c r="A2758" s="64">
        <v>43771</v>
      </c>
      <c r="B2758">
        <v>1692000</v>
      </c>
      <c r="C2758">
        <v>211000</v>
      </c>
    </row>
    <row r="2759" spans="1:3" x14ac:dyDescent="0.2">
      <c r="A2759" s="64">
        <v>43778</v>
      </c>
      <c r="B2759">
        <v>1695000</v>
      </c>
      <c r="C2759">
        <v>222000</v>
      </c>
    </row>
    <row r="2760" spans="1:3" x14ac:dyDescent="0.2">
      <c r="A2760" s="64">
        <v>43785</v>
      </c>
      <c r="B2760">
        <v>1678000</v>
      </c>
      <c r="C2760">
        <v>221000</v>
      </c>
    </row>
    <row r="2761" spans="1:3" x14ac:dyDescent="0.2">
      <c r="A2761" s="64">
        <v>43792</v>
      </c>
      <c r="B2761">
        <v>1699000</v>
      </c>
      <c r="C2761">
        <v>215000</v>
      </c>
    </row>
    <row r="2762" spans="1:3" x14ac:dyDescent="0.2">
      <c r="A2762" s="64">
        <v>43799</v>
      </c>
      <c r="B2762">
        <v>1705000</v>
      </c>
      <c r="C2762">
        <v>219000</v>
      </c>
    </row>
    <row r="2763" spans="1:3" x14ac:dyDescent="0.2">
      <c r="A2763" s="64">
        <v>43806</v>
      </c>
      <c r="B2763">
        <v>1726000</v>
      </c>
      <c r="C2763">
        <v>238000</v>
      </c>
    </row>
    <row r="2764" spans="1:3" x14ac:dyDescent="0.2">
      <c r="A2764" s="64">
        <v>43813</v>
      </c>
      <c r="B2764">
        <v>1718000</v>
      </c>
      <c r="C2764">
        <v>227000</v>
      </c>
    </row>
    <row r="2765" spans="1:3" x14ac:dyDescent="0.2">
      <c r="A2765" s="64">
        <v>43820</v>
      </c>
      <c r="B2765">
        <v>1725000</v>
      </c>
      <c r="C2765">
        <v>218000</v>
      </c>
    </row>
    <row r="2766" spans="1:3" x14ac:dyDescent="0.2">
      <c r="A2766" s="64">
        <v>43827</v>
      </c>
      <c r="B2766">
        <v>1779000</v>
      </c>
      <c r="C2766">
        <v>218000</v>
      </c>
    </row>
    <row r="2767" spans="1:3" x14ac:dyDescent="0.2">
      <c r="A2767" s="64">
        <v>43834</v>
      </c>
      <c r="B2767">
        <v>1766000</v>
      </c>
      <c r="C2767">
        <v>210000</v>
      </c>
    </row>
    <row r="2768" spans="1:3" x14ac:dyDescent="0.2">
      <c r="A2768" s="64">
        <v>43841</v>
      </c>
      <c r="B2768">
        <v>1739000</v>
      </c>
      <c r="C2768">
        <v>206000</v>
      </c>
    </row>
    <row r="2769" spans="1:3" x14ac:dyDescent="0.2">
      <c r="A2769" s="64">
        <v>43848</v>
      </c>
      <c r="B2769">
        <v>1709000</v>
      </c>
      <c r="C2769">
        <v>219000</v>
      </c>
    </row>
    <row r="2770" spans="1:3" x14ac:dyDescent="0.2">
      <c r="A2770" s="64">
        <v>43855</v>
      </c>
      <c r="B2770">
        <v>1752000</v>
      </c>
      <c r="C2770">
        <v>210000</v>
      </c>
    </row>
    <row r="2771" spans="1:3" x14ac:dyDescent="0.2">
      <c r="A2771" s="64">
        <v>43862</v>
      </c>
      <c r="B2771">
        <v>1698000</v>
      </c>
      <c r="C2771">
        <v>205000</v>
      </c>
    </row>
    <row r="2772" spans="1:3" x14ac:dyDescent="0.2">
      <c r="A2772" s="64">
        <v>43869</v>
      </c>
      <c r="B2772">
        <v>1734000</v>
      </c>
      <c r="C2772">
        <v>207000</v>
      </c>
    </row>
    <row r="2773" spans="1:3" x14ac:dyDescent="0.2">
      <c r="A2773" s="64">
        <v>43876</v>
      </c>
      <c r="B2773">
        <v>1705000</v>
      </c>
      <c r="C2773">
        <v>215000</v>
      </c>
    </row>
    <row r="2774" spans="1:3" x14ac:dyDescent="0.2">
      <c r="A2774" s="64">
        <v>43883</v>
      </c>
      <c r="B2774">
        <v>1730000</v>
      </c>
      <c r="C2774">
        <v>218000</v>
      </c>
    </row>
    <row r="2775" spans="1:3" x14ac:dyDescent="0.2">
      <c r="A2775" s="64">
        <v>43890</v>
      </c>
      <c r="B2775">
        <v>1708000</v>
      </c>
      <c r="C2775">
        <v>216000</v>
      </c>
    </row>
    <row r="2776" spans="1:3" x14ac:dyDescent="0.2">
      <c r="A2776" s="64">
        <v>43897</v>
      </c>
      <c r="B2776">
        <v>1715000</v>
      </c>
      <c r="C2776">
        <v>212000</v>
      </c>
    </row>
    <row r="2777" spans="1:3" x14ac:dyDescent="0.2">
      <c r="A2777" s="64">
        <v>43904</v>
      </c>
      <c r="B2777">
        <v>1770000</v>
      </c>
      <c r="C2777">
        <v>256000</v>
      </c>
    </row>
    <row r="2778" spans="1:3" x14ac:dyDescent="0.2">
      <c r="A2778" s="64">
        <v>43911</v>
      </c>
      <c r="B2778">
        <v>3094000</v>
      </c>
      <c r="C2778">
        <v>2923000</v>
      </c>
    </row>
    <row r="2779" spans="1:3" x14ac:dyDescent="0.2">
      <c r="A2779" s="64">
        <v>43918</v>
      </c>
      <c r="B2779">
        <v>7868000</v>
      </c>
      <c r="C2779">
        <v>5985000</v>
      </c>
    </row>
    <row r="2780" spans="1:3" x14ac:dyDescent="0.2">
      <c r="A2780" s="64">
        <v>43925</v>
      </c>
      <c r="B2780">
        <v>12261000</v>
      </c>
      <c r="C2780">
        <v>6149000</v>
      </c>
    </row>
    <row r="2781" spans="1:3" x14ac:dyDescent="0.2">
      <c r="A2781" s="64">
        <v>43932</v>
      </c>
      <c r="B2781">
        <v>16070000</v>
      </c>
      <c r="C2781">
        <v>4869000</v>
      </c>
    </row>
    <row r="2782" spans="1:3" x14ac:dyDescent="0.2">
      <c r="A2782" s="64">
        <v>43939</v>
      </c>
      <c r="B2782">
        <v>17656000</v>
      </c>
      <c r="C2782">
        <v>4202000</v>
      </c>
    </row>
    <row r="2783" spans="1:3" x14ac:dyDescent="0.2">
      <c r="A2783" s="64">
        <v>43946</v>
      </c>
      <c r="B2783">
        <v>21664000</v>
      </c>
      <c r="C2783">
        <v>3451000</v>
      </c>
    </row>
    <row r="2784" spans="1:3" x14ac:dyDescent="0.2">
      <c r="A2784" s="64">
        <v>43953</v>
      </c>
      <c r="B2784">
        <v>20823000</v>
      </c>
      <c r="C2784">
        <v>2784000</v>
      </c>
    </row>
    <row r="2785" spans="1:3" x14ac:dyDescent="0.2">
      <c r="A2785" s="64">
        <v>43960</v>
      </c>
      <c r="B2785">
        <v>23128000</v>
      </c>
      <c r="C2785">
        <v>2315000</v>
      </c>
    </row>
    <row r="2786" spans="1:3" x14ac:dyDescent="0.2">
      <c r="A2786" s="64">
        <v>43967</v>
      </c>
      <c r="B2786">
        <v>19181000</v>
      </c>
      <c r="C2786">
        <v>2149000</v>
      </c>
    </row>
    <row r="2787" spans="1:3" x14ac:dyDescent="0.2">
      <c r="A2787" s="64">
        <v>43974</v>
      </c>
      <c r="B2787">
        <v>19396000</v>
      </c>
      <c r="C2787">
        <v>1887000</v>
      </c>
    </row>
    <row r="2788" spans="1:3" x14ac:dyDescent="0.2">
      <c r="A2788" s="64">
        <v>43981</v>
      </c>
      <c r="B2788">
        <v>19287000</v>
      </c>
      <c r="C2788">
        <v>1605000</v>
      </c>
    </row>
    <row r="2789" spans="1:3" x14ac:dyDescent="0.2">
      <c r="A2789" s="64">
        <v>43988</v>
      </c>
      <c r="B2789">
        <v>18927000</v>
      </c>
      <c r="C2789">
        <v>1537000</v>
      </c>
    </row>
    <row r="2790" spans="1:3" x14ac:dyDescent="0.2">
      <c r="A2790" s="64">
        <v>43995</v>
      </c>
      <c r="B2790">
        <v>17993000</v>
      </c>
      <c r="C2790">
        <v>1472000</v>
      </c>
    </row>
    <row r="2791" spans="1:3" x14ac:dyDescent="0.2">
      <c r="A2791" s="64">
        <v>44002</v>
      </c>
      <c r="B2791">
        <v>17713000</v>
      </c>
      <c r="C2791">
        <v>1460000</v>
      </c>
    </row>
    <row r="2792" spans="1:3" x14ac:dyDescent="0.2">
      <c r="A2792" s="64">
        <v>44009</v>
      </c>
      <c r="B2792">
        <v>16780000</v>
      </c>
      <c r="C2792">
        <v>1436000</v>
      </c>
    </row>
    <row r="2793" spans="1:3" x14ac:dyDescent="0.2">
      <c r="A2793" s="64">
        <v>44016</v>
      </c>
      <c r="B2793">
        <v>17413000</v>
      </c>
      <c r="C2793">
        <v>1398000</v>
      </c>
    </row>
    <row r="2794" spans="1:3" x14ac:dyDescent="0.2">
      <c r="A2794" s="64">
        <v>44023</v>
      </c>
      <c r="B2794">
        <v>16385000</v>
      </c>
      <c r="C2794">
        <v>1479000</v>
      </c>
    </row>
    <row r="2795" spans="1:3" x14ac:dyDescent="0.2">
      <c r="A2795" s="64">
        <v>44030</v>
      </c>
      <c r="B2795">
        <v>16913000</v>
      </c>
      <c r="C2795">
        <v>1398000</v>
      </c>
    </row>
    <row r="2796" spans="1:3" x14ac:dyDescent="0.2">
      <c r="A2796" s="64">
        <v>44037</v>
      </c>
      <c r="B2796">
        <v>15964000</v>
      </c>
      <c r="C2796">
        <v>1262000</v>
      </c>
    </row>
    <row r="2797" spans="1:3" x14ac:dyDescent="0.2">
      <c r="A2797" s="64">
        <v>44044</v>
      </c>
      <c r="B2797">
        <v>15303000</v>
      </c>
      <c r="C2797">
        <v>1043000</v>
      </c>
    </row>
    <row r="2798" spans="1:3" x14ac:dyDescent="0.2">
      <c r="A2798" s="64">
        <v>44051</v>
      </c>
      <c r="B2798">
        <v>14217000</v>
      </c>
      <c r="C2798">
        <v>883000</v>
      </c>
    </row>
    <row r="2799" spans="1:3" x14ac:dyDescent="0.2">
      <c r="A2799" s="64">
        <v>44058</v>
      </c>
      <c r="B2799">
        <v>13948000</v>
      </c>
      <c r="C2799">
        <v>920000</v>
      </c>
    </row>
    <row r="2800" spans="1:3" x14ac:dyDescent="0.2">
      <c r="A2800" s="64">
        <v>44065</v>
      </c>
      <c r="B2800">
        <v>13246000</v>
      </c>
      <c r="C2800">
        <v>872000</v>
      </c>
    </row>
    <row r="2801" spans="1:3" x14ac:dyDescent="0.2">
      <c r="A2801" s="64">
        <v>44072</v>
      </c>
      <c r="B2801">
        <v>13528000</v>
      </c>
      <c r="C2801">
        <v>875000</v>
      </c>
    </row>
    <row r="2802" spans="1:3" x14ac:dyDescent="0.2">
      <c r="A2802" s="64">
        <v>44079</v>
      </c>
      <c r="B2802">
        <v>12755000</v>
      </c>
      <c r="C2802">
        <v>881000</v>
      </c>
    </row>
    <row r="2803" spans="1:3" x14ac:dyDescent="0.2">
      <c r="A2803" s="64">
        <v>44086</v>
      </c>
      <c r="B2803">
        <v>12706000</v>
      </c>
      <c r="C2803">
        <v>860000</v>
      </c>
    </row>
    <row r="2804" spans="1:3" x14ac:dyDescent="0.2">
      <c r="A2804" s="64">
        <v>44093</v>
      </c>
      <c r="B2804">
        <v>11381000</v>
      </c>
      <c r="C2804">
        <v>860000</v>
      </c>
    </row>
    <row r="2805" spans="1:3" x14ac:dyDescent="0.2">
      <c r="A2805" s="64">
        <v>44100</v>
      </c>
      <c r="B2805">
        <v>10477000</v>
      </c>
      <c r="C2805">
        <v>803000</v>
      </c>
    </row>
    <row r="2806" spans="1:3" x14ac:dyDescent="0.2">
      <c r="A2806" s="64">
        <v>44107</v>
      </c>
      <c r="B2806">
        <v>9259000</v>
      </c>
      <c r="C2806">
        <v>782000</v>
      </c>
    </row>
    <row r="2807" spans="1:3" x14ac:dyDescent="0.2">
      <c r="A2807" s="64">
        <v>44114</v>
      </c>
      <c r="B2807">
        <v>8384000</v>
      </c>
      <c r="C2807">
        <v>833000</v>
      </c>
    </row>
    <row r="2808" spans="1:3" x14ac:dyDescent="0.2">
      <c r="A2808" s="64">
        <v>44121</v>
      </c>
      <c r="B2808">
        <v>7699000</v>
      </c>
      <c r="C2808">
        <v>798000</v>
      </c>
    </row>
    <row r="2809" spans="1:3" x14ac:dyDescent="0.2">
      <c r="A2809" s="64">
        <v>44128</v>
      </c>
      <c r="B2809">
        <v>7076000</v>
      </c>
      <c r="C2809">
        <v>768000</v>
      </c>
    </row>
    <row r="2810" spans="1:3" x14ac:dyDescent="0.2">
      <c r="A2810" s="64">
        <v>44135</v>
      </c>
      <c r="B2810">
        <v>6724000</v>
      </c>
      <c r="C2810">
        <v>765000</v>
      </c>
    </row>
    <row r="2811" spans="1:3" x14ac:dyDescent="0.2">
      <c r="A2811" s="64">
        <v>44142</v>
      </c>
      <c r="B2811">
        <v>6389000</v>
      </c>
      <c r="C2811">
        <v>728000</v>
      </c>
    </row>
    <row r="2812" spans="1:3" x14ac:dyDescent="0.2">
      <c r="A2812" s="64">
        <v>44149</v>
      </c>
      <c r="B2812">
        <v>6138000</v>
      </c>
      <c r="C2812">
        <v>732000</v>
      </c>
    </row>
    <row r="2813" spans="1:3" x14ac:dyDescent="0.2">
      <c r="A2813" s="64">
        <v>44156</v>
      </c>
      <c r="B2813">
        <v>5606000</v>
      </c>
      <c r="C2813">
        <v>762000</v>
      </c>
    </row>
    <row r="2814" spans="1:3" x14ac:dyDescent="0.2">
      <c r="A2814" s="64">
        <v>44163</v>
      </c>
      <c r="B2814">
        <v>5829000</v>
      </c>
      <c r="C2814">
        <v>719000</v>
      </c>
    </row>
    <row r="2815" spans="1:3" x14ac:dyDescent="0.2">
      <c r="A2815" s="64">
        <v>44170</v>
      </c>
      <c r="B2815">
        <v>5614000</v>
      </c>
      <c r="C2815">
        <v>853000</v>
      </c>
    </row>
    <row r="2816" spans="1:3" x14ac:dyDescent="0.2">
      <c r="A2816" s="64">
        <v>44177</v>
      </c>
      <c r="B2816">
        <v>5433000</v>
      </c>
      <c r="C2816">
        <v>873000</v>
      </c>
    </row>
    <row r="2817" spans="1:3" x14ac:dyDescent="0.2">
      <c r="A2817" s="64">
        <v>44184</v>
      </c>
      <c r="B2817">
        <v>5311000</v>
      </c>
      <c r="C2817">
        <v>803000</v>
      </c>
    </row>
    <row r="2818" spans="1:3" x14ac:dyDescent="0.2">
      <c r="A2818" s="64">
        <v>44191</v>
      </c>
      <c r="B2818">
        <v>5180000</v>
      </c>
      <c r="C2818">
        <v>763000</v>
      </c>
    </row>
    <row r="2819" spans="1:3" x14ac:dyDescent="0.2">
      <c r="A2819" s="64">
        <v>44198</v>
      </c>
      <c r="B2819">
        <v>5240000</v>
      </c>
      <c r="C2819">
        <v>781000</v>
      </c>
    </row>
    <row r="2820" spans="1:3" x14ac:dyDescent="0.2">
      <c r="A2820" s="64">
        <v>44205</v>
      </c>
      <c r="B2820">
        <v>5061000</v>
      </c>
      <c r="C2820">
        <v>904000</v>
      </c>
    </row>
    <row r="2821" spans="1:3" x14ac:dyDescent="0.2">
      <c r="A2821" s="64">
        <v>44212</v>
      </c>
      <c r="B2821">
        <v>4878000</v>
      </c>
      <c r="C2821">
        <v>886000</v>
      </c>
    </row>
    <row r="2822" spans="1:3" x14ac:dyDescent="0.2">
      <c r="A2822" s="64">
        <v>44219</v>
      </c>
      <c r="B2822">
        <v>4791000</v>
      </c>
      <c r="C2822">
        <v>836000</v>
      </c>
    </row>
    <row r="2823" spans="1:3" x14ac:dyDescent="0.2">
      <c r="A2823" s="64">
        <v>44226</v>
      </c>
      <c r="B2823">
        <v>4655000</v>
      </c>
      <c r="C2823">
        <v>837000</v>
      </c>
    </row>
    <row r="2824" spans="1:3" x14ac:dyDescent="0.2">
      <c r="A2824" s="64">
        <v>44233</v>
      </c>
      <c r="B2824">
        <v>4592000</v>
      </c>
      <c r="C2824">
        <v>863000</v>
      </c>
    </row>
    <row r="2825" spans="1:3" x14ac:dyDescent="0.2">
      <c r="A2825" s="64">
        <v>44240</v>
      </c>
      <c r="B2825">
        <v>4469000</v>
      </c>
      <c r="C2825">
        <v>847000</v>
      </c>
    </row>
    <row r="2826" spans="1:3" x14ac:dyDescent="0.2">
      <c r="A2826" s="64">
        <v>44247</v>
      </c>
      <c r="B2826">
        <v>4383000</v>
      </c>
      <c r="C2826">
        <v>747000</v>
      </c>
    </row>
    <row r="2827" spans="1:3" x14ac:dyDescent="0.2">
      <c r="A2827" s="64">
        <v>44254</v>
      </c>
      <c r="B2827">
        <v>4157000</v>
      </c>
      <c r="C2827">
        <v>761000</v>
      </c>
    </row>
    <row r="2828" spans="1:3" x14ac:dyDescent="0.2">
      <c r="A2828" s="64">
        <v>44261</v>
      </c>
      <c r="B2828">
        <v>4123000</v>
      </c>
      <c r="C2828">
        <v>734000</v>
      </c>
    </row>
    <row r="2829" spans="1:3" x14ac:dyDescent="0.2">
      <c r="A2829" s="64">
        <v>44268</v>
      </c>
      <c r="B2829">
        <v>3841000</v>
      </c>
      <c r="C2829">
        <v>765000</v>
      </c>
    </row>
    <row r="2830" spans="1:3" x14ac:dyDescent="0.2">
      <c r="A2830" s="64">
        <v>44275</v>
      </c>
      <c r="B2830">
        <v>3753000</v>
      </c>
      <c r="C2830">
        <v>658000</v>
      </c>
    </row>
    <row r="2831" spans="1:3" x14ac:dyDescent="0.2">
      <c r="A2831" s="64">
        <v>44282</v>
      </c>
      <c r="B2831">
        <v>3717000</v>
      </c>
      <c r="C2831">
        <v>729000</v>
      </c>
    </row>
    <row r="2832" spans="1:3" x14ac:dyDescent="0.2">
      <c r="A2832" s="64">
        <v>44289</v>
      </c>
      <c r="B2832">
        <v>3708000</v>
      </c>
      <c r="C2832">
        <v>742000</v>
      </c>
    </row>
    <row r="2833" spans="1:3" x14ac:dyDescent="0.2">
      <c r="A2833" s="64">
        <v>44296</v>
      </c>
      <c r="B2833">
        <v>3652000</v>
      </c>
      <c r="C2833">
        <v>586000</v>
      </c>
    </row>
    <row r="2834" spans="1:3" x14ac:dyDescent="0.2">
      <c r="A2834" s="64">
        <v>44303</v>
      </c>
      <c r="B2834">
        <v>3653000</v>
      </c>
      <c r="C2834">
        <v>566000</v>
      </c>
    </row>
    <row r="2835" spans="1:3" x14ac:dyDescent="0.2">
      <c r="A2835" s="64">
        <v>44310</v>
      </c>
      <c r="B2835">
        <v>3680000</v>
      </c>
      <c r="C2835">
        <v>590000</v>
      </c>
    </row>
    <row r="2836" spans="1:3" x14ac:dyDescent="0.2">
      <c r="A2836" s="64">
        <v>44317</v>
      </c>
      <c r="B2836">
        <v>3640000</v>
      </c>
      <c r="C2836">
        <v>507000</v>
      </c>
    </row>
    <row r="2837" spans="1:3" x14ac:dyDescent="0.2">
      <c r="A2837" s="64">
        <v>44324</v>
      </c>
      <c r="B2837">
        <v>3738000</v>
      </c>
      <c r="C2837">
        <v>478000</v>
      </c>
    </row>
    <row r="2838" spans="1:3" x14ac:dyDescent="0.2">
      <c r="A2838" s="64">
        <v>44331</v>
      </c>
      <c r="B2838">
        <v>3611000</v>
      </c>
      <c r="C2838">
        <v>444000</v>
      </c>
    </row>
    <row r="2839" spans="1:3" x14ac:dyDescent="0.2">
      <c r="A2839" s="64">
        <v>44338</v>
      </c>
      <c r="B2839">
        <v>3769000</v>
      </c>
      <c r="C2839">
        <v>405000</v>
      </c>
    </row>
    <row r="2840" spans="1:3" x14ac:dyDescent="0.2">
      <c r="A2840" s="64">
        <v>44345</v>
      </c>
      <c r="B2840">
        <v>3517000</v>
      </c>
      <c r="C2840">
        <v>388000</v>
      </c>
    </row>
    <row r="2841" spans="1:3" x14ac:dyDescent="0.2">
      <c r="A2841" s="64">
        <v>44352</v>
      </c>
      <c r="B2841">
        <v>3528000</v>
      </c>
      <c r="C2841">
        <v>374000</v>
      </c>
    </row>
    <row r="2842" spans="1:3" x14ac:dyDescent="0.2">
      <c r="A2842" s="64">
        <v>44359</v>
      </c>
      <c r="B2842">
        <v>3412000</v>
      </c>
      <c r="C2842">
        <v>418000</v>
      </c>
    </row>
    <row r="2843" spans="1:3" x14ac:dyDescent="0.2">
      <c r="A2843" s="64">
        <v>44366</v>
      </c>
      <c r="B2843">
        <v>3484000</v>
      </c>
      <c r="C2843">
        <v>416000</v>
      </c>
    </row>
    <row r="2844" spans="1:3" x14ac:dyDescent="0.2">
      <c r="A2844" s="64">
        <v>44373</v>
      </c>
      <c r="B2844">
        <v>3367000</v>
      </c>
      <c r="C2844">
        <v>368000</v>
      </c>
    </row>
    <row r="2845" spans="1:3" x14ac:dyDescent="0.2">
      <c r="A2845" s="64">
        <v>44380</v>
      </c>
      <c r="B2845">
        <v>3265000</v>
      </c>
      <c r="C2845">
        <v>386000</v>
      </c>
    </row>
    <row r="2846" spans="1:3" x14ac:dyDescent="0.2">
      <c r="A2846" s="64">
        <v>44387</v>
      </c>
      <c r="B2846">
        <v>3262000</v>
      </c>
      <c r="C2846">
        <v>368000</v>
      </c>
    </row>
    <row r="2847" spans="1:3" x14ac:dyDescent="0.2">
      <c r="A2847" s="64">
        <v>44394</v>
      </c>
      <c r="B2847">
        <v>3296000</v>
      </c>
      <c r="C2847">
        <v>424000</v>
      </c>
    </row>
    <row r="2848" spans="1:3" x14ac:dyDescent="0.2">
      <c r="A2848" s="64">
        <v>44401</v>
      </c>
      <c r="B2848">
        <v>2980000</v>
      </c>
      <c r="C2848">
        <v>399000</v>
      </c>
    </row>
    <row r="2849" spans="1:3" x14ac:dyDescent="0.2">
      <c r="A2849" s="64">
        <v>44408</v>
      </c>
      <c r="B2849">
        <v>2899000</v>
      </c>
      <c r="C2849">
        <v>387000</v>
      </c>
    </row>
    <row r="2850" spans="1:3" x14ac:dyDescent="0.2">
      <c r="A2850" s="64">
        <v>44415</v>
      </c>
      <c r="B2850">
        <v>2865000</v>
      </c>
      <c r="C2850">
        <v>377000</v>
      </c>
    </row>
    <row r="2851" spans="1:3" x14ac:dyDescent="0.2">
      <c r="A2851" s="64">
        <v>44422</v>
      </c>
      <c r="B2851">
        <v>2908000</v>
      </c>
      <c r="C2851">
        <v>349000</v>
      </c>
    </row>
    <row r="2852" spans="1:3" x14ac:dyDescent="0.2">
      <c r="A2852" s="64">
        <v>44429</v>
      </c>
      <c r="B2852">
        <v>2805000</v>
      </c>
      <c r="C2852">
        <v>354000</v>
      </c>
    </row>
    <row r="2853" spans="1:3" x14ac:dyDescent="0.2">
      <c r="A2853" s="64">
        <v>44436</v>
      </c>
      <c r="B2853">
        <v>2852000</v>
      </c>
      <c r="C2853">
        <v>345000</v>
      </c>
    </row>
    <row r="2854" spans="1:3" x14ac:dyDescent="0.2">
      <c r="A2854" s="64">
        <v>44443</v>
      </c>
      <c r="B2854">
        <v>2715000</v>
      </c>
      <c r="C2854">
        <v>312000</v>
      </c>
    </row>
    <row r="2855" spans="1:3" x14ac:dyDescent="0.2">
      <c r="A2855" s="64">
        <v>44450</v>
      </c>
      <c r="B2855">
        <v>2820000</v>
      </c>
      <c r="C2855">
        <v>335000</v>
      </c>
    </row>
    <row r="2856" spans="1:3" x14ac:dyDescent="0.2">
      <c r="A2856" s="64">
        <v>44457</v>
      </c>
      <c r="B2856">
        <v>2811000</v>
      </c>
      <c r="C2856">
        <v>351000</v>
      </c>
    </row>
    <row r="2857" spans="1:3" x14ac:dyDescent="0.2">
      <c r="A2857" s="64">
        <v>44464</v>
      </c>
      <c r="B2857">
        <v>2727000</v>
      </c>
      <c r="C2857">
        <v>364000</v>
      </c>
    </row>
    <row r="2858" spans="1:3" x14ac:dyDescent="0.2">
      <c r="A2858" s="64">
        <v>44471</v>
      </c>
      <c r="B2858">
        <v>2603000</v>
      </c>
      <c r="C2858">
        <v>329000</v>
      </c>
    </row>
    <row r="2859" spans="1:3" x14ac:dyDescent="0.2">
      <c r="A2859" s="64">
        <v>44478</v>
      </c>
      <c r="B2859">
        <v>2480000</v>
      </c>
      <c r="C2859">
        <v>296000</v>
      </c>
    </row>
    <row r="2860" spans="1:3" x14ac:dyDescent="0.2">
      <c r="A2860" s="64">
        <v>44485</v>
      </c>
      <c r="B2860">
        <v>2239000</v>
      </c>
      <c r="C2860">
        <v>291000</v>
      </c>
    </row>
    <row r="2861" spans="1:3" x14ac:dyDescent="0.2">
      <c r="A2861" s="64">
        <v>44492</v>
      </c>
      <c r="B2861">
        <v>2101000</v>
      </c>
      <c r="C2861">
        <v>283000</v>
      </c>
    </row>
    <row r="2862" spans="1:3" x14ac:dyDescent="0.2">
      <c r="A2862" s="64">
        <v>44499</v>
      </c>
      <c r="B2862">
        <v>2209000</v>
      </c>
      <c r="C2862">
        <v>271000</v>
      </c>
    </row>
    <row r="2863" spans="1:3" x14ac:dyDescent="0.2">
      <c r="A2863" s="64">
        <v>44506</v>
      </c>
      <c r="B2863">
        <v>2109000</v>
      </c>
      <c r="C2863">
        <v>269000</v>
      </c>
    </row>
    <row r="2864" spans="1:3" x14ac:dyDescent="0.2">
      <c r="A2864" s="64">
        <v>44513</v>
      </c>
      <c r="B2864">
        <v>2055000</v>
      </c>
      <c r="C2864">
        <v>270000</v>
      </c>
    </row>
    <row r="2865" spans="1:3" x14ac:dyDescent="0.2">
      <c r="A2865" s="64">
        <v>44520</v>
      </c>
      <c r="B2865">
        <v>1954000</v>
      </c>
      <c r="C2865">
        <v>194000</v>
      </c>
    </row>
    <row r="2866" spans="1:3" x14ac:dyDescent="0.2">
      <c r="A2866" s="64">
        <v>44527</v>
      </c>
      <c r="B2866">
        <v>1999000</v>
      </c>
      <c r="C2866">
        <v>227000</v>
      </c>
    </row>
    <row r="2867" spans="1:3" x14ac:dyDescent="0.2">
      <c r="A2867" s="64">
        <v>44534</v>
      </c>
      <c r="B2867">
        <v>1845000</v>
      </c>
      <c r="C2867">
        <v>188000</v>
      </c>
    </row>
    <row r="2868" spans="1:3" x14ac:dyDescent="0.2">
      <c r="A2868" s="64">
        <v>44541</v>
      </c>
      <c r="B2868"/>
      <c r="C2868">
        <v>206000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1" tint="0.499984740745262"/>
  </sheetPr>
  <dimension ref="A1:B2811"/>
  <sheetViews>
    <sheetView workbookViewId="0">
      <pane ySplit="1" topLeftCell="A2" activePane="bottomLeft" state="frozen"/>
      <selection activeCell="A2" sqref="A2"/>
      <selection pane="bottomLeft" activeCell="F58" sqref="F58"/>
    </sheetView>
  </sheetViews>
  <sheetFormatPr baseColWidth="10" defaultColWidth="8.83203125" defaultRowHeight="15" x14ac:dyDescent="0.2"/>
  <cols>
    <col min="1" max="1" width="16.33203125" style="51" customWidth="1"/>
    <col min="2" max="2" width="10.6640625" style="51" customWidth="1"/>
    <col min="3" max="4" width="8.83203125" style="51" customWidth="1"/>
    <col min="5" max="16384" width="8.83203125" style="51"/>
  </cols>
  <sheetData>
    <row r="1" spans="1:2" x14ac:dyDescent="0.2">
      <c r="A1" t="s">
        <v>36</v>
      </c>
      <c r="B1" t="s">
        <v>37</v>
      </c>
    </row>
    <row r="2" spans="1:2" x14ac:dyDescent="0.2">
      <c r="A2" s="61">
        <v>37012</v>
      </c>
      <c r="B2" s="62">
        <v>-175</v>
      </c>
    </row>
    <row r="3" spans="1:2" x14ac:dyDescent="0.2">
      <c r="A3" s="61">
        <v>37043</v>
      </c>
      <c r="B3" s="62">
        <v>-230</v>
      </c>
    </row>
    <row r="4" spans="1:2" x14ac:dyDescent="0.2">
      <c r="A4" s="61">
        <v>37073</v>
      </c>
      <c r="B4" s="62">
        <v>-203</v>
      </c>
    </row>
    <row r="5" spans="1:2" x14ac:dyDescent="0.2">
      <c r="A5" s="61">
        <v>37104</v>
      </c>
      <c r="B5" s="63">
        <v>-246</v>
      </c>
    </row>
    <row r="6" spans="1:2" x14ac:dyDescent="0.2">
      <c r="A6" s="61">
        <v>37135</v>
      </c>
      <c r="B6" s="63">
        <v>-261</v>
      </c>
    </row>
    <row r="7" spans="1:2" x14ac:dyDescent="0.2">
      <c r="A7" s="61">
        <v>37165</v>
      </c>
      <c r="B7" s="63">
        <v>-380</v>
      </c>
    </row>
    <row r="8" spans="1:2" x14ac:dyDescent="0.2">
      <c r="A8" s="61">
        <v>37196</v>
      </c>
      <c r="B8" s="63">
        <v>-361</v>
      </c>
    </row>
    <row r="9" spans="1:2" x14ac:dyDescent="0.2">
      <c r="A9" s="61">
        <v>37226</v>
      </c>
      <c r="B9" s="63">
        <v>-223</v>
      </c>
    </row>
    <row r="10" spans="1:2" x14ac:dyDescent="0.2">
      <c r="A10" s="61">
        <v>37257</v>
      </c>
      <c r="B10" s="63">
        <v>-69</v>
      </c>
    </row>
    <row r="11" spans="1:2" x14ac:dyDescent="0.2">
      <c r="A11" s="61">
        <v>37288</v>
      </c>
      <c r="B11" s="63">
        <v>-91</v>
      </c>
    </row>
    <row r="12" spans="1:2" x14ac:dyDescent="0.2">
      <c r="A12" s="61">
        <v>37316</v>
      </c>
      <c r="B12" s="63">
        <v>-70</v>
      </c>
    </row>
    <row r="13" spans="1:2" x14ac:dyDescent="0.2">
      <c r="A13" s="61">
        <v>37347</v>
      </c>
      <c r="B13" s="63">
        <v>-70</v>
      </c>
    </row>
    <row r="14" spans="1:2" x14ac:dyDescent="0.2">
      <c r="A14" s="61">
        <v>37377</v>
      </c>
      <c r="B14" s="63">
        <v>-138</v>
      </c>
    </row>
    <row r="15" spans="1:2" x14ac:dyDescent="0.2">
      <c r="A15" s="61">
        <v>37408</v>
      </c>
      <c r="B15" s="63">
        <v>-41</v>
      </c>
    </row>
    <row r="16" spans="1:2" x14ac:dyDescent="0.2">
      <c r="A16" s="61">
        <v>37438</v>
      </c>
      <c r="B16" s="63">
        <v>-21</v>
      </c>
    </row>
    <row r="17" spans="1:2" x14ac:dyDescent="0.2">
      <c r="A17" s="61">
        <v>37469</v>
      </c>
      <c r="B17" s="63">
        <v>12</v>
      </c>
    </row>
    <row r="18" spans="1:2" x14ac:dyDescent="0.2">
      <c r="A18" s="61">
        <v>37500</v>
      </c>
      <c r="B18" s="63">
        <v>-150</v>
      </c>
    </row>
    <row r="19" spans="1:2" x14ac:dyDescent="0.2">
      <c r="A19" s="61">
        <v>37530</v>
      </c>
      <c r="B19" s="63">
        <v>47</v>
      </c>
    </row>
    <row r="20" spans="1:2" x14ac:dyDescent="0.2">
      <c r="A20" s="61">
        <v>37561</v>
      </c>
      <c r="B20" s="63">
        <v>-11</v>
      </c>
    </row>
    <row r="21" spans="1:2" x14ac:dyDescent="0.2">
      <c r="A21" s="61">
        <v>37591</v>
      </c>
      <c r="B21" s="63">
        <v>-79</v>
      </c>
    </row>
    <row r="22" spans="1:2" x14ac:dyDescent="0.2">
      <c r="A22" s="61">
        <v>37622</v>
      </c>
      <c r="B22" s="63">
        <v>-113</v>
      </c>
    </row>
    <row r="23" spans="1:2" x14ac:dyDescent="0.2">
      <c r="A23" s="61">
        <v>37653</v>
      </c>
      <c r="B23" s="63">
        <v>26</v>
      </c>
    </row>
    <row r="24" spans="1:2" x14ac:dyDescent="0.2">
      <c r="A24" s="61">
        <v>37681</v>
      </c>
      <c r="B24" s="63">
        <v>-42</v>
      </c>
    </row>
    <row r="25" spans="1:2" x14ac:dyDescent="0.2">
      <c r="A25" s="61">
        <v>37712</v>
      </c>
      <c r="B25" s="63">
        <v>-8</v>
      </c>
    </row>
    <row r="26" spans="1:2" x14ac:dyDescent="0.2">
      <c r="A26" s="61">
        <v>37742</v>
      </c>
      <c r="B26" s="63">
        <v>-75</v>
      </c>
    </row>
    <row r="27" spans="1:2" x14ac:dyDescent="0.2">
      <c r="A27" s="61">
        <v>37773</v>
      </c>
      <c r="B27" s="63">
        <v>-25</v>
      </c>
    </row>
    <row r="28" spans="1:2" x14ac:dyDescent="0.2">
      <c r="A28" s="61">
        <v>37803</v>
      </c>
      <c r="B28" s="63">
        <v>28</v>
      </c>
    </row>
    <row r="29" spans="1:2" x14ac:dyDescent="0.2">
      <c r="A29" s="61">
        <v>37834</v>
      </c>
      <c r="B29" s="63">
        <v>-66</v>
      </c>
    </row>
    <row r="30" spans="1:2" x14ac:dyDescent="0.2">
      <c r="A30" s="61">
        <v>37865</v>
      </c>
      <c r="B30" s="63">
        <v>69</v>
      </c>
    </row>
    <row r="31" spans="1:2" x14ac:dyDescent="0.2">
      <c r="A31" s="61">
        <v>37895</v>
      </c>
      <c r="B31" s="63">
        <v>174</v>
      </c>
    </row>
    <row r="32" spans="1:2" x14ac:dyDescent="0.2">
      <c r="A32" s="61">
        <v>37926</v>
      </c>
      <c r="B32" s="63">
        <v>247</v>
      </c>
    </row>
    <row r="33" spans="1:2" x14ac:dyDescent="0.2">
      <c r="A33" s="61">
        <v>37956</v>
      </c>
      <c r="B33" s="63">
        <v>167</v>
      </c>
    </row>
    <row r="34" spans="1:2" x14ac:dyDescent="0.2">
      <c r="A34" s="61">
        <v>37987</v>
      </c>
      <c r="B34" s="63">
        <v>68</v>
      </c>
    </row>
    <row r="35" spans="1:2" x14ac:dyDescent="0.2">
      <c r="A35" s="61">
        <v>38018</v>
      </c>
      <c r="B35" s="63">
        <v>166</v>
      </c>
    </row>
    <row r="36" spans="1:2" x14ac:dyDescent="0.2">
      <c r="A36" s="61">
        <v>38047</v>
      </c>
      <c r="B36" s="63">
        <v>188</v>
      </c>
    </row>
    <row r="37" spans="1:2" x14ac:dyDescent="0.2">
      <c r="A37" s="61">
        <v>38078</v>
      </c>
      <c r="B37" s="63">
        <v>170</v>
      </c>
    </row>
    <row r="38" spans="1:2" x14ac:dyDescent="0.2">
      <c r="A38" s="61">
        <v>38108</v>
      </c>
      <c r="B38" s="63">
        <v>54</v>
      </c>
    </row>
    <row r="39" spans="1:2" x14ac:dyDescent="0.2">
      <c r="A39" s="61">
        <v>38139</v>
      </c>
      <c r="B39" s="63">
        <v>169</v>
      </c>
    </row>
    <row r="40" spans="1:2" x14ac:dyDescent="0.2">
      <c r="A40" s="61">
        <v>38169</v>
      </c>
      <c r="B40" s="63">
        <v>80</v>
      </c>
    </row>
    <row r="41" spans="1:2" x14ac:dyDescent="0.2">
      <c r="A41" s="61">
        <v>38200</v>
      </c>
      <c r="B41" s="63">
        <v>187</v>
      </c>
    </row>
    <row r="42" spans="1:2" x14ac:dyDescent="0.2">
      <c r="A42" s="61">
        <v>38231</v>
      </c>
      <c r="B42" s="63">
        <v>170</v>
      </c>
    </row>
    <row r="43" spans="1:2" x14ac:dyDescent="0.2">
      <c r="A43" s="61">
        <v>38261</v>
      </c>
      <c r="B43" s="63">
        <v>136</v>
      </c>
    </row>
    <row r="44" spans="1:2" x14ac:dyDescent="0.2">
      <c r="A44" s="61">
        <v>38292</v>
      </c>
      <c r="B44" s="63">
        <v>178</v>
      </c>
    </row>
    <row r="45" spans="1:2" x14ac:dyDescent="0.2">
      <c r="A45" s="61">
        <v>38322</v>
      </c>
      <c r="B45" s="63">
        <v>254</v>
      </c>
    </row>
    <row r="46" spans="1:2" x14ac:dyDescent="0.2">
      <c r="A46" s="61">
        <v>38353</v>
      </c>
      <c r="B46" s="63">
        <v>158</v>
      </c>
    </row>
    <row r="47" spans="1:2" x14ac:dyDescent="0.2">
      <c r="A47" s="61">
        <v>38384</v>
      </c>
      <c r="B47" s="63">
        <v>145</v>
      </c>
    </row>
    <row r="48" spans="1:2" x14ac:dyDescent="0.2">
      <c r="A48" s="61">
        <v>38412</v>
      </c>
      <c r="B48" s="63">
        <v>164</v>
      </c>
    </row>
    <row r="49" spans="1:2" x14ac:dyDescent="0.2">
      <c r="A49" s="61">
        <v>38443</v>
      </c>
      <c r="B49" s="63">
        <v>300</v>
      </c>
    </row>
    <row r="50" spans="1:2" x14ac:dyDescent="0.2">
      <c r="A50" s="61">
        <v>38473</v>
      </c>
      <c r="B50" s="63">
        <v>243</v>
      </c>
    </row>
    <row r="51" spans="1:2" x14ac:dyDescent="0.2">
      <c r="A51" s="61">
        <v>38504</v>
      </c>
      <c r="B51" s="63">
        <v>273</v>
      </c>
    </row>
    <row r="52" spans="1:2" x14ac:dyDescent="0.2">
      <c r="A52" s="61">
        <v>38534</v>
      </c>
      <c r="B52" s="63">
        <v>281</v>
      </c>
    </row>
    <row r="53" spans="1:2" x14ac:dyDescent="0.2">
      <c r="A53" s="61">
        <v>38565</v>
      </c>
      <c r="B53" s="63">
        <v>190</v>
      </c>
    </row>
    <row r="54" spans="1:2" x14ac:dyDescent="0.2">
      <c r="A54" s="61">
        <v>38596</v>
      </c>
      <c r="B54" s="63">
        <v>-35</v>
      </c>
    </row>
    <row r="55" spans="1:2" x14ac:dyDescent="0.2">
      <c r="A55" s="61">
        <v>38626</v>
      </c>
      <c r="B55" s="63">
        <v>134</v>
      </c>
    </row>
    <row r="56" spans="1:2" x14ac:dyDescent="0.2">
      <c r="A56" s="61">
        <v>38657</v>
      </c>
      <c r="B56" s="63">
        <v>253</v>
      </c>
    </row>
    <row r="57" spans="1:2" x14ac:dyDescent="0.2">
      <c r="A57" s="61">
        <v>38687</v>
      </c>
      <c r="B57" s="63">
        <v>225</v>
      </c>
    </row>
    <row r="58" spans="1:2" x14ac:dyDescent="0.2">
      <c r="A58" s="61">
        <v>38718</v>
      </c>
      <c r="B58" s="63">
        <v>296</v>
      </c>
    </row>
    <row r="59" spans="1:2" x14ac:dyDescent="0.2">
      <c r="A59" s="61">
        <v>38749</v>
      </c>
      <c r="B59" s="63">
        <v>360</v>
      </c>
    </row>
    <row r="60" spans="1:2" x14ac:dyDescent="0.2">
      <c r="A60" s="61">
        <v>38777</v>
      </c>
      <c r="B60" s="63">
        <v>208</v>
      </c>
    </row>
    <row r="61" spans="1:2" x14ac:dyDescent="0.2">
      <c r="A61" s="61">
        <v>38808</v>
      </c>
      <c r="B61" s="63">
        <v>80</v>
      </c>
    </row>
    <row r="62" spans="1:2" x14ac:dyDescent="0.2">
      <c r="A62" s="61">
        <v>38838</v>
      </c>
      <c r="B62" s="63">
        <v>175</v>
      </c>
    </row>
    <row r="63" spans="1:2" x14ac:dyDescent="0.2">
      <c r="A63" s="61">
        <v>38869</v>
      </c>
      <c r="B63" s="63">
        <v>106</v>
      </c>
    </row>
    <row r="64" spans="1:2" x14ac:dyDescent="0.2">
      <c r="A64" s="61">
        <v>38899</v>
      </c>
      <c r="B64" s="63">
        <v>123</v>
      </c>
    </row>
    <row r="65" spans="1:2" x14ac:dyDescent="0.2">
      <c r="A65" s="61">
        <v>38930</v>
      </c>
      <c r="B65" s="63">
        <v>185</v>
      </c>
    </row>
    <row r="66" spans="1:2" x14ac:dyDescent="0.2">
      <c r="A66" s="61">
        <v>38961</v>
      </c>
      <c r="B66" s="63">
        <v>58</v>
      </c>
    </row>
    <row r="67" spans="1:2" x14ac:dyDescent="0.2">
      <c r="A67" s="61">
        <v>38991</v>
      </c>
      <c r="B67" s="63">
        <v>109</v>
      </c>
    </row>
    <row r="68" spans="1:2" x14ac:dyDescent="0.2">
      <c r="A68" s="61">
        <v>39022</v>
      </c>
      <c r="B68" s="63">
        <v>-13</v>
      </c>
    </row>
    <row r="69" spans="1:2" x14ac:dyDescent="0.2">
      <c r="A69" s="61">
        <v>39052</v>
      </c>
      <c r="B69" s="63">
        <v>171</v>
      </c>
    </row>
    <row r="70" spans="1:2" x14ac:dyDescent="0.2">
      <c r="A70" s="61">
        <v>39083</v>
      </c>
      <c r="B70" s="63">
        <v>241</v>
      </c>
    </row>
    <row r="71" spans="1:2" x14ac:dyDescent="0.2">
      <c r="A71" s="61">
        <v>39114</v>
      </c>
      <c r="B71" s="63">
        <v>111</v>
      </c>
    </row>
    <row r="72" spans="1:2" x14ac:dyDescent="0.2">
      <c r="A72" s="61">
        <v>39142</v>
      </c>
      <c r="B72" s="63">
        <v>154</v>
      </c>
    </row>
    <row r="73" spans="1:2" x14ac:dyDescent="0.2">
      <c r="A73" s="61">
        <v>39173</v>
      </c>
      <c r="B73" s="63">
        <v>39</v>
      </c>
    </row>
    <row r="74" spans="1:2" x14ac:dyDescent="0.2">
      <c r="A74" s="61">
        <v>39203</v>
      </c>
      <c r="B74" s="63">
        <v>82</v>
      </c>
    </row>
    <row r="75" spans="1:2" x14ac:dyDescent="0.2">
      <c r="A75" s="61">
        <v>39234</v>
      </c>
      <c r="B75" s="63">
        <v>15</v>
      </c>
    </row>
    <row r="76" spans="1:2" x14ac:dyDescent="0.2">
      <c r="A76" s="61">
        <v>39264</v>
      </c>
      <c r="B76" s="63">
        <v>47</v>
      </c>
    </row>
    <row r="77" spans="1:2" x14ac:dyDescent="0.2">
      <c r="A77" s="61">
        <v>39295</v>
      </c>
      <c r="B77" s="63">
        <v>-27</v>
      </c>
    </row>
    <row r="78" spans="1:2" x14ac:dyDescent="0.2">
      <c r="A78" s="61">
        <v>39326</v>
      </c>
      <c r="B78" s="63">
        <v>23</v>
      </c>
    </row>
    <row r="79" spans="1:2" x14ac:dyDescent="0.2">
      <c r="A79" s="61">
        <v>39356</v>
      </c>
      <c r="B79" s="63">
        <v>44</v>
      </c>
    </row>
    <row r="80" spans="1:2" x14ac:dyDescent="0.2">
      <c r="A80" s="61">
        <v>39387</v>
      </c>
      <c r="B80" s="63">
        <v>58</v>
      </c>
    </row>
    <row r="81" spans="1:2" x14ac:dyDescent="0.2">
      <c r="A81" s="61">
        <v>39417</v>
      </c>
      <c r="B81" s="63">
        <v>47</v>
      </c>
    </row>
    <row r="82" spans="1:2" x14ac:dyDescent="0.2">
      <c r="A82" s="61">
        <v>39448</v>
      </c>
      <c r="B82" s="63">
        <v>118</v>
      </c>
    </row>
    <row r="83" spans="1:2" x14ac:dyDescent="0.2">
      <c r="A83" s="61">
        <v>39479</v>
      </c>
      <c r="B83" s="63">
        <v>-78</v>
      </c>
    </row>
    <row r="84" spans="1:2" x14ac:dyDescent="0.2">
      <c r="A84" s="61">
        <v>39508</v>
      </c>
      <c r="B84" s="63">
        <v>-181</v>
      </c>
    </row>
    <row r="85" spans="1:2" x14ac:dyDescent="0.2">
      <c r="A85" s="61">
        <v>39539</v>
      </c>
      <c r="B85" s="63">
        <v>-406</v>
      </c>
    </row>
    <row r="86" spans="1:2" x14ac:dyDescent="0.2">
      <c r="A86" s="61">
        <v>39569</v>
      </c>
      <c r="B86" s="63">
        <v>-409</v>
      </c>
    </row>
    <row r="87" spans="1:2" x14ac:dyDescent="0.2">
      <c r="A87" s="61">
        <v>39600</v>
      </c>
      <c r="B87" s="63">
        <v>-465</v>
      </c>
    </row>
    <row r="88" spans="1:2" x14ac:dyDescent="0.2">
      <c r="A88" s="61">
        <v>39630</v>
      </c>
      <c r="B88" s="63">
        <v>-416</v>
      </c>
    </row>
    <row r="89" spans="1:2" x14ac:dyDescent="0.2">
      <c r="A89" s="61">
        <v>39661</v>
      </c>
      <c r="B89" s="63">
        <v>-430</v>
      </c>
    </row>
    <row r="90" spans="1:2" x14ac:dyDescent="0.2">
      <c r="A90" s="61">
        <v>39692</v>
      </c>
      <c r="B90" s="63">
        <v>-489</v>
      </c>
    </row>
    <row r="91" spans="1:2" x14ac:dyDescent="0.2">
      <c r="A91" s="61">
        <v>39722</v>
      </c>
      <c r="B91" s="63">
        <v>-430</v>
      </c>
    </row>
    <row r="92" spans="1:2" x14ac:dyDescent="0.2">
      <c r="A92" s="61">
        <v>39753</v>
      </c>
      <c r="B92" s="63">
        <v>-620</v>
      </c>
    </row>
    <row r="93" spans="1:2" x14ac:dyDescent="0.2">
      <c r="A93" s="61">
        <v>39783</v>
      </c>
      <c r="B93" s="63">
        <v>-510</v>
      </c>
    </row>
    <row r="94" spans="1:2" x14ac:dyDescent="0.2">
      <c r="A94" s="61">
        <v>39814</v>
      </c>
      <c r="B94" s="63">
        <v>-584</v>
      </c>
    </row>
    <row r="95" spans="1:2" x14ac:dyDescent="0.2">
      <c r="A95" s="61">
        <v>39845</v>
      </c>
      <c r="B95" s="63">
        <v>-706</v>
      </c>
    </row>
    <row r="96" spans="1:2" x14ac:dyDescent="0.2">
      <c r="A96" s="61">
        <v>39873</v>
      </c>
      <c r="B96" s="63">
        <v>-417</v>
      </c>
    </row>
    <row r="97" spans="1:2" x14ac:dyDescent="0.2">
      <c r="A97" s="61">
        <v>39904</v>
      </c>
      <c r="B97" s="63">
        <v>-325</v>
      </c>
    </row>
    <row r="98" spans="1:2" x14ac:dyDescent="0.2">
      <c r="A98" s="61">
        <v>39934</v>
      </c>
      <c r="B98" s="63">
        <v>-244</v>
      </c>
    </row>
    <row r="99" spans="1:2" x14ac:dyDescent="0.2">
      <c r="A99" s="61">
        <v>39965</v>
      </c>
      <c r="B99" s="63">
        <v>-334</v>
      </c>
    </row>
    <row r="100" spans="1:2" x14ac:dyDescent="0.2">
      <c r="A100" s="61">
        <v>39995</v>
      </c>
      <c r="B100" s="63">
        <v>-180</v>
      </c>
    </row>
    <row r="101" spans="1:2" x14ac:dyDescent="0.2">
      <c r="A101" s="61">
        <v>40026</v>
      </c>
      <c r="B101" s="63">
        <v>-212</v>
      </c>
    </row>
    <row r="102" spans="1:2" x14ac:dyDescent="0.2">
      <c r="A102" s="61">
        <v>40057</v>
      </c>
      <c r="B102" s="63">
        <v>-126</v>
      </c>
    </row>
    <row r="103" spans="1:2" x14ac:dyDescent="0.2">
      <c r="A103" s="61">
        <v>40087</v>
      </c>
      <c r="B103" s="63">
        <v>-114</v>
      </c>
    </row>
    <row r="104" spans="1:2" x14ac:dyDescent="0.2">
      <c r="A104" s="61">
        <v>40118</v>
      </c>
      <c r="B104" s="63">
        <v>-374</v>
      </c>
    </row>
    <row r="105" spans="1:2" x14ac:dyDescent="0.2">
      <c r="A105" s="61">
        <v>40148</v>
      </c>
      <c r="B105" s="63">
        <v>-212</v>
      </c>
    </row>
    <row r="106" spans="1:2" x14ac:dyDescent="0.2">
      <c r="A106" s="61">
        <v>40179</v>
      </c>
      <c r="B106" s="63">
        <v>-137</v>
      </c>
    </row>
    <row r="107" spans="1:2" x14ac:dyDescent="0.2">
      <c r="A107" s="61">
        <v>40210</v>
      </c>
      <c r="B107" s="63">
        <v>-219</v>
      </c>
    </row>
    <row r="108" spans="1:2" x14ac:dyDescent="0.2">
      <c r="A108" s="61">
        <v>40238</v>
      </c>
      <c r="B108" s="63">
        <v>-113</v>
      </c>
    </row>
    <row r="109" spans="1:2" x14ac:dyDescent="0.2">
      <c r="A109" s="61">
        <v>40269</v>
      </c>
      <c r="B109" s="63">
        <v>147</v>
      </c>
    </row>
    <row r="110" spans="1:2" x14ac:dyDescent="0.2">
      <c r="A110" s="61">
        <v>40299</v>
      </c>
      <c r="B110" s="63">
        <v>152</v>
      </c>
    </row>
    <row r="111" spans="1:2" x14ac:dyDescent="0.2">
      <c r="A111" s="61">
        <v>40330</v>
      </c>
      <c r="B111" s="63">
        <v>102</v>
      </c>
    </row>
    <row r="112" spans="1:2" x14ac:dyDescent="0.2">
      <c r="A112" s="61">
        <v>40360</v>
      </c>
      <c r="B112" s="63">
        <v>159</v>
      </c>
    </row>
    <row r="113" spans="1:2" x14ac:dyDescent="0.2">
      <c r="A113" s="61">
        <v>40391</v>
      </c>
      <c r="B113" s="63">
        <v>99</v>
      </c>
    </row>
    <row r="114" spans="1:2" x14ac:dyDescent="0.2">
      <c r="A114" s="61">
        <v>40422</v>
      </c>
      <c r="B114" s="63">
        <v>117</v>
      </c>
    </row>
    <row r="115" spans="1:2" x14ac:dyDescent="0.2">
      <c r="A115" s="61">
        <v>40452</v>
      </c>
      <c r="B115" s="63">
        <v>219</v>
      </c>
    </row>
    <row r="116" spans="1:2" x14ac:dyDescent="0.2">
      <c r="A116" s="61">
        <v>40483</v>
      </c>
      <c r="B116" s="63">
        <v>141</v>
      </c>
    </row>
    <row r="117" spans="1:2" x14ac:dyDescent="0.2">
      <c r="A117" s="61">
        <v>40513</v>
      </c>
      <c r="B117" s="63">
        <v>85</v>
      </c>
    </row>
    <row r="118" spans="1:2" x14ac:dyDescent="0.2">
      <c r="A118" s="61">
        <v>40544</v>
      </c>
      <c r="B118" s="63">
        <v>137</v>
      </c>
    </row>
    <row r="119" spans="1:2" x14ac:dyDescent="0.2">
      <c r="A119" s="61">
        <v>40575</v>
      </c>
      <c r="B119" s="63">
        <v>164</v>
      </c>
    </row>
    <row r="120" spans="1:2" x14ac:dyDescent="0.2">
      <c r="A120" s="61">
        <v>40603</v>
      </c>
      <c r="B120" s="63">
        <v>213</v>
      </c>
    </row>
    <row r="121" spans="1:2" x14ac:dyDescent="0.2">
      <c r="A121" s="61">
        <v>40634</v>
      </c>
      <c r="B121" s="63">
        <v>299</v>
      </c>
    </row>
    <row r="122" spans="1:2" x14ac:dyDescent="0.2">
      <c r="A122" s="61">
        <v>40664</v>
      </c>
      <c r="B122" s="63">
        <v>254</v>
      </c>
    </row>
    <row r="123" spans="1:2" x14ac:dyDescent="0.2">
      <c r="A123" s="61">
        <v>40695</v>
      </c>
      <c r="B123" s="63">
        <v>263</v>
      </c>
    </row>
    <row r="124" spans="1:2" x14ac:dyDescent="0.2">
      <c r="A124" s="61">
        <v>40725</v>
      </c>
      <c r="B124" s="63">
        <v>213</v>
      </c>
    </row>
    <row r="125" spans="1:2" x14ac:dyDescent="0.2">
      <c r="A125" s="61">
        <v>40756</v>
      </c>
      <c r="B125" s="63">
        <v>216</v>
      </c>
    </row>
    <row r="126" spans="1:2" x14ac:dyDescent="0.2">
      <c r="A126" s="61">
        <v>40787</v>
      </c>
      <c r="B126" s="63">
        <v>227</v>
      </c>
    </row>
    <row r="127" spans="1:2" x14ac:dyDescent="0.2">
      <c r="A127" s="61">
        <v>40817</v>
      </c>
      <c r="B127" s="63">
        <v>191</v>
      </c>
    </row>
    <row r="128" spans="1:2" x14ac:dyDescent="0.2">
      <c r="A128" s="61">
        <v>40848</v>
      </c>
      <c r="B128" s="63">
        <v>127</v>
      </c>
    </row>
    <row r="129" spans="1:2" x14ac:dyDescent="0.2">
      <c r="A129" s="61">
        <v>40878</v>
      </c>
      <c r="B129" s="63">
        <v>194</v>
      </c>
    </row>
    <row r="130" spans="1:2" x14ac:dyDescent="0.2">
      <c r="A130" s="61">
        <v>40909</v>
      </c>
      <c r="B130" s="63">
        <v>199</v>
      </c>
    </row>
    <row r="131" spans="1:2" x14ac:dyDescent="0.2">
      <c r="A131" s="61">
        <v>40940</v>
      </c>
      <c r="B131" s="63">
        <v>281</v>
      </c>
    </row>
    <row r="132" spans="1:2" x14ac:dyDescent="0.2">
      <c r="A132" s="61">
        <v>40969</v>
      </c>
      <c r="B132" s="63">
        <v>250</v>
      </c>
    </row>
    <row r="133" spans="1:2" x14ac:dyDescent="0.2">
      <c r="A133" s="61">
        <v>41000</v>
      </c>
      <c r="B133" s="63">
        <v>83</v>
      </c>
    </row>
    <row r="134" spans="1:2" x14ac:dyDescent="0.2">
      <c r="A134" s="61">
        <v>41030</v>
      </c>
      <c r="B134" s="63">
        <v>153</v>
      </c>
    </row>
    <row r="135" spans="1:2" x14ac:dyDescent="0.2">
      <c r="A135" s="61">
        <v>41061</v>
      </c>
      <c r="B135" s="63">
        <v>79</v>
      </c>
    </row>
    <row r="136" spans="1:2" x14ac:dyDescent="0.2">
      <c r="A136" s="61">
        <v>41091</v>
      </c>
      <c r="B136" s="63">
        <v>142</v>
      </c>
    </row>
    <row r="137" spans="1:2" x14ac:dyDescent="0.2">
      <c r="A137" s="61">
        <v>41122</v>
      </c>
      <c r="B137" s="63">
        <v>184</v>
      </c>
    </row>
    <row r="138" spans="1:2" x14ac:dyDescent="0.2">
      <c r="A138" s="61">
        <v>41153</v>
      </c>
      <c r="B138" s="63">
        <v>150</v>
      </c>
    </row>
    <row r="139" spans="1:2" x14ac:dyDescent="0.2">
      <c r="A139" s="61">
        <v>41183</v>
      </c>
      <c r="B139" s="63">
        <v>227</v>
      </c>
    </row>
    <row r="140" spans="1:2" x14ac:dyDescent="0.2">
      <c r="A140" s="61">
        <v>41214</v>
      </c>
      <c r="B140" s="63">
        <v>159</v>
      </c>
    </row>
    <row r="141" spans="1:2" x14ac:dyDescent="0.2">
      <c r="A141" s="61">
        <v>41244</v>
      </c>
      <c r="B141" s="63">
        <v>231</v>
      </c>
    </row>
    <row r="142" spans="1:2" x14ac:dyDescent="0.2">
      <c r="A142" s="61">
        <v>41275</v>
      </c>
      <c r="B142" s="63">
        <v>208</v>
      </c>
    </row>
    <row r="143" spans="1:2" x14ac:dyDescent="0.2">
      <c r="A143" s="61">
        <v>41306</v>
      </c>
      <c r="B143" s="63">
        <v>203</v>
      </c>
    </row>
    <row r="144" spans="1:2" x14ac:dyDescent="0.2">
      <c r="A144" s="61">
        <v>41334</v>
      </c>
      <c r="B144" s="63">
        <v>181</v>
      </c>
    </row>
    <row r="145" spans="1:2" x14ac:dyDescent="0.2">
      <c r="A145" s="61">
        <v>41365</v>
      </c>
      <c r="B145" s="63">
        <v>126</v>
      </c>
    </row>
    <row r="146" spans="1:2" x14ac:dyDescent="0.2">
      <c r="A146" s="61">
        <v>41395</v>
      </c>
      <c r="B146" s="63">
        <v>210</v>
      </c>
    </row>
    <row r="147" spans="1:2" x14ac:dyDescent="0.2">
      <c r="A147" s="61">
        <v>41426</v>
      </c>
      <c r="B147" s="63">
        <v>217</v>
      </c>
    </row>
    <row r="148" spans="1:2" x14ac:dyDescent="0.2">
      <c r="A148" s="61">
        <v>41456</v>
      </c>
      <c r="B148" s="63">
        <v>157</v>
      </c>
    </row>
    <row r="149" spans="1:2" x14ac:dyDescent="0.2">
      <c r="A149" s="61">
        <v>41487</v>
      </c>
      <c r="B149" s="63">
        <v>206</v>
      </c>
    </row>
    <row r="150" spans="1:2" x14ac:dyDescent="0.2">
      <c r="A150" s="61">
        <v>41518</v>
      </c>
      <c r="B150" s="63">
        <v>243</v>
      </c>
    </row>
    <row r="151" spans="1:2" x14ac:dyDescent="0.2">
      <c r="A151" s="61">
        <v>41548</v>
      </c>
      <c r="B151" s="63">
        <v>211</v>
      </c>
    </row>
    <row r="152" spans="1:2" x14ac:dyDescent="0.2">
      <c r="A152" s="61">
        <v>41579</v>
      </c>
      <c r="B152" s="63">
        <v>195</v>
      </c>
    </row>
    <row r="153" spans="1:2" x14ac:dyDescent="0.2">
      <c r="A153" s="61">
        <v>41609</v>
      </c>
      <c r="B153" s="63">
        <v>178</v>
      </c>
    </row>
    <row r="154" spans="1:2" x14ac:dyDescent="0.2">
      <c r="A154" s="61">
        <v>41640</v>
      </c>
      <c r="B154" s="63">
        <v>212</v>
      </c>
    </row>
    <row r="155" spans="1:2" x14ac:dyDescent="0.2">
      <c r="A155" s="61">
        <v>41671</v>
      </c>
      <c r="B155" s="63">
        <v>190</v>
      </c>
    </row>
    <row r="156" spans="1:2" x14ac:dyDescent="0.2">
      <c r="A156" s="61">
        <v>41699</v>
      </c>
      <c r="B156" s="63">
        <v>179</v>
      </c>
    </row>
    <row r="157" spans="1:2" x14ac:dyDescent="0.2">
      <c r="A157" s="61">
        <v>41730</v>
      </c>
      <c r="B157" s="63">
        <v>278</v>
      </c>
    </row>
    <row r="158" spans="1:2" x14ac:dyDescent="0.2">
      <c r="A158" s="61">
        <v>41760</v>
      </c>
      <c r="B158" s="63">
        <v>202</v>
      </c>
    </row>
    <row r="159" spans="1:2" x14ac:dyDescent="0.2">
      <c r="A159" s="61">
        <v>41791</v>
      </c>
      <c r="B159" s="63">
        <v>292</v>
      </c>
    </row>
    <row r="160" spans="1:2" x14ac:dyDescent="0.2">
      <c r="A160" s="61">
        <v>41821</v>
      </c>
      <c r="B160" s="63">
        <v>223</v>
      </c>
    </row>
    <row r="161" spans="1:2" x14ac:dyDescent="0.2">
      <c r="A161" s="61">
        <v>41852</v>
      </c>
      <c r="B161" s="63">
        <v>230</v>
      </c>
    </row>
    <row r="162" spans="1:2" x14ac:dyDescent="0.2">
      <c r="A162" s="61">
        <v>41883</v>
      </c>
      <c r="B162" s="63">
        <v>251</v>
      </c>
    </row>
    <row r="163" spans="1:2" x14ac:dyDescent="0.2">
      <c r="A163" s="61">
        <v>41913</v>
      </c>
      <c r="B163" s="63">
        <v>252</v>
      </c>
    </row>
    <row r="164" spans="1:2" x14ac:dyDescent="0.2">
      <c r="A164" s="61">
        <v>41944</v>
      </c>
      <c r="B164" s="63">
        <v>195</v>
      </c>
    </row>
    <row r="165" spans="1:2" x14ac:dyDescent="0.2">
      <c r="A165" s="61">
        <v>41974</v>
      </c>
      <c r="B165" s="63">
        <v>292</v>
      </c>
    </row>
    <row r="166" spans="1:2" x14ac:dyDescent="0.2">
      <c r="A166" s="61">
        <v>42005</v>
      </c>
      <c r="B166" s="63">
        <v>191</v>
      </c>
    </row>
    <row r="167" spans="1:2" x14ac:dyDescent="0.2">
      <c r="A167" s="61">
        <v>42036</v>
      </c>
      <c r="B167" s="63">
        <v>226</v>
      </c>
    </row>
    <row r="168" spans="1:2" x14ac:dyDescent="0.2">
      <c r="A168" s="61">
        <v>42064</v>
      </c>
      <c r="B168" s="63">
        <v>178</v>
      </c>
    </row>
    <row r="169" spans="1:2" x14ac:dyDescent="0.2">
      <c r="A169" s="61">
        <v>42095</v>
      </c>
      <c r="B169" s="63">
        <v>179</v>
      </c>
    </row>
    <row r="170" spans="1:2" x14ac:dyDescent="0.2">
      <c r="A170" s="61">
        <v>42125</v>
      </c>
      <c r="B170" s="63">
        <v>296</v>
      </c>
    </row>
    <row r="171" spans="1:2" x14ac:dyDescent="0.2">
      <c r="A171" s="61">
        <v>42156</v>
      </c>
      <c r="B171" s="63">
        <v>219</v>
      </c>
    </row>
    <row r="172" spans="1:2" x14ac:dyDescent="0.2">
      <c r="A172" s="61">
        <v>42186</v>
      </c>
      <c r="B172" s="63">
        <v>190</v>
      </c>
    </row>
    <row r="173" spans="1:2" x14ac:dyDescent="0.2">
      <c r="A173" s="61">
        <v>42217</v>
      </c>
      <c r="B173" s="63">
        <v>190</v>
      </c>
    </row>
    <row r="174" spans="1:2" x14ac:dyDescent="0.2">
      <c r="A174" s="61">
        <v>42248</v>
      </c>
      <c r="B174" s="63">
        <v>204</v>
      </c>
    </row>
    <row r="175" spans="1:2" x14ac:dyDescent="0.2">
      <c r="A175" s="61">
        <v>42278</v>
      </c>
      <c r="B175" s="63">
        <v>186</v>
      </c>
    </row>
    <row r="176" spans="1:2" x14ac:dyDescent="0.2">
      <c r="A176" s="61">
        <v>42309</v>
      </c>
      <c r="B176" s="63">
        <v>223</v>
      </c>
    </row>
    <row r="177" spans="1:2" x14ac:dyDescent="0.2">
      <c r="A177" s="61">
        <v>42339</v>
      </c>
      <c r="B177" s="63">
        <v>271</v>
      </c>
    </row>
    <row r="178" spans="1:2" x14ac:dyDescent="0.2">
      <c r="A178" s="61">
        <v>42370</v>
      </c>
      <c r="B178" s="63">
        <v>130</v>
      </c>
    </row>
    <row r="179" spans="1:2" x14ac:dyDescent="0.2">
      <c r="A179" s="61">
        <v>42401</v>
      </c>
      <c r="B179" s="63">
        <v>241</v>
      </c>
    </row>
    <row r="180" spans="1:2" x14ac:dyDescent="0.2">
      <c r="A180" s="61">
        <v>42430</v>
      </c>
      <c r="B180" s="63">
        <v>205</v>
      </c>
    </row>
    <row r="181" spans="1:2" x14ac:dyDescent="0.2">
      <c r="A181" s="61">
        <v>42461</v>
      </c>
      <c r="B181" s="63">
        <v>170</v>
      </c>
    </row>
    <row r="182" spans="1:2" x14ac:dyDescent="0.2">
      <c r="A182" s="61">
        <v>42491</v>
      </c>
      <c r="B182" s="63">
        <v>84</v>
      </c>
    </row>
    <row r="183" spans="1:2" x14ac:dyDescent="0.2">
      <c r="A183" s="61">
        <v>42522</v>
      </c>
      <c r="B183" s="63">
        <v>255</v>
      </c>
    </row>
    <row r="184" spans="1:2" x14ac:dyDescent="0.2">
      <c r="A184" s="61">
        <v>42552</v>
      </c>
      <c r="B184" s="63">
        <v>152</v>
      </c>
    </row>
    <row r="185" spans="1:2" x14ac:dyDescent="0.2">
      <c r="A185" s="61">
        <v>42583</v>
      </c>
      <c r="B185" s="63">
        <v>192</v>
      </c>
    </row>
    <row r="186" spans="1:2" x14ac:dyDescent="0.2">
      <c r="A186" s="61">
        <v>42614</v>
      </c>
      <c r="B186" s="63">
        <v>181</v>
      </c>
    </row>
    <row r="187" spans="1:2" x14ac:dyDescent="0.2">
      <c r="A187" s="61">
        <v>42644</v>
      </c>
      <c r="B187" s="63">
        <v>91</v>
      </c>
    </row>
    <row r="188" spans="1:2" x14ac:dyDescent="0.2">
      <c r="A188" s="61">
        <v>42675</v>
      </c>
      <c r="B188" s="63">
        <v>236</v>
      </c>
    </row>
    <row r="189" spans="1:2" x14ac:dyDescent="0.2">
      <c r="A189" s="61">
        <v>42705</v>
      </c>
      <c r="B189" s="63">
        <v>105</v>
      </c>
    </row>
    <row r="190" spans="1:2" x14ac:dyDescent="0.2">
      <c r="A190" s="61">
        <v>42736</v>
      </c>
      <c r="B190" s="63">
        <v>224</v>
      </c>
    </row>
    <row r="191" spans="1:2" x14ac:dyDescent="0.2">
      <c r="A191" s="61">
        <v>42767</v>
      </c>
      <c r="B191" s="63">
        <v>237</v>
      </c>
    </row>
    <row r="192" spans="1:2" x14ac:dyDescent="0.2">
      <c r="A192" s="61">
        <v>42795</v>
      </c>
      <c r="B192" s="63">
        <v>209</v>
      </c>
    </row>
    <row r="193" spans="1:2" x14ac:dyDescent="0.2">
      <c r="A193" s="61">
        <v>42826</v>
      </c>
      <c r="B193" s="63">
        <v>173</v>
      </c>
    </row>
    <row r="194" spans="1:2" x14ac:dyDescent="0.2">
      <c r="A194" s="61">
        <v>42856</v>
      </c>
      <c r="B194" s="63">
        <v>170</v>
      </c>
    </row>
    <row r="195" spans="1:2" x14ac:dyDescent="0.2">
      <c r="A195" s="61">
        <v>42887</v>
      </c>
      <c r="B195" s="63">
        <v>135</v>
      </c>
    </row>
    <row r="196" spans="1:2" x14ac:dyDescent="0.2">
      <c r="A196" s="61">
        <v>42917</v>
      </c>
      <c r="B196" s="63">
        <v>183</v>
      </c>
    </row>
    <row r="197" spans="1:2" x14ac:dyDescent="0.2">
      <c r="A197" s="61">
        <v>42948</v>
      </c>
      <c r="B197" s="63">
        <v>174</v>
      </c>
    </row>
    <row r="198" spans="1:2" x14ac:dyDescent="0.2">
      <c r="A198" s="61">
        <v>42979</v>
      </c>
      <c r="B198" s="63">
        <v>111</v>
      </c>
    </row>
    <row r="199" spans="1:2" x14ac:dyDescent="0.2">
      <c r="A199" s="61">
        <v>43009</v>
      </c>
      <c r="B199" s="63">
        <v>158</v>
      </c>
    </row>
    <row r="200" spans="1:2" x14ac:dyDescent="0.2">
      <c r="A200" s="61">
        <v>43040</v>
      </c>
      <c r="B200" s="63">
        <v>207</v>
      </c>
    </row>
    <row r="201" spans="1:2" x14ac:dyDescent="0.2">
      <c r="A201" s="61">
        <v>43070</v>
      </c>
      <c r="B201" s="63">
        <v>241</v>
      </c>
    </row>
    <row r="202" spans="1:2" x14ac:dyDescent="0.2">
      <c r="A202" s="61">
        <v>43101</v>
      </c>
      <c r="B202" s="63">
        <v>252</v>
      </c>
    </row>
    <row r="203" spans="1:2" x14ac:dyDescent="0.2">
      <c r="A203" s="61">
        <v>43132</v>
      </c>
      <c r="B203" s="63">
        <v>219</v>
      </c>
    </row>
    <row r="204" spans="1:2" x14ac:dyDescent="0.2">
      <c r="A204" s="61">
        <v>43160</v>
      </c>
      <c r="B204" s="63">
        <v>213</v>
      </c>
    </row>
    <row r="205" spans="1:2" x14ac:dyDescent="0.2">
      <c r="A205" s="61">
        <v>43191</v>
      </c>
      <c r="B205" s="63">
        <v>178</v>
      </c>
    </row>
    <row r="206" spans="1:2" x14ac:dyDescent="0.2">
      <c r="A206" s="61">
        <v>43221</v>
      </c>
      <c r="B206" s="63">
        <v>276</v>
      </c>
    </row>
    <row r="207" spans="1:2" x14ac:dyDescent="0.2">
      <c r="A207" s="61">
        <v>43252</v>
      </c>
      <c r="B207" s="63">
        <v>221</v>
      </c>
    </row>
    <row r="208" spans="1:2" x14ac:dyDescent="0.2">
      <c r="A208" s="61">
        <v>43282</v>
      </c>
      <c r="B208" s="63">
        <v>284</v>
      </c>
    </row>
    <row r="209" spans="1:2" x14ac:dyDescent="0.2">
      <c r="A209" s="61">
        <v>43313</v>
      </c>
      <c r="B209" s="63">
        <v>159</v>
      </c>
    </row>
    <row r="210" spans="1:2" x14ac:dyDescent="0.2">
      <c r="A210" s="61">
        <v>43344</v>
      </c>
      <c r="B210" s="63">
        <v>199</v>
      </c>
    </row>
    <row r="211" spans="1:2" x14ac:dyDescent="0.2">
      <c r="A211" s="61">
        <v>43374</v>
      </c>
      <c r="B211" s="63">
        <v>238</v>
      </c>
    </row>
    <row r="212" spans="1:2" x14ac:dyDescent="0.2">
      <c r="A212" s="61">
        <v>43405</v>
      </c>
      <c r="B212" s="63">
        <v>136</v>
      </c>
    </row>
    <row r="213" spans="1:2" x14ac:dyDescent="0.2">
      <c r="A213" s="61">
        <v>43435</v>
      </c>
      <c r="B213" s="63">
        <v>249</v>
      </c>
    </row>
    <row r="214" spans="1:2" x14ac:dyDescent="0.2">
      <c r="A214" s="61">
        <v>43466</v>
      </c>
      <c r="B214" s="63">
        <v>264</v>
      </c>
    </row>
    <row r="215" spans="1:2" x14ac:dyDescent="0.2">
      <c r="A215" s="61">
        <v>43497</v>
      </c>
      <c r="B215" s="63">
        <v>220</v>
      </c>
    </row>
    <row r="216" spans="1:2" x14ac:dyDescent="0.2">
      <c r="A216" s="61">
        <v>43525</v>
      </c>
      <c r="B216" s="63">
        <v>158</v>
      </c>
    </row>
    <row r="217" spans="1:2" x14ac:dyDescent="0.2">
      <c r="A217" s="61">
        <v>43556</v>
      </c>
      <c r="B217" s="63">
        <v>255</v>
      </c>
    </row>
    <row r="218" spans="1:2" x14ac:dyDescent="0.2">
      <c r="A218" s="61">
        <v>43586</v>
      </c>
      <c r="B218" s="63">
        <v>46</v>
      </c>
    </row>
    <row r="219" spans="1:2" x14ac:dyDescent="0.2">
      <c r="A219" s="61">
        <v>43617</v>
      </c>
      <c r="B219" s="63">
        <v>107</v>
      </c>
    </row>
    <row r="220" spans="1:2" x14ac:dyDescent="0.2">
      <c r="A220" s="61">
        <v>43647</v>
      </c>
      <c r="B220" s="63">
        <v>143</v>
      </c>
    </row>
    <row r="221" spans="1:2" x14ac:dyDescent="0.2">
      <c r="A221" s="61">
        <v>43678</v>
      </c>
      <c r="B221" s="63">
        <v>159</v>
      </c>
    </row>
    <row r="222" spans="1:2" x14ac:dyDescent="0.2">
      <c r="A222" s="61">
        <v>43709</v>
      </c>
      <c r="B222" s="63">
        <v>124</v>
      </c>
    </row>
    <row r="223" spans="1:2" x14ac:dyDescent="0.2">
      <c r="A223" s="61">
        <v>43739</v>
      </c>
      <c r="B223" s="63">
        <v>151</v>
      </c>
    </row>
    <row r="224" spans="1:2" x14ac:dyDescent="0.2">
      <c r="A224" s="61">
        <v>43770</v>
      </c>
      <c r="B224" s="63">
        <v>124</v>
      </c>
    </row>
    <row r="225" spans="1:2" x14ac:dyDescent="0.2">
      <c r="A225" s="61">
        <v>43800</v>
      </c>
      <c r="B225" s="63">
        <v>199</v>
      </c>
    </row>
    <row r="226" spans="1:2" x14ac:dyDescent="0.2">
      <c r="A226" s="61">
        <v>43831</v>
      </c>
      <c r="B226" s="63">
        <v>209</v>
      </c>
    </row>
    <row r="227" spans="1:2" x14ac:dyDescent="0.2">
      <c r="A227" s="61">
        <v>43862</v>
      </c>
      <c r="B227" s="63">
        <v>183</v>
      </c>
    </row>
    <row r="228" spans="1:2" x14ac:dyDescent="0.2">
      <c r="A228" s="61">
        <v>43891</v>
      </c>
      <c r="B228" s="63">
        <v>-149</v>
      </c>
    </row>
    <row r="229" spans="1:2" x14ac:dyDescent="0.2">
      <c r="A229" s="61">
        <v>43922</v>
      </c>
      <c r="B229" s="63">
        <v>-19557</v>
      </c>
    </row>
    <row r="230" spans="1:2" x14ac:dyDescent="0.2">
      <c r="A230" s="61">
        <v>43952</v>
      </c>
      <c r="B230" s="63">
        <v>3065</v>
      </c>
    </row>
    <row r="231" spans="1:2" x14ac:dyDescent="0.2">
      <c r="A231" s="61">
        <v>43983</v>
      </c>
      <c r="B231" s="63">
        <v>2369</v>
      </c>
    </row>
    <row r="232" spans="1:2" x14ac:dyDescent="0.2">
      <c r="A232" s="61">
        <v>44013</v>
      </c>
      <c r="B232" s="63">
        <v>167</v>
      </c>
    </row>
    <row r="233" spans="1:2" x14ac:dyDescent="0.2">
      <c r="A233" s="61">
        <v>44044</v>
      </c>
      <c r="B233" s="63">
        <v>428</v>
      </c>
    </row>
    <row r="234" spans="1:2" x14ac:dyDescent="0.2">
      <c r="A234" s="61">
        <v>44075</v>
      </c>
      <c r="B234" s="63">
        <v>749</v>
      </c>
    </row>
    <row r="235" spans="1:2" x14ac:dyDescent="0.2">
      <c r="A235" s="61">
        <v>44105</v>
      </c>
      <c r="B235" s="63">
        <v>365</v>
      </c>
    </row>
    <row r="236" spans="1:2" x14ac:dyDescent="0.2">
      <c r="A236" s="61">
        <v>44136</v>
      </c>
      <c r="B236" s="63">
        <v>307</v>
      </c>
    </row>
    <row r="237" spans="1:2" x14ac:dyDescent="0.2">
      <c r="A237" s="61">
        <v>44166</v>
      </c>
      <c r="B237" s="63">
        <v>-123</v>
      </c>
    </row>
    <row r="238" spans="1:2" x14ac:dyDescent="0.2">
      <c r="A238" s="61">
        <v>44197</v>
      </c>
      <c r="B238" s="63">
        <v>174</v>
      </c>
    </row>
    <row r="239" spans="1:2" x14ac:dyDescent="0.2">
      <c r="A239" s="61">
        <v>44228</v>
      </c>
      <c r="B239" s="63">
        <v>117</v>
      </c>
    </row>
    <row r="240" spans="1:2" x14ac:dyDescent="0.2">
      <c r="A240" s="61">
        <v>44256</v>
      </c>
      <c r="B240" s="63">
        <v>517</v>
      </c>
    </row>
    <row r="241" spans="1:2" x14ac:dyDescent="0.2">
      <c r="A241" s="61">
        <v>44287</v>
      </c>
      <c r="B241" s="63">
        <v>742</v>
      </c>
    </row>
    <row r="242" spans="1:2" x14ac:dyDescent="0.2">
      <c r="A242" s="61">
        <v>44317</v>
      </c>
      <c r="B242" s="63">
        <v>978</v>
      </c>
    </row>
    <row r="243" spans="1:2" x14ac:dyDescent="0.2">
      <c r="A243" s="61">
        <v>44348</v>
      </c>
      <c r="B243" s="63">
        <v>692</v>
      </c>
    </row>
    <row r="244" spans="1:2" x14ac:dyDescent="0.2">
      <c r="A244" s="61">
        <v>44378</v>
      </c>
      <c r="B244" s="63">
        <v>330</v>
      </c>
    </row>
    <row r="245" spans="1:2" x14ac:dyDescent="0.2">
      <c r="A245" s="61">
        <v>44409</v>
      </c>
      <c r="B245" s="63">
        <v>374</v>
      </c>
    </row>
    <row r="246" spans="1:2" x14ac:dyDescent="0.2">
      <c r="A246" s="58"/>
    </row>
    <row r="247" spans="1:2" x14ac:dyDescent="0.2">
      <c r="A247" s="58"/>
    </row>
    <row r="248" spans="1:2" x14ac:dyDescent="0.2">
      <c r="A248" s="58"/>
    </row>
    <row r="249" spans="1:2" x14ac:dyDescent="0.2">
      <c r="A249" s="58"/>
    </row>
    <row r="250" spans="1:2" x14ac:dyDescent="0.2">
      <c r="A250" s="58"/>
    </row>
    <row r="251" spans="1:2" x14ac:dyDescent="0.2">
      <c r="A251" s="58"/>
    </row>
    <row r="252" spans="1:2" x14ac:dyDescent="0.2">
      <c r="A252" s="58"/>
    </row>
    <row r="253" spans="1:2" x14ac:dyDescent="0.2">
      <c r="A253" s="58"/>
    </row>
    <row r="254" spans="1:2" x14ac:dyDescent="0.2">
      <c r="A254" s="58"/>
    </row>
    <row r="255" spans="1:2" x14ac:dyDescent="0.2">
      <c r="A255" s="58"/>
    </row>
    <row r="256" spans="1:2" x14ac:dyDescent="0.2">
      <c r="A256" s="58"/>
    </row>
    <row r="257" spans="1:1" x14ac:dyDescent="0.2">
      <c r="A257" s="58"/>
    </row>
    <row r="258" spans="1:1" x14ac:dyDescent="0.2">
      <c r="A258" s="58"/>
    </row>
    <row r="259" spans="1:1" x14ac:dyDescent="0.2">
      <c r="A259" s="58"/>
    </row>
    <row r="260" spans="1:1" x14ac:dyDescent="0.2">
      <c r="A260" s="58"/>
    </row>
    <row r="261" spans="1:1" x14ac:dyDescent="0.2">
      <c r="A261" s="58"/>
    </row>
    <row r="262" spans="1:1" x14ac:dyDescent="0.2">
      <c r="A262" s="58"/>
    </row>
    <row r="263" spans="1:1" x14ac:dyDescent="0.2">
      <c r="A263" s="58"/>
    </row>
    <row r="264" spans="1:1" x14ac:dyDescent="0.2">
      <c r="A264" s="58"/>
    </row>
    <row r="265" spans="1:1" x14ac:dyDescent="0.2">
      <c r="A265" s="58"/>
    </row>
    <row r="266" spans="1:1" x14ac:dyDescent="0.2">
      <c r="A266" s="58"/>
    </row>
    <row r="267" spans="1:1" x14ac:dyDescent="0.2">
      <c r="A267" s="58"/>
    </row>
    <row r="268" spans="1:1" x14ac:dyDescent="0.2">
      <c r="A268" s="58"/>
    </row>
    <row r="269" spans="1:1" x14ac:dyDescent="0.2">
      <c r="A269" s="58"/>
    </row>
    <row r="270" spans="1:1" x14ac:dyDescent="0.2">
      <c r="A270" s="58"/>
    </row>
    <row r="271" spans="1:1" x14ac:dyDescent="0.2">
      <c r="A271" s="58"/>
    </row>
    <row r="272" spans="1:1" x14ac:dyDescent="0.2">
      <c r="A272" s="58"/>
    </row>
    <row r="273" spans="1:1" x14ac:dyDescent="0.2">
      <c r="A273" s="58"/>
    </row>
    <row r="274" spans="1:1" x14ac:dyDescent="0.2">
      <c r="A274" s="58"/>
    </row>
    <row r="275" spans="1:1" x14ac:dyDescent="0.2">
      <c r="A275" s="58"/>
    </row>
    <row r="276" spans="1:1" x14ac:dyDescent="0.2">
      <c r="A276" s="58"/>
    </row>
    <row r="277" spans="1:1" x14ac:dyDescent="0.2">
      <c r="A277" s="58"/>
    </row>
    <row r="278" spans="1:1" x14ac:dyDescent="0.2">
      <c r="A278" s="58"/>
    </row>
    <row r="279" spans="1:1" x14ac:dyDescent="0.2">
      <c r="A279" s="58"/>
    </row>
    <row r="280" spans="1:1" x14ac:dyDescent="0.2">
      <c r="A280" s="58"/>
    </row>
    <row r="281" spans="1:1" x14ac:dyDescent="0.2">
      <c r="A281" s="58"/>
    </row>
    <row r="282" spans="1:1" x14ac:dyDescent="0.2">
      <c r="A282" s="58"/>
    </row>
    <row r="283" spans="1:1" x14ac:dyDescent="0.2">
      <c r="A283" s="58"/>
    </row>
    <row r="284" spans="1:1" x14ac:dyDescent="0.2">
      <c r="A284" s="58"/>
    </row>
    <row r="285" spans="1:1" x14ac:dyDescent="0.2">
      <c r="A285" s="58"/>
    </row>
    <row r="286" spans="1:1" x14ac:dyDescent="0.2">
      <c r="A286" s="58"/>
    </row>
    <row r="287" spans="1:1" x14ac:dyDescent="0.2">
      <c r="A287" s="58"/>
    </row>
    <row r="288" spans="1:1" x14ac:dyDescent="0.2">
      <c r="A288" s="58"/>
    </row>
    <row r="289" spans="1:1" x14ac:dyDescent="0.2">
      <c r="A289" s="58"/>
    </row>
    <row r="290" spans="1:1" x14ac:dyDescent="0.2">
      <c r="A290" s="58"/>
    </row>
    <row r="291" spans="1:1" x14ac:dyDescent="0.2">
      <c r="A291" s="58"/>
    </row>
    <row r="292" spans="1:1" x14ac:dyDescent="0.2">
      <c r="A292" s="58"/>
    </row>
    <row r="293" spans="1:1" x14ac:dyDescent="0.2">
      <c r="A293" s="58"/>
    </row>
    <row r="294" spans="1:1" x14ac:dyDescent="0.2">
      <c r="A294" s="58"/>
    </row>
    <row r="295" spans="1:1" x14ac:dyDescent="0.2">
      <c r="A295" s="58"/>
    </row>
    <row r="296" spans="1:1" x14ac:dyDescent="0.2">
      <c r="A296" s="58"/>
    </row>
    <row r="297" spans="1:1" x14ac:dyDescent="0.2">
      <c r="A297" s="58"/>
    </row>
    <row r="298" spans="1:1" x14ac:dyDescent="0.2">
      <c r="A298" s="58"/>
    </row>
    <row r="299" spans="1:1" x14ac:dyDescent="0.2">
      <c r="A299" s="58"/>
    </row>
    <row r="300" spans="1:1" x14ac:dyDescent="0.2">
      <c r="A300" s="58"/>
    </row>
    <row r="301" spans="1:1" x14ac:dyDescent="0.2">
      <c r="A301" s="58"/>
    </row>
    <row r="302" spans="1:1" x14ac:dyDescent="0.2">
      <c r="A302" s="58"/>
    </row>
    <row r="303" spans="1:1" x14ac:dyDescent="0.2">
      <c r="A303" s="58"/>
    </row>
    <row r="304" spans="1:1" x14ac:dyDescent="0.2">
      <c r="A304" s="58"/>
    </row>
    <row r="305" spans="1:1" x14ac:dyDescent="0.2">
      <c r="A305" s="58"/>
    </row>
    <row r="306" spans="1:1" x14ac:dyDescent="0.2">
      <c r="A306" s="58"/>
    </row>
    <row r="307" spans="1:1" x14ac:dyDescent="0.2">
      <c r="A307" s="58"/>
    </row>
    <row r="308" spans="1:1" x14ac:dyDescent="0.2">
      <c r="A308" s="58"/>
    </row>
    <row r="309" spans="1:1" x14ac:dyDescent="0.2">
      <c r="A309" s="58"/>
    </row>
    <row r="310" spans="1:1" x14ac:dyDescent="0.2">
      <c r="A310" s="58"/>
    </row>
    <row r="311" spans="1:1" x14ac:dyDescent="0.2">
      <c r="A311" s="58"/>
    </row>
    <row r="312" spans="1:1" x14ac:dyDescent="0.2">
      <c r="A312" s="58"/>
    </row>
    <row r="313" spans="1:1" x14ac:dyDescent="0.2">
      <c r="A313" s="58"/>
    </row>
    <row r="314" spans="1:1" x14ac:dyDescent="0.2">
      <c r="A314" s="58"/>
    </row>
    <row r="315" spans="1:1" x14ac:dyDescent="0.2">
      <c r="A315" s="58"/>
    </row>
    <row r="316" spans="1:1" x14ac:dyDescent="0.2">
      <c r="A316" s="58"/>
    </row>
    <row r="317" spans="1:1" x14ac:dyDescent="0.2">
      <c r="A317" s="58"/>
    </row>
    <row r="318" spans="1:1" x14ac:dyDescent="0.2">
      <c r="A318" s="58"/>
    </row>
    <row r="319" spans="1:1" x14ac:dyDescent="0.2">
      <c r="A319" s="58"/>
    </row>
    <row r="320" spans="1:1" x14ac:dyDescent="0.2">
      <c r="A320" s="58"/>
    </row>
    <row r="321" spans="1:1" x14ac:dyDescent="0.2">
      <c r="A321" s="58"/>
    </row>
    <row r="322" spans="1:1" x14ac:dyDescent="0.2">
      <c r="A322" s="58"/>
    </row>
    <row r="323" spans="1:1" x14ac:dyDescent="0.2">
      <c r="A323" s="58"/>
    </row>
    <row r="324" spans="1:1" x14ac:dyDescent="0.2">
      <c r="A324" s="58"/>
    </row>
    <row r="325" spans="1:1" x14ac:dyDescent="0.2">
      <c r="A325" s="58"/>
    </row>
    <row r="326" spans="1:1" x14ac:dyDescent="0.2">
      <c r="A326" s="58"/>
    </row>
    <row r="327" spans="1:1" x14ac:dyDescent="0.2">
      <c r="A327" s="58"/>
    </row>
    <row r="328" spans="1:1" x14ac:dyDescent="0.2">
      <c r="A328" s="58"/>
    </row>
    <row r="329" spans="1:1" x14ac:dyDescent="0.2">
      <c r="A329" s="58"/>
    </row>
    <row r="330" spans="1:1" x14ac:dyDescent="0.2">
      <c r="A330" s="58"/>
    </row>
    <row r="331" spans="1:1" x14ac:dyDescent="0.2">
      <c r="A331" s="58"/>
    </row>
    <row r="332" spans="1:1" x14ac:dyDescent="0.2">
      <c r="A332" s="58"/>
    </row>
    <row r="333" spans="1:1" x14ac:dyDescent="0.2">
      <c r="A333" s="58"/>
    </row>
    <row r="334" spans="1:1" x14ac:dyDescent="0.2">
      <c r="A334" s="58"/>
    </row>
    <row r="335" spans="1:1" x14ac:dyDescent="0.2">
      <c r="A335" s="58"/>
    </row>
    <row r="336" spans="1:1" x14ac:dyDescent="0.2">
      <c r="A336" s="58"/>
    </row>
    <row r="337" spans="1:1" x14ac:dyDescent="0.2">
      <c r="A337" s="58"/>
    </row>
    <row r="338" spans="1:1" x14ac:dyDescent="0.2">
      <c r="A338" s="58"/>
    </row>
    <row r="339" spans="1:1" x14ac:dyDescent="0.2">
      <c r="A339" s="58"/>
    </row>
    <row r="340" spans="1:1" x14ac:dyDescent="0.2">
      <c r="A340" s="58"/>
    </row>
    <row r="341" spans="1:1" x14ac:dyDescent="0.2">
      <c r="A341" s="58"/>
    </row>
    <row r="342" spans="1:1" x14ac:dyDescent="0.2">
      <c r="A342" s="58"/>
    </row>
    <row r="343" spans="1:1" x14ac:dyDescent="0.2">
      <c r="A343" s="58"/>
    </row>
    <row r="344" spans="1:1" x14ac:dyDescent="0.2">
      <c r="A344" s="58"/>
    </row>
    <row r="345" spans="1:1" x14ac:dyDescent="0.2">
      <c r="A345" s="58"/>
    </row>
    <row r="346" spans="1:1" x14ac:dyDescent="0.2">
      <c r="A346" s="58"/>
    </row>
    <row r="347" spans="1:1" x14ac:dyDescent="0.2">
      <c r="A347" s="58"/>
    </row>
    <row r="348" spans="1:1" x14ac:dyDescent="0.2">
      <c r="A348" s="58"/>
    </row>
    <row r="349" spans="1:1" x14ac:dyDescent="0.2">
      <c r="A349" s="58"/>
    </row>
    <row r="350" spans="1:1" x14ac:dyDescent="0.2">
      <c r="A350" s="58"/>
    </row>
    <row r="351" spans="1:1" x14ac:dyDescent="0.2">
      <c r="A351" s="58"/>
    </row>
    <row r="352" spans="1:1" x14ac:dyDescent="0.2">
      <c r="A352" s="58"/>
    </row>
    <row r="353" spans="1:1" x14ac:dyDescent="0.2">
      <c r="A353" s="58"/>
    </row>
    <row r="354" spans="1:1" x14ac:dyDescent="0.2">
      <c r="A354" s="58"/>
    </row>
    <row r="355" spans="1:1" x14ac:dyDescent="0.2">
      <c r="A355" s="58"/>
    </row>
    <row r="356" spans="1:1" x14ac:dyDescent="0.2">
      <c r="A356" s="58"/>
    </row>
    <row r="357" spans="1:1" x14ac:dyDescent="0.2">
      <c r="A357" s="58"/>
    </row>
    <row r="358" spans="1:1" x14ac:dyDescent="0.2">
      <c r="A358" s="58"/>
    </row>
    <row r="359" spans="1:1" x14ac:dyDescent="0.2">
      <c r="A359" s="58"/>
    </row>
    <row r="360" spans="1:1" x14ac:dyDescent="0.2">
      <c r="A360" s="58"/>
    </row>
    <row r="361" spans="1:1" x14ac:dyDescent="0.2">
      <c r="A361" s="58"/>
    </row>
    <row r="362" spans="1:1" x14ac:dyDescent="0.2">
      <c r="A362" s="58"/>
    </row>
    <row r="363" spans="1:1" x14ac:dyDescent="0.2">
      <c r="A363" s="58"/>
    </row>
    <row r="364" spans="1:1" x14ac:dyDescent="0.2">
      <c r="A364" s="58"/>
    </row>
    <row r="365" spans="1:1" x14ac:dyDescent="0.2">
      <c r="A365" s="58"/>
    </row>
    <row r="366" spans="1:1" x14ac:dyDescent="0.2">
      <c r="A366" s="58"/>
    </row>
    <row r="367" spans="1:1" x14ac:dyDescent="0.2">
      <c r="A367" s="58"/>
    </row>
    <row r="368" spans="1:1" x14ac:dyDescent="0.2">
      <c r="A368" s="58"/>
    </row>
    <row r="369" spans="1:1" x14ac:dyDescent="0.2">
      <c r="A369" s="58"/>
    </row>
    <row r="370" spans="1:1" x14ac:dyDescent="0.2">
      <c r="A370" s="58"/>
    </row>
    <row r="371" spans="1:1" x14ac:dyDescent="0.2">
      <c r="A371" s="58"/>
    </row>
    <row r="372" spans="1:1" x14ac:dyDescent="0.2">
      <c r="A372" s="58"/>
    </row>
    <row r="373" spans="1:1" x14ac:dyDescent="0.2">
      <c r="A373" s="58"/>
    </row>
    <row r="374" spans="1:1" x14ac:dyDescent="0.2">
      <c r="A374" s="58"/>
    </row>
    <row r="375" spans="1:1" x14ac:dyDescent="0.2">
      <c r="A375" s="58"/>
    </row>
    <row r="376" spans="1:1" x14ac:dyDescent="0.2">
      <c r="A376" s="58"/>
    </row>
    <row r="377" spans="1:1" x14ac:dyDescent="0.2">
      <c r="A377" s="58"/>
    </row>
    <row r="378" spans="1:1" x14ac:dyDescent="0.2">
      <c r="A378" s="58"/>
    </row>
    <row r="379" spans="1:1" x14ac:dyDescent="0.2">
      <c r="A379" s="58"/>
    </row>
    <row r="380" spans="1:1" x14ac:dyDescent="0.2">
      <c r="A380" s="58"/>
    </row>
    <row r="381" spans="1:1" x14ac:dyDescent="0.2">
      <c r="A381" s="58"/>
    </row>
    <row r="382" spans="1:1" x14ac:dyDescent="0.2">
      <c r="A382" s="58"/>
    </row>
    <row r="383" spans="1:1" x14ac:dyDescent="0.2">
      <c r="A383" s="58"/>
    </row>
    <row r="384" spans="1:1" x14ac:dyDescent="0.2">
      <c r="A384" s="58"/>
    </row>
    <row r="385" spans="1:1" x14ac:dyDescent="0.2">
      <c r="A385" s="58"/>
    </row>
    <row r="386" spans="1:1" x14ac:dyDescent="0.2">
      <c r="A386" s="58"/>
    </row>
    <row r="387" spans="1:1" x14ac:dyDescent="0.2">
      <c r="A387" s="58"/>
    </row>
    <row r="388" spans="1:1" x14ac:dyDescent="0.2">
      <c r="A388" s="58"/>
    </row>
    <row r="389" spans="1:1" x14ac:dyDescent="0.2">
      <c r="A389" s="58"/>
    </row>
    <row r="390" spans="1:1" x14ac:dyDescent="0.2">
      <c r="A390" s="58"/>
    </row>
    <row r="391" spans="1:1" x14ac:dyDescent="0.2">
      <c r="A391" s="58"/>
    </row>
    <row r="392" spans="1:1" x14ac:dyDescent="0.2">
      <c r="A392" s="58"/>
    </row>
    <row r="393" spans="1:1" x14ac:dyDescent="0.2">
      <c r="A393" s="58"/>
    </row>
    <row r="394" spans="1:1" x14ac:dyDescent="0.2">
      <c r="A394" s="58"/>
    </row>
    <row r="395" spans="1:1" x14ac:dyDescent="0.2">
      <c r="A395" s="58"/>
    </row>
    <row r="396" spans="1:1" x14ac:dyDescent="0.2">
      <c r="A396" s="58"/>
    </row>
    <row r="397" spans="1:1" x14ac:dyDescent="0.2">
      <c r="A397" s="58"/>
    </row>
    <row r="398" spans="1:1" x14ac:dyDescent="0.2">
      <c r="A398" s="58"/>
    </row>
    <row r="399" spans="1:1" x14ac:dyDescent="0.2">
      <c r="A399" s="58"/>
    </row>
    <row r="400" spans="1:1" x14ac:dyDescent="0.2">
      <c r="A400" s="58"/>
    </row>
    <row r="401" spans="1:1" x14ac:dyDescent="0.2">
      <c r="A401" s="58"/>
    </row>
    <row r="402" spans="1:1" x14ac:dyDescent="0.2">
      <c r="A402" s="58"/>
    </row>
    <row r="403" spans="1:1" x14ac:dyDescent="0.2">
      <c r="A403" s="58"/>
    </row>
    <row r="404" spans="1:1" x14ac:dyDescent="0.2">
      <c r="A404" s="58"/>
    </row>
    <row r="405" spans="1:1" x14ac:dyDescent="0.2">
      <c r="A405" s="58"/>
    </row>
    <row r="406" spans="1:1" x14ac:dyDescent="0.2">
      <c r="A406" s="58"/>
    </row>
    <row r="407" spans="1:1" x14ac:dyDescent="0.2">
      <c r="A407" s="58"/>
    </row>
    <row r="408" spans="1:1" x14ac:dyDescent="0.2">
      <c r="A408" s="58"/>
    </row>
    <row r="409" spans="1:1" x14ac:dyDescent="0.2">
      <c r="A409" s="58"/>
    </row>
    <row r="410" spans="1:1" x14ac:dyDescent="0.2">
      <c r="A410" s="58"/>
    </row>
    <row r="411" spans="1:1" x14ac:dyDescent="0.2">
      <c r="A411" s="58"/>
    </row>
    <row r="412" spans="1:1" x14ac:dyDescent="0.2">
      <c r="A412" s="58"/>
    </row>
    <row r="413" spans="1:1" x14ac:dyDescent="0.2">
      <c r="A413" s="58"/>
    </row>
    <row r="414" spans="1:1" x14ac:dyDescent="0.2">
      <c r="A414" s="58"/>
    </row>
    <row r="415" spans="1:1" x14ac:dyDescent="0.2">
      <c r="A415" s="58"/>
    </row>
    <row r="416" spans="1:1" x14ac:dyDescent="0.2">
      <c r="A416" s="58"/>
    </row>
    <row r="417" spans="1:1" x14ac:dyDescent="0.2">
      <c r="A417" s="58"/>
    </row>
    <row r="418" spans="1:1" x14ac:dyDescent="0.2">
      <c r="A418" s="58"/>
    </row>
    <row r="419" spans="1:1" x14ac:dyDescent="0.2">
      <c r="A419" s="58"/>
    </row>
    <row r="420" spans="1:1" x14ac:dyDescent="0.2">
      <c r="A420" s="58"/>
    </row>
    <row r="421" spans="1:1" x14ac:dyDescent="0.2">
      <c r="A421" s="58"/>
    </row>
    <row r="422" spans="1:1" x14ac:dyDescent="0.2">
      <c r="A422" s="58"/>
    </row>
    <row r="423" spans="1:1" x14ac:dyDescent="0.2">
      <c r="A423" s="58"/>
    </row>
    <row r="424" spans="1:1" x14ac:dyDescent="0.2">
      <c r="A424" s="58"/>
    </row>
    <row r="425" spans="1:1" x14ac:dyDescent="0.2">
      <c r="A425" s="58"/>
    </row>
    <row r="426" spans="1:1" x14ac:dyDescent="0.2">
      <c r="A426" s="58"/>
    </row>
    <row r="427" spans="1:1" x14ac:dyDescent="0.2">
      <c r="A427" s="58"/>
    </row>
    <row r="428" spans="1:1" x14ac:dyDescent="0.2">
      <c r="A428" s="58"/>
    </row>
    <row r="429" spans="1:1" x14ac:dyDescent="0.2">
      <c r="A429" s="58"/>
    </row>
    <row r="430" spans="1:1" x14ac:dyDescent="0.2">
      <c r="A430" s="58"/>
    </row>
    <row r="431" spans="1:1" x14ac:dyDescent="0.2">
      <c r="A431" s="58"/>
    </row>
    <row r="432" spans="1:1" x14ac:dyDescent="0.2">
      <c r="A432" s="58"/>
    </row>
    <row r="433" spans="1:1" x14ac:dyDescent="0.2">
      <c r="A433" s="58"/>
    </row>
    <row r="434" spans="1:1" x14ac:dyDescent="0.2">
      <c r="A434" s="58"/>
    </row>
    <row r="435" spans="1:1" x14ac:dyDescent="0.2">
      <c r="A435" s="58"/>
    </row>
    <row r="436" spans="1:1" x14ac:dyDescent="0.2">
      <c r="A436" s="58"/>
    </row>
    <row r="437" spans="1:1" x14ac:dyDescent="0.2">
      <c r="A437" s="58"/>
    </row>
    <row r="438" spans="1:1" x14ac:dyDescent="0.2">
      <c r="A438" s="58"/>
    </row>
    <row r="439" spans="1:1" x14ac:dyDescent="0.2">
      <c r="A439" s="58"/>
    </row>
    <row r="440" spans="1:1" x14ac:dyDescent="0.2">
      <c r="A440" s="58"/>
    </row>
    <row r="441" spans="1:1" x14ac:dyDescent="0.2">
      <c r="A441" s="58"/>
    </row>
    <row r="442" spans="1:1" x14ac:dyDescent="0.2">
      <c r="A442" s="58"/>
    </row>
    <row r="443" spans="1:1" x14ac:dyDescent="0.2">
      <c r="A443" s="58"/>
    </row>
    <row r="444" spans="1:1" x14ac:dyDescent="0.2">
      <c r="A444" s="58"/>
    </row>
    <row r="445" spans="1:1" x14ac:dyDescent="0.2">
      <c r="A445" s="58"/>
    </row>
    <row r="446" spans="1:1" x14ac:dyDescent="0.2">
      <c r="A446" s="58"/>
    </row>
    <row r="447" spans="1:1" x14ac:dyDescent="0.2">
      <c r="A447" s="58"/>
    </row>
    <row r="448" spans="1:1" x14ac:dyDescent="0.2">
      <c r="A448" s="58"/>
    </row>
    <row r="449" spans="1:1" x14ac:dyDescent="0.2">
      <c r="A449" s="58"/>
    </row>
    <row r="450" spans="1:1" x14ac:dyDescent="0.2">
      <c r="A450" s="58"/>
    </row>
    <row r="451" spans="1:1" x14ac:dyDescent="0.2">
      <c r="A451" s="58"/>
    </row>
    <row r="452" spans="1:1" x14ac:dyDescent="0.2">
      <c r="A452" s="58"/>
    </row>
    <row r="453" spans="1:1" x14ac:dyDescent="0.2">
      <c r="A453" s="58"/>
    </row>
    <row r="454" spans="1:1" x14ac:dyDescent="0.2">
      <c r="A454" s="58"/>
    </row>
    <row r="455" spans="1:1" x14ac:dyDescent="0.2">
      <c r="A455" s="58"/>
    </row>
    <row r="456" spans="1:1" x14ac:dyDescent="0.2">
      <c r="A456" s="58"/>
    </row>
    <row r="457" spans="1:1" x14ac:dyDescent="0.2">
      <c r="A457" s="58"/>
    </row>
    <row r="458" spans="1:1" x14ac:dyDescent="0.2">
      <c r="A458" s="58"/>
    </row>
    <row r="459" spans="1:1" x14ac:dyDescent="0.2">
      <c r="A459" s="58"/>
    </row>
    <row r="460" spans="1:1" x14ac:dyDescent="0.2">
      <c r="A460" s="58"/>
    </row>
    <row r="461" spans="1:1" x14ac:dyDescent="0.2">
      <c r="A461" s="58"/>
    </row>
    <row r="462" spans="1:1" x14ac:dyDescent="0.2">
      <c r="A462" s="58"/>
    </row>
    <row r="463" spans="1:1" x14ac:dyDescent="0.2">
      <c r="A463" s="58"/>
    </row>
    <row r="464" spans="1:1" x14ac:dyDescent="0.2">
      <c r="A464" s="58"/>
    </row>
    <row r="465" spans="1:1" x14ac:dyDescent="0.2">
      <c r="A465" s="58"/>
    </row>
    <row r="466" spans="1:1" x14ac:dyDescent="0.2">
      <c r="A466" s="58"/>
    </row>
    <row r="467" spans="1:1" x14ac:dyDescent="0.2">
      <c r="A467" s="58"/>
    </row>
    <row r="468" spans="1:1" x14ac:dyDescent="0.2">
      <c r="A468" s="58"/>
    </row>
    <row r="469" spans="1:1" x14ac:dyDescent="0.2">
      <c r="A469" s="58"/>
    </row>
    <row r="470" spans="1:1" x14ac:dyDescent="0.2">
      <c r="A470" s="58"/>
    </row>
    <row r="471" spans="1:1" x14ac:dyDescent="0.2">
      <c r="A471" s="58"/>
    </row>
    <row r="472" spans="1:1" x14ac:dyDescent="0.2">
      <c r="A472" s="58"/>
    </row>
    <row r="473" spans="1:1" x14ac:dyDescent="0.2">
      <c r="A473" s="58"/>
    </row>
    <row r="474" spans="1:1" x14ac:dyDescent="0.2">
      <c r="A474" s="58"/>
    </row>
    <row r="475" spans="1:1" x14ac:dyDescent="0.2">
      <c r="A475" s="58"/>
    </row>
    <row r="476" spans="1:1" x14ac:dyDescent="0.2">
      <c r="A476" s="58"/>
    </row>
    <row r="477" spans="1:1" x14ac:dyDescent="0.2">
      <c r="A477" s="58"/>
    </row>
    <row r="478" spans="1:1" x14ac:dyDescent="0.2">
      <c r="A478" s="58"/>
    </row>
    <row r="479" spans="1:1" x14ac:dyDescent="0.2">
      <c r="A479" s="58"/>
    </row>
    <row r="480" spans="1:1" x14ac:dyDescent="0.2">
      <c r="A480" s="58"/>
    </row>
    <row r="481" spans="1:1" x14ac:dyDescent="0.2">
      <c r="A481" s="58"/>
    </row>
    <row r="482" spans="1:1" x14ac:dyDescent="0.2">
      <c r="A482" s="58"/>
    </row>
    <row r="483" spans="1:1" x14ac:dyDescent="0.2">
      <c r="A483" s="58"/>
    </row>
    <row r="484" spans="1:1" x14ac:dyDescent="0.2">
      <c r="A484" s="58"/>
    </row>
    <row r="485" spans="1:1" x14ac:dyDescent="0.2">
      <c r="A485" s="58"/>
    </row>
    <row r="486" spans="1:1" x14ac:dyDescent="0.2">
      <c r="A486" s="58"/>
    </row>
    <row r="487" spans="1:1" x14ac:dyDescent="0.2">
      <c r="A487" s="58"/>
    </row>
    <row r="488" spans="1:1" x14ac:dyDescent="0.2">
      <c r="A488" s="58"/>
    </row>
    <row r="489" spans="1:1" x14ac:dyDescent="0.2">
      <c r="A489" s="58"/>
    </row>
    <row r="490" spans="1:1" x14ac:dyDescent="0.2">
      <c r="A490" s="58"/>
    </row>
    <row r="491" spans="1:1" x14ac:dyDescent="0.2">
      <c r="A491" s="58"/>
    </row>
    <row r="492" spans="1:1" x14ac:dyDescent="0.2">
      <c r="A492" s="58"/>
    </row>
    <row r="493" spans="1:1" x14ac:dyDescent="0.2">
      <c r="A493" s="58"/>
    </row>
    <row r="494" spans="1:1" x14ac:dyDescent="0.2">
      <c r="A494" s="58"/>
    </row>
    <row r="495" spans="1:1" x14ac:dyDescent="0.2">
      <c r="A495" s="58"/>
    </row>
    <row r="496" spans="1:1" x14ac:dyDescent="0.2">
      <c r="A496" s="58"/>
    </row>
    <row r="497" spans="1:1" x14ac:dyDescent="0.2">
      <c r="A497" s="58"/>
    </row>
    <row r="498" spans="1:1" x14ac:dyDescent="0.2">
      <c r="A498" s="58"/>
    </row>
    <row r="499" spans="1:1" x14ac:dyDescent="0.2">
      <c r="A499" s="58"/>
    </row>
    <row r="500" spans="1:1" x14ac:dyDescent="0.2">
      <c r="A500" s="58"/>
    </row>
    <row r="501" spans="1:1" x14ac:dyDescent="0.2">
      <c r="A501" s="58"/>
    </row>
    <row r="502" spans="1:1" x14ac:dyDescent="0.2">
      <c r="A502" s="58"/>
    </row>
    <row r="503" spans="1:1" x14ac:dyDescent="0.2">
      <c r="A503" s="58"/>
    </row>
    <row r="504" spans="1:1" x14ac:dyDescent="0.2">
      <c r="A504" s="58"/>
    </row>
    <row r="505" spans="1:1" x14ac:dyDescent="0.2">
      <c r="A505" s="58"/>
    </row>
    <row r="506" spans="1:1" x14ac:dyDescent="0.2">
      <c r="A506" s="58"/>
    </row>
    <row r="507" spans="1:1" x14ac:dyDescent="0.2">
      <c r="A507" s="58"/>
    </row>
    <row r="508" spans="1:1" x14ac:dyDescent="0.2">
      <c r="A508" s="58"/>
    </row>
    <row r="509" spans="1:1" x14ac:dyDescent="0.2">
      <c r="A509" s="58"/>
    </row>
    <row r="510" spans="1:1" x14ac:dyDescent="0.2">
      <c r="A510" s="58"/>
    </row>
    <row r="511" spans="1:1" x14ac:dyDescent="0.2">
      <c r="A511" s="58"/>
    </row>
    <row r="512" spans="1:1" x14ac:dyDescent="0.2">
      <c r="A512" s="58"/>
    </row>
    <row r="513" spans="1:1" x14ac:dyDescent="0.2">
      <c r="A513" s="58"/>
    </row>
    <row r="514" spans="1:1" x14ac:dyDescent="0.2">
      <c r="A514" s="58"/>
    </row>
    <row r="515" spans="1:1" x14ac:dyDescent="0.2">
      <c r="A515" s="58"/>
    </row>
    <row r="516" spans="1:1" x14ac:dyDescent="0.2">
      <c r="A516" s="58"/>
    </row>
    <row r="517" spans="1:1" x14ac:dyDescent="0.2">
      <c r="A517" s="58"/>
    </row>
    <row r="518" spans="1:1" x14ac:dyDescent="0.2">
      <c r="A518" s="58"/>
    </row>
    <row r="519" spans="1:1" x14ac:dyDescent="0.2">
      <c r="A519" s="58"/>
    </row>
    <row r="520" spans="1:1" x14ac:dyDescent="0.2">
      <c r="A520" s="58"/>
    </row>
    <row r="521" spans="1:1" x14ac:dyDescent="0.2">
      <c r="A521" s="58"/>
    </row>
    <row r="522" spans="1:1" x14ac:dyDescent="0.2">
      <c r="A522" s="58"/>
    </row>
    <row r="523" spans="1:1" x14ac:dyDescent="0.2">
      <c r="A523" s="58"/>
    </row>
    <row r="524" spans="1:1" x14ac:dyDescent="0.2">
      <c r="A524" s="58"/>
    </row>
    <row r="525" spans="1:1" x14ac:dyDescent="0.2">
      <c r="A525" s="58"/>
    </row>
    <row r="526" spans="1:1" x14ac:dyDescent="0.2">
      <c r="A526" s="58"/>
    </row>
    <row r="527" spans="1:1" x14ac:dyDescent="0.2">
      <c r="A527" s="58"/>
    </row>
    <row r="528" spans="1:1" x14ac:dyDescent="0.2">
      <c r="A528" s="58"/>
    </row>
    <row r="529" spans="1:1" x14ac:dyDescent="0.2">
      <c r="A529" s="58"/>
    </row>
    <row r="530" spans="1:1" x14ac:dyDescent="0.2">
      <c r="A530" s="58"/>
    </row>
    <row r="531" spans="1:1" x14ac:dyDescent="0.2">
      <c r="A531" s="58"/>
    </row>
    <row r="532" spans="1:1" x14ac:dyDescent="0.2">
      <c r="A532" s="58"/>
    </row>
    <row r="533" spans="1:1" x14ac:dyDescent="0.2">
      <c r="A533" s="58"/>
    </row>
    <row r="534" spans="1:1" x14ac:dyDescent="0.2">
      <c r="A534" s="58"/>
    </row>
    <row r="535" spans="1:1" x14ac:dyDescent="0.2">
      <c r="A535" s="58"/>
    </row>
    <row r="536" spans="1:1" x14ac:dyDescent="0.2">
      <c r="A536" s="58"/>
    </row>
    <row r="537" spans="1:1" x14ac:dyDescent="0.2">
      <c r="A537" s="58"/>
    </row>
    <row r="538" spans="1:1" x14ac:dyDescent="0.2">
      <c r="A538" s="58"/>
    </row>
    <row r="539" spans="1:1" x14ac:dyDescent="0.2">
      <c r="A539" s="58"/>
    </row>
    <row r="540" spans="1:1" x14ac:dyDescent="0.2">
      <c r="A540" s="58"/>
    </row>
    <row r="541" spans="1:1" x14ac:dyDescent="0.2">
      <c r="A541" s="58"/>
    </row>
    <row r="542" spans="1:1" x14ac:dyDescent="0.2">
      <c r="A542" s="58"/>
    </row>
    <row r="543" spans="1:1" x14ac:dyDescent="0.2">
      <c r="A543" s="58"/>
    </row>
    <row r="544" spans="1:1" x14ac:dyDescent="0.2">
      <c r="A544" s="58"/>
    </row>
    <row r="545" spans="1:1" x14ac:dyDescent="0.2">
      <c r="A545" s="58"/>
    </row>
    <row r="546" spans="1:1" x14ac:dyDescent="0.2">
      <c r="A546" s="58"/>
    </row>
    <row r="547" spans="1:1" x14ac:dyDescent="0.2">
      <c r="A547" s="58"/>
    </row>
    <row r="548" spans="1:1" x14ac:dyDescent="0.2">
      <c r="A548" s="58"/>
    </row>
    <row r="549" spans="1:1" x14ac:dyDescent="0.2">
      <c r="A549" s="58"/>
    </row>
    <row r="550" spans="1:1" x14ac:dyDescent="0.2">
      <c r="A550" s="58"/>
    </row>
    <row r="551" spans="1:1" x14ac:dyDescent="0.2">
      <c r="A551" s="58"/>
    </row>
    <row r="552" spans="1:1" x14ac:dyDescent="0.2">
      <c r="A552" s="58"/>
    </row>
    <row r="553" spans="1:1" x14ac:dyDescent="0.2">
      <c r="A553" s="58"/>
    </row>
    <row r="554" spans="1:1" x14ac:dyDescent="0.2">
      <c r="A554" s="58"/>
    </row>
    <row r="555" spans="1:1" x14ac:dyDescent="0.2">
      <c r="A555" s="58"/>
    </row>
    <row r="556" spans="1:1" x14ac:dyDescent="0.2">
      <c r="A556" s="58"/>
    </row>
    <row r="557" spans="1:1" x14ac:dyDescent="0.2">
      <c r="A557" s="58"/>
    </row>
    <row r="558" spans="1:1" x14ac:dyDescent="0.2">
      <c r="A558" s="58"/>
    </row>
    <row r="559" spans="1:1" x14ac:dyDescent="0.2">
      <c r="A559" s="58"/>
    </row>
    <row r="560" spans="1:1" x14ac:dyDescent="0.2">
      <c r="A560" s="58"/>
    </row>
    <row r="561" spans="1:1" x14ac:dyDescent="0.2">
      <c r="A561" s="58"/>
    </row>
    <row r="562" spans="1:1" x14ac:dyDescent="0.2">
      <c r="A562" s="58"/>
    </row>
    <row r="563" spans="1:1" x14ac:dyDescent="0.2">
      <c r="A563" s="58"/>
    </row>
    <row r="564" spans="1:1" x14ac:dyDescent="0.2">
      <c r="A564" s="58"/>
    </row>
    <row r="565" spans="1:1" x14ac:dyDescent="0.2">
      <c r="A565" s="58"/>
    </row>
    <row r="566" spans="1:1" x14ac:dyDescent="0.2">
      <c r="A566" s="58"/>
    </row>
    <row r="567" spans="1:1" x14ac:dyDescent="0.2">
      <c r="A567" s="58"/>
    </row>
    <row r="568" spans="1:1" x14ac:dyDescent="0.2">
      <c r="A568" s="58"/>
    </row>
    <row r="569" spans="1:1" x14ac:dyDescent="0.2">
      <c r="A569" s="58"/>
    </row>
    <row r="570" spans="1:1" x14ac:dyDescent="0.2">
      <c r="A570" s="58"/>
    </row>
    <row r="571" spans="1:1" x14ac:dyDescent="0.2">
      <c r="A571" s="58"/>
    </row>
    <row r="572" spans="1:1" x14ac:dyDescent="0.2">
      <c r="A572" s="58"/>
    </row>
    <row r="573" spans="1:1" x14ac:dyDescent="0.2">
      <c r="A573" s="58"/>
    </row>
    <row r="574" spans="1:1" x14ac:dyDescent="0.2">
      <c r="A574" s="58"/>
    </row>
    <row r="575" spans="1:1" x14ac:dyDescent="0.2">
      <c r="A575" s="58"/>
    </row>
    <row r="576" spans="1:1" x14ac:dyDescent="0.2">
      <c r="A576" s="58"/>
    </row>
    <row r="577" spans="1:1" x14ac:dyDescent="0.2">
      <c r="A577" s="58"/>
    </row>
    <row r="578" spans="1:1" x14ac:dyDescent="0.2">
      <c r="A578" s="58"/>
    </row>
    <row r="579" spans="1:1" x14ac:dyDescent="0.2">
      <c r="A579" s="58"/>
    </row>
    <row r="580" spans="1:1" x14ac:dyDescent="0.2">
      <c r="A580" s="58"/>
    </row>
    <row r="581" spans="1:1" x14ac:dyDescent="0.2">
      <c r="A581" s="58"/>
    </row>
    <row r="582" spans="1:1" x14ac:dyDescent="0.2">
      <c r="A582" s="58"/>
    </row>
    <row r="583" spans="1:1" x14ac:dyDescent="0.2">
      <c r="A583" s="58"/>
    </row>
    <row r="584" spans="1:1" x14ac:dyDescent="0.2">
      <c r="A584" s="58"/>
    </row>
    <row r="585" spans="1:1" x14ac:dyDescent="0.2">
      <c r="A585" s="58"/>
    </row>
    <row r="586" spans="1:1" x14ac:dyDescent="0.2">
      <c r="A586" s="58"/>
    </row>
    <row r="587" spans="1:1" x14ac:dyDescent="0.2">
      <c r="A587" s="58"/>
    </row>
    <row r="588" spans="1:1" x14ac:dyDescent="0.2">
      <c r="A588" s="58"/>
    </row>
    <row r="589" spans="1:1" x14ac:dyDescent="0.2">
      <c r="A589" s="58"/>
    </row>
    <row r="590" spans="1:1" x14ac:dyDescent="0.2">
      <c r="A590" s="58"/>
    </row>
    <row r="591" spans="1:1" x14ac:dyDescent="0.2">
      <c r="A591" s="58"/>
    </row>
    <row r="592" spans="1:1" x14ac:dyDescent="0.2">
      <c r="A592" s="58"/>
    </row>
    <row r="593" spans="1:1" x14ac:dyDescent="0.2">
      <c r="A593" s="58"/>
    </row>
    <row r="594" spans="1:1" x14ac:dyDescent="0.2">
      <c r="A594" s="58"/>
    </row>
    <row r="595" spans="1:1" x14ac:dyDescent="0.2">
      <c r="A595" s="58"/>
    </row>
    <row r="596" spans="1:1" x14ac:dyDescent="0.2">
      <c r="A596" s="58"/>
    </row>
    <row r="597" spans="1:1" x14ac:dyDescent="0.2">
      <c r="A597" s="58"/>
    </row>
    <row r="598" spans="1:1" x14ac:dyDescent="0.2">
      <c r="A598" s="58"/>
    </row>
    <row r="599" spans="1:1" x14ac:dyDescent="0.2">
      <c r="A599" s="58"/>
    </row>
    <row r="600" spans="1:1" x14ac:dyDescent="0.2">
      <c r="A600" s="58"/>
    </row>
    <row r="601" spans="1:1" x14ac:dyDescent="0.2">
      <c r="A601" s="58"/>
    </row>
    <row r="602" spans="1:1" x14ac:dyDescent="0.2">
      <c r="A602" s="58"/>
    </row>
    <row r="603" spans="1:1" x14ac:dyDescent="0.2">
      <c r="A603" s="58"/>
    </row>
    <row r="604" spans="1:1" x14ac:dyDescent="0.2">
      <c r="A604" s="58"/>
    </row>
    <row r="605" spans="1:1" x14ac:dyDescent="0.2">
      <c r="A605" s="58"/>
    </row>
    <row r="606" spans="1:1" x14ac:dyDescent="0.2">
      <c r="A606" s="58"/>
    </row>
    <row r="607" spans="1:1" x14ac:dyDescent="0.2">
      <c r="A607" s="58"/>
    </row>
    <row r="608" spans="1:1" x14ac:dyDescent="0.2">
      <c r="A608" s="58"/>
    </row>
    <row r="609" spans="1:1" x14ac:dyDescent="0.2">
      <c r="A609" s="58"/>
    </row>
    <row r="610" spans="1:1" x14ac:dyDescent="0.2">
      <c r="A610" s="58"/>
    </row>
    <row r="611" spans="1:1" x14ac:dyDescent="0.2">
      <c r="A611" s="58"/>
    </row>
    <row r="612" spans="1:1" x14ac:dyDescent="0.2">
      <c r="A612" s="58"/>
    </row>
    <row r="613" spans="1:1" x14ac:dyDescent="0.2">
      <c r="A613" s="58"/>
    </row>
    <row r="614" spans="1:1" x14ac:dyDescent="0.2">
      <c r="A614" s="58"/>
    </row>
    <row r="615" spans="1:1" x14ac:dyDescent="0.2">
      <c r="A615" s="58"/>
    </row>
    <row r="616" spans="1:1" x14ac:dyDescent="0.2">
      <c r="A616" s="58"/>
    </row>
    <row r="617" spans="1:1" x14ac:dyDescent="0.2">
      <c r="A617" s="58"/>
    </row>
    <row r="618" spans="1:1" x14ac:dyDescent="0.2">
      <c r="A618" s="58"/>
    </row>
    <row r="619" spans="1:1" x14ac:dyDescent="0.2">
      <c r="A619" s="58"/>
    </row>
    <row r="620" spans="1:1" x14ac:dyDescent="0.2">
      <c r="A620" s="58"/>
    </row>
    <row r="621" spans="1:1" x14ac:dyDescent="0.2">
      <c r="A621" s="58"/>
    </row>
    <row r="622" spans="1:1" x14ac:dyDescent="0.2">
      <c r="A622" s="58"/>
    </row>
    <row r="623" spans="1:1" x14ac:dyDescent="0.2">
      <c r="A623" s="58"/>
    </row>
    <row r="624" spans="1:1" x14ac:dyDescent="0.2">
      <c r="A624" s="58"/>
    </row>
    <row r="625" spans="1:1" x14ac:dyDescent="0.2">
      <c r="A625" s="58"/>
    </row>
    <row r="626" spans="1:1" x14ac:dyDescent="0.2">
      <c r="A626" s="58"/>
    </row>
    <row r="627" spans="1:1" x14ac:dyDescent="0.2">
      <c r="A627" s="58"/>
    </row>
    <row r="628" spans="1:1" x14ac:dyDescent="0.2">
      <c r="A628" s="58"/>
    </row>
    <row r="629" spans="1:1" x14ac:dyDescent="0.2">
      <c r="A629" s="58"/>
    </row>
    <row r="630" spans="1:1" x14ac:dyDescent="0.2">
      <c r="A630" s="58"/>
    </row>
    <row r="631" spans="1:1" x14ac:dyDescent="0.2">
      <c r="A631" s="58"/>
    </row>
    <row r="632" spans="1:1" x14ac:dyDescent="0.2">
      <c r="A632" s="58"/>
    </row>
    <row r="633" spans="1:1" x14ac:dyDescent="0.2">
      <c r="A633" s="58"/>
    </row>
    <row r="634" spans="1:1" x14ac:dyDescent="0.2">
      <c r="A634" s="58"/>
    </row>
    <row r="635" spans="1:1" x14ac:dyDescent="0.2">
      <c r="A635" s="58"/>
    </row>
    <row r="636" spans="1:1" x14ac:dyDescent="0.2">
      <c r="A636" s="58"/>
    </row>
    <row r="637" spans="1:1" x14ac:dyDescent="0.2">
      <c r="A637" s="58"/>
    </row>
    <row r="638" spans="1:1" x14ac:dyDescent="0.2">
      <c r="A638" s="58"/>
    </row>
    <row r="639" spans="1:1" x14ac:dyDescent="0.2">
      <c r="A639" s="58"/>
    </row>
    <row r="640" spans="1:1" x14ac:dyDescent="0.2">
      <c r="A640" s="58"/>
    </row>
    <row r="641" spans="1:1" x14ac:dyDescent="0.2">
      <c r="A641" s="58"/>
    </row>
    <row r="642" spans="1:1" x14ac:dyDescent="0.2">
      <c r="A642" s="58"/>
    </row>
    <row r="643" spans="1:1" x14ac:dyDescent="0.2">
      <c r="A643" s="58"/>
    </row>
    <row r="644" spans="1:1" x14ac:dyDescent="0.2">
      <c r="A644" s="58"/>
    </row>
    <row r="645" spans="1:1" x14ac:dyDescent="0.2">
      <c r="A645" s="58"/>
    </row>
    <row r="646" spans="1:1" x14ac:dyDescent="0.2">
      <c r="A646" s="58"/>
    </row>
    <row r="647" spans="1:1" x14ac:dyDescent="0.2">
      <c r="A647" s="58"/>
    </row>
    <row r="648" spans="1:1" x14ac:dyDescent="0.2">
      <c r="A648" s="58"/>
    </row>
    <row r="649" spans="1:1" x14ac:dyDescent="0.2">
      <c r="A649" s="58"/>
    </row>
    <row r="650" spans="1:1" x14ac:dyDescent="0.2">
      <c r="A650" s="58"/>
    </row>
    <row r="651" spans="1:1" x14ac:dyDescent="0.2">
      <c r="A651" s="58"/>
    </row>
    <row r="652" spans="1:1" x14ac:dyDescent="0.2">
      <c r="A652" s="58"/>
    </row>
    <row r="653" spans="1:1" x14ac:dyDescent="0.2">
      <c r="A653" s="58"/>
    </row>
    <row r="654" spans="1:1" x14ac:dyDescent="0.2">
      <c r="A654" s="58"/>
    </row>
    <row r="655" spans="1:1" x14ac:dyDescent="0.2">
      <c r="A655" s="58"/>
    </row>
    <row r="656" spans="1:1" x14ac:dyDescent="0.2">
      <c r="A656" s="58"/>
    </row>
    <row r="657" spans="1:1" x14ac:dyDescent="0.2">
      <c r="A657" s="58"/>
    </row>
    <row r="658" spans="1:1" x14ac:dyDescent="0.2">
      <c r="A658" s="58"/>
    </row>
    <row r="659" spans="1:1" x14ac:dyDescent="0.2">
      <c r="A659" s="58"/>
    </row>
    <row r="660" spans="1:1" x14ac:dyDescent="0.2">
      <c r="A660" s="58"/>
    </row>
    <row r="661" spans="1:1" x14ac:dyDescent="0.2">
      <c r="A661" s="58"/>
    </row>
    <row r="662" spans="1:1" x14ac:dyDescent="0.2">
      <c r="A662" s="58"/>
    </row>
    <row r="663" spans="1:1" x14ac:dyDescent="0.2">
      <c r="A663" s="58"/>
    </row>
    <row r="664" spans="1:1" x14ac:dyDescent="0.2">
      <c r="A664" s="58"/>
    </row>
    <row r="665" spans="1:1" x14ac:dyDescent="0.2">
      <c r="A665" s="58"/>
    </row>
    <row r="666" spans="1:1" x14ac:dyDescent="0.2">
      <c r="A666" s="58"/>
    </row>
    <row r="667" spans="1:1" x14ac:dyDescent="0.2">
      <c r="A667" s="58"/>
    </row>
    <row r="668" spans="1:1" x14ac:dyDescent="0.2">
      <c r="A668" s="58"/>
    </row>
    <row r="669" spans="1:1" x14ac:dyDescent="0.2">
      <c r="A669" s="58"/>
    </row>
    <row r="670" spans="1:1" x14ac:dyDescent="0.2">
      <c r="A670" s="58"/>
    </row>
    <row r="671" spans="1:1" x14ac:dyDescent="0.2">
      <c r="A671" s="58"/>
    </row>
    <row r="672" spans="1:1" x14ac:dyDescent="0.2">
      <c r="A672" s="58"/>
    </row>
    <row r="673" spans="1:1" x14ac:dyDescent="0.2">
      <c r="A673" s="58"/>
    </row>
    <row r="674" spans="1:1" x14ac:dyDescent="0.2">
      <c r="A674" s="58"/>
    </row>
    <row r="675" spans="1:1" x14ac:dyDescent="0.2">
      <c r="A675" s="58"/>
    </row>
    <row r="676" spans="1:1" x14ac:dyDescent="0.2">
      <c r="A676" s="58"/>
    </row>
    <row r="677" spans="1:1" x14ac:dyDescent="0.2">
      <c r="A677" s="58"/>
    </row>
    <row r="678" spans="1:1" x14ac:dyDescent="0.2">
      <c r="A678" s="58"/>
    </row>
    <row r="679" spans="1:1" x14ac:dyDescent="0.2">
      <c r="A679" s="58"/>
    </row>
    <row r="680" spans="1:1" x14ac:dyDescent="0.2">
      <c r="A680" s="58"/>
    </row>
    <row r="681" spans="1:1" x14ac:dyDescent="0.2">
      <c r="A681" s="58"/>
    </row>
    <row r="682" spans="1:1" x14ac:dyDescent="0.2">
      <c r="A682" s="58"/>
    </row>
    <row r="683" spans="1:1" x14ac:dyDescent="0.2">
      <c r="A683" s="58"/>
    </row>
    <row r="684" spans="1:1" x14ac:dyDescent="0.2">
      <c r="A684" s="58"/>
    </row>
    <row r="685" spans="1:1" x14ac:dyDescent="0.2">
      <c r="A685" s="58"/>
    </row>
    <row r="686" spans="1:1" x14ac:dyDescent="0.2">
      <c r="A686" s="58"/>
    </row>
    <row r="687" spans="1:1" x14ac:dyDescent="0.2">
      <c r="A687" s="58"/>
    </row>
    <row r="688" spans="1:1" x14ac:dyDescent="0.2">
      <c r="A688" s="58"/>
    </row>
    <row r="689" spans="1:1" x14ac:dyDescent="0.2">
      <c r="A689" s="58"/>
    </row>
    <row r="690" spans="1:1" x14ac:dyDescent="0.2">
      <c r="A690" s="58"/>
    </row>
    <row r="691" spans="1:1" x14ac:dyDescent="0.2">
      <c r="A691" s="58"/>
    </row>
    <row r="692" spans="1:1" x14ac:dyDescent="0.2">
      <c r="A692" s="58"/>
    </row>
    <row r="693" spans="1:1" x14ac:dyDescent="0.2">
      <c r="A693" s="58"/>
    </row>
    <row r="694" spans="1:1" x14ac:dyDescent="0.2">
      <c r="A694" s="58"/>
    </row>
    <row r="695" spans="1:1" x14ac:dyDescent="0.2">
      <c r="A695" s="58"/>
    </row>
    <row r="696" spans="1:1" x14ac:dyDescent="0.2">
      <c r="A696" s="58"/>
    </row>
    <row r="697" spans="1:1" x14ac:dyDescent="0.2">
      <c r="A697" s="58"/>
    </row>
    <row r="698" spans="1:1" x14ac:dyDescent="0.2">
      <c r="A698" s="58"/>
    </row>
    <row r="699" spans="1:1" x14ac:dyDescent="0.2">
      <c r="A699" s="58"/>
    </row>
    <row r="700" spans="1:1" x14ac:dyDescent="0.2">
      <c r="A700" s="58"/>
    </row>
    <row r="701" spans="1:1" x14ac:dyDescent="0.2">
      <c r="A701" s="58"/>
    </row>
    <row r="702" spans="1:1" x14ac:dyDescent="0.2">
      <c r="A702" s="58"/>
    </row>
    <row r="703" spans="1:1" x14ac:dyDescent="0.2">
      <c r="A703" s="58"/>
    </row>
    <row r="704" spans="1:1" x14ac:dyDescent="0.2">
      <c r="A704" s="58"/>
    </row>
    <row r="705" spans="1:1" x14ac:dyDescent="0.2">
      <c r="A705" s="58"/>
    </row>
    <row r="706" spans="1:1" x14ac:dyDescent="0.2">
      <c r="A706" s="58"/>
    </row>
    <row r="707" spans="1:1" x14ac:dyDescent="0.2">
      <c r="A707" s="58"/>
    </row>
    <row r="708" spans="1:1" x14ac:dyDescent="0.2">
      <c r="A708" s="58"/>
    </row>
    <row r="709" spans="1:1" x14ac:dyDescent="0.2">
      <c r="A709" s="58"/>
    </row>
    <row r="710" spans="1:1" x14ac:dyDescent="0.2">
      <c r="A710" s="58"/>
    </row>
    <row r="711" spans="1:1" x14ac:dyDescent="0.2">
      <c r="A711" s="58"/>
    </row>
    <row r="712" spans="1:1" x14ac:dyDescent="0.2">
      <c r="A712" s="58"/>
    </row>
    <row r="713" spans="1:1" x14ac:dyDescent="0.2">
      <c r="A713" s="58"/>
    </row>
    <row r="714" spans="1:1" x14ac:dyDescent="0.2">
      <c r="A714" s="58"/>
    </row>
    <row r="715" spans="1:1" x14ac:dyDescent="0.2">
      <c r="A715" s="58"/>
    </row>
    <row r="716" spans="1:1" x14ac:dyDescent="0.2">
      <c r="A716" s="58"/>
    </row>
    <row r="717" spans="1:1" x14ac:dyDescent="0.2">
      <c r="A717" s="58"/>
    </row>
    <row r="718" spans="1:1" x14ac:dyDescent="0.2">
      <c r="A718" s="58"/>
    </row>
    <row r="719" spans="1:1" x14ac:dyDescent="0.2">
      <c r="A719" s="58"/>
    </row>
    <row r="720" spans="1:1" x14ac:dyDescent="0.2">
      <c r="A720" s="58"/>
    </row>
    <row r="721" spans="1:1" x14ac:dyDescent="0.2">
      <c r="A721" s="58"/>
    </row>
    <row r="722" spans="1:1" x14ac:dyDescent="0.2">
      <c r="A722" s="58"/>
    </row>
    <row r="723" spans="1:1" x14ac:dyDescent="0.2">
      <c r="A723" s="58"/>
    </row>
    <row r="724" spans="1:1" x14ac:dyDescent="0.2">
      <c r="A724" s="58"/>
    </row>
    <row r="725" spans="1:1" x14ac:dyDescent="0.2">
      <c r="A725" s="58"/>
    </row>
    <row r="726" spans="1:1" x14ac:dyDescent="0.2">
      <c r="A726" s="58"/>
    </row>
    <row r="727" spans="1:1" x14ac:dyDescent="0.2">
      <c r="A727" s="58"/>
    </row>
    <row r="728" spans="1:1" x14ac:dyDescent="0.2">
      <c r="A728" s="58"/>
    </row>
    <row r="729" spans="1:1" x14ac:dyDescent="0.2">
      <c r="A729" s="58"/>
    </row>
    <row r="730" spans="1:1" x14ac:dyDescent="0.2">
      <c r="A730" s="58"/>
    </row>
    <row r="731" spans="1:1" x14ac:dyDescent="0.2">
      <c r="A731" s="58"/>
    </row>
    <row r="732" spans="1:1" x14ac:dyDescent="0.2">
      <c r="A732" s="58"/>
    </row>
    <row r="733" spans="1:1" x14ac:dyDescent="0.2">
      <c r="A733" s="58"/>
    </row>
    <row r="734" spans="1:1" x14ac:dyDescent="0.2">
      <c r="A734" s="58"/>
    </row>
    <row r="735" spans="1:1" x14ac:dyDescent="0.2">
      <c r="A735" s="58"/>
    </row>
    <row r="736" spans="1:1" x14ac:dyDescent="0.2">
      <c r="A736" s="58"/>
    </row>
    <row r="737" spans="1:1" x14ac:dyDescent="0.2">
      <c r="A737" s="58"/>
    </row>
    <row r="738" spans="1:1" x14ac:dyDescent="0.2">
      <c r="A738" s="58"/>
    </row>
    <row r="739" spans="1:1" x14ac:dyDescent="0.2">
      <c r="A739" s="58"/>
    </row>
    <row r="740" spans="1:1" x14ac:dyDescent="0.2">
      <c r="A740" s="58"/>
    </row>
    <row r="741" spans="1:1" x14ac:dyDescent="0.2">
      <c r="A741" s="58"/>
    </row>
    <row r="742" spans="1:1" x14ac:dyDescent="0.2">
      <c r="A742" s="58"/>
    </row>
    <row r="743" spans="1:1" x14ac:dyDescent="0.2">
      <c r="A743" s="58"/>
    </row>
    <row r="744" spans="1:1" x14ac:dyDescent="0.2">
      <c r="A744" s="58"/>
    </row>
    <row r="745" spans="1:1" x14ac:dyDescent="0.2">
      <c r="A745" s="58"/>
    </row>
    <row r="746" spans="1:1" x14ac:dyDescent="0.2">
      <c r="A746" s="58"/>
    </row>
    <row r="747" spans="1:1" x14ac:dyDescent="0.2">
      <c r="A747" s="58"/>
    </row>
    <row r="748" spans="1:1" x14ac:dyDescent="0.2">
      <c r="A748" s="58"/>
    </row>
    <row r="749" spans="1:1" x14ac:dyDescent="0.2">
      <c r="A749" s="58"/>
    </row>
    <row r="750" spans="1:1" x14ac:dyDescent="0.2">
      <c r="A750" s="58"/>
    </row>
    <row r="751" spans="1:1" x14ac:dyDescent="0.2">
      <c r="A751" s="58"/>
    </row>
    <row r="752" spans="1:1" x14ac:dyDescent="0.2">
      <c r="A752" s="58"/>
    </row>
    <row r="753" spans="1:1" x14ac:dyDescent="0.2">
      <c r="A753" s="58"/>
    </row>
    <row r="754" spans="1:1" x14ac:dyDescent="0.2">
      <c r="A754" s="58"/>
    </row>
    <row r="755" spans="1:1" x14ac:dyDescent="0.2">
      <c r="A755" s="58"/>
    </row>
    <row r="756" spans="1:1" x14ac:dyDescent="0.2">
      <c r="A756" s="58"/>
    </row>
    <row r="757" spans="1:1" x14ac:dyDescent="0.2">
      <c r="A757" s="58"/>
    </row>
    <row r="758" spans="1:1" x14ac:dyDescent="0.2">
      <c r="A758" s="58"/>
    </row>
    <row r="759" spans="1:1" x14ac:dyDescent="0.2">
      <c r="A759" s="58"/>
    </row>
    <row r="760" spans="1:1" x14ac:dyDescent="0.2">
      <c r="A760" s="58"/>
    </row>
    <row r="761" spans="1:1" x14ac:dyDescent="0.2">
      <c r="A761" s="58"/>
    </row>
    <row r="762" spans="1:1" x14ac:dyDescent="0.2">
      <c r="A762" s="58"/>
    </row>
    <row r="763" spans="1:1" x14ac:dyDescent="0.2">
      <c r="A763" s="58"/>
    </row>
    <row r="764" spans="1:1" x14ac:dyDescent="0.2">
      <c r="A764" s="58"/>
    </row>
    <row r="765" spans="1:1" x14ac:dyDescent="0.2">
      <c r="A765" s="58"/>
    </row>
    <row r="766" spans="1:1" x14ac:dyDescent="0.2">
      <c r="A766" s="58"/>
    </row>
    <row r="767" spans="1:1" x14ac:dyDescent="0.2">
      <c r="A767" s="58"/>
    </row>
    <row r="768" spans="1:1" x14ac:dyDescent="0.2">
      <c r="A768" s="58"/>
    </row>
    <row r="769" spans="1:1" x14ac:dyDescent="0.2">
      <c r="A769" s="58"/>
    </row>
    <row r="770" spans="1:1" x14ac:dyDescent="0.2">
      <c r="A770" s="58"/>
    </row>
    <row r="771" spans="1:1" x14ac:dyDescent="0.2">
      <c r="A771" s="58"/>
    </row>
    <row r="772" spans="1:1" x14ac:dyDescent="0.2">
      <c r="A772" s="58"/>
    </row>
    <row r="773" spans="1:1" x14ac:dyDescent="0.2">
      <c r="A773" s="58"/>
    </row>
    <row r="774" spans="1:1" x14ac:dyDescent="0.2">
      <c r="A774" s="58"/>
    </row>
    <row r="775" spans="1:1" x14ac:dyDescent="0.2">
      <c r="A775" s="58"/>
    </row>
    <row r="776" spans="1:1" x14ac:dyDescent="0.2">
      <c r="A776" s="58"/>
    </row>
    <row r="777" spans="1:1" x14ac:dyDescent="0.2">
      <c r="A777" s="58"/>
    </row>
    <row r="778" spans="1:1" x14ac:dyDescent="0.2">
      <c r="A778" s="58"/>
    </row>
    <row r="779" spans="1:1" x14ac:dyDescent="0.2">
      <c r="A779" s="58"/>
    </row>
    <row r="780" spans="1:1" x14ac:dyDescent="0.2">
      <c r="A780" s="58"/>
    </row>
    <row r="781" spans="1:1" x14ac:dyDescent="0.2">
      <c r="A781" s="58"/>
    </row>
    <row r="782" spans="1:1" x14ac:dyDescent="0.2">
      <c r="A782" s="58"/>
    </row>
    <row r="783" spans="1:1" x14ac:dyDescent="0.2">
      <c r="A783" s="58"/>
    </row>
    <row r="784" spans="1:1" x14ac:dyDescent="0.2">
      <c r="A784" s="58"/>
    </row>
    <row r="785" spans="1:1" x14ac:dyDescent="0.2">
      <c r="A785" s="58"/>
    </row>
    <row r="786" spans="1:1" x14ac:dyDescent="0.2">
      <c r="A786" s="58"/>
    </row>
    <row r="787" spans="1:1" x14ac:dyDescent="0.2">
      <c r="A787" s="58"/>
    </row>
    <row r="788" spans="1:1" x14ac:dyDescent="0.2">
      <c r="A788" s="58"/>
    </row>
    <row r="789" spans="1:1" x14ac:dyDescent="0.2">
      <c r="A789" s="58"/>
    </row>
    <row r="790" spans="1:1" x14ac:dyDescent="0.2">
      <c r="A790" s="58"/>
    </row>
    <row r="791" spans="1:1" x14ac:dyDescent="0.2">
      <c r="A791" s="58"/>
    </row>
    <row r="792" spans="1:1" x14ac:dyDescent="0.2">
      <c r="A792" s="58"/>
    </row>
    <row r="793" spans="1:1" x14ac:dyDescent="0.2">
      <c r="A793" s="58"/>
    </row>
    <row r="794" spans="1:1" x14ac:dyDescent="0.2">
      <c r="A794" s="58"/>
    </row>
    <row r="795" spans="1:1" x14ac:dyDescent="0.2">
      <c r="A795" s="58"/>
    </row>
    <row r="796" spans="1:1" x14ac:dyDescent="0.2">
      <c r="A796" s="58"/>
    </row>
    <row r="797" spans="1:1" x14ac:dyDescent="0.2">
      <c r="A797" s="58"/>
    </row>
    <row r="798" spans="1:1" x14ac:dyDescent="0.2">
      <c r="A798" s="58"/>
    </row>
    <row r="799" spans="1:1" x14ac:dyDescent="0.2">
      <c r="A799" s="58"/>
    </row>
    <row r="800" spans="1:1" x14ac:dyDescent="0.2">
      <c r="A800" s="58"/>
    </row>
    <row r="801" spans="1:1" x14ac:dyDescent="0.2">
      <c r="A801" s="58"/>
    </row>
    <row r="802" spans="1:1" x14ac:dyDescent="0.2">
      <c r="A802" s="58"/>
    </row>
    <row r="803" spans="1:1" x14ac:dyDescent="0.2">
      <c r="A803" s="58"/>
    </row>
    <row r="804" spans="1:1" x14ac:dyDescent="0.2">
      <c r="A804" s="58"/>
    </row>
    <row r="805" spans="1:1" x14ac:dyDescent="0.2">
      <c r="A805" s="58"/>
    </row>
    <row r="806" spans="1:1" x14ac:dyDescent="0.2">
      <c r="A806" s="58"/>
    </row>
    <row r="807" spans="1:1" x14ac:dyDescent="0.2">
      <c r="A807" s="58"/>
    </row>
    <row r="808" spans="1:1" x14ac:dyDescent="0.2">
      <c r="A808" s="58"/>
    </row>
    <row r="809" spans="1:1" x14ac:dyDescent="0.2">
      <c r="A809" s="58"/>
    </row>
    <row r="810" spans="1:1" x14ac:dyDescent="0.2">
      <c r="A810" s="58"/>
    </row>
    <row r="811" spans="1:1" x14ac:dyDescent="0.2">
      <c r="A811" s="58"/>
    </row>
    <row r="812" spans="1:1" x14ac:dyDescent="0.2">
      <c r="A812" s="58"/>
    </row>
    <row r="813" spans="1:1" x14ac:dyDescent="0.2">
      <c r="A813" s="58"/>
    </row>
    <row r="814" spans="1:1" x14ac:dyDescent="0.2">
      <c r="A814" s="58"/>
    </row>
    <row r="815" spans="1:1" x14ac:dyDescent="0.2">
      <c r="A815" s="58"/>
    </row>
    <row r="816" spans="1:1" x14ac:dyDescent="0.2">
      <c r="A816" s="58"/>
    </row>
    <row r="817" spans="1:1" x14ac:dyDescent="0.2">
      <c r="A817" s="58"/>
    </row>
    <row r="818" spans="1:1" x14ac:dyDescent="0.2">
      <c r="A818" s="58"/>
    </row>
    <row r="819" spans="1:1" x14ac:dyDescent="0.2">
      <c r="A819" s="58"/>
    </row>
    <row r="820" spans="1:1" x14ac:dyDescent="0.2">
      <c r="A820" s="58"/>
    </row>
    <row r="821" spans="1:1" x14ac:dyDescent="0.2">
      <c r="A821" s="58"/>
    </row>
    <row r="822" spans="1:1" x14ac:dyDescent="0.2">
      <c r="A822" s="58"/>
    </row>
    <row r="823" spans="1:1" x14ac:dyDescent="0.2">
      <c r="A823" s="58"/>
    </row>
    <row r="824" spans="1:1" x14ac:dyDescent="0.2">
      <c r="A824" s="58"/>
    </row>
    <row r="825" spans="1:1" x14ac:dyDescent="0.2">
      <c r="A825" s="58"/>
    </row>
    <row r="826" spans="1:1" x14ac:dyDescent="0.2">
      <c r="A826" s="58"/>
    </row>
    <row r="827" spans="1:1" x14ac:dyDescent="0.2">
      <c r="A827" s="58"/>
    </row>
    <row r="828" spans="1:1" x14ac:dyDescent="0.2">
      <c r="A828" s="58"/>
    </row>
    <row r="829" spans="1:1" x14ac:dyDescent="0.2">
      <c r="A829" s="58"/>
    </row>
    <row r="830" spans="1:1" x14ac:dyDescent="0.2">
      <c r="A830" s="58"/>
    </row>
    <row r="831" spans="1:1" x14ac:dyDescent="0.2">
      <c r="A831" s="58"/>
    </row>
    <row r="832" spans="1:1" x14ac:dyDescent="0.2">
      <c r="A832" s="58"/>
    </row>
    <row r="833" spans="1:1" x14ac:dyDescent="0.2">
      <c r="A833" s="58"/>
    </row>
    <row r="834" spans="1:1" x14ac:dyDescent="0.2">
      <c r="A834" s="58"/>
    </row>
    <row r="835" spans="1:1" x14ac:dyDescent="0.2">
      <c r="A835" s="58"/>
    </row>
    <row r="836" spans="1:1" x14ac:dyDescent="0.2">
      <c r="A836" s="58"/>
    </row>
    <row r="837" spans="1:1" x14ac:dyDescent="0.2">
      <c r="A837" s="58"/>
    </row>
    <row r="838" spans="1:1" x14ac:dyDescent="0.2">
      <c r="A838" s="58"/>
    </row>
    <row r="839" spans="1:1" x14ac:dyDescent="0.2">
      <c r="A839" s="58"/>
    </row>
    <row r="840" spans="1:1" x14ac:dyDescent="0.2">
      <c r="A840" s="58"/>
    </row>
    <row r="841" spans="1:1" x14ac:dyDescent="0.2">
      <c r="A841" s="58"/>
    </row>
    <row r="842" spans="1:1" x14ac:dyDescent="0.2">
      <c r="A842" s="58"/>
    </row>
    <row r="843" spans="1:1" x14ac:dyDescent="0.2">
      <c r="A843" s="58"/>
    </row>
    <row r="844" spans="1:1" x14ac:dyDescent="0.2">
      <c r="A844" s="58"/>
    </row>
    <row r="845" spans="1:1" x14ac:dyDescent="0.2">
      <c r="A845" s="58"/>
    </row>
    <row r="846" spans="1:1" x14ac:dyDescent="0.2">
      <c r="A846" s="58"/>
    </row>
    <row r="847" spans="1:1" x14ac:dyDescent="0.2">
      <c r="A847" s="58"/>
    </row>
    <row r="848" spans="1:1" x14ac:dyDescent="0.2">
      <c r="A848" s="58"/>
    </row>
    <row r="849" spans="1:1" x14ac:dyDescent="0.2">
      <c r="A849" s="58"/>
    </row>
    <row r="850" spans="1:1" x14ac:dyDescent="0.2">
      <c r="A850" s="58"/>
    </row>
    <row r="851" spans="1:1" x14ac:dyDescent="0.2">
      <c r="A851" s="58"/>
    </row>
    <row r="852" spans="1:1" x14ac:dyDescent="0.2">
      <c r="A852" s="58"/>
    </row>
    <row r="853" spans="1:1" x14ac:dyDescent="0.2">
      <c r="A853" s="58"/>
    </row>
    <row r="854" spans="1:1" x14ac:dyDescent="0.2">
      <c r="A854" s="58"/>
    </row>
    <row r="855" spans="1:1" x14ac:dyDescent="0.2">
      <c r="A855" s="58"/>
    </row>
    <row r="856" spans="1:1" x14ac:dyDescent="0.2">
      <c r="A856" s="58"/>
    </row>
    <row r="857" spans="1:1" x14ac:dyDescent="0.2">
      <c r="A857" s="58"/>
    </row>
    <row r="858" spans="1:1" x14ac:dyDescent="0.2">
      <c r="A858" s="58"/>
    </row>
    <row r="859" spans="1:1" x14ac:dyDescent="0.2">
      <c r="A859" s="58"/>
    </row>
    <row r="860" spans="1:1" x14ac:dyDescent="0.2">
      <c r="A860" s="58"/>
    </row>
    <row r="861" spans="1:1" x14ac:dyDescent="0.2">
      <c r="A861" s="58"/>
    </row>
    <row r="862" spans="1:1" x14ac:dyDescent="0.2">
      <c r="A862" s="58"/>
    </row>
    <row r="863" spans="1:1" x14ac:dyDescent="0.2">
      <c r="A863" s="58"/>
    </row>
    <row r="864" spans="1:1" x14ac:dyDescent="0.2">
      <c r="A864" s="58"/>
    </row>
    <row r="865" spans="1:1" x14ac:dyDescent="0.2">
      <c r="A865" s="58"/>
    </row>
    <row r="866" spans="1:1" x14ac:dyDescent="0.2">
      <c r="A866" s="58"/>
    </row>
    <row r="867" spans="1:1" x14ac:dyDescent="0.2">
      <c r="A867" s="58"/>
    </row>
    <row r="868" spans="1:1" x14ac:dyDescent="0.2">
      <c r="A868" s="58"/>
    </row>
    <row r="869" spans="1:1" x14ac:dyDescent="0.2">
      <c r="A869" s="58"/>
    </row>
    <row r="870" spans="1:1" x14ac:dyDescent="0.2">
      <c r="A870" s="58"/>
    </row>
    <row r="871" spans="1:1" x14ac:dyDescent="0.2">
      <c r="A871" s="58"/>
    </row>
    <row r="872" spans="1:1" x14ac:dyDescent="0.2">
      <c r="A872" s="58"/>
    </row>
    <row r="873" spans="1:1" x14ac:dyDescent="0.2">
      <c r="A873" s="58"/>
    </row>
    <row r="874" spans="1:1" x14ac:dyDescent="0.2">
      <c r="A874" s="58"/>
    </row>
    <row r="875" spans="1:1" x14ac:dyDescent="0.2">
      <c r="A875" s="58"/>
    </row>
    <row r="876" spans="1:1" x14ac:dyDescent="0.2">
      <c r="A876" s="58"/>
    </row>
    <row r="877" spans="1:1" x14ac:dyDescent="0.2">
      <c r="A877" s="58"/>
    </row>
    <row r="878" spans="1:1" x14ac:dyDescent="0.2">
      <c r="A878" s="58"/>
    </row>
    <row r="879" spans="1:1" x14ac:dyDescent="0.2">
      <c r="A879" s="58"/>
    </row>
    <row r="880" spans="1:1" x14ac:dyDescent="0.2">
      <c r="A880" s="58"/>
    </row>
    <row r="881" spans="1:1" x14ac:dyDescent="0.2">
      <c r="A881" s="58"/>
    </row>
    <row r="882" spans="1:1" x14ac:dyDescent="0.2">
      <c r="A882" s="58"/>
    </row>
    <row r="883" spans="1:1" x14ac:dyDescent="0.2">
      <c r="A883" s="58"/>
    </row>
    <row r="884" spans="1:1" x14ac:dyDescent="0.2">
      <c r="A884" s="58"/>
    </row>
    <row r="885" spans="1:1" x14ac:dyDescent="0.2">
      <c r="A885" s="58"/>
    </row>
    <row r="886" spans="1:1" x14ac:dyDescent="0.2">
      <c r="A886" s="58"/>
    </row>
    <row r="887" spans="1:1" x14ac:dyDescent="0.2">
      <c r="A887" s="58"/>
    </row>
    <row r="888" spans="1:1" x14ac:dyDescent="0.2">
      <c r="A888" s="58"/>
    </row>
    <row r="889" spans="1:1" x14ac:dyDescent="0.2">
      <c r="A889" s="58"/>
    </row>
    <row r="890" spans="1:1" x14ac:dyDescent="0.2">
      <c r="A890" s="58"/>
    </row>
    <row r="891" spans="1:1" x14ac:dyDescent="0.2">
      <c r="A891" s="58"/>
    </row>
    <row r="892" spans="1:1" x14ac:dyDescent="0.2">
      <c r="A892" s="58"/>
    </row>
    <row r="893" spans="1:1" x14ac:dyDescent="0.2">
      <c r="A893" s="58"/>
    </row>
    <row r="894" spans="1:1" x14ac:dyDescent="0.2">
      <c r="A894" s="58"/>
    </row>
    <row r="895" spans="1:1" x14ac:dyDescent="0.2">
      <c r="A895" s="58"/>
    </row>
    <row r="896" spans="1:1" x14ac:dyDescent="0.2">
      <c r="A896" s="58"/>
    </row>
    <row r="897" spans="1:1" x14ac:dyDescent="0.2">
      <c r="A897" s="58"/>
    </row>
    <row r="898" spans="1:1" x14ac:dyDescent="0.2">
      <c r="A898" s="58"/>
    </row>
    <row r="899" spans="1:1" x14ac:dyDescent="0.2">
      <c r="A899" s="58"/>
    </row>
    <row r="900" spans="1:1" x14ac:dyDescent="0.2">
      <c r="A900" s="58"/>
    </row>
    <row r="901" spans="1:1" x14ac:dyDescent="0.2">
      <c r="A901" s="58"/>
    </row>
    <row r="902" spans="1:1" x14ac:dyDescent="0.2">
      <c r="A902" s="58"/>
    </row>
    <row r="903" spans="1:1" x14ac:dyDescent="0.2">
      <c r="A903" s="58"/>
    </row>
    <row r="904" spans="1:1" x14ac:dyDescent="0.2">
      <c r="A904" s="58"/>
    </row>
    <row r="905" spans="1:1" x14ac:dyDescent="0.2">
      <c r="A905" s="58"/>
    </row>
    <row r="906" spans="1:1" x14ac:dyDescent="0.2">
      <c r="A906" s="58"/>
    </row>
    <row r="907" spans="1:1" x14ac:dyDescent="0.2">
      <c r="A907" s="58"/>
    </row>
    <row r="908" spans="1:1" x14ac:dyDescent="0.2">
      <c r="A908" s="58"/>
    </row>
    <row r="909" spans="1:1" x14ac:dyDescent="0.2">
      <c r="A909" s="58"/>
    </row>
    <row r="910" spans="1:1" x14ac:dyDescent="0.2">
      <c r="A910" s="58"/>
    </row>
    <row r="911" spans="1:1" x14ac:dyDescent="0.2">
      <c r="A911" s="58"/>
    </row>
    <row r="912" spans="1:1" x14ac:dyDescent="0.2">
      <c r="A912" s="58"/>
    </row>
    <row r="913" spans="1:1" x14ac:dyDescent="0.2">
      <c r="A913" s="58"/>
    </row>
    <row r="914" spans="1:1" x14ac:dyDescent="0.2">
      <c r="A914" s="58"/>
    </row>
    <row r="915" spans="1:1" x14ac:dyDescent="0.2">
      <c r="A915" s="58"/>
    </row>
    <row r="916" spans="1:1" x14ac:dyDescent="0.2">
      <c r="A916" s="58"/>
    </row>
    <row r="917" spans="1:1" x14ac:dyDescent="0.2">
      <c r="A917" s="58"/>
    </row>
    <row r="918" spans="1:1" x14ac:dyDescent="0.2">
      <c r="A918" s="58"/>
    </row>
    <row r="919" spans="1:1" x14ac:dyDescent="0.2">
      <c r="A919" s="58"/>
    </row>
    <row r="920" spans="1:1" x14ac:dyDescent="0.2">
      <c r="A920" s="58"/>
    </row>
    <row r="921" spans="1:1" x14ac:dyDescent="0.2">
      <c r="A921" s="58"/>
    </row>
    <row r="922" spans="1:1" x14ac:dyDescent="0.2">
      <c r="A922" s="58"/>
    </row>
    <row r="923" spans="1:1" x14ac:dyDescent="0.2">
      <c r="A923" s="58"/>
    </row>
    <row r="924" spans="1:1" x14ac:dyDescent="0.2">
      <c r="A924" s="58"/>
    </row>
    <row r="925" spans="1:1" x14ac:dyDescent="0.2">
      <c r="A925" s="58"/>
    </row>
    <row r="926" spans="1:1" x14ac:dyDescent="0.2">
      <c r="A926" s="58"/>
    </row>
    <row r="927" spans="1:1" x14ac:dyDescent="0.2">
      <c r="A927" s="58"/>
    </row>
    <row r="928" spans="1:1" x14ac:dyDescent="0.2">
      <c r="A928" s="58"/>
    </row>
    <row r="929" spans="1:1" x14ac:dyDescent="0.2">
      <c r="A929" s="58"/>
    </row>
    <row r="930" spans="1:1" x14ac:dyDescent="0.2">
      <c r="A930" s="58"/>
    </row>
    <row r="931" spans="1:1" x14ac:dyDescent="0.2">
      <c r="A931" s="58"/>
    </row>
    <row r="932" spans="1:1" x14ac:dyDescent="0.2">
      <c r="A932" s="58"/>
    </row>
    <row r="933" spans="1:1" x14ac:dyDescent="0.2">
      <c r="A933" s="58"/>
    </row>
    <row r="934" spans="1:1" x14ac:dyDescent="0.2">
      <c r="A934" s="58"/>
    </row>
    <row r="935" spans="1:1" x14ac:dyDescent="0.2">
      <c r="A935" s="58"/>
    </row>
    <row r="936" spans="1:1" x14ac:dyDescent="0.2">
      <c r="A936" s="58"/>
    </row>
    <row r="937" spans="1:1" x14ac:dyDescent="0.2">
      <c r="A937" s="58"/>
    </row>
    <row r="938" spans="1:1" x14ac:dyDescent="0.2">
      <c r="A938" s="58"/>
    </row>
    <row r="939" spans="1:1" x14ac:dyDescent="0.2">
      <c r="A939" s="58"/>
    </row>
    <row r="940" spans="1:1" x14ac:dyDescent="0.2">
      <c r="A940" s="58"/>
    </row>
    <row r="941" spans="1:1" x14ac:dyDescent="0.2">
      <c r="A941" s="58"/>
    </row>
    <row r="942" spans="1:1" x14ac:dyDescent="0.2">
      <c r="A942" s="58"/>
    </row>
    <row r="943" spans="1:1" x14ac:dyDescent="0.2">
      <c r="A943" s="58"/>
    </row>
    <row r="944" spans="1:1" x14ac:dyDescent="0.2">
      <c r="A944" s="58"/>
    </row>
    <row r="945" spans="1:1" x14ac:dyDescent="0.2">
      <c r="A945" s="58"/>
    </row>
    <row r="946" spans="1:1" x14ac:dyDescent="0.2">
      <c r="A946" s="58"/>
    </row>
    <row r="947" spans="1:1" x14ac:dyDescent="0.2">
      <c r="A947" s="58"/>
    </row>
    <row r="948" spans="1:1" x14ac:dyDescent="0.2">
      <c r="A948" s="58"/>
    </row>
    <row r="949" spans="1:1" x14ac:dyDescent="0.2">
      <c r="A949" s="58"/>
    </row>
    <row r="950" spans="1:1" x14ac:dyDescent="0.2">
      <c r="A950" s="58"/>
    </row>
    <row r="951" spans="1:1" x14ac:dyDescent="0.2">
      <c r="A951" s="58"/>
    </row>
    <row r="952" spans="1:1" x14ac:dyDescent="0.2">
      <c r="A952" s="58"/>
    </row>
    <row r="953" spans="1:1" x14ac:dyDescent="0.2">
      <c r="A953" s="58"/>
    </row>
    <row r="954" spans="1:1" x14ac:dyDescent="0.2">
      <c r="A954" s="58"/>
    </row>
    <row r="955" spans="1:1" x14ac:dyDescent="0.2">
      <c r="A955" s="58"/>
    </row>
    <row r="956" spans="1:1" x14ac:dyDescent="0.2">
      <c r="A956" s="58"/>
    </row>
    <row r="957" spans="1:1" x14ac:dyDescent="0.2">
      <c r="A957" s="58"/>
    </row>
    <row r="958" spans="1:1" x14ac:dyDescent="0.2">
      <c r="A958" s="58"/>
    </row>
    <row r="959" spans="1:1" x14ac:dyDescent="0.2">
      <c r="A959" s="58"/>
    </row>
    <row r="960" spans="1:1" x14ac:dyDescent="0.2">
      <c r="A960" s="58"/>
    </row>
    <row r="961" spans="1:1" x14ac:dyDescent="0.2">
      <c r="A961" s="58"/>
    </row>
    <row r="962" spans="1:1" x14ac:dyDescent="0.2">
      <c r="A962" s="58"/>
    </row>
    <row r="963" spans="1:1" x14ac:dyDescent="0.2">
      <c r="A963" s="58"/>
    </row>
    <row r="964" spans="1:1" x14ac:dyDescent="0.2">
      <c r="A964" s="58"/>
    </row>
    <row r="965" spans="1:1" x14ac:dyDescent="0.2">
      <c r="A965" s="58"/>
    </row>
    <row r="966" spans="1:1" x14ac:dyDescent="0.2">
      <c r="A966" s="58"/>
    </row>
    <row r="967" spans="1:1" x14ac:dyDescent="0.2">
      <c r="A967" s="58"/>
    </row>
    <row r="968" spans="1:1" x14ac:dyDescent="0.2">
      <c r="A968" s="58"/>
    </row>
    <row r="969" spans="1:1" x14ac:dyDescent="0.2">
      <c r="A969" s="58"/>
    </row>
    <row r="970" spans="1:1" x14ac:dyDescent="0.2">
      <c r="A970" s="58"/>
    </row>
    <row r="971" spans="1:1" x14ac:dyDescent="0.2">
      <c r="A971" s="58"/>
    </row>
    <row r="972" spans="1:1" x14ac:dyDescent="0.2">
      <c r="A972" s="58"/>
    </row>
    <row r="973" spans="1:1" x14ac:dyDescent="0.2">
      <c r="A973" s="58"/>
    </row>
    <row r="974" spans="1:1" x14ac:dyDescent="0.2">
      <c r="A974" s="58"/>
    </row>
    <row r="975" spans="1:1" x14ac:dyDescent="0.2">
      <c r="A975" s="58"/>
    </row>
    <row r="976" spans="1:1" x14ac:dyDescent="0.2">
      <c r="A976" s="58"/>
    </row>
    <row r="977" spans="1:1" x14ac:dyDescent="0.2">
      <c r="A977" s="58"/>
    </row>
    <row r="978" spans="1:1" x14ac:dyDescent="0.2">
      <c r="A978" s="58"/>
    </row>
    <row r="979" spans="1:1" x14ac:dyDescent="0.2">
      <c r="A979" s="58"/>
    </row>
    <row r="980" spans="1:1" x14ac:dyDescent="0.2">
      <c r="A980" s="58"/>
    </row>
    <row r="981" spans="1:1" x14ac:dyDescent="0.2">
      <c r="A981" s="58"/>
    </row>
    <row r="982" spans="1:1" x14ac:dyDescent="0.2">
      <c r="A982" s="58"/>
    </row>
    <row r="983" spans="1:1" x14ac:dyDescent="0.2">
      <c r="A983" s="58"/>
    </row>
    <row r="984" spans="1:1" x14ac:dyDescent="0.2">
      <c r="A984" s="58"/>
    </row>
    <row r="985" spans="1:1" x14ac:dyDescent="0.2">
      <c r="A985" s="58"/>
    </row>
    <row r="986" spans="1:1" x14ac:dyDescent="0.2">
      <c r="A986" s="58"/>
    </row>
    <row r="987" spans="1:1" x14ac:dyDescent="0.2">
      <c r="A987" s="58"/>
    </row>
    <row r="988" spans="1:1" x14ac:dyDescent="0.2">
      <c r="A988" s="58"/>
    </row>
    <row r="989" spans="1:1" x14ac:dyDescent="0.2">
      <c r="A989" s="58"/>
    </row>
    <row r="990" spans="1:1" x14ac:dyDescent="0.2">
      <c r="A990" s="58"/>
    </row>
    <row r="991" spans="1:1" x14ac:dyDescent="0.2">
      <c r="A991" s="58"/>
    </row>
    <row r="992" spans="1:1" x14ac:dyDescent="0.2">
      <c r="A992" s="58"/>
    </row>
    <row r="993" spans="1:1" x14ac:dyDescent="0.2">
      <c r="A993" s="58"/>
    </row>
    <row r="994" spans="1:1" x14ac:dyDescent="0.2">
      <c r="A994" s="58"/>
    </row>
    <row r="995" spans="1:1" x14ac:dyDescent="0.2">
      <c r="A995" s="58"/>
    </row>
    <row r="996" spans="1:1" x14ac:dyDescent="0.2">
      <c r="A996" s="58"/>
    </row>
    <row r="997" spans="1:1" x14ac:dyDescent="0.2">
      <c r="A997" s="58"/>
    </row>
    <row r="998" spans="1:1" x14ac:dyDescent="0.2">
      <c r="A998" s="58"/>
    </row>
    <row r="999" spans="1:1" x14ac:dyDescent="0.2">
      <c r="A999" s="58"/>
    </row>
    <row r="1000" spans="1:1" x14ac:dyDescent="0.2">
      <c r="A1000" s="58"/>
    </row>
    <row r="1001" spans="1:1" x14ac:dyDescent="0.2">
      <c r="A1001" s="58"/>
    </row>
    <row r="1002" spans="1:1" x14ac:dyDescent="0.2">
      <c r="A1002" s="58"/>
    </row>
    <row r="1003" spans="1:1" x14ac:dyDescent="0.2">
      <c r="A1003" s="58"/>
    </row>
    <row r="1004" spans="1:1" x14ac:dyDescent="0.2">
      <c r="A1004" s="58"/>
    </row>
    <row r="1005" spans="1:1" x14ac:dyDescent="0.2">
      <c r="A1005" s="58"/>
    </row>
    <row r="1006" spans="1:1" x14ac:dyDescent="0.2">
      <c r="A1006" s="58"/>
    </row>
    <row r="1007" spans="1:1" x14ac:dyDescent="0.2">
      <c r="A1007" s="58"/>
    </row>
    <row r="1008" spans="1:1" x14ac:dyDescent="0.2">
      <c r="A1008" s="58"/>
    </row>
    <row r="1009" spans="1:1" x14ac:dyDescent="0.2">
      <c r="A1009" s="58"/>
    </row>
    <row r="1010" spans="1:1" x14ac:dyDescent="0.2">
      <c r="A1010" s="58"/>
    </row>
    <row r="1011" spans="1:1" x14ac:dyDescent="0.2">
      <c r="A1011" s="58"/>
    </row>
    <row r="1012" spans="1:1" x14ac:dyDescent="0.2">
      <c r="A1012" s="58"/>
    </row>
    <row r="1013" spans="1:1" x14ac:dyDescent="0.2">
      <c r="A1013" s="58"/>
    </row>
    <row r="1014" spans="1:1" x14ac:dyDescent="0.2">
      <c r="A1014" s="58"/>
    </row>
    <row r="1015" spans="1:1" x14ac:dyDescent="0.2">
      <c r="A1015" s="58"/>
    </row>
    <row r="1016" spans="1:1" x14ac:dyDescent="0.2">
      <c r="A1016" s="58"/>
    </row>
    <row r="1017" spans="1:1" x14ac:dyDescent="0.2">
      <c r="A1017" s="58"/>
    </row>
    <row r="1018" spans="1:1" x14ac:dyDescent="0.2">
      <c r="A1018" s="58"/>
    </row>
    <row r="1019" spans="1:1" x14ac:dyDescent="0.2">
      <c r="A1019" s="58"/>
    </row>
    <row r="1020" spans="1:1" x14ac:dyDescent="0.2">
      <c r="A1020" s="58"/>
    </row>
    <row r="1021" spans="1:1" x14ac:dyDescent="0.2">
      <c r="A1021" s="58"/>
    </row>
    <row r="1022" spans="1:1" x14ac:dyDescent="0.2">
      <c r="A1022" s="58"/>
    </row>
    <row r="1023" spans="1:1" x14ac:dyDescent="0.2">
      <c r="A1023" s="58"/>
    </row>
    <row r="1024" spans="1:1" x14ac:dyDescent="0.2">
      <c r="A1024" s="58"/>
    </row>
    <row r="1025" spans="1:1" x14ac:dyDescent="0.2">
      <c r="A1025" s="58"/>
    </row>
    <row r="1026" spans="1:1" x14ac:dyDescent="0.2">
      <c r="A1026" s="58"/>
    </row>
    <row r="1027" spans="1:1" x14ac:dyDescent="0.2">
      <c r="A1027" s="58"/>
    </row>
    <row r="1028" spans="1:1" x14ac:dyDescent="0.2">
      <c r="A1028" s="58"/>
    </row>
    <row r="1029" spans="1:1" x14ac:dyDescent="0.2">
      <c r="A1029" s="58"/>
    </row>
    <row r="1030" spans="1:1" x14ac:dyDescent="0.2">
      <c r="A1030" s="58"/>
    </row>
    <row r="1031" spans="1:1" x14ac:dyDescent="0.2">
      <c r="A1031" s="58"/>
    </row>
    <row r="1032" spans="1:1" x14ac:dyDescent="0.2">
      <c r="A1032" s="58"/>
    </row>
    <row r="1033" spans="1:1" x14ac:dyDescent="0.2">
      <c r="A1033" s="58"/>
    </row>
    <row r="1034" spans="1:1" x14ac:dyDescent="0.2">
      <c r="A1034" s="58"/>
    </row>
    <row r="1035" spans="1:1" x14ac:dyDescent="0.2">
      <c r="A1035" s="58"/>
    </row>
    <row r="1036" spans="1:1" x14ac:dyDescent="0.2">
      <c r="A1036" s="58"/>
    </row>
    <row r="1037" spans="1:1" x14ac:dyDescent="0.2">
      <c r="A1037" s="58"/>
    </row>
    <row r="1038" spans="1:1" x14ac:dyDescent="0.2">
      <c r="A1038" s="58"/>
    </row>
    <row r="1039" spans="1:1" x14ac:dyDescent="0.2">
      <c r="A1039" s="58"/>
    </row>
    <row r="1040" spans="1:1" x14ac:dyDescent="0.2">
      <c r="A1040" s="58"/>
    </row>
    <row r="1041" spans="1:1" x14ac:dyDescent="0.2">
      <c r="A1041" s="58"/>
    </row>
    <row r="1042" spans="1:1" x14ac:dyDescent="0.2">
      <c r="A1042" s="58"/>
    </row>
    <row r="1043" spans="1:1" x14ac:dyDescent="0.2">
      <c r="A1043" s="58"/>
    </row>
    <row r="1044" spans="1:1" x14ac:dyDescent="0.2">
      <c r="A1044" s="58"/>
    </row>
    <row r="1045" spans="1:1" x14ac:dyDescent="0.2">
      <c r="A1045" s="58"/>
    </row>
    <row r="1046" spans="1:1" x14ac:dyDescent="0.2">
      <c r="A1046" s="58"/>
    </row>
    <row r="1047" spans="1:1" x14ac:dyDescent="0.2">
      <c r="A1047" s="58"/>
    </row>
    <row r="1048" spans="1:1" x14ac:dyDescent="0.2">
      <c r="A1048" s="58"/>
    </row>
    <row r="1049" spans="1:1" x14ac:dyDescent="0.2">
      <c r="A1049" s="58"/>
    </row>
    <row r="1050" spans="1:1" x14ac:dyDescent="0.2">
      <c r="A1050" s="58"/>
    </row>
    <row r="1051" spans="1:1" x14ac:dyDescent="0.2">
      <c r="A1051" s="58"/>
    </row>
    <row r="1052" spans="1:1" x14ac:dyDescent="0.2">
      <c r="A1052" s="58"/>
    </row>
    <row r="1053" spans="1:1" x14ac:dyDescent="0.2">
      <c r="A1053" s="58"/>
    </row>
    <row r="1054" spans="1:1" x14ac:dyDescent="0.2">
      <c r="A1054" s="58"/>
    </row>
    <row r="1055" spans="1:1" x14ac:dyDescent="0.2">
      <c r="A1055" s="58"/>
    </row>
    <row r="1056" spans="1:1" x14ac:dyDescent="0.2">
      <c r="A1056" s="58"/>
    </row>
    <row r="1057" spans="1:1" x14ac:dyDescent="0.2">
      <c r="A1057" s="58"/>
    </row>
    <row r="1058" spans="1:1" x14ac:dyDescent="0.2">
      <c r="A1058" s="58"/>
    </row>
    <row r="1059" spans="1:1" x14ac:dyDescent="0.2">
      <c r="A1059" s="58"/>
    </row>
    <row r="1060" spans="1:1" x14ac:dyDescent="0.2">
      <c r="A1060" s="58"/>
    </row>
    <row r="1061" spans="1:1" x14ac:dyDescent="0.2">
      <c r="A1061" s="58"/>
    </row>
    <row r="1062" spans="1:1" x14ac:dyDescent="0.2">
      <c r="A1062" s="58"/>
    </row>
    <row r="1063" spans="1:1" x14ac:dyDescent="0.2">
      <c r="A1063" s="58"/>
    </row>
    <row r="1064" spans="1:1" x14ac:dyDescent="0.2">
      <c r="A1064" s="58"/>
    </row>
    <row r="1065" spans="1:1" x14ac:dyDescent="0.2">
      <c r="A1065" s="58"/>
    </row>
    <row r="1066" spans="1:1" x14ac:dyDescent="0.2">
      <c r="A1066" s="58"/>
    </row>
    <row r="1067" spans="1:1" x14ac:dyDescent="0.2">
      <c r="A1067" s="58"/>
    </row>
    <row r="1068" spans="1:1" x14ac:dyDescent="0.2">
      <c r="A1068" s="58"/>
    </row>
    <row r="1069" spans="1:1" x14ac:dyDescent="0.2">
      <c r="A1069" s="58"/>
    </row>
    <row r="1070" spans="1:1" x14ac:dyDescent="0.2">
      <c r="A1070" s="58"/>
    </row>
    <row r="1071" spans="1:1" x14ac:dyDescent="0.2">
      <c r="A1071" s="58"/>
    </row>
    <row r="1072" spans="1:1" x14ac:dyDescent="0.2">
      <c r="A1072" s="58"/>
    </row>
    <row r="1073" spans="1:1" x14ac:dyDescent="0.2">
      <c r="A1073" s="58"/>
    </row>
    <row r="1074" spans="1:1" x14ac:dyDescent="0.2">
      <c r="A1074" s="58"/>
    </row>
    <row r="1075" spans="1:1" x14ac:dyDescent="0.2">
      <c r="A1075" s="58"/>
    </row>
    <row r="1076" spans="1:1" x14ac:dyDescent="0.2">
      <c r="A1076" s="58"/>
    </row>
    <row r="1077" spans="1:1" x14ac:dyDescent="0.2">
      <c r="A1077" s="58"/>
    </row>
    <row r="1078" spans="1:1" x14ac:dyDescent="0.2">
      <c r="A1078" s="58"/>
    </row>
    <row r="1079" spans="1:1" x14ac:dyDescent="0.2">
      <c r="A1079" s="58"/>
    </row>
    <row r="1080" spans="1:1" x14ac:dyDescent="0.2">
      <c r="A1080" s="58"/>
    </row>
    <row r="1081" spans="1:1" x14ac:dyDescent="0.2">
      <c r="A1081" s="58"/>
    </row>
    <row r="1082" spans="1:1" x14ac:dyDescent="0.2">
      <c r="A1082" s="58"/>
    </row>
    <row r="1083" spans="1:1" x14ac:dyDescent="0.2">
      <c r="A1083" s="58"/>
    </row>
    <row r="1084" spans="1:1" x14ac:dyDescent="0.2">
      <c r="A1084" s="58"/>
    </row>
    <row r="1085" spans="1:1" x14ac:dyDescent="0.2">
      <c r="A1085" s="58"/>
    </row>
    <row r="1086" spans="1:1" x14ac:dyDescent="0.2">
      <c r="A1086" s="58"/>
    </row>
    <row r="1087" spans="1:1" x14ac:dyDescent="0.2">
      <c r="A1087" s="58"/>
    </row>
    <row r="1088" spans="1:1" x14ac:dyDescent="0.2">
      <c r="A1088" s="58"/>
    </row>
    <row r="1089" spans="1:1" x14ac:dyDescent="0.2">
      <c r="A1089" s="58"/>
    </row>
    <row r="1090" spans="1:1" x14ac:dyDescent="0.2">
      <c r="A1090" s="58"/>
    </row>
    <row r="1091" spans="1:1" x14ac:dyDescent="0.2">
      <c r="A1091" s="58"/>
    </row>
    <row r="1092" spans="1:1" x14ac:dyDescent="0.2">
      <c r="A1092" s="58"/>
    </row>
    <row r="1093" spans="1:1" x14ac:dyDescent="0.2">
      <c r="A1093" s="58"/>
    </row>
    <row r="1094" spans="1:1" x14ac:dyDescent="0.2">
      <c r="A1094" s="58"/>
    </row>
    <row r="1095" spans="1:1" x14ac:dyDescent="0.2">
      <c r="A1095" s="58"/>
    </row>
    <row r="1096" spans="1:1" x14ac:dyDescent="0.2">
      <c r="A1096" s="58"/>
    </row>
    <row r="1097" spans="1:1" x14ac:dyDescent="0.2">
      <c r="A1097" s="58"/>
    </row>
    <row r="1098" spans="1:1" x14ac:dyDescent="0.2">
      <c r="A1098" s="58"/>
    </row>
    <row r="1099" spans="1:1" x14ac:dyDescent="0.2">
      <c r="A1099" s="58"/>
    </row>
    <row r="1100" spans="1:1" x14ac:dyDescent="0.2">
      <c r="A1100" s="58"/>
    </row>
    <row r="1101" spans="1:1" x14ac:dyDescent="0.2">
      <c r="A1101" s="58"/>
    </row>
    <row r="1102" spans="1:1" x14ac:dyDescent="0.2">
      <c r="A1102" s="58"/>
    </row>
    <row r="1103" spans="1:1" x14ac:dyDescent="0.2">
      <c r="A1103" s="58"/>
    </row>
    <row r="1104" spans="1:1" x14ac:dyDescent="0.2">
      <c r="A1104" s="58"/>
    </row>
    <row r="1105" spans="1:1" x14ac:dyDescent="0.2">
      <c r="A1105" s="58"/>
    </row>
    <row r="1106" spans="1:1" x14ac:dyDescent="0.2">
      <c r="A1106" s="58"/>
    </row>
    <row r="1107" spans="1:1" x14ac:dyDescent="0.2">
      <c r="A1107" s="58"/>
    </row>
    <row r="1108" spans="1:1" x14ac:dyDescent="0.2">
      <c r="A1108" s="58"/>
    </row>
    <row r="1109" spans="1:1" x14ac:dyDescent="0.2">
      <c r="A1109" s="58"/>
    </row>
    <row r="1110" spans="1:1" x14ac:dyDescent="0.2">
      <c r="A1110" s="58"/>
    </row>
    <row r="1111" spans="1:1" x14ac:dyDescent="0.2">
      <c r="A1111" s="58"/>
    </row>
    <row r="1112" spans="1:1" x14ac:dyDescent="0.2">
      <c r="A1112" s="58"/>
    </row>
    <row r="1113" spans="1:1" x14ac:dyDescent="0.2">
      <c r="A1113" s="58"/>
    </row>
    <row r="1114" spans="1:1" x14ac:dyDescent="0.2">
      <c r="A1114" s="58"/>
    </row>
    <row r="1115" spans="1:1" x14ac:dyDescent="0.2">
      <c r="A1115" s="58"/>
    </row>
    <row r="1116" spans="1:1" x14ac:dyDescent="0.2">
      <c r="A1116" s="58"/>
    </row>
    <row r="1117" spans="1:1" x14ac:dyDescent="0.2">
      <c r="A1117" s="58"/>
    </row>
    <row r="1118" spans="1:1" x14ac:dyDescent="0.2">
      <c r="A1118" s="58"/>
    </row>
    <row r="1119" spans="1:1" x14ac:dyDescent="0.2">
      <c r="A1119" s="58"/>
    </row>
    <row r="1120" spans="1:1" x14ac:dyDescent="0.2">
      <c r="A1120" s="58"/>
    </row>
    <row r="1121" spans="1:1" x14ac:dyDescent="0.2">
      <c r="A1121" s="58"/>
    </row>
    <row r="1122" spans="1:1" x14ac:dyDescent="0.2">
      <c r="A1122" s="58"/>
    </row>
    <row r="1123" spans="1:1" x14ac:dyDescent="0.2">
      <c r="A1123" s="58"/>
    </row>
    <row r="1124" spans="1:1" x14ac:dyDescent="0.2">
      <c r="A1124" s="58"/>
    </row>
    <row r="1125" spans="1:1" x14ac:dyDescent="0.2">
      <c r="A1125" s="58"/>
    </row>
    <row r="1126" spans="1:1" x14ac:dyDescent="0.2">
      <c r="A1126" s="58"/>
    </row>
    <row r="1127" spans="1:1" x14ac:dyDescent="0.2">
      <c r="A1127" s="58"/>
    </row>
    <row r="1128" spans="1:1" x14ac:dyDescent="0.2">
      <c r="A1128" s="58"/>
    </row>
    <row r="1129" spans="1:1" x14ac:dyDescent="0.2">
      <c r="A1129" s="58"/>
    </row>
    <row r="1130" spans="1:1" x14ac:dyDescent="0.2">
      <c r="A1130" s="58"/>
    </row>
    <row r="1131" spans="1:1" x14ac:dyDescent="0.2">
      <c r="A1131" s="58"/>
    </row>
    <row r="1132" spans="1:1" x14ac:dyDescent="0.2">
      <c r="A1132" s="58"/>
    </row>
    <row r="1133" spans="1:1" x14ac:dyDescent="0.2">
      <c r="A1133" s="58"/>
    </row>
    <row r="1134" spans="1:1" x14ac:dyDescent="0.2">
      <c r="A1134" s="58"/>
    </row>
    <row r="1135" spans="1:1" x14ac:dyDescent="0.2">
      <c r="A1135" s="58"/>
    </row>
    <row r="1136" spans="1:1" x14ac:dyDescent="0.2">
      <c r="A1136" s="58"/>
    </row>
    <row r="1137" spans="1:1" x14ac:dyDescent="0.2">
      <c r="A1137" s="58"/>
    </row>
    <row r="1138" spans="1:1" x14ac:dyDescent="0.2">
      <c r="A1138" s="58"/>
    </row>
    <row r="1139" spans="1:1" x14ac:dyDescent="0.2">
      <c r="A1139" s="58"/>
    </row>
    <row r="1140" spans="1:1" x14ac:dyDescent="0.2">
      <c r="A1140" s="58"/>
    </row>
    <row r="1141" spans="1:1" x14ac:dyDescent="0.2">
      <c r="A1141" s="58"/>
    </row>
    <row r="1142" spans="1:1" x14ac:dyDescent="0.2">
      <c r="A1142" s="58"/>
    </row>
    <row r="1143" spans="1:1" x14ac:dyDescent="0.2">
      <c r="A1143" s="58"/>
    </row>
    <row r="1144" spans="1:1" x14ac:dyDescent="0.2">
      <c r="A1144" s="58"/>
    </row>
    <row r="1145" spans="1:1" x14ac:dyDescent="0.2">
      <c r="A1145" s="58"/>
    </row>
    <row r="1146" spans="1:1" x14ac:dyDescent="0.2">
      <c r="A1146" s="58"/>
    </row>
    <row r="1147" spans="1:1" x14ac:dyDescent="0.2">
      <c r="A1147" s="58"/>
    </row>
    <row r="1148" spans="1:1" x14ac:dyDescent="0.2">
      <c r="A1148" s="58"/>
    </row>
    <row r="1149" spans="1:1" x14ac:dyDescent="0.2">
      <c r="A1149" s="58"/>
    </row>
    <row r="1150" spans="1:1" x14ac:dyDescent="0.2">
      <c r="A1150" s="58"/>
    </row>
    <row r="1151" spans="1:1" x14ac:dyDescent="0.2">
      <c r="A1151" s="58"/>
    </row>
    <row r="1152" spans="1:1" x14ac:dyDescent="0.2">
      <c r="A1152" s="58"/>
    </row>
    <row r="1153" spans="1:1" x14ac:dyDescent="0.2">
      <c r="A1153" s="58"/>
    </row>
    <row r="1154" spans="1:1" x14ac:dyDescent="0.2">
      <c r="A1154" s="58"/>
    </row>
    <row r="1155" spans="1:1" x14ac:dyDescent="0.2">
      <c r="A1155" s="58"/>
    </row>
    <row r="1156" spans="1:1" x14ac:dyDescent="0.2">
      <c r="A1156" s="58"/>
    </row>
    <row r="1157" spans="1:1" x14ac:dyDescent="0.2">
      <c r="A1157" s="58"/>
    </row>
    <row r="1158" spans="1:1" x14ac:dyDescent="0.2">
      <c r="A1158" s="58"/>
    </row>
    <row r="1159" spans="1:1" x14ac:dyDescent="0.2">
      <c r="A1159" s="58"/>
    </row>
    <row r="1160" spans="1:1" x14ac:dyDescent="0.2">
      <c r="A1160" s="58"/>
    </row>
    <row r="1161" spans="1:1" x14ac:dyDescent="0.2">
      <c r="A1161" s="58"/>
    </row>
    <row r="1162" spans="1:1" x14ac:dyDescent="0.2">
      <c r="A1162" s="58"/>
    </row>
    <row r="1163" spans="1:1" x14ac:dyDescent="0.2">
      <c r="A1163" s="58"/>
    </row>
    <row r="1164" spans="1:1" x14ac:dyDescent="0.2">
      <c r="A1164" s="58"/>
    </row>
    <row r="1165" spans="1:1" x14ac:dyDescent="0.2">
      <c r="A1165" s="58"/>
    </row>
    <row r="1166" spans="1:1" x14ac:dyDescent="0.2">
      <c r="A1166" s="58"/>
    </row>
    <row r="1167" spans="1:1" x14ac:dyDescent="0.2">
      <c r="A1167" s="58"/>
    </row>
    <row r="1168" spans="1:1" x14ac:dyDescent="0.2">
      <c r="A1168" s="58"/>
    </row>
    <row r="1169" spans="1:1" x14ac:dyDescent="0.2">
      <c r="A1169" s="58"/>
    </row>
    <row r="1170" spans="1:1" x14ac:dyDescent="0.2">
      <c r="A1170" s="58"/>
    </row>
    <row r="1171" spans="1:1" x14ac:dyDescent="0.2">
      <c r="A1171" s="58"/>
    </row>
    <row r="1172" spans="1:1" x14ac:dyDescent="0.2">
      <c r="A1172" s="58"/>
    </row>
    <row r="1173" spans="1:1" x14ac:dyDescent="0.2">
      <c r="A1173" s="58"/>
    </row>
    <row r="1174" spans="1:1" x14ac:dyDescent="0.2">
      <c r="A1174" s="58"/>
    </row>
    <row r="1175" spans="1:1" x14ac:dyDescent="0.2">
      <c r="A1175" s="58"/>
    </row>
    <row r="1176" spans="1:1" x14ac:dyDescent="0.2">
      <c r="A1176" s="58"/>
    </row>
    <row r="1177" spans="1:1" x14ac:dyDescent="0.2">
      <c r="A1177" s="58"/>
    </row>
    <row r="1178" spans="1:1" x14ac:dyDescent="0.2">
      <c r="A1178" s="58"/>
    </row>
    <row r="1179" spans="1:1" x14ac:dyDescent="0.2">
      <c r="A1179" s="58"/>
    </row>
    <row r="1180" spans="1:1" x14ac:dyDescent="0.2">
      <c r="A1180" s="58"/>
    </row>
    <row r="1181" spans="1:1" x14ac:dyDescent="0.2">
      <c r="A1181" s="58"/>
    </row>
    <row r="1182" spans="1:1" x14ac:dyDescent="0.2">
      <c r="A1182" s="58"/>
    </row>
    <row r="1183" spans="1:1" x14ac:dyDescent="0.2">
      <c r="A1183" s="58"/>
    </row>
    <row r="1184" spans="1:1" x14ac:dyDescent="0.2">
      <c r="A1184" s="58"/>
    </row>
    <row r="1185" spans="1:1" x14ac:dyDescent="0.2">
      <c r="A1185" s="58"/>
    </row>
    <row r="1186" spans="1:1" x14ac:dyDescent="0.2">
      <c r="A1186" s="58"/>
    </row>
    <row r="1187" spans="1:1" x14ac:dyDescent="0.2">
      <c r="A1187" s="58"/>
    </row>
    <row r="1188" spans="1:1" x14ac:dyDescent="0.2">
      <c r="A1188" s="58"/>
    </row>
    <row r="1189" spans="1:1" x14ac:dyDescent="0.2">
      <c r="A1189" s="58"/>
    </row>
    <row r="1190" spans="1:1" x14ac:dyDescent="0.2">
      <c r="A1190" s="58"/>
    </row>
    <row r="1191" spans="1:1" x14ac:dyDescent="0.2">
      <c r="A1191" s="58"/>
    </row>
    <row r="1192" spans="1:1" x14ac:dyDescent="0.2">
      <c r="A1192" s="58"/>
    </row>
    <row r="1193" spans="1:1" x14ac:dyDescent="0.2">
      <c r="A1193" s="58"/>
    </row>
    <row r="1194" spans="1:1" x14ac:dyDescent="0.2">
      <c r="A1194" s="58"/>
    </row>
    <row r="1195" spans="1:1" x14ac:dyDescent="0.2">
      <c r="A1195" s="58"/>
    </row>
    <row r="1196" spans="1:1" x14ac:dyDescent="0.2">
      <c r="A1196" s="58"/>
    </row>
    <row r="1197" spans="1:1" x14ac:dyDescent="0.2">
      <c r="A1197" s="58"/>
    </row>
    <row r="1198" spans="1:1" x14ac:dyDescent="0.2">
      <c r="A1198" s="58"/>
    </row>
    <row r="1199" spans="1:1" x14ac:dyDescent="0.2">
      <c r="A1199" s="58"/>
    </row>
    <row r="1200" spans="1:1" x14ac:dyDescent="0.2">
      <c r="A1200" s="58"/>
    </row>
    <row r="1201" spans="1:1" x14ac:dyDescent="0.2">
      <c r="A1201" s="58"/>
    </row>
    <row r="1202" spans="1:1" x14ac:dyDescent="0.2">
      <c r="A1202" s="58"/>
    </row>
    <row r="1203" spans="1:1" x14ac:dyDescent="0.2">
      <c r="A1203" s="58"/>
    </row>
    <row r="1204" spans="1:1" x14ac:dyDescent="0.2">
      <c r="A1204" s="58"/>
    </row>
    <row r="1205" spans="1:1" x14ac:dyDescent="0.2">
      <c r="A1205" s="58"/>
    </row>
    <row r="1206" spans="1:1" x14ac:dyDescent="0.2">
      <c r="A1206" s="58"/>
    </row>
    <row r="1207" spans="1:1" x14ac:dyDescent="0.2">
      <c r="A1207" s="58"/>
    </row>
    <row r="1208" spans="1:1" x14ac:dyDescent="0.2">
      <c r="A1208" s="58"/>
    </row>
    <row r="1209" spans="1:1" x14ac:dyDescent="0.2">
      <c r="A1209" s="58"/>
    </row>
    <row r="1210" spans="1:1" x14ac:dyDescent="0.2">
      <c r="A1210" s="58"/>
    </row>
    <row r="1211" spans="1:1" x14ac:dyDescent="0.2">
      <c r="A1211" s="58"/>
    </row>
    <row r="1212" spans="1:1" x14ac:dyDescent="0.2">
      <c r="A1212" s="58"/>
    </row>
    <row r="1213" spans="1:1" x14ac:dyDescent="0.2">
      <c r="A1213" s="58"/>
    </row>
    <row r="1214" spans="1:1" x14ac:dyDescent="0.2">
      <c r="A1214" s="58"/>
    </row>
    <row r="1215" spans="1:1" x14ac:dyDescent="0.2">
      <c r="A1215" s="58"/>
    </row>
    <row r="1216" spans="1:1" x14ac:dyDescent="0.2">
      <c r="A1216" s="58"/>
    </row>
    <row r="1217" spans="1:1" x14ac:dyDescent="0.2">
      <c r="A1217" s="58"/>
    </row>
    <row r="1218" spans="1:1" x14ac:dyDescent="0.2">
      <c r="A1218" s="58"/>
    </row>
    <row r="1219" spans="1:1" x14ac:dyDescent="0.2">
      <c r="A1219" s="58"/>
    </row>
    <row r="1220" spans="1:1" x14ac:dyDescent="0.2">
      <c r="A1220" s="58"/>
    </row>
    <row r="1221" spans="1:1" x14ac:dyDescent="0.2">
      <c r="A1221" s="58"/>
    </row>
    <row r="1222" spans="1:1" x14ac:dyDescent="0.2">
      <c r="A1222" s="58"/>
    </row>
    <row r="1223" spans="1:1" x14ac:dyDescent="0.2">
      <c r="A1223" s="58"/>
    </row>
    <row r="1224" spans="1:1" x14ac:dyDescent="0.2">
      <c r="A1224" s="58"/>
    </row>
    <row r="1225" spans="1:1" x14ac:dyDescent="0.2">
      <c r="A1225" s="58"/>
    </row>
    <row r="1226" spans="1:1" x14ac:dyDescent="0.2">
      <c r="A1226" s="58"/>
    </row>
    <row r="1227" spans="1:1" x14ac:dyDescent="0.2">
      <c r="A1227" s="58"/>
    </row>
    <row r="1228" spans="1:1" x14ac:dyDescent="0.2">
      <c r="A1228" s="58"/>
    </row>
    <row r="1229" spans="1:1" x14ac:dyDescent="0.2">
      <c r="A1229" s="58"/>
    </row>
    <row r="1230" spans="1:1" x14ac:dyDescent="0.2">
      <c r="A1230" s="58"/>
    </row>
    <row r="1231" spans="1:1" x14ac:dyDescent="0.2">
      <c r="A1231" s="58"/>
    </row>
    <row r="1232" spans="1:1" x14ac:dyDescent="0.2">
      <c r="A1232" s="58"/>
    </row>
    <row r="1233" spans="1:1" x14ac:dyDescent="0.2">
      <c r="A1233" s="58"/>
    </row>
    <row r="1234" spans="1:1" x14ac:dyDescent="0.2">
      <c r="A1234" s="58"/>
    </row>
    <row r="1235" spans="1:1" x14ac:dyDescent="0.2">
      <c r="A1235" s="58"/>
    </row>
    <row r="1236" spans="1:1" x14ac:dyDescent="0.2">
      <c r="A1236" s="58"/>
    </row>
    <row r="1237" spans="1:1" x14ac:dyDescent="0.2">
      <c r="A1237" s="58"/>
    </row>
    <row r="1238" spans="1:1" x14ac:dyDescent="0.2">
      <c r="A1238" s="58"/>
    </row>
    <row r="1239" spans="1:1" x14ac:dyDescent="0.2">
      <c r="A1239" s="58"/>
    </row>
    <row r="1240" spans="1:1" x14ac:dyDescent="0.2">
      <c r="A1240" s="58"/>
    </row>
    <row r="1241" spans="1:1" x14ac:dyDescent="0.2">
      <c r="A1241" s="58"/>
    </row>
    <row r="1242" spans="1:1" x14ac:dyDescent="0.2">
      <c r="A1242" s="58"/>
    </row>
    <row r="1243" spans="1:1" x14ac:dyDescent="0.2">
      <c r="A1243" s="58"/>
    </row>
    <row r="1244" spans="1:1" x14ac:dyDescent="0.2">
      <c r="A1244" s="58"/>
    </row>
    <row r="1245" spans="1:1" x14ac:dyDescent="0.2">
      <c r="A1245" s="58"/>
    </row>
    <row r="1246" spans="1:1" x14ac:dyDescent="0.2">
      <c r="A1246" s="58"/>
    </row>
    <row r="1247" spans="1:1" x14ac:dyDescent="0.2">
      <c r="A1247" s="58"/>
    </row>
    <row r="1248" spans="1:1" x14ac:dyDescent="0.2">
      <c r="A1248" s="58"/>
    </row>
    <row r="1249" spans="1:1" x14ac:dyDescent="0.2">
      <c r="A1249" s="58"/>
    </row>
    <row r="1250" spans="1:1" x14ac:dyDescent="0.2">
      <c r="A1250" s="58"/>
    </row>
    <row r="1251" spans="1:1" x14ac:dyDescent="0.2">
      <c r="A1251" s="58"/>
    </row>
    <row r="1252" spans="1:1" x14ac:dyDescent="0.2">
      <c r="A1252" s="58"/>
    </row>
    <row r="1253" spans="1:1" x14ac:dyDescent="0.2">
      <c r="A1253" s="58"/>
    </row>
    <row r="1254" spans="1:1" x14ac:dyDescent="0.2">
      <c r="A1254" s="58"/>
    </row>
    <row r="1255" spans="1:1" x14ac:dyDescent="0.2">
      <c r="A1255" s="58"/>
    </row>
    <row r="1256" spans="1:1" x14ac:dyDescent="0.2">
      <c r="A1256" s="58"/>
    </row>
    <row r="1257" spans="1:1" x14ac:dyDescent="0.2">
      <c r="A1257" s="58"/>
    </row>
    <row r="1258" spans="1:1" x14ac:dyDescent="0.2">
      <c r="A1258" s="58"/>
    </row>
    <row r="1259" spans="1:1" x14ac:dyDescent="0.2">
      <c r="A1259" s="58"/>
    </row>
    <row r="1260" spans="1:1" x14ac:dyDescent="0.2">
      <c r="A1260" s="58"/>
    </row>
    <row r="1261" spans="1:1" x14ac:dyDescent="0.2">
      <c r="A1261" s="58"/>
    </row>
    <row r="1262" spans="1:1" x14ac:dyDescent="0.2">
      <c r="A1262" s="58"/>
    </row>
    <row r="1263" spans="1:1" x14ac:dyDescent="0.2">
      <c r="A1263" s="58"/>
    </row>
    <row r="1264" spans="1:1" x14ac:dyDescent="0.2">
      <c r="A1264" s="58"/>
    </row>
    <row r="1265" spans="1:1" x14ac:dyDescent="0.2">
      <c r="A1265" s="58"/>
    </row>
    <row r="1266" spans="1:1" x14ac:dyDescent="0.2">
      <c r="A1266" s="58"/>
    </row>
    <row r="1267" spans="1:1" x14ac:dyDescent="0.2">
      <c r="A1267" s="58"/>
    </row>
    <row r="1268" spans="1:1" x14ac:dyDescent="0.2">
      <c r="A1268" s="58"/>
    </row>
    <row r="1269" spans="1:1" x14ac:dyDescent="0.2">
      <c r="A1269" s="58"/>
    </row>
    <row r="1270" spans="1:1" x14ac:dyDescent="0.2">
      <c r="A1270" s="58"/>
    </row>
    <row r="1271" spans="1:1" x14ac:dyDescent="0.2">
      <c r="A1271" s="58"/>
    </row>
    <row r="1272" spans="1:1" x14ac:dyDescent="0.2">
      <c r="A1272" s="58"/>
    </row>
    <row r="1273" spans="1:1" x14ac:dyDescent="0.2">
      <c r="A1273" s="58"/>
    </row>
    <row r="1274" spans="1:1" x14ac:dyDescent="0.2">
      <c r="A1274" s="58"/>
    </row>
    <row r="1275" spans="1:1" x14ac:dyDescent="0.2">
      <c r="A1275" s="58"/>
    </row>
    <row r="1276" spans="1:1" x14ac:dyDescent="0.2">
      <c r="A1276" s="58"/>
    </row>
    <row r="1277" spans="1:1" x14ac:dyDescent="0.2">
      <c r="A1277" s="58"/>
    </row>
    <row r="1278" spans="1:1" x14ac:dyDescent="0.2">
      <c r="A1278" s="58"/>
    </row>
    <row r="1279" spans="1:1" x14ac:dyDescent="0.2">
      <c r="A1279" s="58"/>
    </row>
    <row r="1280" spans="1:1" x14ac:dyDescent="0.2">
      <c r="A1280" s="58"/>
    </row>
    <row r="1281" spans="1:1" x14ac:dyDescent="0.2">
      <c r="A1281" s="58"/>
    </row>
    <row r="1282" spans="1:1" x14ac:dyDescent="0.2">
      <c r="A1282" s="58"/>
    </row>
    <row r="1283" spans="1:1" x14ac:dyDescent="0.2">
      <c r="A1283" s="58"/>
    </row>
    <row r="1284" spans="1:1" x14ac:dyDescent="0.2">
      <c r="A1284" s="58"/>
    </row>
    <row r="1285" spans="1:1" x14ac:dyDescent="0.2">
      <c r="A1285" s="58"/>
    </row>
    <row r="1286" spans="1:1" x14ac:dyDescent="0.2">
      <c r="A1286" s="58"/>
    </row>
    <row r="1287" spans="1:1" x14ac:dyDescent="0.2">
      <c r="A1287" s="58"/>
    </row>
    <row r="1288" spans="1:1" x14ac:dyDescent="0.2">
      <c r="A1288" s="58"/>
    </row>
    <row r="1289" spans="1:1" x14ac:dyDescent="0.2">
      <c r="A1289" s="58"/>
    </row>
    <row r="1290" spans="1:1" x14ac:dyDescent="0.2">
      <c r="A1290" s="58"/>
    </row>
    <row r="1291" spans="1:1" x14ac:dyDescent="0.2">
      <c r="A1291" s="58"/>
    </row>
    <row r="1292" spans="1:1" x14ac:dyDescent="0.2">
      <c r="A1292" s="58"/>
    </row>
    <row r="1293" spans="1:1" x14ac:dyDescent="0.2">
      <c r="A1293" s="58"/>
    </row>
    <row r="1294" spans="1:1" x14ac:dyDescent="0.2">
      <c r="A1294" s="58"/>
    </row>
    <row r="1295" spans="1:1" x14ac:dyDescent="0.2">
      <c r="A1295" s="58"/>
    </row>
    <row r="1296" spans="1:1" x14ac:dyDescent="0.2">
      <c r="A1296" s="58"/>
    </row>
    <row r="1297" spans="1:1" x14ac:dyDescent="0.2">
      <c r="A1297" s="58"/>
    </row>
    <row r="1298" spans="1:1" x14ac:dyDescent="0.2">
      <c r="A1298" s="58"/>
    </row>
    <row r="1299" spans="1:1" x14ac:dyDescent="0.2">
      <c r="A1299" s="58"/>
    </row>
    <row r="1300" spans="1:1" x14ac:dyDescent="0.2">
      <c r="A1300" s="58"/>
    </row>
    <row r="1301" spans="1:1" x14ac:dyDescent="0.2">
      <c r="A1301" s="58"/>
    </row>
    <row r="1302" spans="1:1" x14ac:dyDescent="0.2">
      <c r="A1302" s="58"/>
    </row>
    <row r="1303" spans="1:1" x14ac:dyDescent="0.2">
      <c r="A1303" s="58"/>
    </row>
    <row r="1304" spans="1:1" x14ac:dyDescent="0.2">
      <c r="A1304" s="58"/>
    </row>
    <row r="1305" spans="1:1" x14ac:dyDescent="0.2">
      <c r="A1305" s="58"/>
    </row>
    <row r="1306" spans="1:1" x14ac:dyDescent="0.2">
      <c r="A1306" s="58"/>
    </row>
    <row r="1307" spans="1:1" x14ac:dyDescent="0.2">
      <c r="A1307" s="58"/>
    </row>
    <row r="1308" spans="1:1" x14ac:dyDescent="0.2">
      <c r="A1308" s="58"/>
    </row>
    <row r="1309" spans="1:1" x14ac:dyDescent="0.2">
      <c r="A1309" s="58"/>
    </row>
    <row r="1310" spans="1:1" x14ac:dyDescent="0.2">
      <c r="A1310" s="58"/>
    </row>
    <row r="1311" spans="1:1" x14ac:dyDescent="0.2">
      <c r="A1311" s="58"/>
    </row>
    <row r="1312" spans="1:1" x14ac:dyDescent="0.2">
      <c r="A1312" s="58"/>
    </row>
    <row r="1313" spans="1:1" x14ac:dyDescent="0.2">
      <c r="A1313" s="58"/>
    </row>
    <row r="1314" spans="1:1" x14ac:dyDescent="0.2">
      <c r="A1314" s="58"/>
    </row>
    <row r="1315" spans="1:1" x14ac:dyDescent="0.2">
      <c r="A1315" s="58"/>
    </row>
    <row r="1316" spans="1:1" x14ac:dyDescent="0.2">
      <c r="A1316" s="58"/>
    </row>
    <row r="1317" spans="1:1" x14ac:dyDescent="0.2">
      <c r="A1317" s="58"/>
    </row>
    <row r="1318" spans="1:1" x14ac:dyDescent="0.2">
      <c r="A1318" s="58"/>
    </row>
    <row r="1319" spans="1:1" x14ac:dyDescent="0.2">
      <c r="A1319" s="58"/>
    </row>
    <row r="1320" spans="1:1" x14ac:dyDescent="0.2">
      <c r="A1320" s="58"/>
    </row>
    <row r="1321" spans="1:1" x14ac:dyDescent="0.2">
      <c r="A1321" s="58"/>
    </row>
    <row r="1322" spans="1:1" x14ac:dyDescent="0.2">
      <c r="A1322" s="58"/>
    </row>
    <row r="1323" spans="1:1" x14ac:dyDescent="0.2">
      <c r="A1323" s="58"/>
    </row>
    <row r="1324" spans="1:1" x14ac:dyDescent="0.2">
      <c r="A1324" s="58"/>
    </row>
    <row r="1325" spans="1:1" x14ac:dyDescent="0.2">
      <c r="A1325" s="58"/>
    </row>
    <row r="1326" spans="1:1" x14ac:dyDescent="0.2">
      <c r="A1326" s="58"/>
    </row>
    <row r="1327" spans="1:1" x14ac:dyDescent="0.2">
      <c r="A1327" s="58"/>
    </row>
    <row r="1328" spans="1:1" x14ac:dyDescent="0.2">
      <c r="A1328" s="58"/>
    </row>
    <row r="1329" spans="1:1" x14ac:dyDescent="0.2">
      <c r="A1329" s="58"/>
    </row>
    <row r="1330" spans="1:1" x14ac:dyDescent="0.2">
      <c r="A1330" s="58"/>
    </row>
    <row r="1331" spans="1:1" x14ac:dyDescent="0.2">
      <c r="A1331" s="58"/>
    </row>
    <row r="1332" spans="1:1" x14ac:dyDescent="0.2">
      <c r="A1332" s="58"/>
    </row>
    <row r="1333" spans="1:1" x14ac:dyDescent="0.2">
      <c r="A1333" s="58"/>
    </row>
    <row r="1334" spans="1:1" x14ac:dyDescent="0.2">
      <c r="A1334" s="58"/>
    </row>
    <row r="1335" spans="1:1" x14ac:dyDescent="0.2">
      <c r="A1335" s="58"/>
    </row>
    <row r="1336" spans="1:1" x14ac:dyDescent="0.2">
      <c r="A1336" s="58"/>
    </row>
    <row r="1337" spans="1:1" x14ac:dyDescent="0.2">
      <c r="A1337" s="58"/>
    </row>
    <row r="1338" spans="1:1" x14ac:dyDescent="0.2">
      <c r="A1338" s="58"/>
    </row>
    <row r="1339" spans="1:1" x14ac:dyDescent="0.2">
      <c r="A1339" s="58"/>
    </row>
    <row r="1340" spans="1:1" x14ac:dyDescent="0.2">
      <c r="A1340" s="58"/>
    </row>
    <row r="1341" spans="1:1" x14ac:dyDescent="0.2">
      <c r="A1341" s="58"/>
    </row>
    <row r="1342" spans="1:1" x14ac:dyDescent="0.2">
      <c r="A1342" s="58"/>
    </row>
    <row r="1343" spans="1:1" x14ac:dyDescent="0.2">
      <c r="A1343" s="58"/>
    </row>
    <row r="1344" spans="1:1" x14ac:dyDescent="0.2">
      <c r="A1344" s="58"/>
    </row>
    <row r="1345" spans="1:1" x14ac:dyDescent="0.2">
      <c r="A1345" s="58"/>
    </row>
    <row r="1346" spans="1:1" x14ac:dyDescent="0.2">
      <c r="A1346" s="58"/>
    </row>
    <row r="1347" spans="1:1" x14ac:dyDescent="0.2">
      <c r="A1347" s="58"/>
    </row>
    <row r="1348" spans="1:1" x14ac:dyDescent="0.2">
      <c r="A1348" s="58"/>
    </row>
    <row r="1349" spans="1:1" x14ac:dyDescent="0.2">
      <c r="A1349" s="58"/>
    </row>
    <row r="1350" spans="1:1" x14ac:dyDescent="0.2">
      <c r="A1350" s="58"/>
    </row>
    <row r="1351" spans="1:1" x14ac:dyDescent="0.2">
      <c r="A1351" s="58"/>
    </row>
    <row r="1352" spans="1:1" x14ac:dyDescent="0.2">
      <c r="A1352" s="58"/>
    </row>
    <row r="1353" spans="1:1" x14ac:dyDescent="0.2">
      <c r="A1353" s="58"/>
    </row>
    <row r="1354" spans="1:1" x14ac:dyDescent="0.2">
      <c r="A1354" s="58"/>
    </row>
    <row r="1355" spans="1:1" x14ac:dyDescent="0.2">
      <c r="A1355" s="58"/>
    </row>
    <row r="1356" spans="1:1" x14ac:dyDescent="0.2">
      <c r="A1356" s="58"/>
    </row>
    <row r="1357" spans="1:1" x14ac:dyDescent="0.2">
      <c r="A1357" s="58"/>
    </row>
    <row r="1358" spans="1:1" x14ac:dyDescent="0.2">
      <c r="A1358" s="58"/>
    </row>
    <row r="1359" spans="1:1" x14ac:dyDescent="0.2">
      <c r="A1359" s="58"/>
    </row>
    <row r="1360" spans="1:1" x14ac:dyDescent="0.2">
      <c r="A1360" s="58"/>
    </row>
    <row r="1361" spans="1:1" x14ac:dyDescent="0.2">
      <c r="A1361" s="58"/>
    </row>
    <row r="1362" spans="1:1" x14ac:dyDescent="0.2">
      <c r="A1362" s="58"/>
    </row>
    <row r="1363" spans="1:1" x14ac:dyDescent="0.2">
      <c r="A1363" s="58"/>
    </row>
    <row r="1364" spans="1:1" x14ac:dyDescent="0.2">
      <c r="A1364" s="58"/>
    </row>
    <row r="1365" spans="1:1" x14ac:dyDescent="0.2">
      <c r="A1365" s="58"/>
    </row>
    <row r="1366" spans="1:1" x14ac:dyDescent="0.2">
      <c r="A1366" s="58"/>
    </row>
    <row r="1367" spans="1:1" x14ac:dyDescent="0.2">
      <c r="A1367" s="58"/>
    </row>
    <row r="1368" spans="1:1" x14ac:dyDescent="0.2">
      <c r="A1368" s="58"/>
    </row>
    <row r="1369" spans="1:1" x14ac:dyDescent="0.2">
      <c r="A1369" s="58"/>
    </row>
    <row r="1370" spans="1:1" x14ac:dyDescent="0.2">
      <c r="A1370" s="58"/>
    </row>
    <row r="1371" spans="1:1" x14ac:dyDescent="0.2">
      <c r="A1371" s="58"/>
    </row>
    <row r="1372" spans="1:1" x14ac:dyDescent="0.2">
      <c r="A1372" s="58"/>
    </row>
    <row r="1373" spans="1:1" x14ac:dyDescent="0.2">
      <c r="A1373" s="58"/>
    </row>
    <row r="1374" spans="1:1" x14ac:dyDescent="0.2">
      <c r="A1374" s="58"/>
    </row>
    <row r="1375" spans="1:1" x14ac:dyDescent="0.2">
      <c r="A1375" s="58"/>
    </row>
    <row r="1376" spans="1:1" x14ac:dyDescent="0.2">
      <c r="A1376" s="58"/>
    </row>
    <row r="1377" spans="1:1" x14ac:dyDescent="0.2">
      <c r="A1377" s="58"/>
    </row>
    <row r="1378" spans="1:1" x14ac:dyDescent="0.2">
      <c r="A1378" s="58"/>
    </row>
    <row r="1379" spans="1:1" x14ac:dyDescent="0.2">
      <c r="A1379" s="58"/>
    </row>
    <row r="1380" spans="1:1" x14ac:dyDescent="0.2">
      <c r="A1380" s="58"/>
    </row>
    <row r="1381" spans="1:1" x14ac:dyDescent="0.2">
      <c r="A1381" s="58"/>
    </row>
    <row r="1382" spans="1:1" x14ac:dyDescent="0.2">
      <c r="A1382" s="58"/>
    </row>
    <row r="1383" spans="1:1" x14ac:dyDescent="0.2">
      <c r="A1383" s="58"/>
    </row>
    <row r="1384" spans="1:1" x14ac:dyDescent="0.2">
      <c r="A1384" s="58"/>
    </row>
    <row r="1385" spans="1:1" x14ac:dyDescent="0.2">
      <c r="A1385" s="58"/>
    </row>
    <row r="1386" spans="1:1" x14ac:dyDescent="0.2">
      <c r="A1386" s="58"/>
    </row>
    <row r="1387" spans="1:1" x14ac:dyDescent="0.2">
      <c r="A1387" s="58"/>
    </row>
    <row r="1388" spans="1:1" x14ac:dyDescent="0.2">
      <c r="A1388" s="58"/>
    </row>
    <row r="1389" spans="1:1" x14ac:dyDescent="0.2">
      <c r="A1389" s="58"/>
    </row>
    <row r="1390" spans="1:1" x14ac:dyDescent="0.2">
      <c r="A1390" s="58"/>
    </row>
    <row r="1391" spans="1:1" x14ac:dyDescent="0.2">
      <c r="A1391" s="58"/>
    </row>
    <row r="1392" spans="1:1" x14ac:dyDescent="0.2">
      <c r="A1392" s="58"/>
    </row>
    <row r="1393" spans="1:1" x14ac:dyDescent="0.2">
      <c r="A1393" s="58"/>
    </row>
    <row r="1394" spans="1:1" x14ac:dyDescent="0.2">
      <c r="A1394" s="58"/>
    </row>
    <row r="1395" spans="1:1" x14ac:dyDescent="0.2">
      <c r="A1395" s="58"/>
    </row>
    <row r="1396" spans="1:1" x14ac:dyDescent="0.2">
      <c r="A1396" s="58"/>
    </row>
    <row r="1397" spans="1:1" x14ac:dyDescent="0.2">
      <c r="A1397" s="58"/>
    </row>
    <row r="1398" spans="1:1" x14ac:dyDescent="0.2">
      <c r="A1398" s="58"/>
    </row>
    <row r="1399" spans="1:1" x14ac:dyDescent="0.2">
      <c r="A1399" s="58"/>
    </row>
    <row r="1400" spans="1:1" x14ac:dyDescent="0.2">
      <c r="A1400" s="58"/>
    </row>
    <row r="1401" spans="1:1" x14ac:dyDescent="0.2">
      <c r="A1401" s="58"/>
    </row>
    <row r="1402" spans="1:1" x14ac:dyDescent="0.2">
      <c r="A1402" s="58"/>
    </row>
    <row r="1403" spans="1:1" x14ac:dyDescent="0.2">
      <c r="A1403" s="58"/>
    </row>
    <row r="1404" spans="1:1" x14ac:dyDescent="0.2">
      <c r="A1404" s="58"/>
    </row>
    <row r="1405" spans="1:1" x14ac:dyDescent="0.2">
      <c r="A1405" s="58"/>
    </row>
    <row r="1406" spans="1:1" x14ac:dyDescent="0.2">
      <c r="A1406" s="58"/>
    </row>
    <row r="1407" spans="1:1" x14ac:dyDescent="0.2">
      <c r="A1407" s="58"/>
    </row>
    <row r="1408" spans="1:1" x14ac:dyDescent="0.2">
      <c r="A1408" s="58"/>
    </row>
    <row r="1409" spans="1:1" x14ac:dyDescent="0.2">
      <c r="A1409" s="58"/>
    </row>
    <row r="1410" spans="1:1" x14ac:dyDescent="0.2">
      <c r="A1410" s="58"/>
    </row>
    <row r="1411" spans="1:1" x14ac:dyDescent="0.2">
      <c r="A1411" s="58"/>
    </row>
    <row r="1412" spans="1:1" x14ac:dyDescent="0.2">
      <c r="A1412" s="58"/>
    </row>
    <row r="1413" spans="1:1" x14ac:dyDescent="0.2">
      <c r="A1413" s="58"/>
    </row>
    <row r="1414" spans="1:1" x14ac:dyDescent="0.2">
      <c r="A1414" s="58"/>
    </row>
    <row r="1415" spans="1:1" x14ac:dyDescent="0.2">
      <c r="A1415" s="58"/>
    </row>
    <row r="1416" spans="1:1" x14ac:dyDescent="0.2">
      <c r="A1416" s="58"/>
    </row>
    <row r="1417" spans="1:1" x14ac:dyDescent="0.2">
      <c r="A1417" s="58"/>
    </row>
    <row r="1418" spans="1:1" x14ac:dyDescent="0.2">
      <c r="A1418" s="58"/>
    </row>
    <row r="1419" spans="1:1" x14ac:dyDescent="0.2">
      <c r="A1419" s="58"/>
    </row>
    <row r="1420" spans="1:1" x14ac:dyDescent="0.2">
      <c r="A1420" s="58"/>
    </row>
    <row r="1421" spans="1:1" x14ac:dyDescent="0.2">
      <c r="A1421" s="58"/>
    </row>
    <row r="1422" spans="1:1" x14ac:dyDescent="0.2">
      <c r="A1422" s="58"/>
    </row>
    <row r="1423" spans="1:1" x14ac:dyDescent="0.2">
      <c r="A1423" s="58"/>
    </row>
    <row r="1424" spans="1:1" x14ac:dyDescent="0.2">
      <c r="A1424" s="58"/>
    </row>
    <row r="1425" spans="1:1" x14ac:dyDescent="0.2">
      <c r="A1425" s="58"/>
    </row>
    <row r="1426" spans="1:1" x14ac:dyDescent="0.2">
      <c r="A1426" s="58"/>
    </row>
    <row r="1427" spans="1:1" x14ac:dyDescent="0.2">
      <c r="A1427" s="58"/>
    </row>
    <row r="1428" spans="1:1" x14ac:dyDescent="0.2">
      <c r="A1428" s="58"/>
    </row>
    <row r="1429" spans="1:1" x14ac:dyDescent="0.2">
      <c r="A1429" s="58"/>
    </row>
    <row r="1430" spans="1:1" x14ac:dyDescent="0.2">
      <c r="A1430" s="58"/>
    </row>
    <row r="1431" spans="1:1" x14ac:dyDescent="0.2">
      <c r="A1431" s="58"/>
    </row>
    <row r="1432" spans="1:1" x14ac:dyDescent="0.2">
      <c r="A1432" s="58"/>
    </row>
    <row r="1433" spans="1:1" x14ac:dyDescent="0.2">
      <c r="A1433" s="58"/>
    </row>
    <row r="1434" spans="1:1" x14ac:dyDescent="0.2">
      <c r="A1434" s="58"/>
    </row>
    <row r="1435" spans="1:1" x14ac:dyDescent="0.2">
      <c r="A1435" s="58"/>
    </row>
    <row r="1436" spans="1:1" x14ac:dyDescent="0.2">
      <c r="A1436" s="58"/>
    </row>
    <row r="1437" spans="1:1" x14ac:dyDescent="0.2">
      <c r="A1437" s="58"/>
    </row>
    <row r="1438" spans="1:1" x14ac:dyDescent="0.2">
      <c r="A1438" s="58"/>
    </row>
    <row r="1439" spans="1:1" x14ac:dyDescent="0.2">
      <c r="A1439" s="58"/>
    </row>
    <row r="1440" spans="1:1" x14ac:dyDescent="0.2">
      <c r="A1440" s="58"/>
    </row>
    <row r="1441" spans="1:1" x14ac:dyDescent="0.2">
      <c r="A1441" s="58"/>
    </row>
    <row r="1442" spans="1:1" x14ac:dyDescent="0.2">
      <c r="A1442" s="58"/>
    </row>
    <row r="1443" spans="1:1" x14ac:dyDescent="0.2">
      <c r="A1443" s="58"/>
    </row>
    <row r="1444" spans="1:1" x14ac:dyDescent="0.2">
      <c r="A1444" s="58"/>
    </row>
    <row r="1445" spans="1:1" x14ac:dyDescent="0.2">
      <c r="A1445" s="58"/>
    </row>
    <row r="1446" spans="1:1" x14ac:dyDescent="0.2">
      <c r="A1446" s="58"/>
    </row>
    <row r="1447" spans="1:1" x14ac:dyDescent="0.2">
      <c r="A1447" s="58"/>
    </row>
    <row r="1448" spans="1:1" x14ac:dyDescent="0.2">
      <c r="A1448" s="58"/>
    </row>
    <row r="1449" spans="1:1" x14ac:dyDescent="0.2">
      <c r="A1449" s="58"/>
    </row>
    <row r="1450" spans="1:1" x14ac:dyDescent="0.2">
      <c r="A1450" s="58"/>
    </row>
    <row r="1451" spans="1:1" x14ac:dyDescent="0.2">
      <c r="A1451" s="58"/>
    </row>
    <row r="1452" spans="1:1" x14ac:dyDescent="0.2">
      <c r="A1452" s="58"/>
    </row>
    <row r="1453" spans="1:1" x14ac:dyDescent="0.2">
      <c r="A1453" s="58"/>
    </row>
    <row r="1454" spans="1:1" x14ac:dyDescent="0.2">
      <c r="A1454" s="58"/>
    </row>
    <row r="1455" spans="1:1" x14ac:dyDescent="0.2">
      <c r="A1455" s="58"/>
    </row>
    <row r="1456" spans="1:1" x14ac:dyDescent="0.2">
      <c r="A1456" s="58"/>
    </row>
    <row r="1457" spans="1:1" x14ac:dyDescent="0.2">
      <c r="A1457" s="58"/>
    </row>
    <row r="1458" spans="1:1" x14ac:dyDescent="0.2">
      <c r="A1458" s="58"/>
    </row>
    <row r="1459" spans="1:1" x14ac:dyDescent="0.2">
      <c r="A1459" s="58"/>
    </row>
    <row r="1460" spans="1:1" x14ac:dyDescent="0.2">
      <c r="A1460" s="58"/>
    </row>
    <row r="1461" spans="1:1" x14ac:dyDescent="0.2">
      <c r="A1461" s="58"/>
    </row>
    <row r="1462" spans="1:1" x14ac:dyDescent="0.2">
      <c r="A1462" s="58"/>
    </row>
    <row r="1463" spans="1:1" x14ac:dyDescent="0.2">
      <c r="A1463" s="58"/>
    </row>
    <row r="1464" spans="1:1" x14ac:dyDescent="0.2">
      <c r="A1464" s="58"/>
    </row>
    <row r="1465" spans="1:1" x14ac:dyDescent="0.2">
      <c r="A1465" s="58"/>
    </row>
    <row r="1466" spans="1:1" x14ac:dyDescent="0.2">
      <c r="A1466" s="58"/>
    </row>
    <row r="1467" spans="1:1" x14ac:dyDescent="0.2">
      <c r="A1467" s="58"/>
    </row>
    <row r="1468" spans="1:1" x14ac:dyDescent="0.2">
      <c r="A1468" s="58"/>
    </row>
    <row r="1469" spans="1:1" x14ac:dyDescent="0.2">
      <c r="A1469" s="58"/>
    </row>
    <row r="1470" spans="1:1" x14ac:dyDescent="0.2">
      <c r="A1470" s="58"/>
    </row>
    <row r="1471" spans="1:1" x14ac:dyDescent="0.2">
      <c r="A1471" s="58"/>
    </row>
    <row r="1472" spans="1:1" x14ac:dyDescent="0.2">
      <c r="A1472" s="58"/>
    </row>
    <row r="1473" spans="1:1" x14ac:dyDescent="0.2">
      <c r="A1473" s="58"/>
    </row>
    <row r="1474" spans="1:1" x14ac:dyDescent="0.2">
      <c r="A1474" s="58"/>
    </row>
    <row r="1475" spans="1:1" x14ac:dyDescent="0.2">
      <c r="A1475" s="58"/>
    </row>
    <row r="1476" spans="1:1" x14ac:dyDescent="0.2">
      <c r="A1476" s="58"/>
    </row>
    <row r="1477" spans="1:1" x14ac:dyDescent="0.2">
      <c r="A1477" s="58"/>
    </row>
    <row r="1478" spans="1:1" x14ac:dyDescent="0.2">
      <c r="A1478" s="58"/>
    </row>
    <row r="1479" spans="1:1" x14ac:dyDescent="0.2">
      <c r="A1479" s="58"/>
    </row>
    <row r="1480" spans="1:1" x14ac:dyDescent="0.2">
      <c r="A1480" s="58"/>
    </row>
    <row r="1481" spans="1:1" x14ac:dyDescent="0.2">
      <c r="A1481" s="58"/>
    </row>
    <row r="1482" spans="1:1" x14ac:dyDescent="0.2">
      <c r="A1482" s="58"/>
    </row>
    <row r="1483" spans="1:1" x14ac:dyDescent="0.2">
      <c r="A1483" s="58"/>
    </row>
    <row r="1484" spans="1:1" x14ac:dyDescent="0.2">
      <c r="A1484" s="58"/>
    </row>
    <row r="1485" spans="1:1" x14ac:dyDescent="0.2">
      <c r="A1485" s="58"/>
    </row>
    <row r="1486" spans="1:1" x14ac:dyDescent="0.2">
      <c r="A1486" s="58"/>
    </row>
    <row r="1487" spans="1:1" x14ac:dyDescent="0.2">
      <c r="A1487" s="58"/>
    </row>
    <row r="1488" spans="1:1" x14ac:dyDescent="0.2">
      <c r="A1488" s="58"/>
    </row>
    <row r="1489" spans="1:1" x14ac:dyDescent="0.2">
      <c r="A1489" s="58"/>
    </row>
    <row r="1490" spans="1:1" x14ac:dyDescent="0.2">
      <c r="A1490" s="58"/>
    </row>
    <row r="1491" spans="1:1" x14ac:dyDescent="0.2">
      <c r="A1491" s="58"/>
    </row>
    <row r="1492" spans="1:1" x14ac:dyDescent="0.2">
      <c r="A1492" s="58"/>
    </row>
    <row r="1493" spans="1:1" x14ac:dyDescent="0.2">
      <c r="A1493" s="58"/>
    </row>
    <row r="1494" spans="1:1" x14ac:dyDescent="0.2">
      <c r="A1494" s="58"/>
    </row>
    <row r="1495" spans="1:1" x14ac:dyDescent="0.2">
      <c r="A1495" s="58"/>
    </row>
    <row r="1496" spans="1:1" x14ac:dyDescent="0.2">
      <c r="A1496" s="58"/>
    </row>
    <row r="1497" spans="1:1" x14ac:dyDescent="0.2">
      <c r="A1497" s="58"/>
    </row>
    <row r="1498" spans="1:1" x14ac:dyDescent="0.2">
      <c r="A1498" s="58"/>
    </row>
    <row r="1499" spans="1:1" x14ac:dyDescent="0.2">
      <c r="A1499" s="58"/>
    </row>
    <row r="1500" spans="1:1" x14ac:dyDescent="0.2">
      <c r="A1500" s="58"/>
    </row>
    <row r="1501" spans="1:1" x14ac:dyDescent="0.2">
      <c r="A1501" s="58"/>
    </row>
    <row r="1502" spans="1:1" x14ac:dyDescent="0.2">
      <c r="A1502" s="58"/>
    </row>
    <row r="1503" spans="1:1" x14ac:dyDescent="0.2">
      <c r="A1503" s="58"/>
    </row>
    <row r="1504" spans="1:1" x14ac:dyDescent="0.2">
      <c r="A1504" s="58"/>
    </row>
    <row r="1505" spans="1:1" x14ac:dyDescent="0.2">
      <c r="A1505" s="58"/>
    </row>
    <row r="1506" spans="1:1" x14ac:dyDescent="0.2">
      <c r="A1506" s="58"/>
    </row>
    <row r="1507" spans="1:1" x14ac:dyDescent="0.2">
      <c r="A1507" s="58"/>
    </row>
    <row r="1508" spans="1:1" x14ac:dyDescent="0.2">
      <c r="A1508" s="58"/>
    </row>
    <row r="1509" spans="1:1" x14ac:dyDescent="0.2">
      <c r="A1509" s="58"/>
    </row>
    <row r="1510" spans="1:1" x14ac:dyDescent="0.2">
      <c r="A1510" s="58"/>
    </row>
    <row r="1511" spans="1:1" x14ac:dyDescent="0.2">
      <c r="A1511" s="58"/>
    </row>
    <row r="1512" spans="1:1" x14ac:dyDescent="0.2">
      <c r="A1512" s="58"/>
    </row>
    <row r="1513" spans="1:1" x14ac:dyDescent="0.2">
      <c r="A1513" s="58"/>
    </row>
    <row r="1514" spans="1:1" x14ac:dyDescent="0.2">
      <c r="A1514" s="58"/>
    </row>
    <row r="1515" spans="1:1" x14ac:dyDescent="0.2">
      <c r="A1515" s="58"/>
    </row>
    <row r="1516" spans="1:1" x14ac:dyDescent="0.2">
      <c r="A1516" s="58"/>
    </row>
    <row r="1517" spans="1:1" x14ac:dyDescent="0.2">
      <c r="A1517" s="58"/>
    </row>
    <row r="1518" spans="1:1" x14ac:dyDescent="0.2">
      <c r="A1518" s="58"/>
    </row>
    <row r="1519" spans="1:1" x14ac:dyDescent="0.2">
      <c r="A1519" s="58"/>
    </row>
    <row r="1520" spans="1:1" x14ac:dyDescent="0.2">
      <c r="A1520" s="58"/>
    </row>
    <row r="1521" spans="1:1" x14ac:dyDescent="0.2">
      <c r="A1521" s="58"/>
    </row>
    <row r="1522" spans="1:1" x14ac:dyDescent="0.2">
      <c r="A1522" s="58"/>
    </row>
    <row r="1523" spans="1:1" x14ac:dyDescent="0.2">
      <c r="A1523" s="58"/>
    </row>
    <row r="1524" spans="1:1" x14ac:dyDescent="0.2">
      <c r="A1524" s="58"/>
    </row>
    <row r="1525" spans="1:1" x14ac:dyDescent="0.2">
      <c r="A1525" s="58"/>
    </row>
    <row r="1526" spans="1:1" x14ac:dyDescent="0.2">
      <c r="A1526" s="58"/>
    </row>
    <row r="1527" spans="1:1" x14ac:dyDescent="0.2">
      <c r="A1527" s="58"/>
    </row>
    <row r="1528" spans="1:1" x14ac:dyDescent="0.2">
      <c r="A1528" s="58"/>
    </row>
    <row r="1529" spans="1:1" x14ac:dyDescent="0.2">
      <c r="A1529" s="58"/>
    </row>
    <row r="1530" spans="1:1" x14ac:dyDescent="0.2">
      <c r="A1530" s="58"/>
    </row>
    <row r="1531" spans="1:1" x14ac:dyDescent="0.2">
      <c r="A1531" s="58"/>
    </row>
    <row r="1532" spans="1:1" x14ac:dyDescent="0.2">
      <c r="A1532" s="58"/>
    </row>
    <row r="1533" spans="1:1" x14ac:dyDescent="0.2">
      <c r="A1533" s="58"/>
    </row>
    <row r="1534" spans="1:1" x14ac:dyDescent="0.2">
      <c r="A1534" s="58"/>
    </row>
    <row r="1535" spans="1:1" x14ac:dyDescent="0.2">
      <c r="A1535" s="58"/>
    </row>
    <row r="1536" spans="1:1" x14ac:dyDescent="0.2">
      <c r="A1536" s="58"/>
    </row>
    <row r="1537" spans="1:1" x14ac:dyDescent="0.2">
      <c r="A1537" s="58"/>
    </row>
    <row r="1538" spans="1:1" x14ac:dyDescent="0.2">
      <c r="A1538" s="58"/>
    </row>
    <row r="1539" spans="1:1" x14ac:dyDescent="0.2">
      <c r="A1539" s="58"/>
    </row>
    <row r="1540" spans="1:1" x14ac:dyDescent="0.2">
      <c r="A1540" s="58"/>
    </row>
    <row r="1541" spans="1:1" x14ac:dyDescent="0.2">
      <c r="A1541" s="58"/>
    </row>
    <row r="1542" spans="1:1" x14ac:dyDescent="0.2">
      <c r="A1542" s="58"/>
    </row>
    <row r="1543" spans="1:1" x14ac:dyDescent="0.2">
      <c r="A1543" s="58"/>
    </row>
    <row r="1544" spans="1:1" x14ac:dyDescent="0.2">
      <c r="A1544" s="58"/>
    </row>
    <row r="1545" spans="1:1" x14ac:dyDescent="0.2">
      <c r="A1545" s="58"/>
    </row>
    <row r="1546" spans="1:1" x14ac:dyDescent="0.2">
      <c r="A1546" s="58"/>
    </row>
    <row r="1547" spans="1:1" x14ac:dyDescent="0.2">
      <c r="A1547" s="58"/>
    </row>
    <row r="1548" spans="1:1" x14ac:dyDescent="0.2">
      <c r="A1548" s="58"/>
    </row>
    <row r="1549" spans="1:1" x14ac:dyDescent="0.2">
      <c r="A1549" s="58"/>
    </row>
    <row r="1550" spans="1:1" x14ac:dyDescent="0.2">
      <c r="A1550" s="58"/>
    </row>
    <row r="1551" spans="1:1" x14ac:dyDescent="0.2">
      <c r="A1551" s="58"/>
    </row>
    <row r="1552" spans="1:1" x14ac:dyDescent="0.2">
      <c r="A1552" s="58"/>
    </row>
    <row r="1553" spans="1:1" x14ac:dyDescent="0.2">
      <c r="A1553" s="58"/>
    </row>
    <row r="1554" spans="1:1" x14ac:dyDescent="0.2">
      <c r="A1554" s="58"/>
    </row>
    <row r="1555" spans="1:1" x14ac:dyDescent="0.2">
      <c r="A1555" s="58"/>
    </row>
    <row r="1556" spans="1:1" x14ac:dyDescent="0.2">
      <c r="A1556" s="58"/>
    </row>
    <row r="1557" spans="1:1" x14ac:dyDescent="0.2">
      <c r="A1557" s="58"/>
    </row>
    <row r="1558" spans="1:1" x14ac:dyDescent="0.2">
      <c r="A1558" s="58"/>
    </row>
    <row r="1559" spans="1:1" x14ac:dyDescent="0.2">
      <c r="A1559" s="58"/>
    </row>
    <row r="1560" spans="1:1" x14ac:dyDescent="0.2">
      <c r="A1560" s="58"/>
    </row>
    <row r="1561" spans="1:1" x14ac:dyDescent="0.2">
      <c r="A1561" s="58"/>
    </row>
    <row r="1562" spans="1:1" x14ac:dyDescent="0.2">
      <c r="A1562" s="58"/>
    </row>
    <row r="1563" spans="1:1" x14ac:dyDescent="0.2">
      <c r="A1563" s="58"/>
    </row>
    <row r="1564" spans="1:1" x14ac:dyDescent="0.2">
      <c r="A1564" s="58"/>
    </row>
    <row r="1565" spans="1:1" x14ac:dyDescent="0.2">
      <c r="A1565" s="58"/>
    </row>
    <row r="1566" spans="1:1" x14ac:dyDescent="0.2">
      <c r="A1566" s="58"/>
    </row>
    <row r="1567" spans="1:1" x14ac:dyDescent="0.2">
      <c r="A1567" s="58"/>
    </row>
    <row r="1568" spans="1:1" x14ac:dyDescent="0.2">
      <c r="A1568" s="58"/>
    </row>
    <row r="1569" spans="1:1" x14ac:dyDescent="0.2">
      <c r="A1569" s="58"/>
    </row>
    <row r="1570" spans="1:1" x14ac:dyDescent="0.2">
      <c r="A1570" s="58"/>
    </row>
    <row r="1571" spans="1:1" x14ac:dyDescent="0.2">
      <c r="A1571" s="58"/>
    </row>
    <row r="1572" spans="1:1" x14ac:dyDescent="0.2">
      <c r="A1572" s="58"/>
    </row>
    <row r="1573" spans="1:1" x14ac:dyDescent="0.2">
      <c r="A1573" s="58"/>
    </row>
    <row r="1574" spans="1:1" x14ac:dyDescent="0.2">
      <c r="A1574" s="58"/>
    </row>
    <row r="1575" spans="1:1" x14ac:dyDescent="0.2">
      <c r="A1575" s="58"/>
    </row>
    <row r="1576" spans="1:1" x14ac:dyDescent="0.2">
      <c r="A1576" s="58"/>
    </row>
    <row r="1577" spans="1:1" x14ac:dyDescent="0.2">
      <c r="A1577" s="58"/>
    </row>
    <row r="1578" spans="1:1" x14ac:dyDescent="0.2">
      <c r="A1578" s="58"/>
    </row>
    <row r="1579" spans="1:1" x14ac:dyDescent="0.2">
      <c r="A1579" s="58"/>
    </row>
    <row r="1580" spans="1:1" x14ac:dyDescent="0.2">
      <c r="A1580" s="58"/>
    </row>
    <row r="1581" spans="1:1" x14ac:dyDescent="0.2">
      <c r="A1581" s="58"/>
    </row>
    <row r="1582" spans="1:1" x14ac:dyDescent="0.2">
      <c r="A1582" s="58"/>
    </row>
    <row r="1583" spans="1:1" x14ac:dyDescent="0.2">
      <c r="A1583" s="58"/>
    </row>
    <row r="1584" spans="1:1" x14ac:dyDescent="0.2">
      <c r="A1584" s="58"/>
    </row>
    <row r="1585" spans="1:1" x14ac:dyDescent="0.2">
      <c r="A1585" s="58"/>
    </row>
    <row r="1586" spans="1:1" x14ac:dyDescent="0.2">
      <c r="A1586" s="58"/>
    </row>
    <row r="1587" spans="1:1" x14ac:dyDescent="0.2">
      <c r="A1587" s="58"/>
    </row>
    <row r="1588" spans="1:1" x14ac:dyDescent="0.2">
      <c r="A1588" s="58"/>
    </row>
    <row r="1589" spans="1:1" x14ac:dyDescent="0.2">
      <c r="A1589" s="58"/>
    </row>
    <row r="1590" spans="1:1" x14ac:dyDescent="0.2">
      <c r="A1590" s="58"/>
    </row>
    <row r="1591" spans="1:1" x14ac:dyDescent="0.2">
      <c r="A1591" s="58"/>
    </row>
    <row r="1592" spans="1:1" x14ac:dyDescent="0.2">
      <c r="A1592" s="58"/>
    </row>
    <row r="1593" spans="1:1" x14ac:dyDescent="0.2">
      <c r="A1593" s="58"/>
    </row>
    <row r="1594" spans="1:1" x14ac:dyDescent="0.2">
      <c r="A1594" s="58"/>
    </row>
    <row r="1595" spans="1:1" x14ac:dyDescent="0.2">
      <c r="A1595" s="58"/>
    </row>
    <row r="1596" spans="1:1" x14ac:dyDescent="0.2">
      <c r="A1596" s="58"/>
    </row>
    <row r="1597" spans="1:1" x14ac:dyDescent="0.2">
      <c r="A1597" s="58"/>
    </row>
    <row r="1598" spans="1:1" x14ac:dyDescent="0.2">
      <c r="A1598" s="58"/>
    </row>
    <row r="1599" spans="1:1" x14ac:dyDescent="0.2">
      <c r="A1599" s="58"/>
    </row>
    <row r="1600" spans="1:1" x14ac:dyDescent="0.2">
      <c r="A1600" s="58"/>
    </row>
    <row r="1601" spans="1:1" x14ac:dyDescent="0.2">
      <c r="A1601" s="58"/>
    </row>
    <row r="1602" spans="1:1" x14ac:dyDescent="0.2">
      <c r="A1602" s="58"/>
    </row>
    <row r="1603" spans="1:1" x14ac:dyDescent="0.2">
      <c r="A1603" s="58"/>
    </row>
    <row r="1604" spans="1:1" x14ac:dyDescent="0.2">
      <c r="A1604" s="58"/>
    </row>
    <row r="1605" spans="1:1" x14ac:dyDescent="0.2">
      <c r="A1605" s="58"/>
    </row>
    <row r="1606" spans="1:1" x14ac:dyDescent="0.2">
      <c r="A1606" s="58"/>
    </row>
    <row r="1607" spans="1:1" x14ac:dyDescent="0.2">
      <c r="A1607" s="58"/>
    </row>
    <row r="1608" spans="1:1" x14ac:dyDescent="0.2">
      <c r="A1608" s="58"/>
    </row>
    <row r="1609" spans="1:1" x14ac:dyDescent="0.2">
      <c r="A1609" s="58"/>
    </row>
    <row r="1610" spans="1:1" x14ac:dyDescent="0.2">
      <c r="A1610" s="58"/>
    </row>
    <row r="1611" spans="1:1" x14ac:dyDescent="0.2">
      <c r="A1611" s="58"/>
    </row>
    <row r="1612" spans="1:1" x14ac:dyDescent="0.2">
      <c r="A1612" s="58"/>
    </row>
    <row r="1613" spans="1:1" x14ac:dyDescent="0.2">
      <c r="A1613" s="58"/>
    </row>
    <row r="1614" spans="1:1" x14ac:dyDescent="0.2">
      <c r="A1614" s="58"/>
    </row>
    <row r="1615" spans="1:1" x14ac:dyDescent="0.2">
      <c r="A1615" s="58"/>
    </row>
    <row r="1616" spans="1:1" x14ac:dyDescent="0.2">
      <c r="A1616" s="58"/>
    </row>
    <row r="1617" spans="1:1" x14ac:dyDescent="0.2">
      <c r="A1617" s="58"/>
    </row>
    <row r="1618" spans="1:1" x14ac:dyDescent="0.2">
      <c r="A1618" s="58"/>
    </row>
    <row r="1619" spans="1:1" x14ac:dyDescent="0.2">
      <c r="A1619" s="58"/>
    </row>
    <row r="1620" spans="1:1" x14ac:dyDescent="0.2">
      <c r="A1620" s="58"/>
    </row>
    <row r="1621" spans="1:1" x14ac:dyDescent="0.2">
      <c r="A1621" s="58"/>
    </row>
    <row r="1622" spans="1:1" x14ac:dyDescent="0.2">
      <c r="A1622" s="58"/>
    </row>
    <row r="1623" spans="1:1" x14ac:dyDescent="0.2">
      <c r="A1623" s="58"/>
    </row>
    <row r="1624" spans="1:1" x14ac:dyDescent="0.2">
      <c r="A1624" s="58"/>
    </row>
    <row r="1625" spans="1:1" x14ac:dyDescent="0.2">
      <c r="A1625" s="58"/>
    </row>
    <row r="1626" spans="1:1" x14ac:dyDescent="0.2">
      <c r="A1626" s="58"/>
    </row>
    <row r="1627" spans="1:1" x14ac:dyDescent="0.2">
      <c r="A1627" s="58"/>
    </row>
    <row r="1628" spans="1:1" x14ac:dyDescent="0.2">
      <c r="A1628" s="58"/>
    </row>
    <row r="1629" spans="1:1" x14ac:dyDescent="0.2">
      <c r="A1629" s="58"/>
    </row>
    <row r="1630" spans="1:1" x14ac:dyDescent="0.2">
      <c r="A1630" s="58"/>
    </row>
    <row r="1631" spans="1:1" x14ac:dyDescent="0.2">
      <c r="A1631" s="58"/>
    </row>
    <row r="1632" spans="1:1" x14ac:dyDescent="0.2">
      <c r="A1632" s="58"/>
    </row>
    <row r="1633" spans="1:1" x14ac:dyDescent="0.2">
      <c r="A1633" s="58"/>
    </row>
    <row r="1634" spans="1:1" x14ac:dyDescent="0.2">
      <c r="A1634" s="58"/>
    </row>
    <row r="1635" spans="1:1" x14ac:dyDescent="0.2">
      <c r="A1635" s="58"/>
    </row>
    <row r="1636" spans="1:1" x14ac:dyDescent="0.2">
      <c r="A1636" s="58"/>
    </row>
    <row r="1637" spans="1:1" x14ac:dyDescent="0.2">
      <c r="A1637" s="58"/>
    </row>
    <row r="1638" spans="1:1" x14ac:dyDescent="0.2">
      <c r="A1638" s="58"/>
    </row>
    <row r="1639" spans="1:1" x14ac:dyDescent="0.2">
      <c r="A1639" s="58"/>
    </row>
    <row r="1640" spans="1:1" x14ac:dyDescent="0.2">
      <c r="A1640" s="58"/>
    </row>
    <row r="1641" spans="1:1" x14ac:dyDescent="0.2">
      <c r="A1641" s="58"/>
    </row>
    <row r="1642" spans="1:1" x14ac:dyDescent="0.2">
      <c r="A1642" s="58"/>
    </row>
    <row r="1643" spans="1:1" x14ac:dyDescent="0.2">
      <c r="A1643" s="58"/>
    </row>
    <row r="1644" spans="1:1" x14ac:dyDescent="0.2">
      <c r="A1644" s="58"/>
    </row>
    <row r="1645" spans="1:1" x14ac:dyDescent="0.2">
      <c r="A1645" s="58"/>
    </row>
    <row r="1646" spans="1:1" x14ac:dyDescent="0.2">
      <c r="A1646" s="58"/>
    </row>
    <row r="1647" spans="1:1" x14ac:dyDescent="0.2">
      <c r="A1647" s="58"/>
    </row>
    <row r="1648" spans="1:1" x14ac:dyDescent="0.2">
      <c r="A1648" s="58"/>
    </row>
    <row r="1649" spans="1:1" x14ac:dyDescent="0.2">
      <c r="A1649" s="58"/>
    </row>
    <row r="1650" spans="1:1" x14ac:dyDescent="0.2">
      <c r="A1650" s="58"/>
    </row>
    <row r="1651" spans="1:1" x14ac:dyDescent="0.2">
      <c r="A1651" s="58"/>
    </row>
    <row r="1652" spans="1:1" x14ac:dyDescent="0.2">
      <c r="A1652" s="58"/>
    </row>
    <row r="1653" spans="1:1" x14ac:dyDescent="0.2">
      <c r="A1653" s="58"/>
    </row>
    <row r="1654" spans="1:1" x14ac:dyDescent="0.2">
      <c r="A1654" s="58"/>
    </row>
    <row r="1655" spans="1:1" x14ac:dyDescent="0.2">
      <c r="A1655" s="58"/>
    </row>
    <row r="1656" spans="1:1" x14ac:dyDescent="0.2">
      <c r="A1656" s="58"/>
    </row>
    <row r="1657" spans="1:1" x14ac:dyDescent="0.2">
      <c r="A1657" s="58"/>
    </row>
    <row r="1658" spans="1:1" x14ac:dyDescent="0.2">
      <c r="A1658" s="58"/>
    </row>
    <row r="1659" spans="1:1" x14ac:dyDescent="0.2">
      <c r="A1659" s="58"/>
    </row>
    <row r="1660" spans="1:1" x14ac:dyDescent="0.2">
      <c r="A1660" s="58"/>
    </row>
    <row r="1661" spans="1:1" x14ac:dyDescent="0.2">
      <c r="A1661" s="58"/>
    </row>
    <row r="1662" spans="1:1" x14ac:dyDescent="0.2">
      <c r="A1662" s="58"/>
    </row>
    <row r="1663" spans="1:1" x14ac:dyDescent="0.2">
      <c r="A1663" s="58"/>
    </row>
    <row r="1664" spans="1:1" x14ac:dyDescent="0.2">
      <c r="A1664" s="58"/>
    </row>
    <row r="1665" spans="1:1" x14ac:dyDescent="0.2">
      <c r="A1665" s="58"/>
    </row>
    <row r="1666" spans="1:1" x14ac:dyDescent="0.2">
      <c r="A1666" s="58"/>
    </row>
    <row r="1667" spans="1:1" x14ac:dyDescent="0.2">
      <c r="A1667" s="58"/>
    </row>
    <row r="1668" spans="1:1" x14ac:dyDescent="0.2">
      <c r="A1668" s="58"/>
    </row>
    <row r="1669" spans="1:1" x14ac:dyDescent="0.2">
      <c r="A1669" s="58"/>
    </row>
    <row r="1670" spans="1:1" x14ac:dyDescent="0.2">
      <c r="A1670" s="58"/>
    </row>
    <row r="1671" spans="1:1" x14ac:dyDescent="0.2">
      <c r="A1671" s="58"/>
    </row>
    <row r="1672" spans="1:1" x14ac:dyDescent="0.2">
      <c r="A1672" s="58"/>
    </row>
    <row r="1673" spans="1:1" x14ac:dyDescent="0.2">
      <c r="A1673" s="58"/>
    </row>
    <row r="1674" spans="1:1" x14ac:dyDescent="0.2">
      <c r="A1674" s="58"/>
    </row>
    <row r="1675" spans="1:1" x14ac:dyDescent="0.2">
      <c r="A1675" s="58"/>
    </row>
    <row r="1676" spans="1:1" x14ac:dyDescent="0.2">
      <c r="A1676" s="58"/>
    </row>
    <row r="1677" spans="1:1" x14ac:dyDescent="0.2">
      <c r="A1677" s="58"/>
    </row>
    <row r="1678" spans="1:1" x14ac:dyDescent="0.2">
      <c r="A1678" s="58"/>
    </row>
    <row r="1679" spans="1:1" x14ac:dyDescent="0.2">
      <c r="A1679" s="58"/>
    </row>
    <row r="1680" spans="1:1" x14ac:dyDescent="0.2">
      <c r="A1680" s="58"/>
    </row>
    <row r="1681" spans="1:1" x14ac:dyDescent="0.2">
      <c r="A1681" s="58"/>
    </row>
    <row r="1682" spans="1:1" x14ac:dyDescent="0.2">
      <c r="A1682" s="58"/>
    </row>
    <row r="1683" spans="1:1" x14ac:dyDescent="0.2">
      <c r="A1683" s="58"/>
    </row>
    <row r="1684" spans="1:1" x14ac:dyDescent="0.2">
      <c r="A1684" s="58"/>
    </row>
    <row r="1685" spans="1:1" x14ac:dyDescent="0.2">
      <c r="A1685" s="58"/>
    </row>
    <row r="1686" spans="1:1" x14ac:dyDescent="0.2">
      <c r="A1686" s="58"/>
    </row>
    <row r="1687" spans="1:1" x14ac:dyDescent="0.2">
      <c r="A1687" s="58"/>
    </row>
    <row r="1688" spans="1:1" x14ac:dyDescent="0.2">
      <c r="A1688" s="58"/>
    </row>
    <row r="1689" spans="1:1" x14ac:dyDescent="0.2">
      <c r="A1689" s="58"/>
    </row>
    <row r="1690" spans="1:1" x14ac:dyDescent="0.2">
      <c r="A1690" s="58"/>
    </row>
    <row r="1691" spans="1:1" x14ac:dyDescent="0.2">
      <c r="A1691" s="58"/>
    </row>
    <row r="1692" spans="1:1" x14ac:dyDescent="0.2">
      <c r="A1692" s="58"/>
    </row>
    <row r="1693" spans="1:1" x14ac:dyDescent="0.2">
      <c r="A1693" s="58"/>
    </row>
    <row r="1694" spans="1:1" x14ac:dyDescent="0.2">
      <c r="A1694" s="58"/>
    </row>
    <row r="1695" spans="1:1" x14ac:dyDescent="0.2">
      <c r="A1695" s="58"/>
    </row>
    <row r="1696" spans="1:1" x14ac:dyDescent="0.2">
      <c r="A1696" s="58"/>
    </row>
    <row r="1697" spans="1:1" x14ac:dyDescent="0.2">
      <c r="A1697" s="58"/>
    </row>
    <row r="1698" spans="1:1" x14ac:dyDescent="0.2">
      <c r="A1698" s="58"/>
    </row>
    <row r="1699" spans="1:1" x14ac:dyDescent="0.2">
      <c r="A1699" s="58"/>
    </row>
    <row r="1700" spans="1:1" x14ac:dyDescent="0.2">
      <c r="A1700" s="58"/>
    </row>
    <row r="1701" spans="1:1" x14ac:dyDescent="0.2">
      <c r="A1701" s="58"/>
    </row>
    <row r="1702" spans="1:1" x14ac:dyDescent="0.2">
      <c r="A1702" s="58"/>
    </row>
    <row r="1703" spans="1:1" x14ac:dyDescent="0.2">
      <c r="A1703" s="58"/>
    </row>
    <row r="1704" spans="1:1" x14ac:dyDescent="0.2">
      <c r="A1704" s="58"/>
    </row>
    <row r="1705" spans="1:1" x14ac:dyDescent="0.2">
      <c r="A1705" s="58"/>
    </row>
    <row r="1706" spans="1:1" x14ac:dyDescent="0.2">
      <c r="A1706" s="58"/>
    </row>
    <row r="1707" spans="1:1" x14ac:dyDescent="0.2">
      <c r="A1707" s="58"/>
    </row>
    <row r="1708" spans="1:1" x14ac:dyDescent="0.2">
      <c r="A1708" s="58"/>
    </row>
    <row r="1709" spans="1:1" x14ac:dyDescent="0.2">
      <c r="A1709" s="58"/>
    </row>
    <row r="1710" spans="1:1" x14ac:dyDescent="0.2">
      <c r="A1710" s="58"/>
    </row>
    <row r="1711" spans="1:1" x14ac:dyDescent="0.2">
      <c r="A1711" s="58"/>
    </row>
    <row r="1712" spans="1:1" x14ac:dyDescent="0.2">
      <c r="A1712" s="58"/>
    </row>
    <row r="1713" spans="1:1" x14ac:dyDescent="0.2">
      <c r="A1713" s="58"/>
    </row>
    <row r="1714" spans="1:1" x14ac:dyDescent="0.2">
      <c r="A1714" s="58"/>
    </row>
    <row r="1715" spans="1:1" x14ac:dyDescent="0.2">
      <c r="A1715" s="58"/>
    </row>
    <row r="1716" spans="1:1" x14ac:dyDescent="0.2">
      <c r="A1716" s="58"/>
    </row>
    <row r="1717" spans="1:1" x14ac:dyDescent="0.2">
      <c r="A1717" s="58"/>
    </row>
    <row r="1718" spans="1:1" x14ac:dyDescent="0.2">
      <c r="A1718" s="58"/>
    </row>
    <row r="1719" spans="1:1" x14ac:dyDescent="0.2">
      <c r="A1719" s="58"/>
    </row>
    <row r="1720" spans="1:1" x14ac:dyDescent="0.2">
      <c r="A1720" s="58"/>
    </row>
    <row r="1721" spans="1:1" x14ac:dyDescent="0.2">
      <c r="A1721" s="58"/>
    </row>
    <row r="1722" spans="1:1" x14ac:dyDescent="0.2">
      <c r="A1722" s="58"/>
    </row>
    <row r="1723" spans="1:1" x14ac:dyDescent="0.2">
      <c r="A1723" s="58"/>
    </row>
    <row r="1724" spans="1:1" x14ac:dyDescent="0.2">
      <c r="A1724" s="58"/>
    </row>
    <row r="1725" spans="1:1" x14ac:dyDescent="0.2">
      <c r="A1725" s="58"/>
    </row>
    <row r="1726" spans="1:1" x14ac:dyDescent="0.2">
      <c r="A1726" s="58"/>
    </row>
    <row r="1727" spans="1:1" x14ac:dyDescent="0.2">
      <c r="A1727" s="58"/>
    </row>
    <row r="1728" spans="1:1" x14ac:dyDescent="0.2">
      <c r="A1728" s="58"/>
    </row>
    <row r="1729" spans="1:1" x14ac:dyDescent="0.2">
      <c r="A1729" s="58"/>
    </row>
    <row r="1730" spans="1:1" x14ac:dyDescent="0.2">
      <c r="A1730" s="58"/>
    </row>
    <row r="1731" spans="1:1" x14ac:dyDescent="0.2">
      <c r="A1731" s="58"/>
    </row>
    <row r="1732" spans="1:1" x14ac:dyDescent="0.2">
      <c r="A1732" s="58"/>
    </row>
    <row r="1733" spans="1:1" x14ac:dyDescent="0.2">
      <c r="A1733" s="58"/>
    </row>
    <row r="1734" spans="1:1" x14ac:dyDescent="0.2">
      <c r="A1734" s="58"/>
    </row>
    <row r="1735" spans="1:1" x14ac:dyDescent="0.2">
      <c r="A1735" s="58"/>
    </row>
    <row r="1736" spans="1:1" x14ac:dyDescent="0.2">
      <c r="A1736" s="58"/>
    </row>
    <row r="1737" spans="1:1" x14ac:dyDescent="0.2">
      <c r="A1737" s="58"/>
    </row>
    <row r="1738" spans="1:1" x14ac:dyDescent="0.2">
      <c r="A1738" s="58"/>
    </row>
    <row r="1739" spans="1:1" x14ac:dyDescent="0.2">
      <c r="A1739" s="58"/>
    </row>
    <row r="1740" spans="1:1" x14ac:dyDescent="0.2">
      <c r="A1740" s="58"/>
    </row>
    <row r="1741" spans="1:1" x14ac:dyDescent="0.2">
      <c r="A1741" s="58"/>
    </row>
    <row r="1742" spans="1:1" x14ac:dyDescent="0.2">
      <c r="A1742" s="58"/>
    </row>
    <row r="1743" spans="1:1" x14ac:dyDescent="0.2">
      <c r="A1743" s="58"/>
    </row>
    <row r="1744" spans="1:1" x14ac:dyDescent="0.2">
      <c r="A1744" s="58"/>
    </row>
    <row r="1745" spans="1:1" x14ac:dyDescent="0.2">
      <c r="A1745" s="58"/>
    </row>
    <row r="1746" spans="1:1" x14ac:dyDescent="0.2">
      <c r="A1746" s="58"/>
    </row>
    <row r="1747" spans="1:1" x14ac:dyDescent="0.2">
      <c r="A1747" s="58"/>
    </row>
    <row r="1748" spans="1:1" x14ac:dyDescent="0.2">
      <c r="A1748" s="58"/>
    </row>
    <row r="1749" spans="1:1" x14ac:dyDescent="0.2">
      <c r="A1749" s="58"/>
    </row>
    <row r="1750" spans="1:1" x14ac:dyDescent="0.2">
      <c r="A1750" s="58"/>
    </row>
    <row r="1751" spans="1:1" x14ac:dyDescent="0.2">
      <c r="A1751" s="58"/>
    </row>
    <row r="1752" spans="1:1" x14ac:dyDescent="0.2">
      <c r="A1752" s="58"/>
    </row>
    <row r="1753" spans="1:1" x14ac:dyDescent="0.2">
      <c r="A1753" s="58"/>
    </row>
    <row r="1754" spans="1:1" x14ac:dyDescent="0.2">
      <c r="A1754" s="58"/>
    </row>
    <row r="1755" spans="1:1" x14ac:dyDescent="0.2">
      <c r="A1755" s="58"/>
    </row>
    <row r="1756" spans="1:1" x14ac:dyDescent="0.2">
      <c r="A1756" s="58"/>
    </row>
    <row r="1757" spans="1:1" x14ac:dyDescent="0.2">
      <c r="A1757" s="58"/>
    </row>
    <row r="1758" spans="1:1" x14ac:dyDescent="0.2">
      <c r="A1758" s="58"/>
    </row>
    <row r="1759" spans="1:1" x14ac:dyDescent="0.2">
      <c r="A1759" s="58"/>
    </row>
    <row r="1760" spans="1:1" x14ac:dyDescent="0.2">
      <c r="A1760" s="58"/>
    </row>
    <row r="1761" spans="1:1" x14ac:dyDescent="0.2">
      <c r="A1761" s="58"/>
    </row>
    <row r="1762" spans="1:1" x14ac:dyDescent="0.2">
      <c r="A1762" s="58"/>
    </row>
    <row r="1763" spans="1:1" x14ac:dyDescent="0.2">
      <c r="A1763" s="58"/>
    </row>
    <row r="1764" spans="1:1" x14ac:dyDescent="0.2">
      <c r="A1764" s="58"/>
    </row>
    <row r="1765" spans="1:1" x14ac:dyDescent="0.2">
      <c r="A1765" s="58"/>
    </row>
    <row r="1766" spans="1:1" x14ac:dyDescent="0.2">
      <c r="A1766" s="58"/>
    </row>
    <row r="1767" spans="1:1" x14ac:dyDescent="0.2">
      <c r="A1767" s="58"/>
    </row>
    <row r="1768" spans="1:1" x14ac:dyDescent="0.2">
      <c r="A1768" s="58"/>
    </row>
    <row r="1769" spans="1:1" x14ac:dyDescent="0.2">
      <c r="A1769" s="58"/>
    </row>
    <row r="1770" spans="1:1" x14ac:dyDescent="0.2">
      <c r="A1770" s="58"/>
    </row>
    <row r="1771" spans="1:1" x14ac:dyDescent="0.2">
      <c r="A1771" s="58"/>
    </row>
    <row r="1772" spans="1:1" x14ac:dyDescent="0.2">
      <c r="A1772" s="58"/>
    </row>
    <row r="1773" spans="1:1" x14ac:dyDescent="0.2">
      <c r="A1773" s="58"/>
    </row>
    <row r="1774" spans="1:1" x14ac:dyDescent="0.2">
      <c r="A1774" s="58"/>
    </row>
    <row r="1775" spans="1:1" x14ac:dyDescent="0.2">
      <c r="A1775" s="58"/>
    </row>
    <row r="1776" spans="1:1" x14ac:dyDescent="0.2">
      <c r="A1776" s="58"/>
    </row>
    <row r="1777" spans="1:1" x14ac:dyDescent="0.2">
      <c r="A1777" s="58"/>
    </row>
    <row r="1778" spans="1:1" x14ac:dyDescent="0.2">
      <c r="A1778" s="58"/>
    </row>
    <row r="1779" spans="1:1" x14ac:dyDescent="0.2">
      <c r="A1779" s="58"/>
    </row>
    <row r="1780" spans="1:1" x14ac:dyDescent="0.2">
      <c r="A1780" s="58"/>
    </row>
    <row r="1781" spans="1:1" x14ac:dyDescent="0.2">
      <c r="A1781" s="58"/>
    </row>
    <row r="1782" spans="1:1" x14ac:dyDescent="0.2">
      <c r="A1782" s="58"/>
    </row>
    <row r="1783" spans="1:1" x14ac:dyDescent="0.2">
      <c r="A1783" s="58"/>
    </row>
    <row r="1784" spans="1:1" x14ac:dyDescent="0.2">
      <c r="A1784" s="58"/>
    </row>
    <row r="1785" spans="1:1" x14ac:dyDescent="0.2">
      <c r="A1785" s="58"/>
    </row>
    <row r="1786" spans="1:1" x14ac:dyDescent="0.2">
      <c r="A1786" s="58"/>
    </row>
    <row r="1787" spans="1:1" x14ac:dyDescent="0.2">
      <c r="A1787" s="58"/>
    </row>
    <row r="1788" spans="1:1" x14ac:dyDescent="0.2">
      <c r="A1788" s="58"/>
    </row>
    <row r="1789" spans="1:1" x14ac:dyDescent="0.2">
      <c r="A1789" s="58"/>
    </row>
    <row r="1790" spans="1:1" x14ac:dyDescent="0.2">
      <c r="A1790" s="58"/>
    </row>
    <row r="1791" spans="1:1" x14ac:dyDescent="0.2">
      <c r="A1791" s="58"/>
    </row>
    <row r="1792" spans="1:1" x14ac:dyDescent="0.2">
      <c r="A1792" s="58"/>
    </row>
    <row r="1793" spans="1:1" x14ac:dyDescent="0.2">
      <c r="A1793" s="58"/>
    </row>
    <row r="1794" spans="1:1" x14ac:dyDescent="0.2">
      <c r="A1794" s="58"/>
    </row>
    <row r="1795" spans="1:1" x14ac:dyDescent="0.2">
      <c r="A1795" s="58"/>
    </row>
    <row r="1796" spans="1:1" x14ac:dyDescent="0.2">
      <c r="A1796" s="58"/>
    </row>
    <row r="1797" spans="1:1" x14ac:dyDescent="0.2">
      <c r="A1797" s="58"/>
    </row>
    <row r="1798" spans="1:1" x14ac:dyDescent="0.2">
      <c r="A1798" s="58"/>
    </row>
    <row r="1799" spans="1:1" x14ac:dyDescent="0.2">
      <c r="A1799" s="58"/>
    </row>
    <row r="1800" spans="1:1" x14ac:dyDescent="0.2">
      <c r="A1800" s="58"/>
    </row>
    <row r="1801" spans="1:1" x14ac:dyDescent="0.2">
      <c r="A1801" s="58"/>
    </row>
    <row r="1802" spans="1:1" x14ac:dyDescent="0.2">
      <c r="A1802" s="58"/>
    </row>
    <row r="1803" spans="1:1" x14ac:dyDescent="0.2">
      <c r="A1803" s="58"/>
    </row>
    <row r="1804" spans="1:1" x14ac:dyDescent="0.2">
      <c r="A1804" s="58"/>
    </row>
    <row r="1805" spans="1:1" x14ac:dyDescent="0.2">
      <c r="A1805" s="58"/>
    </row>
    <row r="1806" spans="1:1" x14ac:dyDescent="0.2">
      <c r="A1806" s="58"/>
    </row>
    <row r="1807" spans="1:1" x14ac:dyDescent="0.2">
      <c r="A1807" s="58"/>
    </row>
    <row r="1808" spans="1:1" x14ac:dyDescent="0.2">
      <c r="A1808" s="58"/>
    </row>
    <row r="1809" spans="1:1" x14ac:dyDescent="0.2">
      <c r="A1809" s="58"/>
    </row>
    <row r="1810" spans="1:1" x14ac:dyDescent="0.2">
      <c r="A1810" s="58"/>
    </row>
    <row r="1811" spans="1:1" x14ac:dyDescent="0.2">
      <c r="A1811" s="58"/>
    </row>
    <row r="1812" spans="1:1" x14ac:dyDescent="0.2">
      <c r="A1812" s="58"/>
    </row>
    <row r="1813" spans="1:1" x14ac:dyDescent="0.2">
      <c r="A1813" s="58"/>
    </row>
    <row r="1814" spans="1:1" x14ac:dyDescent="0.2">
      <c r="A1814" s="58"/>
    </row>
    <row r="1815" spans="1:1" x14ac:dyDescent="0.2">
      <c r="A1815" s="58"/>
    </row>
    <row r="1816" spans="1:1" x14ac:dyDescent="0.2">
      <c r="A1816" s="58"/>
    </row>
    <row r="1817" spans="1:1" x14ac:dyDescent="0.2">
      <c r="A1817" s="58"/>
    </row>
    <row r="1818" spans="1:1" x14ac:dyDescent="0.2">
      <c r="A1818" s="58"/>
    </row>
    <row r="1819" spans="1:1" x14ac:dyDescent="0.2">
      <c r="A1819" s="58"/>
    </row>
    <row r="1820" spans="1:1" x14ac:dyDescent="0.2">
      <c r="A1820" s="58"/>
    </row>
    <row r="1821" spans="1:1" x14ac:dyDescent="0.2">
      <c r="A1821" s="58"/>
    </row>
    <row r="1822" spans="1:1" x14ac:dyDescent="0.2">
      <c r="A1822" s="58"/>
    </row>
    <row r="1823" spans="1:1" x14ac:dyDescent="0.2">
      <c r="A1823" s="58"/>
    </row>
    <row r="1824" spans="1:1" x14ac:dyDescent="0.2">
      <c r="A1824" s="58"/>
    </row>
    <row r="1825" spans="1:1" x14ac:dyDescent="0.2">
      <c r="A1825" s="58"/>
    </row>
    <row r="1826" spans="1:1" x14ac:dyDescent="0.2">
      <c r="A1826" s="58"/>
    </row>
    <row r="1827" spans="1:1" x14ac:dyDescent="0.2">
      <c r="A1827" s="58"/>
    </row>
    <row r="1828" spans="1:1" x14ac:dyDescent="0.2">
      <c r="A1828" s="58"/>
    </row>
    <row r="1829" spans="1:1" x14ac:dyDescent="0.2">
      <c r="A1829" s="58"/>
    </row>
    <row r="1830" spans="1:1" x14ac:dyDescent="0.2">
      <c r="A1830" s="58"/>
    </row>
    <row r="1831" spans="1:1" x14ac:dyDescent="0.2">
      <c r="A1831" s="58"/>
    </row>
    <row r="1832" spans="1:1" x14ac:dyDescent="0.2">
      <c r="A1832" s="58"/>
    </row>
    <row r="1833" spans="1:1" x14ac:dyDescent="0.2">
      <c r="A1833" s="58"/>
    </row>
    <row r="1834" spans="1:1" x14ac:dyDescent="0.2">
      <c r="A1834" s="58"/>
    </row>
    <row r="1835" spans="1:1" x14ac:dyDescent="0.2">
      <c r="A1835" s="58"/>
    </row>
    <row r="1836" spans="1:1" x14ac:dyDescent="0.2">
      <c r="A1836" s="58"/>
    </row>
    <row r="1837" spans="1:1" x14ac:dyDescent="0.2">
      <c r="A1837" s="58"/>
    </row>
    <row r="1838" spans="1:1" x14ac:dyDescent="0.2">
      <c r="A1838" s="58"/>
    </row>
    <row r="1839" spans="1:1" x14ac:dyDescent="0.2">
      <c r="A1839" s="58"/>
    </row>
    <row r="1840" spans="1:1" x14ac:dyDescent="0.2">
      <c r="A1840" s="58"/>
    </row>
    <row r="1841" spans="1:1" x14ac:dyDescent="0.2">
      <c r="A1841" s="58"/>
    </row>
    <row r="1842" spans="1:1" x14ac:dyDescent="0.2">
      <c r="A1842" s="58"/>
    </row>
    <row r="1843" spans="1:1" x14ac:dyDescent="0.2">
      <c r="A1843" s="58"/>
    </row>
    <row r="1844" spans="1:1" x14ac:dyDescent="0.2">
      <c r="A1844" s="58"/>
    </row>
    <row r="1845" spans="1:1" x14ac:dyDescent="0.2">
      <c r="A1845" s="58"/>
    </row>
    <row r="1846" spans="1:1" x14ac:dyDescent="0.2">
      <c r="A1846" s="58"/>
    </row>
    <row r="1847" spans="1:1" x14ac:dyDescent="0.2">
      <c r="A1847" s="58"/>
    </row>
    <row r="1848" spans="1:1" x14ac:dyDescent="0.2">
      <c r="A1848" s="58"/>
    </row>
    <row r="1849" spans="1:1" x14ac:dyDescent="0.2">
      <c r="A1849" s="58"/>
    </row>
    <row r="1850" spans="1:1" x14ac:dyDescent="0.2">
      <c r="A1850" s="58"/>
    </row>
    <row r="1851" spans="1:1" x14ac:dyDescent="0.2">
      <c r="A1851" s="58"/>
    </row>
    <row r="1852" spans="1:1" x14ac:dyDescent="0.2">
      <c r="A1852" s="58"/>
    </row>
    <row r="1853" spans="1:1" x14ac:dyDescent="0.2">
      <c r="A1853" s="58"/>
    </row>
    <row r="1854" spans="1:1" x14ac:dyDescent="0.2">
      <c r="A1854" s="58"/>
    </row>
    <row r="1855" spans="1:1" x14ac:dyDescent="0.2">
      <c r="A1855" s="58"/>
    </row>
    <row r="1856" spans="1:1" x14ac:dyDescent="0.2">
      <c r="A1856" s="58"/>
    </row>
    <row r="1857" spans="1:1" x14ac:dyDescent="0.2">
      <c r="A1857" s="58"/>
    </row>
    <row r="1858" spans="1:1" x14ac:dyDescent="0.2">
      <c r="A1858" s="58"/>
    </row>
    <row r="1859" spans="1:1" x14ac:dyDescent="0.2">
      <c r="A1859" s="58"/>
    </row>
    <row r="1860" spans="1:1" x14ac:dyDescent="0.2">
      <c r="A1860" s="58"/>
    </row>
    <row r="1861" spans="1:1" x14ac:dyDescent="0.2">
      <c r="A1861" s="58"/>
    </row>
    <row r="1862" spans="1:1" x14ac:dyDescent="0.2">
      <c r="A1862" s="58"/>
    </row>
    <row r="1863" spans="1:1" x14ac:dyDescent="0.2">
      <c r="A1863" s="58"/>
    </row>
    <row r="1864" spans="1:1" x14ac:dyDescent="0.2">
      <c r="A1864" s="58"/>
    </row>
    <row r="1865" spans="1:1" x14ac:dyDescent="0.2">
      <c r="A1865" s="58"/>
    </row>
    <row r="1866" spans="1:1" x14ac:dyDescent="0.2">
      <c r="A1866" s="58"/>
    </row>
    <row r="1867" spans="1:1" x14ac:dyDescent="0.2">
      <c r="A1867" s="58"/>
    </row>
    <row r="1868" spans="1:1" x14ac:dyDescent="0.2">
      <c r="A1868" s="58"/>
    </row>
    <row r="1869" spans="1:1" x14ac:dyDescent="0.2">
      <c r="A1869" s="58"/>
    </row>
    <row r="1870" spans="1:1" x14ac:dyDescent="0.2">
      <c r="A1870" s="58"/>
    </row>
    <row r="1871" spans="1:1" x14ac:dyDescent="0.2">
      <c r="A1871" s="58"/>
    </row>
    <row r="1872" spans="1:1" x14ac:dyDescent="0.2">
      <c r="A1872" s="58"/>
    </row>
    <row r="1873" spans="1:1" x14ac:dyDescent="0.2">
      <c r="A1873" s="58"/>
    </row>
    <row r="1874" spans="1:1" x14ac:dyDescent="0.2">
      <c r="A1874" s="58"/>
    </row>
    <row r="1875" spans="1:1" x14ac:dyDescent="0.2">
      <c r="A1875" s="58"/>
    </row>
    <row r="1876" spans="1:1" x14ac:dyDescent="0.2">
      <c r="A1876" s="58"/>
    </row>
    <row r="1877" spans="1:1" x14ac:dyDescent="0.2">
      <c r="A1877" s="58"/>
    </row>
    <row r="1878" spans="1:1" x14ac:dyDescent="0.2">
      <c r="A1878" s="58"/>
    </row>
    <row r="1879" spans="1:1" x14ac:dyDescent="0.2">
      <c r="A1879" s="58"/>
    </row>
    <row r="1880" spans="1:1" x14ac:dyDescent="0.2">
      <c r="A1880" s="58"/>
    </row>
    <row r="1881" spans="1:1" x14ac:dyDescent="0.2">
      <c r="A1881" s="58"/>
    </row>
    <row r="1882" spans="1:1" x14ac:dyDescent="0.2">
      <c r="A1882" s="58"/>
    </row>
    <row r="1883" spans="1:1" x14ac:dyDescent="0.2">
      <c r="A1883" s="58"/>
    </row>
    <row r="1884" spans="1:1" x14ac:dyDescent="0.2">
      <c r="A1884" s="58"/>
    </row>
    <row r="1885" spans="1:1" x14ac:dyDescent="0.2">
      <c r="A1885" s="58"/>
    </row>
    <row r="1886" spans="1:1" x14ac:dyDescent="0.2">
      <c r="A1886" s="58"/>
    </row>
    <row r="1887" spans="1:1" x14ac:dyDescent="0.2">
      <c r="A1887" s="58"/>
    </row>
    <row r="1888" spans="1:1" x14ac:dyDescent="0.2">
      <c r="A1888" s="58"/>
    </row>
    <row r="1889" spans="1:1" x14ac:dyDescent="0.2">
      <c r="A1889" s="58"/>
    </row>
    <row r="1890" spans="1:1" x14ac:dyDescent="0.2">
      <c r="A1890" s="58"/>
    </row>
    <row r="1891" spans="1:1" x14ac:dyDescent="0.2">
      <c r="A1891" s="58"/>
    </row>
    <row r="1892" spans="1:1" x14ac:dyDescent="0.2">
      <c r="A1892" s="58"/>
    </row>
    <row r="1893" spans="1:1" x14ac:dyDescent="0.2">
      <c r="A1893" s="58"/>
    </row>
    <row r="1894" spans="1:1" x14ac:dyDescent="0.2">
      <c r="A1894" s="58"/>
    </row>
    <row r="1895" spans="1:1" x14ac:dyDescent="0.2">
      <c r="A1895" s="58"/>
    </row>
    <row r="1896" spans="1:1" x14ac:dyDescent="0.2">
      <c r="A1896" s="58"/>
    </row>
    <row r="1897" spans="1:1" x14ac:dyDescent="0.2">
      <c r="A1897" s="58"/>
    </row>
    <row r="1898" spans="1:1" x14ac:dyDescent="0.2">
      <c r="A1898" s="58"/>
    </row>
    <row r="1899" spans="1:1" x14ac:dyDescent="0.2">
      <c r="A1899" s="58"/>
    </row>
    <row r="1900" spans="1:1" x14ac:dyDescent="0.2">
      <c r="A1900" s="58"/>
    </row>
    <row r="1901" spans="1:1" x14ac:dyDescent="0.2">
      <c r="A1901" s="58"/>
    </row>
    <row r="1902" spans="1:1" x14ac:dyDescent="0.2">
      <c r="A1902" s="58"/>
    </row>
    <row r="1903" spans="1:1" x14ac:dyDescent="0.2">
      <c r="A1903" s="58"/>
    </row>
    <row r="1904" spans="1:1" x14ac:dyDescent="0.2">
      <c r="A1904" s="58"/>
    </row>
    <row r="1905" spans="1:1" x14ac:dyDescent="0.2">
      <c r="A1905" s="58"/>
    </row>
    <row r="1906" spans="1:1" x14ac:dyDescent="0.2">
      <c r="A1906" s="58"/>
    </row>
    <row r="1907" spans="1:1" x14ac:dyDescent="0.2">
      <c r="A1907" s="58"/>
    </row>
    <row r="1908" spans="1:1" x14ac:dyDescent="0.2">
      <c r="A1908" s="58"/>
    </row>
    <row r="1909" spans="1:1" x14ac:dyDescent="0.2">
      <c r="A1909" s="58"/>
    </row>
    <row r="1910" spans="1:1" x14ac:dyDescent="0.2">
      <c r="A1910" s="58"/>
    </row>
    <row r="1911" spans="1:1" x14ac:dyDescent="0.2">
      <c r="A1911" s="58"/>
    </row>
    <row r="1912" spans="1:1" x14ac:dyDescent="0.2">
      <c r="A1912" s="58"/>
    </row>
    <row r="1913" spans="1:1" x14ac:dyDescent="0.2">
      <c r="A1913" s="58"/>
    </row>
    <row r="1914" spans="1:1" x14ac:dyDescent="0.2">
      <c r="A1914" s="58"/>
    </row>
    <row r="1915" spans="1:1" x14ac:dyDescent="0.2">
      <c r="A1915" s="58"/>
    </row>
    <row r="1916" spans="1:1" x14ac:dyDescent="0.2">
      <c r="A1916" s="58"/>
    </row>
    <row r="1917" spans="1:1" x14ac:dyDescent="0.2">
      <c r="A1917" s="58"/>
    </row>
    <row r="1918" spans="1:1" x14ac:dyDescent="0.2">
      <c r="A1918" s="58"/>
    </row>
    <row r="1919" spans="1:1" x14ac:dyDescent="0.2">
      <c r="A1919" s="58"/>
    </row>
    <row r="1920" spans="1:1" x14ac:dyDescent="0.2">
      <c r="A1920" s="58"/>
    </row>
    <row r="1921" spans="1:1" x14ac:dyDescent="0.2">
      <c r="A1921" s="58"/>
    </row>
    <row r="1922" spans="1:1" x14ac:dyDescent="0.2">
      <c r="A1922" s="58"/>
    </row>
    <row r="1923" spans="1:1" x14ac:dyDescent="0.2">
      <c r="A1923" s="58"/>
    </row>
    <row r="1924" spans="1:1" x14ac:dyDescent="0.2">
      <c r="A1924" s="58"/>
    </row>
    <row r="1925" spans="1:1" x14ac:dyDescent="0.2">
      <c r="A1925" s="58"/>
    </row>
    <row r="1926" spans="1:1" x14ac:dyDescent="0.2">
      <c r="A1926" s="58"/>
    </row>
    <row r="1927" spans="1:1" x14ac:dyDescent="0.2">
      <c r="A1927" s="58"/>
    </row>
    <row r="1928" spans="1:1" x14ac:dyDescent="0.2">
      <c r="A1928" s="58"/>
    </row>
    <row r="1929" spans="1:1" x14ac:dyDescent="0.2">
      <c r="A1929" s="58"/>
    </row>
    <row r="1930" spans="1:1" x14ac:dyDescent="0.2">
      <c r="A1930" s="58"/>
    </row>
    <row r="1931" spans="1:1" x14ac:dyDescent="0.2">
      <c r="A1931" s="58"/>
    </row>
    <row r="1932" spans="1:1" x14ac:dyDescent="0.2">
      <c r="A1932" s="58"/>
    </row>
    <row r="1933" spans="1:1" x14ac:dyDescent="0.2">
      <c r="A1933" s="58"/>
    </row>
    <row r="1934" spans="1:1" x14ac:dyDescent="0.2">
      <c r="A1934" s="58"/>
    </row>
    <row r="1935" spans="1:1" x14ac:dyDescent="0.2">
      <c r="A1935" s="58"/>
    </row>
    <row r="1936" spans="1:1" x14ac:dyDescent="0.2">
      <c r="A1936" s="58"/>
    </row>
    <row r="1937" spans="1:1" x14ac:dyDescent="0.2">
      <c r="A1937" s="58"/>
    </row>
    <row r="1938" spans="1:1" x14ac:dyDescent="0.2">
      <c r="A1938" s="58"/>
    </row>
    <row r="1939" spans="1:1" x14ac:dyDescent="0.2">
      <c r="A1939" s="58"/>
    </row>
    <row r="1940" spans="1:1" x14ac:dyDescent="0.2">
      <c r="A1940" s="58"/>
    </row>
    <row r="1941" spans="1:1" x14ac:dyDescent="0.2">
      <c r="A1941" s="58"/>
    </row>
    <row r="1942" spans="1:1" x14ac:dyDescent="0.2">
      <c r="A1942" s="58"/>
    </row>
    <row r="1943" spans="1:1" x14ac:dyDescent="0.2">
      <c r="A1943" s="58"/>
    </row>
    <row r="1944" spans="1:1" x14ac:dyDescent="0.2">
      <c r="A1944" s="58"/>
    </row>
    <row r="1945" spans="1:1" x14ac:dyDescent="0.2">
      <c r="A1945" s="58"/>
    </row>
    <row r="1946" spans="1:1" x14ac:dyDescent="0.2">
      <c r="A1946" s="58"/>
    </row>
    <row r="1947" spans="1:1" x14ac:dyDescent="0.2">
      <c r="A1947" s="58"/>
    </row>
    <row r="1948" spans="1:1" x14ac:dyDescent="0.2">
      <c r="A1948" s="58"/>
    </row>
    <row r="1949" spans="1:1" x14ac:dyDescent="0.2">
      <c r="A1949" s="58"/>
    </row>
    <row r="1950" spans="1:1" x14ac:dyDescent="0.2">
      <c r="A1950" s="58"/>
    </row>
    <row r="1951" spans="1:1" x14ac:dyDescent="0.2">
      <c r="A1951" s="58"/>
    </row>
    <row r="1952" spans="1:1" x14ac:dyDescent="0.2">
      <c r="A1952" s="58"/>
    </row>
    <row r="1953" spans="1:1" x14ac:dyDescent="0.2">
      <c r="A1953" s="58"/>
    </row>
    <row r="1954" spans="1:1" x14ac:dyDescent="0.2">
      <c r="A1954" s="58"/>
    </row>
    <row r="1955" spans="1:1" x14ac:dyDescent="0.2">
      <c r="A1955" s="58"/>
    </row>
    <row r="1956" spans="1:1" x14ac:dyDescent="0.2">
      <c r="A1956" s="58"/>
    </row>
    <row r="1957" spans="1:1" x14ac:dyDescent="0.2">
      <c r="A1957" s="58"/>
    </row>
    <row r="1958" spans="1:1" x14ac:dyDescent="0.2">
      <c r="A1958" s="58"/>
    </row>
    <row r="1959" spans="1:1" x14ac:dyDescent="0.2">
      <c r="A1959" s="58"/>
    </row>
    <row r="1960" spans="1:1" x14ac:dyDescent="0.2">
      <c r="A1960" s="58"/>
    </row>
    <row r="1961" spans="1:1" x14ac:dyDescent="0.2">
      <c r="A1961" s="58"/>
    </row>
    <row r="1962" spans="1:1" x14ac:dyDescent="0.2">
      <c r="A1962" s="58"/>
    </row>
    <row r="1963" spans="1:1" x14ac:dyDescent="0.2">
      <c r="A1963" s="58"/>
    </row>
    <row r="1964" spans="1:1" x14ac:dyDescent="0.2">
      <c r="A1964" s="58"/>
    </row>
    <row r="1965" spans="1:1" x14ac:dyDescent="0.2">
      <c r="A1965" s="58"/>
    </row>
    <row r="1966" spans="1:1" x14ac:dyDescent="0.2">
      <c r="A1966" s="58"/>
    </row>
    <row r="1967" spans="1:1" x14ac:dyDescent="0.2">
      <c r="A1967" s="58"/>
    </row>
    <row r="1968" spans="1:1" x14ac:dyDescent="0.2">
      <c r="A1968" s="58"/>
    </row>
    <row r="1969" spans="1:1" x14ac:dyDescent="0.2">
      <c r="A1969" s="58"/>
    </row>
    <row r="1970" spans="1:1" x14ac:dyDescent="0.2">
      <c r="A1970" s="58"/>
    </row>
    <row r="1971" spans="1:1" x14ac:dyDescent="0.2">
      <c r="A1971" s="58"/>
    </row>
    <row r="1972" spans="1:1" x14ac:dyDescent="0.2">
      <c r="A1972" s="58"/>
    </row>
    <row r="1973" spans="1:1" x14ac:dyDescent="0.2">
      <c r="A1973" s="58"/>
    </row>
    <row r="1974" spans="1:1" x14ac:dyDescent="0.2">
      <c r="A1974" s="58"/>
    </row>
    <row r="1975" spans="1:1" x14ac:dyDescent="0.2">
      <c r="A1975" s="58"/>
    </row>
    <row r="1976" spans="1:1" x14ac:dyDescent="0.2">
      <c r="A1976" s="58"/>
    </row>
    <row r="1977" spans="1:1" x14ac:dyDescent="0.2">
      <c r="A1977" s="58"/>
    </row>
    <row r="1978" spans="1:1" x14ac:dyDescent="0.2">
      <c r="A1978" s="58"/>
    </row>
    <row r="1979" spans="1:1" x14ac:dyDescent="0.2">
      <c r="A1979" s="58"/>
    </row>
    <row r="1980" spans="1:1" x14ac:dyDescent="0.2">
      <c r="A1980" s="58"/>
    </row>
    <row r="1981" spans="1:1" x14ac:dyDescent="0.2">
      <c r="A1981" s="58"/>
    </row>
    <row r="1982" spans="1:1" x14ac:dyDescent="0.2">
      <c r="A1982" s="58"/>
    </row>
    <row r="1983" spans="1:1" x14ac:dyDescent="0.2">
      <c r="A1983" s="58"/>
    </row>
    <row r="1984" spans="1:1" x14ac:dyDescent="0.2">
      <c r="A1984" s="58"/>
    </row>
    <row r="1985" spans="1:1" x14ac:dyDescent="0.2">
      <c r="A1985" s="58"/>
    </row>
    <row r="1986" spans="1:1" x14ac:dyDescent="0.2">
      <c r="A1986" s="58"/>
    </row>
    <row r="1987" spans="1:1" x14ac:dyDescent="0.2">
      <c r="A1987" s="58"/>
    </row>
    <row r="1988" spans="1:1" x14ac:dyDescent="0.2">
      <c r="A1988" s="58"/>
    </row>
    <row r="1989" spans="1:1" x14ac:dyDescent="0.2">
      <c r="A1989" s="58"/>
    </row>
    <row r="1990" spans="1:1" x14ac:dyDescent="0.2">
      <c r="A1990" s="58"/>
    </row>
    <row r="1991" spans="1:1" x14ac:dyDescent="0.2">
      <c r="A1991" s="58"/>
    </row>
    <row r="1992" spans="1:1" x14ac:dyDescent="0.2">
      <c r="A1992" s="58"/>
    </row>
    <row r="1993" spans="1:1" x14ac:dyDescent="0.2">
      <c r="A1993" s="58"/>
    </row>
    <row r="1994" spans="1:1" x14ac:dyDescent="0.2">
      <c r="A1994" s="58"/>
    </row>
    <row r="1995" spans="1:1" x14ac:dyDescent="0.2">
      <c r="A1995" s="58"/>
    </row>
    <row r="1996" spans="1:1" x14ac:dyDescent="0.2">
      <c r="A1996" s="58"/>
    </row>
    <row r="1997" spans="1:1" x14ac:dyDescent="0.2">
      <c r="A1997" s="58"/>
    </row>
    <row r="1998" spans="1:1" x14ac:dyDescent="0.2">
      <c r="A1998" s="58"/>
    </row>
    <row r="1999" spans="1:1" x14ac:dyDescent="0.2">
      <c r="A1999" s="58"/>
    </row>
    <row r="2000" spans="1:1" x14ac:dyDescent="0.2">
      <c r="A2000" s="58"/>
    </row>
    <row r="2001" spans="1:1" x14ac:dyDescent="0.2">
      <c r="A2001" s="58"/>
    </row>
    <row r="2002" spans="1:1" x14ac:dyDescent="0.2">
      <c r="A2002" s="58"/>
    </row>
    <row r="2003" spans="1:1" x14ac:dyDescent="0.2">
      <c r="A2003" s="58"/>
    </row>
    <row r="2004" spans="1:1" x14ac:dyDescent="0.2">
      <c r="A2004" s="58"/>
    </row>
    <row r="2005" spans="1:1" x14ac:dyDescent="0.2">
      <c r="A2005" s="58"/>
    </row>
    <row r="2006" spans="1:1" x14ac:dyDescent="0.2">
      <c r="A2006" s="58"/>
    </row>
    <row r="2007" spans="1:1" x14ac:dyDescent="0.2">
      <c r="A2007" s="58"/>
    </row>
    <row r="2008" spans="1:1" x14ac:dyDescent="0.2">
      <c r="A2008" s="58"/>
    </row>
    <row r="2009" spans="1:1" x14ac:dyDescent="0.2">
      <c r="A2009" s="58"/>
    </row>
    <row r="2010" spans="1:1" x14ac:dyDescent="0.2">
      <c r="A2010" s="58"/>
    </row>
    <row r="2011" spans="1:1" x14ac:dyDescent="0.2">
      <c r="A2011" s="58"/>
    </row>
    <row r="2012" spans="1:1" x14ac:dyDescent="0.2">
      <c r="A2012" s="58"/>
    </row>
    <row r="2013" spans="1:1" x14ac:dyDescent="0.2">
      <c r="A2013" s="58"/>
    </row>
    <row r="2014" spans="1:1" x14ac:dyDescent="0.2">
      <c r="A2014" s="58"/>
    </row>
    <row r="2015" spans="1:1" x14ac:dyDescent="0.2">
      <c r="A2015" s="58"/>
    </row>
    <row r="2016" spans="1:1" x14ac:dyDescent="0.2">
      <c r="A2016" s="58"/>
    </row>
    <row r="2017" spans="1:1" x14ac:dyDescent="0.2">
      <c r="A2017" s="58"/>
    </row>
    <row r="2018" spans="1:1" x14ac:dyDescent="0.2">
      <c r="A2018" s="58"/>
    </row>
    <row r="2019" spans="1:1" x14ac:dyDescent="0.2">
      <c r="A2019" s="58"/>
    </row>
    <row r="2020" spans="1:1" x14ac:dyDescent="0.2">
      <c r="A2020" s="58"/>
    </row>
    <row r="2021" spans="1:1" x14ac:dyDescent="0.2">
      <c r="A2021" s="58"/>
    </row>
    <row r="2022" spans="1:1" x14ac:dyDescent="0.2">
      <c r="A2022" s="58"/>
    </row>
    <row r="2023" spans="1:1" x14ac:dyDescent="0.2">
      <c r="A2023" s="58"/>
    </row>
    <row r="2024" spans="1:1" x14ac:dyDescent="0.2">
      <c r="A2024" s="58"/>
    </row>
    <row r="2025" spans="1:1" x14ac:dyDescent="0.2">
      <c r="A2025" s="58"/>
    </row>
    <row r="2026" spans="1:1" x14ac:dyDescent="0.2">
      <c r="A2026" s="58"/>
    </row>
    <row r="2027" spans="1:1" x14ac:dyDescent="0.2">
      <c r="A2027" s="58"/>
    </row>
    <row r="2028" spans="1:1" x14ac:dyDescent="0.2">
      <c r="A2028" s="58"/>
    </row>
    <row r="2029" spans="1:1" x14ac:dyDescent="0.2">
      <c r="A2029" s="58"/>
    </row>
    <row r="2030" spans="1:1" x14ac:dyDescent="0.2">
      <c r="A2030" s="58"/>
    </row>
    <row r="2031" spans="1:1" x14ac:dyDescent="0.2">
      <c r="A2031" s="58"/>
    </row>
    <row r="2032" spans="1:1" x14ac:dyDescent="0.2">
      <c r="A2032" s="58"/>
    </row>
    <row r="2033" spans="1:1" x14ac:dyDescent="0.2">
      <c r="A2033" s="58"/>
    </row>
    <row r="2034" spans="1:1" x14ac:dyDescent="0.2">
      <c r="A2034" s="58"/>
    </row>
    <row r="2035" spans="1:1" x14ac:dyDescent="0.2">
      <c r="A2035" s="58"/>
    </row>
    <row r="2036" spans="1:1" x14ac:dyDescent="0.2">
      <c r="A2036" s="58"/>
    </row>
    <row r="2037" spans="1:1" x14ac:dyDescent="0.2">
      <c r="A2037" s="58"/>
    </row>
    <row r="2038" spans="1:1" x14ac:dyDescent="0.2">
      <c r="A2038" s="58"/>
    </row>
    <row r="2039" spans="1:1" x14ac:dyDescent="0.2">
      <c r="A2039" s="58"/>
    </row>
    <row r="2040" spans="1:1" x14ac:dyDescent="0.2">
      <c r="A2040" s="58"/>
    </row>
    <row r="2041" spans="1:1" x14ac:dyDescent="0.2">
      <c r="A2041" s="58"/>
    </row>
    <row r="2042" spans="1:1" x14ac:dyDescent="0.2">
      <c r="A2042" s="58"/>
    </row>
    <row r="2043" spans="1:1" x14ac:dyDescent="0.2">
      <c r="A2043" s="58"/>
    </row>
    <row r="2044" spans="1:1" x14ac:dyDescent="0.2">
      <c r="A2044" s="58"/>
    </row>
    <row r="2045" spans="1:1" x14ac:dyDescent="0.2">
      <c r="A2045" s="58"/>
    </row>
    <row r="2046" spans="1:1" x14ac:dyDescent="0.2">
      <c r="A2046" s="58"/>
    </row>
    <row r="2047" spans="1:1" x14ac:dyDescent="0.2">
      <c r="A2047" s="58"/>
    </row>
    <row r="2048" spans="1:1" x14ac:dyDescent="0.2">
      <c r="A2048" s="58"/>
    </row>
    <row r="2049" spans="1:1" x14ac:dyDescent="0.2">
      <c r="A2049" s="58"/>
    </row>
    <row r="2050" spans="1:1" x14ac:dyDescent="0.2">
      <c r="A2050" s="58"/>
    </row>
    <row r="2051" spans="1:1" x14ac:dyDescent="0.2">
      <c r="A2051" s="58"/>
    </row>
    <row r="2052" spans="1:1" x14ac:dyDescent="0.2">
      <c r="A2052" s="58"/>
    </row>
    <row r="2053" spans="1:1" x14ac:dyDescent="0.2">
      <c r="A2053" s="58"/>
    </row>
    <row r="2054" spans="1:1" x14ac:dyDescent="0.2">
      <c r="A2054" s="58"/>
    </row>
    <row r="2055" spans="1:1" x14ac:dyDescent="0.2">
      <c r="A2055" s="58"/>
    </row>
    <row r="2056" spans="1:1" x14ac:dyDescent="0.2">
      <c r="A2056" s="58"/>
    </row>
    <row r="2057" spans="1:1" x14ac:dyDescent="0.2">
      <c r="A2057" s="58"/>
    </row>
    <row r="2058" spans="1:1" x14ac:dyDescent="0.2">
      <c r="A2058" s="58"/>
    </row>
    <row r="2059" spans="1:1" x14ac:dyDescent="0.2">
      <c r="A2059" s="58"/>
    </row>
    <row r="2060" spans="1:1" x14ac:dyDescent="0.2">
      <c r="A2060" s="58"/>
    </row>
    <row r="2061" spans="1:1" x14ac:dyDescent="0.2">
      <c r="A2061" s="58"/>
    </row>
    <row r="2062" spans="1:1" x14ac:dyDescent="0.2">
      <c r="A2062" s="58"/>
    </row>
    <row r="2063" spans="1:1" x14ac:dyDescent="0.2">
      <c r="A2063" s="58"/>
    </row>
    <row r="2064" spans="1:1" x14ac:dyDescent="0.2">
      <c r="A2064" s="58"/>
    </row>
    <row r="2065" spans="1:1" x14ac:dyDescent="0.2">
      <c r="A2065" s="58"/>
    </row>
    <row r="2066" spans="1:1" x14ac:dyDescent="0.2">
      <c r="A2066" s="58"/>
    </row>
    <row r="2067" spans="1:1" x14ac:dyDescent="0.2">
      <c r="A2067" s="58"/>
    </row>
    <row r="2068" spans="1:1" x14ac:dyDescent="0.2">
      <c r="A2068" s="58"/>
    </row>
    <row r="2069" spans="1:1" x14ac:dyDescent="0.2">
      <c r="A2069" s="58"/>
    </row>
    <row r="2070" spans="1:1" x14ac:dyDescent="0.2">
      <c r="A2070" s="58"/>
    </row>
    <row r="2071" spans="1:1" x14ac:dyDescent="0.2">
      <c r="A2071" s="58"/>
    </row>
    <row r="2072" spans="1:1" x14ac:dyDescent="0.2">
      <c r="A2072" s="58"/>
    </row>
    <row r="2073" spans="1:1" x14ac:dyDescent="0.2">
      <c r="A2073" s="58"/>
    </row>
    <row r="2074" spans="1:1" x14ac:dyDescent="0.2">
      <c r="A2074" s="58"/>
    </row>
    <row r="2075" spans="1:1" x14ac:dyDescent="0.2">
      <c r="A2075" s="58"/>
    </row>
    <row r="2076" spans="1:1" x14ac:dyDescent="0.2">
      <c r="A2076" s="58"/>
    </row>
    <row r="2077" spans="1:1" x14ac:dyDescent="0.2">
      <c r="A2077" s="58"/>
    </row>
    <row r="2078" spans="1:1" x14ac:dyDescent="0.2">
      <c r="A2078" s="58"/>
    </row>
    <row r="2079" spans="1:1" x14ac:dyDescent="0.2">
      <c r="A2079" s="58"/>
    </row>
    <row r="2080" spans="1:1" x14ac:dyDescent="0.2">
      <c r="A2080" s="58"/>
    </row>
    <row r="2081" spans="1:1" x14ac:dyDescent="0.2">
      <c r="A2081" s="58"/>
    </row>
    <row r="2082" spans="1:1" x14ac:dyDescent="0.2">
      <c r="A2082" s="58"/>
    </row>
    <row r="2083" spans="1:1" x14ac:dyDescent="0.2">
      <c r="A2083" s="58"/>
    </row>
    <row r="2084" spans="1:1" x14ac:dyDescent="0.2">
      <c r="A2084" s="58"/>
    </row>
    <row r="2085" spans="1:1" x14ac:dyDescent="0.2">
      <c r="A2085" s="58"/>
    </row>
    <row r="2086" spans="1:1" x14ac:dyDescent="0.2">
      <c r="A2086" s="58"/>
    </row>
    <row r="2087" spans="1:1" x14ac:dyDescent="0.2">
      <c r="A2087" s="58"/>
    </row>
    <row r="2088" spans="1:1" x14ac:dyDescent="0.2">
      <c r="A2088" s="58"/>
    </row>
    <row r="2089" spans="1:1" x14ac:dyDescent="0.2">
      <c r="A2089" s="58"/>
    </row>
    <row r="2090" spans="1:1" x14ac:dyDescent="0.2">
      <c r="A2090" s="58"/>
    </row>
    <row r="2091" spans="1:1" x14ac:dyDescent="0.2">
      <c r="A2091" s="58"/>
    </row>
    <row r="2092" spans="1:1" x14ac:dyDescent="0.2">
      <c r="A2092" s="58"/>
    </row>
    <row r="2093" spans="1:1" x14ac:dyDescent="0.2">
      <c r="A2093" s="58"/>
    </row>
    <row r="2094" spans="1:1" x14ac:dyDescent="0.2">
      <c r="A2094" s="58"/>
    </row>
    <row r="2095" spans="1:1" x14ac:dyDescent="0.2">
      <c r="A2095" s="58"/>
    </row>
    <row r="2096" spans="1:1" x14ac:dyDescent="0.2">
      <c r="A2096" s="58"/>
    </row>
    <row r="2097" spans="1:1" x14ac:dyDescent="0.2">
      <c r="A2097" s="58"/>
    </row>
    <row r="2098" spans="1:1" x14ac:dyDescent="0.2">
      <c r="A2098" s="58"/>
    </row>
    <row r="2099" spans="1:1" x14ac:dyDescent="0.2">
      <c r="A2099" s="58"/>
    </row>
    <row r="2100" spans="1:1" x14ac:dyDescent="0.2">
      <c r="A2100" s="58"/>
    </row>
    <row r="2101" spans="1:1" x14ac:dyDescent="0.2">
      <c r="A2101" s="58"/>
    </row>
    <row r="2102" spans="1:1" x14ac:dyDescent="0.2">
      <c r="A2102" s="58"/>
    </row>
    <row r="2103" spans="1:1" x14ac:dyDescent="0.2">
      <c r="A2103" s="58"/>
    </row>
    <row r="2104" spans="1:1" x14ac:dyDescent="0.2">
      <c r="A2104" s="58"/>
    </row>
    <row r="2105" spans="1:1" x14ac:dyDescent="0.2">
      <c r="A2105" s="58"/>
    </row>
    <row r="2106" spans="1:1" x14ac:dyDescent="0.2">
      <c r="A2106" s="58"/>
    </row>
    <row r="2107" spans="1:1" x14ac:dyDescent="0.2">
      <c r="A2107" s="58"/>
    </row>
    <row r="2108" spans="1:1" x14ac:dyDescent="0.2">
      <c r="A2108" s="58"/>
    </row>
    <row r="2109" spans="1:1" x14ac:dyDescent="0.2">
      <c r="A2109" s="58"/>
    </row>
    <row r="2110" spans="1:1" x14ac:dyDescent="0.2">
      <c r="A2110" s="58"/>
    </row>
    <row r="2111" spans="1:1" x14ac:dyDescent="0.2">
      <c r="A2111" s="58"/>
    </row>
    <row r="2112" spans="1:1" x14ac:dyDescent="0.2">
      <c r="A2112" s="58"/>
    </row>
    <row r="2113" spans="1:1" x14ac:dyDescent="0.2">
      <c r="A2113" s="58"/>
    </row>
    <row r="2114" spans="1:1" x14ac:dyDescent="0.2">
      <c r="A2114" s="58"/>
    </row>
    <row r="2115" spans="1:1" x14ac:dyDescent="0.2">
      <c r="A2115" s="58"/>
    </row>
    <row r="2116" spans="1:1" x14ac:dyDescent="0.2">
      <c r="A2116" s="58"/>
    </row>
    <row r="2117" spans="1:1" x14ac:dyDescent="0.2">
      <c r="A2117" s="58"/>
    </row>
    <row r="2118" spans="1:1" x14ac:dyDescent="0.2">
      <c r="A2118" s="58"/>
    </row>
    <row r="2119" spans="1:1" x14ac:dyDescent="0.2">
      <c r="A2119" s="58"/>
    </row>
    <row r="2120" spans="1:1" x14ac:dyDescent="0.2">
      <c r="A2120" s="58"/>
    </row>
    <row r="2121" spans="1:1" x14ac:dyDescent="0.2">
      <c r="A2121" s="58"/>
    </row>
    <row r="2122" spans="1:1" x14ac:dyDescent="0.2">
      <c r="A2122" s="58"/>
    </row>
    <row r="2123" spans="1:1" x14ac:dyDescent="0.2">
      <c r="A2123" s="58"/>
    </row>
    <row r="2124" spans="1:1" x14ac:dyDescent="0.2">
      <c r="A2124" s="58"/>
    </row>
    <row r="2125" spans="1:1" x14ac:dyDescent="0.2">
      <c r="A2125" s="58"/>
    </row>
    <row r="2126" spans="1:1" x14ac:dyDescent="0.2">
      <c r="A2126" s="58"/>
    </row>
    <row r="2127" spans="1:1" x14ac:dyDescent="0.2">
      <c r="A2127" s="58"/>
    </row>
    <row r="2128" spans="1:1" x14ac:dyDescent="0.2">
      <c r="A2128" s="58"/>
    </row>
    <row r="2129" spans="1:1" x14ac:dyDescent="0.2">
      <c r="A2129" s="58"/>
    </row>
    <row r="2130" spans="1:1" x14ac:dyDescent="0.2">
      <c r="A2130" s="58"/>
    </row>
    <row r="2131" spans="1:1" x14ac:dyDescent="0.2">
      <c r="A2131" s="58"/>
    </row>
    <row r="2132" spans="1:1" x14ac:dyDescent="0.2">
      <c r="A2132" s="58"/>
    </row>
    <row r="2133" spans="1:1" x14ac:dyDescent="0.2">
      <c r="A2133" s="58"/>
    </row>
    <row r="2134" spans="1:1" x14ac:dyDescent="0.2">
      <c r="A2134" s="58"/>
    </row>
    <row r="2135" spans="1:1" x14ac:dyDescent="0.2">
      <c r="A2135" s="58"/>
    </row>
    <row r="2136" spans="1:1" x14ac:dyDescent="0.2">
      <c r="A2136" s="58"/>
    </row>
    <row r="2137" spans="1:1" x14ac:dyDescent="0.2">
      <c r="A2137" s="58"/>
    </row>
    <row r="2138" spans="1:1" x14ac:dyDescent="0.2">
      <c r="A2138" s="58"/>
    </row>
    <row r="2139" spans="1:1" x14ac:dyDescent="0.2">
      <c r="A2139" s="58"/>
    </row>
    <row r="2140" spans="1:1" x14ac:dyDescent="0.2">
      <c r="A2140" s="58"/>
    </row>
    <row r="2141" spans="1:1" x14ac:dyDescent="0.2">
      <c r="A2141" s="58"/>
    </row>
    <row r="2142" spans="1:1" x14ac:dyDescent="0.2">
      <c r="A2142" s="58"/>
    </row>
    <row r="2143" spans="1:1" x14ac:dyDescent="0.2">
      <c r="A2143" s="58"/>
    </row>
    <row r="2144" spans="1:1" x14ac:dyDescent="0.2">
      <c r="A2144" s="58"/>
    </row>
    <row r="2145" spans="1:1" x14ac:dyDescent="0.2">
      <c r="A2145" s="58"/>
    </row>
    <row r="2146" spans="1:1" x14ac:dyDescent="0.2">
      <c r="A2146" s="58"/>
    </row>
    <row r="2147" spans="1:1" x14ac:dyDescent="0.2">
      <c r="A2147" s="58"/>
    </row>
    <row r="2148" spans="1:1" x14ac:dyDescent="0.2">
      <c r="A2148" s="58"/>
    </row>
    <row r="2149" spans="1:1" x14ac:dyDescent="0.2">
      <c r="A2149" s="58"/>
    </row>
    <row r="2150" spans="1:1" x14ac:dyDescent="0.2">
      <c r="A2150" s="58"/>
    </row>
    <row r="2151" spans="1:1" x14ac:dyDescent="0.2">
      <c r="A2151" s="58"/>
    </row>
    <row r="2152" spans="1:1" x14ac:dyDescent="0.2">
      <c r="A2152" s="58"/>
    </row>
    <row r="2153" spans="1:1" x14ac:dyDescent="0.2">
      <c r="A2153" s="58"/>
    </row>
    <row r="2154" spans="1:1" x14ac:dyDescent="0.2">
      <c r="A2154" s="58"/>
    </row>
    <row r="2155" spans="1:1" x14ac:dyDescent="0.2">
      <c r="A2155" s="58"/>
    </row>
    <row r="2156" spans="1:1" x14ac:dyDescent="0.2">
      <c r="A2156" s="58"/>
    </row>
    <row r="2157" spans="1:1" x14ac:dyDescent="0.2">
      <c r="A2157" s="58"/>
    </row>
    <row r="2158" spans="1:1" x14ac:dyDescent="0.2">
      <c r="A2158" s="58"/>
    </row>
    <row r="2159" spans="1:1" x14ac:dyDescent="0.2">
      <c r="A2159" s="58"/>
    </row>
    <row r="2160" spans="1:1" x14ac:dyDescent="0.2">
      <c r="A2160" s="58"/>
    </row>
    <row r="2161" spans="1:1" x14ac:dyDescent="0.2">
      <c r="A2161" s="58"/>
    </row>
    <row r="2162" spans="1:1" x14ac:dyDescent="0.2">
      <c r="A2162" s="58"/>
    </row>
    <row r="2163" spans="1:1" x14ac:dyDescent="0.2">
      <c r="A2163" s="58"/>
    </row>
    <row r="2164" spans="1:1" x14ac:dyDescent="0.2">
      <c r="A2164" s="58"/>
    </row>
    <row r="2165" spans="1:1" x14ac:dyDescent="0.2">
      <c r="A2165" s="58"/>
    </row>
    <row r="2166" spans="1:1" x14ac:dyDescent="0.2">
      <c r="A2166" s="58"/>
    </row>
    <row r="2167" spans="1:1" x14ac:dyDescent="0.2">
      <c r="A2167" s="58"/>
    </row>
    <row r="2168" spans="1:1" x14ac:dyDescent="0.2">
      <c r="A2168" s="58"/>
    </row>
    <row r="2169" spans="1:1" x14ac:dyDescent="0.2">
      <c r="A2169" s="58"/>
    </row>
    <row r="2170" spans="1:1" x14ac:dyDescent="0.2">
      <c r="A2170" s="58"/>
    </row>
    <row r="2171" spans="1:1" x14ac:dyDescent="0.2">
      <c r="A2171" s="58"/>
    </row>
    <row r="2172" spans="1:1" x14ac:dyDescent="0.2">
      <c r="A2172" s="58"/>
    </row>
    <row r="2173" spans="1:1" x14ac:dyDescent="0.2">
      <c r="A2173" s="58"/>
    </row>
    <row r="2174" spans="1:1" x14ac:dyDescent="0.2">
      <c r="A2174" s="58"/>
    </row>
    <row r="2175" spans="1:1" x14ac:dyDescent="0.2">
      <c r="A2175" s="58"/>
    </row>
    <row r="2176" spans="1:1" x14ac:dyDescent="0.2">
      <c r="A2176" s="58"/>
    </row>
    <row r="2177" spans="1:1" x14ac:dyDescent="0.2">
      <c r="A2177" s="58"/>
    </row>
    <row r="2178" spans="1:1" x14ac:dyDescent="0.2">
      <c r="A2178" s="58"/>
    </row>
    <row r="2179" spans="1:1" x14ac:dyDescent="0.2">
      <c r="A2179" s="58"/>
    </row>
    <row r="2180" spans="1:1" x14ac:dyDescent="0.2">
      <c r="A2180" s="58"/>
    </row>
    <row r="2181" spans="1:1" x14ac:dyDescent="0.2">
      <c r="A2181" s="58"/>
    </row>
    <row r="2182" spans="1:1" x14ac:dyDescent="0.2">
      <c r="A2182" s="58"/>
    </row>
    <row r="2183" spans="1:1" x14ac:dyDescent="0.2">
      <c r="A2183" s="58"/>
    </row>
    <row r="2184" spans="1:1" x14ac:dyDescent="0.2">
      <c r="A2184" s="58"/>
    </row>
    <row r="2185" spans="1:1" x14ac:dyDescent="0.2">
      <c r="A2185" s="58"/>
    </row>
    <row r="2186" spans="1:1" x14ac:dyDescent="0.2">
      <c r="A2186" s="58"/>
    </row>
    <row r="2187" spans="1:1" x14ac:dyDescent="0.2">
      <c r="A2187" s="58"/>
    </row>
    <row r="2188" spans="1:1" x14ac:dyDescent="0.2">
      <c r="A2188" s="58"/>
    </row>
    <row r="2189" spans="1:1" x14ac:dyDescent="0.2">
      <c r="A2189" s="58"/>
    </row>
    <row r="2190" spans="1:1" x14ac:dyDescent="0.2">
      <c r="A2190" s="58"/>
    </row>
    <row r="2191" spans="1:1" x14ac:dyDescent="0.2">
      <c r="A2191" s="58"/>
    </row>
    <row r="2192" spans="1:1" x14ac:dyDescent="0.2">
      <c r="A2192" s="58"/>
    </row>
    <row r="2193" spans="1:1" x14ac:dyDescent="0.2">
      <c r="A2193" s="58"/>
    </row>
    <row r="2194" spans="1:1" x14ac:dyDescent="0.2">
      <c r="A2194" s="58"/>
    </row>
    <row r="2195" spans="1:1" x14ac:dyDescent="0.2">
      <c r="A2195" s="58"/>
    </row>
    <row r="2196" spans="1:1" x14ac:dyDescent="0.2">
      <c r="A2196" s="58"/>
    </row>
    <row r="2197" spans="1:1" x14ac:dyDescent="0.2">
      <c r="A2197" s="58"/>
    </row>
    <row r="2198" spans="1:1" x14ac:dyDescent="0.2">
      <c r="A2198" s="58"/>
    </row>
    <row r="2199" spans="1:1" x14ac:dyDescent="0.2">
      <c r="A2199" s="58"/>
    </row>
    <row r="2200" spans="1:1" x14ac:dyDescent="0.2">
      <c r="A2200" s="58"/>
    </row>
    <row r="2201" spans="1:1" x14ac:dyDescent="0.2">
      <c r="A2201" s="58"/>
    </row>
    <row r="2202" spans="1:1" x14ac:dyDescent="0.2">
      <c r="A2202" s="58"/>
    </row>
    <row r="2203" spans="1:1" x14ac:dyDescent="0.2">
      <c r="A2203" s="58"/>
    </row>
    <row r="2204" spans="1:1" x14ac:dyDescent="0.2">
      <c r="A2204" s="58"/>
    </row>
    <row r="2205" spans="1:1" x14ac:dyDescent="0.2">
      <c r="A2205" s="58"/>
    </row>
    <row r="2206" spans="1:1" x14ac:dyDescent="0.2">
      <c r="A2206" s="58"/>
    </row>
    <row r="2207" spans="1:1" x14ac:dyDescent="0.2">
      <c r="A2207" s="58"/>
    </row>
    <row r="2208" spans="1:1" x14ac:dyDescent="0.2">
      <c r="A2208" s="58"/>
    </row>
    <row r="2209" spans="1:1" x14ac:dyDescent="0.2">
      <c r="A2209" s="58"/>
    </row>
    <row r="2210" spans="1:1" x14ac:dyDescent="0.2">
      <c r="A2210" s="58"/>
    </row>
    <row r="2211" spans="1:1" x14ac:dyDescent="0.2">
      <c r="A2211" s="58"/>
    </row>
    <row r="2212" spans="1:1" x14ac:dyDescent="0.2">
      <c r="A2212" s="58"/>
    </row>
    <row r="2213" spans="1:1" x14ac:dyDescent="0.2">
      <c r="A2213" s="58"/>
    </row>
    <row r="2214" spans="1:1" x14ac:dyDescent="0.2">
      <c r="A2214" s="58"/>
    </row>
    <row r="2215" spans="1:1" x14ac:dyDescent="0.2">
      <c r="A2215" s="58"/>
    </row>
    <row r="2216" spans="1:1" x14ac:dyDescent="0.2">
      <c r="A2216" s="58"/>
    </row>
    <row r="2217" spans="1:1" x14ac:dyDescent="0.2">
      <c r="A2217" s="58"/>
    </row>
    <row r="2218" spans="1:1" x14ac:dyDescent="0.2">
      <c r="A2218" s="58"/>
    </row>
    <row r="2219" spans="1:1" x14ac:dyDescent="0.2">
      <c r="A2219" s="58"/>
    </row>
    <row r="2220" spans="1:1" x14ac:dyDescent="0.2">
      <c r="A2220" s="58"/>
    </row>
    <row r="2221" spans="1:1" x14ac:dyDescent="0.2">
      <c r="A2221" s="58"/>
    </row>
    <row r="2222" spans="1:1" x14ac:dyDescent="0.2">
      <c r="A2222" s="58"/>
    </row>
    <row r="2223" spans="1:1" x14ac:dyDescent="0.2">
      <c r="A2223" s="58"/>
    </row>
    <row r="2224" spans="1:1" x14ac:dyDescent="0.2">
      <c r="A2224" s="58"/>
    </row>
    <row r="2225" spans="1:1" x14ac:dyDescent="0.2">
      <c r="A2225" s="58"/>
    </row>
    <row r="2226" spans="1:1" x14ac:dyDescent="0.2">
      <c r="A2226" s="58"/>
    </row>
    <row r="2227" spans="1:1" x14ac:dyDescent="0.2">
      <c r="A2227" s="58"/>
    </row>
    <row r="2228" spans="1:1" x14ac:dyDescent="0.2">
      <c r="A2228" s="58"/>
    </row>
    <row r="2229" spans="1:1" x14ac:dyDescent="0.2">
      <c r="A2229" s="58"/>
    </row>
    <row r="2230" spans="1:1" x14ac:dyDescent="0.2">
      <c r="A2230" s="58"/>
    </row>
    <row r="2231" spans="1:1" x14ac:dyDescent="0.2">
      <c r="A2231" s="58"/>
    </row>
    <row r="2232" spans="1:1" x14ac:dyDescent="0.2">
      <c r="A2232" s="58"/>
    </row>
    <row r="2233" spans="1:1" x14ac:dyDescent="0.2">
      <c r="A2233" s="58"/>
    </row>
    <row r="2234" spans="1:1" x14ac:dyDescent="0.2">
      <c r="A2234" s="58"/>
    </row>
    <row r="2235" spans="1:1" x14ac:dyDescent="0.2">
      <c r="A2235" s="58"/>
    </row>
    <row r="2236" spans="1:1" x14ac:dyDescent="0.2">
      <c r="A2236" s="58"/>
    </row>
    <row r="2237" spans="1:1" x14ac:dyDescent="0.2">
      <c r="A2237" s="58"/>
    </row>
    <row r="2238" spans="1:1" x14ac:dyDescent="0.2">
      <c r="A2238" s="58"/>
    </row>
    <row r="2239" spans="1:1" x14ac:dyDescent="0.2">
      <c r="A2239" s="58"/>
    </row>
    <row r="2240" spans="1:1" x14ac:dyDescent="0.2">
      <c r="A2240" s="58"/>
    </row>
    <row r="2241" spans="1:1" x14ac:dyDescent="0.2">
      <c r="A2241" s="58"/>
    </row>
    <row r="2242" spans="1:1" x14ac:dyDescent="0.2">
      <c r="A2242" s="58"/>
    </row>
    <row r="2243" spans="1:1" x14ac:dyDescent="0.2">
      <c r="A2243" s="58"/>
    </row>
    <row r="2244" spans="1:1" x14ac:dyDescent="0.2">
      <c r="A2244" s="58"/>
    </row>
    <row r="2245" spans="1:1" x14ac:dyDescent="0.2">
      <c r="A2245" s="58"/>
    </row>
    <row r="2246" spans="1:1" x14ac:dyDescent="0.2">
      <c r="A2246" s="58"/>
    </row>
    <row r="2247" spans="1:1" x14ac:dyDescent="0.2">
      <c r="A2247" s="58"/>
    </row>
    <row r="2248" spans="1:1" x14ac:dyDescent="0.2">
      <c r="A2248" s="58"/>
    </row>
    <row r="2249" spans="1:1" x14ac:dyDescent="0.2">
      <c r="A2249" s="58"/>
    </row>
    <row r="2250" spans="1:1" x14ac:dyDescent="0.2">
      <c r="A2250" s="58"/>
    </row>
    <row r="2251" spans="1:1" x14ac:dyDescent="0.2">
      <c r="A2251" s="58"/>
    </row>
    <row r="2252" spans="1:1" x14ac:dyDescent="0.2">
      <c r="A2252" s="58"/>
    </row>
    <row r="2253" spans="1:1" x14ac:dyDescent="0.2">
      <c r="A2253" s="58"/>
    </row>
    <row r="2254" spans="1:1" x14ac:dyDescent="0.2">
      <c r="A2254" s="58"/>
    </row>
    <row r="2255" spans="1:1" x14ac:dyDescent="0.2">
      <c r="A2255" s="58"/>
    </row>
    <row r="2256" spans="1:1" x14ac:dyDescent="0.2">
      <c r="A2256" s="58"/>
    </row>
    <row r="2257" spans="1:1" x14ac:dyDescent="0.2">
      <c r="A2257" s="58"/>
    </row>
    <row r="2258" spans="1:1" x14ac:dyDescent="0.2">
      <c r="A2258" s="58"/>
    </row>
    <row r="2259" spans="1:1" x14ac:dyDescent="0.2">
      <c r="A2259" s="58"/>
    </row>
    <row r="2260" spans="1:1" x14ac:dyDescent="0.2">
      <c r="A2260" s="58"/>
    </row>
    <row r="2261" spans="1:1" x14ac:dyDescent="0.2">
      <c r="A2261" s="58"/>
    </row>
    <row r="2262" spans="1:1" x14ac:dyDescent="0.2">
      <c r="A2262" s="58"/>
    </row>
    <row r="2263" spans="1:1" x14ac:dyDescent="0.2">
      <c r="A2263" s="58"/>
    </row>
    <row r="2264" spans="1:1" x14ac:dyDescent="0.2">
      <c r="A2264" s="58"/>
    </row>
    <row r="2265" spans="1:1" x14ac:dyDescent="0.2">
      <c r="A2265" s="58"/>
    </row>
    <row r="2266" spans="1:1" x14ac:dyDescent="0.2">
      <c r="A2266" s="58"/>
    </row>
    <row r="2267" spans="1:1" x14ac:dyDescent="0.2">
      <c r="A2267" s="58"/>
    </row>
    <row r="2268" spans="1:1" x14ac:dyDescent="0.2">
      <c r="A2268" s="58"/>
    </row>
    <row r="2269" spans="1:1" x14ac:dyDescent="0.2">
      <c r="A2269" s="58"/>
    </row>
    <row r="2270" spans="1:1" x14ac:dyDescent="0.2">
      <c r="A2270" s="58"/>
    </row>
    <row r="2271" spans="1:1" x14ac:dyDescent="0.2">
      <c r="A2271" s="58"/>
    </row>
    <row r="2272" spans="1:1" x14ac:dyDescent="0.2">
      <c r="A2272" s="58"/>
    </row>
    <row r="2273" spans="1:1" x14ac:dyDescent="0.2">
      <c r="A2273" s="58"/>
    </row>
    <row r="2274" spans="1:1" x14ac:dyDescent="0.2">
      <c r="A2274" s="58"/>
    </row>
    <row r="2275" spans="1:1" x14ac:dyDescent="0.2">
      <c r="A2275" s="58"/>
    </row>
    <row r="2276" spans="1:1" x14ac:dyDescent="0.2">
      <c r="A2276" s="58"/>
    </row>
    <row r="2277" spans="1:1" x14ac:dyDescent="0.2">
      <c r="A2277" s="58"/>
    </row>
    <row r="2278" spans="1:1" x14ac:dyDescent="0.2">
      <c r="A2278" s="58"/>
    </row>
    <row r="2279" spans="1:1" x14ac:dyDescent="0.2">
      <c r="A2279" s="58"/>
    </row>
    <row r="2280" spans="1:1" x14ac:dyDescent="0.2">
      <c r="A2280" s="58"/>
    </row>
    <row r="2281" spans="1:1" x14ac:dyDescent="0.2">
      <c r="A2281" s="58"/>
    </row>
    <row r="2282" spans="1:1" x14ac:dyDescent="0.2">
      <c r="A2282" s="58"/>
    </row>
    <row r="2283" spans="1:1" x14ac:dyDescent="0.2">
      <c r="A2283" s="58"/>
    </row>
    <row r="2284" spans="1:1" x14ac:dyDescent="0.2">
      <c r="A2284" s="58"/>
    </row>
    <row r="2285" spans="1:1" x14ac:dyDescent="0.2">
      <c r="A2285" s="58"/>
    </row>
    <row r="2286" spans="1:1" x14ac:dyDescent="0.2">
      <c r="A2286" s="58"/>
    </row>
    <row r="2287" spans="1:1" x14ac:dyDescent="0.2">
      <c r="A2287" s="58"/>
    </row>
    <row r="2288" spans="1:1" x14ac:dyDescent="0.2">
      <c r="A2288" s="58"/>
    </row>
    <row r="2289" spans="1:1" x14ac:dyDescent="0.2">
      <c r="A2289" s="58"/>
    </row>
    <row r="2290" spans="1:1" x14ac:dyDescent="0.2">
      <c r="A2290" s="58"/>
    </row>
    <row r="2291" spans="1:1" x14ac:dyDescent="0.2">
      <c r="A2291" s="58"/>
    </row>
    <row r="2292" spans="1:1" x14ac:dyDescent="0.2">
      <c r="A2292" s="58"/>
    </row>
    <row r="2293" spans="1:1" x14ac:dyDescent="0.2">
      <c r="A2293" s="58"/>
    </row>
    <row r="2294" spans="1:1" x14ac:dyDescent="0.2">
      <c r="A2294" s="58"/>
    </row>
    <row r="2295" spans="1:1" x14ac:dyDescent="0.2">
      <c r="A2295" s="58"/>
    </row>
    <row r="2296" spans="1:1" x14ac:dyDescent="0.2">
      <c r="A2296" s="58"/>
    </row>
    <row r="2297" spans="1:1" x14ac:dyDescent="0.2">
      <c r="A2297" s="58"/>
    </row>
    <row r="2298" spans="1:1" x14ac:dyDescent="0.2">
      <c r="A2298" s="58"/>
    </row>
    <row r="2299" spans="1:1" x14ac:dyDescent="0.2">
      <c r="A2299" s="58"/>
    </row>
    <row r="2300" spans="1:1" x14ac:dyDescent="0.2">
      <c r="A2300" s="58"/>
    </row>
    <row r="2301" spans="1:1" x14ac:dyDescent="0.2">
      <c r="A2301" s="58"/>
    </row>
    <row r="2302" spans="1:1" x14ac:dyDescent="0.2">
      <c r="A2302" s="58"/>
    </row>
    <row r="2303" spans="1:1" x14ac:dyDescent="0.2">
      <c r="A2303" s="58"/>
    </row>
    <row r="2304" spans="1:1" x14ac:dyDescent="0.2">
      <c r="A2304" s="58"/>
    </row>
    <row r="2305" spans="1:1" x14ac:dyDescent="0.2">
      <c r="A2305" s="58"/>
    </row>
    <row r="2306" spans="1:1" x14ac:dyDescent="0.2">
      <c r="A2306" s="58"/>
    </row>
    <row r="2307" spans="1:1" x14ac:dyDescent="0.2">
      <c r="A2307" s="58"/>
    </row>
    <row r="2308" spans="1:1" x14ac:dyDescent="0.2">
      <c r="A2308" s="58"/>
    </row>
    <row r="2309" spans="1:1" x14ac:dyDescent="0.2">
      <c r="A2309" s="58"/>
    </row>
    <row r="2310" spans="1:1" x14ac:dyDescent="0.2">
      <c r="A2310" s="58"/>
    </row>
    <row r="2311" spans="1:1" x14ac:dyDescent="0.2">
      <c r="A2311" s="58"/>
    </row>
    <row r="2312" spans="1:1" x14ac:dyDescent="0.2">
      <c r="A2312" s="58"/>
    </row>
    <row r="2313" spans="1:1" x14ac:dyDescent="0.2">
      <c r="A2313" s="58"/>
    </row>
    <row r="2314" spans="1:1" x14ac:dyDescent="0.2">
      <c r="A2314" s="58"/>
    </row>
    <row r="2315" spans="1:1" x14ac:dyDescent="0.2">
      <c r="A2315" s="58"/>
    </row>
    <row r="2316" spans="1:1" x14ac:dyDescent="0.2">
      <c r="A2316" s="58"/>
    </row>
    <row r="2317" spans="1:1" x14ac:dyDescent="0.2">
      <c r="A2317" s="58"/>
    </row>
    <row r="2318" spans="1:1" x14ac:dyDescent="0.2">
      <c r="A2318" s="58"/>
    </row>
    <row r="2319" spans="1:1" x14ac:dyDescent="0.2">
      <c r="A2319" s="58"/>
    </row>
    <row r="2320" spans="1:1" x14ac:dyDescent="0.2">
      <c r="A2320" s="58"/>
    </row>
    <row r="2321" spans="1:1" x14ac:dyDescent="0.2">
      <c r="A2321" s="58"/>
    </row>
    <row r="2322" spans="1:1" x14ac:dyDescent="0.2">
      <c r="A2322" s="58"/>
    </row>
    <row r="2323" spans="1:1" x14ac:dyDescent="0.2">
      <c r="A2323" s="58"/>
    </row>
    <row r="2324" spans="1:1" x14ac:dyDescent="0.2">
      <c r="A2324" s="58"/>
    </row>
    <row r="2325" spans="1:1" x14ac:dyDescent="0.2">
      <c r="A2325" s="58"/>
    </row>
    <row r="2326" spans="1:1" x14ac:dyDescent="0.2">
      <c r="A2326" s="58"/>
    </row>
    <row r="2327" spans="1:1" x14ac:dyDescent="0.2">
      <c r="A2327" s="58"/>
    </row>
    <row r="2328" spans="1:1" x14ac:dyDescent="0.2">
      <c r="A2328" s="58"/>
    </row>
    <row r="2329" spans="1:1" x14ac:dyDescent="0.2">
      <c r="A2329" s="58"/>
    </row>
    <row r="2330" spans="1:1" x14ac:dyDescent="0.2">
      <c r="A2330" s="58"/>
    </row>
    <row r="2331" spans="1:1" x14ac:dyDescent="0.2">
      <c r="A2331" s="58"/>
    </row>
    <row r="2332" spans="1:1" x14ac:dyDescent="0.2">
      <c r="A2332" s="58"/>
    </row>
    <row r="2333" spans="1:1" x14ac:dyDescent="0.2">
      <c r="A2333" s="58"/>
    </row>
    <row r="2334" spans="1:1" x14ac:dyDescent="0.2">
      <c r="A2334" s="58"/>
    </row>
    <row r="2335" spans="1:1" x14ac:dyDescent="0.2">
      <c r="A2335" s="58"/>
    </row>
    <row r="2336" spans="1:1" x14ac:dyDescent="0.2">
      <c r="A2336" s="58"/>
    </row>
    <row r="2337" spans="1:1" x14ac:dyDescent="0.2">
      <c r="A2337" s="58"/>
    </row>
    <row r="2338" spans="1:1" x14ac:dyDescent="0.2">
      <c r="A2338" s="58"/>
    </row>
    <row r="2339" spans="1:1" x14ac:dyDescent="0.2">
      <c r="A2339" s="58"/>
    </row>
    <row r="2340" spans="1:1" x14ac:dyDescent="0.2">
      <c r="A2340" s="58"/>
    </row>
    <row r="2341" spans="1:1" x14ac:dyDescent="0.2">
      <c r="A2341" s="58"/>
    </row>
    <row r="2342" spans="1:1" x14ac:dyDescent="0.2">
      <c r="A2342" s="58"/>
    </row>
    <row r="2343" spans="1:1" x14ac:dyDescent="0.2">
      <c r="A2343" s="58"/>
    </row>
    <row r="2344" spans="1:1" x14ac:dyDescent="0.2">
      <c r="A2344" s="58"/>
    </row>
    <row r="2345" spans="1:1" x14ac:dyDescent="0.2">
      <c r="A2345" s="58"/>
    </row>
    <row r="2346" spans="1:1" x14ac:dyDescent="0.2">
      <c r="A2346" s="58"/>
    </row>
    <row r="2347" spans="1:1" x14ac:dyDescent="0.2">
      <c r="A2347" s="58"/>
    </row>
    <row r="2348" spans="1:1" x14ac:dyDescent="0.2">
      <c r="A2348" s="58"/>
    </row>
    <row r="2349" spans="1:1" x14ac:dyDescent="0.2">
      <c r="A2349" s="58"/>
    </row>
    <row r="2350" spans="1:1" x14ac:dyDescent="0.2">
      <c r="A2350" s="58"/>
    </row>
    <row r="2351" spans="1:1" x14ac:dyDescent="0.2">
      <c r="A2351" s="58"/>
    </row>
    <row r="2352" spans="1:1" x14ac:dyDescent="0.2">
      <c r="A2352" s="58"/>
    </row>
    <row r="2353" spans="1:1" x14ac:dyDescent="0.2">
      <c r="A2353" s="58"/>
    </row>
    <row r="2354" spans="1:1" x14ac:dyDescent="0.2">
      <c r="A2354" s="58"/>
    </row>
    <row r="2355" spans="1:1" x14ac:dyDescent="0.2">
      <c r="A2355" s="58"/>
    </row>
    <row r="2356" spans="1:1" x14ac:dyDescent="0.2">
      <c r="A2356" s="58"/>
    </row>
    <row r="2357" spans="1:1" x14ac:dyDescent="0.2">
      <c r="A2357" s="58"/>
    </row>
    <row r="2358" spans="1:1" x14ac:dyDescent="0.2">
      <c r="A2358" s="58"/>
    </row>
    <row r="2359" spans="1:1" x14ac:dyDescent="0.2">
      <c r="A2359" s="58"/>
    </row>
    <row r="2360" spans="1:1" x14ac:dyDescent="0.2">
      <c r="A2360" s="58"/>
    </row>
    <row r="2361" spans="1:1" x14ac:dyDescent="0.2">
      <c r="A2361" s="58"/>
    </row>
    <row r="2362" spans="1:1" x14ac:dyDescent="0.2">
      <c r="A2362" s="58"/>
    </row>
    <row r="2363" spans="1:1" x14ac:dyDescent="0.2">
      <c r="A2363" s="58"/>
    </row>
    <row r="2364" spans="1:1" x14ac:dyDescent="0.2">
      <c r="A2364" s="58"/>
    </row>
    <row r="2365" spans="1:1" x14ac:dyDescent="0.2">
      <c r="A2365" s="58"/>
    </row>
    <row r="2366" spans="1:1" x14ac:dyDescent="0.2">
      <c r="A2366" s="58"/>
    </row>
    <row r="2367" spans="1:1" x14ac:dyDescent="0.2">
      <c r="A2367" s="58"/>
    </row>
    <row r="2368" spans="1:1" x14ac:dyDescent="0.2">
      <c r="A2368" s="58"/>
    </row>
    <row r="2369" spans="1:1" x14ac:dyDescent="0.2">
      <c r="A2369" s="58"/>
    </row>
    <row r="2370" spans="1:1" x14ac:dyDescent="0.2">
      <c r="A2370" s="58"/>
    </row>
    <row r="2371" spans="1:1" x14ac:dyDescent="0.2">
      <c r="A2371" s="58"/>
    </row>
    <row r="2372" spans="1:1" x14ac:dyDescent="0.2">
      <c r="A2372" s="58"/>
    </row>
    <row r="2373" spans="1:1" x14ac:dyDescent="0.2">
      <c r="A2373" s="58"/>
    </row>
    <row r="2374" spans="1:1" x14ac:dyDescent="0.2">
      <c r="A2374" s="58"/>
    </row>
    <row r="2375" spans="1:1" x14ac:dyDescent="0.2">
      <c r="A2375" s="58"/>
    </row>
    <row r="2376" spans="1:1" x14ac:dyDescent="0.2">
      <c r="A2376" s="58"/>
    </row>
    <row r="2377" spans="1:1" x14ac:dyDescent="0.2">
      <c r="A2377" s="58"/>
    </row>
    <row r="2378" spans="1:1" x14ac:dyDescent="0.2">
      <c r="A2378" s="58"/>
    </row>
    <row r="2379" spans="1:1" x14ac:dyDescent="0.2">
      <c r="A2379" s="58"/>
    </row>
    <row r="2380" spans="1:1" x14ac:dyDescent="0.2">
      <c r="A2380" s="58"/>
    </row>
    <row r="2381" spans="1:1" x14ac:dyDescent="0.2">
      <c r="A2381" s="58"/>
    </row>
    <row r="2382" spans="1:1" x14ac:dyDescent="0.2">
      <c r="A2382" s="58"/>
    </row>
    <row r="2383" spans="1:1" x14ac:dyDescent="0.2">
      <c r="A2383" s="58"/>
    </row>
    <row r="2384" spans="1:1" x14ac:dyDescent="0.2">
      <c r="A2384" s="58"/>
    </row>
    <row r="2385" spans="1:1" x14ac:dyDescent="0.2">
      <c r="A2385" s="58"/>
    </row>
    <row r="2386" spans="1:1" x14ac:dyDescent="0.2">
      <c r="A2386" s="58"/>
    </row>
    <row r="2387" spans="1:1" x14ac:dyDescent="0.2">
      <c r="A2387" s="58"/>
    </row>
    <row r="2388" spans="1:1" x14ac:dyDescent="0.2">
      <c r="A2388" s="58"/>
    </row>
    <row r="2389" spans="1:1" x14ac:dyDescent="0.2">
      <c r="A2389" s="58"/>
    </row>
    <row r="2390" spans="1:1" x14ac:dyDescent="0.2">
      <c r="A2390" s="58"/>
    </row>
    <row r="2391" spans="1:1" x14ac:dyDescent="0.2">
      <c r="A2391" s="58"/>
    </row>
    <row r="2392" spans="1:1" x14ac:dyDescent="0.2">
      <c r="A2392" s="58"/>
    </row>
    <row r="2393" spans="1:1" x14ac:dyDescent="0.2">
      <c r="A2393" s="58"/>
    </row>
    <row r="2394" spans="1:1" x14ac:dyDescent="0.2">
      <c r="A2394" s="58"/>
    </row>
    <row r="2395" spans="1:1" x14ac:dyDescent="0.2">
      <c r="A2395" s="58"/>
    </row>
    <row r="2396" spans="1:1" x14ac:dyDescent="0.2">
      <c r="A2396" s="58"/>
    </row>
    <row r="2397" spans="1:1" x14ac:dyDescent="0.2">
      <c r="A2397" s="58"/>
    </row>
    <row r="2398" spans="1:1" x14ac:dyDescent="0.2">
      <c r="A2398" s="58"/>
    </row>
    <row r="2399" spans="1:1" x14ac:dyDescent="0.2">
      <c r="A2399" s="58"/>
    </row>
    <row r="2400" spans="1:1" x14ac:dyDescent="0.2">
      <c r="A2400" s="58"/>
    </row>
    <row r="2401" spans="1:1" x14ac:dyDescent="0.2">
      <c r="A2401" s="58"/>
    </row>
    <row r="2402" spans="1:1" x14ac:dyDescent="0.2">
      <c r="A2402" s="58"/>
    </row>
    <row r="2403" spans="1:1" x14ac:dyDescent="0.2">
      <c r="A2403" s="58"/>
    </row>
    <row r="2404" spans="1:1" x14ac:dyDescent="0.2">
      <c r="A2404" s="58"/>
    </row>
    <row r="2405" spans="1:1" x14ac:dyDescent="0.2">
      <c r="A2405" s="58"/>
    </row>
    <row r="2406" spans="1:1" x14ac:dyDescent="0.2">
      <c r="A2406" s="58"/>
    </row>
    <row r="2407" spans="1:1" x14ac:dyDescent="0.2">
      <c r="A2407" s="58"/>
    </row>
    <row r="2408" spans="1:1" x14ac:dyDescent="0.2">
      <c r="A2408" s="58"/>
    </row>
    <row r="2409" spans="1:1" x14ac:dyDescent="0.2">
      <c r="A2409" s="58"/>
    </row>
    <row r="2410" spans="1:1" x14ac:dyDescent="0.2">
      <c r="A2410" s="58"/>
    </row>
    <row r="2411" spans="1:1" x14ac:dyDescent="0.2">
      <c r="A2411" s="58"/>
    </row>
    <row r="2412" spans="1:1" x14ac:dyDescent="0.2">
      <c r="A2412" s="58"/>
    </row>
    <row r="2413" spans="1:1" x14ac:dyDescent="0.2">
      <c r="A2413" s="58"/>
    </row>
    <row r="2414" spans="1:1" x14ac:dyDescent="0.2">
      <c r="A2414" s="58"/>
    </row>
    <row r="2415" spans="1:1" x14ac:dyDescent="0.2">
      <c r="A2415" s="58"/>
    </row>
    <row r="2416" spans="1:1" x14ac:dyDescent="0.2">
      <c r="A2416" s="58"/>
    </row>
    <row r="2417" spans="1:1" x14ac:dyDescent="0.2">
      <c r="A2417" s="58"/>
    </row>
    <row r="2418" spans="1:1" x14ac:dyDescent="0.2">
      <c r="A2418" s="58"/>
    </row>
    <row r="2419" spans="1:1" x14ac:dyDescent="0.2">
      <c r="A2419" s="58"/>
    </row>
    <row r="2420" spans="1:1" x14ac:dyDescent="0.2">
      <c r="A2420" s="58"/>
    </row>
    <row r="2421" spans="1:1" x14ac:dyDescent="0.2">
      <c r="A2421" s="58"/>
    </row>
    <row r="2422" spans="1:1" x14ac:dyDescent="0.2">
      <c r="A2422" s="58"/>
    </row>
    <row r="2423" spans="1:1" x14ac:dyDescent="0.2">
      <c r="A2423" s="58"/>
    </row>
    <row r="2424" spans="1:1" x14ac:dyDescent="0.2">
      <c r="A2424" s="58"/>
    </row>
    <row r="2425" spans="1:1" x14ac:dyDescent="0.2">
      <c r="A2425" s="58"/>
    </row>
    <row r="2426" spans="1:1" x14ac:dyDescent="0.2">
      <c r="A2426" s="58"/>
    </row>
    <row r="2427" spans="1:1" x14ac:dyDescent="0.2">
      <c r="A2427" s="58"/>
    </row>
    <row r="2428" spans="1:1" x14ac:dyDescent="0.2">
      <c r="A2428" s="58"/>
    </row>
    <row r="2429" spans="1:1" x14ac:dyDescent="0.2">
      <c r="A2429" s="58"/>
    </row>
    <row r="2430" spans="1:1" x14ac:dyDescent="0.2">
      <c r="A2430" s="58"/>
    </row>
    <row r="2431" spans="1:1" x14ac:dyDescent="0.2">
      <c r="A2431" s="58"/>
    </row>
    <row r="2432" spans="1:1" x14ac:dyDescent="0.2">
      <c r="A2432" s="58"/>
    </row>
    <row r="2433" spans="1:1" x14ac:dyDescent="0.2">
      <c r="A2433" s="58"/>
    </row>
    <row r="2434" spans="1:1" x14ac:dyDescent="0.2">
      <c r="A2434" s="58"/>
    </row>
    <row r="2435" spans="1:1" x14ac:dyDescent="0.2">
      <c r="A2435" s="58"/>
    </row>
    <row r="2436" spans="1:1" x14ac:dyDescent="0.2">
      <c r="A2436" s="58"/>
    </row>
    <row r="2437" spans="1:1" x14ac:dyDescent="0.2">
      <c r="A2437" s="58"/>
    </row>
    <row r="2438" spans="1:1" x14ac:dyDescent="0.2">
      <c r="A2438" s="58"/>
    </row>
    <row r="2439" spans="1:1" x14ac:dyDescent="0.2">
      <c r="A2439" s="58"/>
    </row>
    <row r="2440" spans="1:1" x14ac:dyDescent="0.2">
      <c r="A2440" s="58"/>
    </row>
    <row r="2441" spans="1:1" x14ac:dyDescent="0.2">
      <c r="A2441" s="58"/>
    </row>
    <row r="2442" spans="1:1" x14ac:dyDescent="0.2">
      <c r="A2442" s="58"/>
    </row>
    <row r="2443" spans="1:1" x14ac:dyDescent="0.2">
      <c r="A2443" s="58"/>
    </row>
    <row r="2444" spans="1:1" x14ac:dyDescent="0.2">
      <c r="A2444" s="58"/>
    </row>
    <row r="2445" spans="1:1" x14ac:dyDescent="0.2">
      <c r="A2445" s="58"/>
    </row>
    <row r="2446" spans="1:1" x14ac:dyDescent="0.2">
      <c r="A2446" s="58"/>
    </row>
    <row r="2447" spans="1:1" x14ac:dyDescent="0.2">
      <c r="A2447" s="58"/>
    </row>
    <row r="2448" spans="1:1" x14ac:dyDescent="0.2">
      <c r="A2448" s="58"/>
    </row>
    <row r="2449" spans="1:1" x14ac:dyDescent="0.2">
      <c r="A2449" s="58"/>
    </row>
    <row r="2450" spans="1:1" x14ac:dyDescent="0.2">
      <c r="A2450" s="58"/>
    </row>
    <row r="2451" spans="1:1" x14ac:dyDescent="0.2">
      <c r="A2451" s="58"/>
    </row>
    <row r="2452" spans="1:1" x14ac:dyDescent="0.2">
      <c r="A2452" s="58"/>
    </row>
    <row r="2453" spans="1:1" x14ac:dyDescent="0.2">
      <c r="A2453" s="58"/>
    </row>
    <row r="2454" spans="1:1" x14ac:dyDescent="0.2">
      <c r="A2454" s="58"/>
    </row>
    <row r="2455" spans="1:1" x14ac:dyDescent="0.2">
      <c r="A2455" s="58"/>
    </row>
    <row r="2456" spans="1:1" x14ac:dyDescent="0.2">
      <c r="A2456" s="58"/>
    </row>
    <row r="2457" spans="1:1" x14ac:dyDescent="0.2">
      <c r="A2457" s="58"/>
    </row>
    <row r="2458" spans="1:1" x14ac:dyDescent="0.2">
      <c r="A2458" s="58"/>
    </row>
    <row r="2459" spans="1:1" x14ac:dyDescent="0.2">
      <c r="A2459" s="58"/>
    </row>
    <row r="2460" spans="1:1" x14ac:dyDescent="0.2">
      <c r="A2460" s="58"/>
    </row>
    <row r="2461" spans="1:1" x14ac:dyDescent="0.2">
      <c r="A2461" s="58"/>
    </row>
    <row r="2462" spans="1:1" x14ac:dyDescent="0.2">
      <c r="A2462" s="58"/>
    </row>
    <row r="2463" spans="1:1" x14ac:dyDescent="0.2">
      <c r="A2463" s="58"/>
    </row>
    <row r="2464" spans="1:1" x14ac:dyDescent="0.2">
      <c r="A2464" s="58"/>
    </row>
    <row r="2465" spans="1:1" x14ac:dyDescent="0.2">
      <c r="A2465" s="58"/>
    </row>
    <row r="2466" spans="1:1" x14ac:dyDescent="0.2">
      <c r="A2466" s="58"/>
    </row>
    <row r="2467" spans="1:1" x14ac:dyDescent="0.2">
      <c r="A2467" s="58"/>
    </row>
    <row r="2468" spans="1:1" x14ac:dyDescent="0.2">
      <c r="A2468" s="58"/>
    </row>
    <row r="2469" spans="1:1" x14ac:dyDescent="0.2">
      <c r="A2469" s="58"/>
    </row>
    <row r="2470" spans="1:1" x14ac:dyDescent="0.2">
      <c r="A2470" s="58"/>
    </row>
    <row r="2471" spans="1:1" x14ac:dyDescent="0.2">
      <c r="A2471" s="58"/>
    </row>
    <row r="2472" spans="1:1" x14ac:dyDescent="0.2">
      <c r="A2472" s="58"/>
    </row>
    <row r="2473" spans="1:1" x14ac:dyDescent="0.2">
      <c r="A2473" s="58"/>
    </row>
    <row r="2474" spans="1:1" x14ac:dyDescent="0.2">
      <c r="A2474" s="58"/>
    </row>
    <row r="2475" spans="1:1" x14ac:dyDescent="0.2">
      <c r="A2475" s="58"/>
    </row>
    <row r="2476" spans="1:1" x14ac:dyDescent="0.2">
      <c r="A2476" s="58"/>
    </row>
    <row r="2477" spans="1:1" x14ac:dyDescent="0.2">
      <c r="A2477" s="58"/>
    </row>
    <row r="2478" spans="1:1" x14ac:dyDescent="0.2">
      <c r="A2478" s="58"/>
    </row>
    <row r="2479" spans="1:1" x14ac:dyDescent="0.2">
      <c r="A2479" s="58"/>
    </row>
    <row r="2480" spans="1:1" x14ac:dyDescent="0.2">
      <c r="A2480" s="58"/>
    </row>
    <row r="2481" spans="1:1" x14ac:dyDescent="0.2">
      <c r="A2481" s="58"/>
    </row>
    <row r="2482" spans="1:1" x14ac:dyDescent="0.2">
      <c r="A2482" s="58"/>
    </row>
    <row r="2483" spans="1:1" x14ac:dyDescent="0.2">
      <c r="A2483" s="58"/>
    </row>
    <row r="2484" spans="1:1" x14ac:dyDescent="0.2">
      <c r="A2484" s="58"/>
    </row>
    <row r="2485" spans="1:1" x14ac:dyDescent="0.2">
      <c r="A2485" s="58"/>
    </row>
    <row r="2486" spans="1:1" x14ac:dyDescent="0.2">
      <c r="A2486" s="58"/>
    </row>
    <row r="2487" spans="1:1" x14ac:dyDescent="0.2">
      <c r="A2487" s="58"/>
    </row>
    <row r="2488" spans="1:1" x14ac:dyDescent="0.2">
      <c r="A2488" s="58"/>
    </row>
    <row r="2489" spans="1:1" x14ac:dyDescent="0.2">
      <c r="A2489" s="58"/>
    </row>
    <row r="2490" spans="1:1" x14ac:dyDescent="0.2">
      <c r="A2490" s="58"/>
    </row>
    <row r="2491" spans="1:1" x14ac:dyDescent="0.2">
      <c r="A2491" s="58"/>
    </row>
    <row r="2492" spans="1:1" x14ac:dyDescent="0.2">
      <c r="A2492" s="58"/>
    </row>
    <row r="2493" spans="1:1" x14ac:dyDescent="0.2">
      <c r="A2493" s="58"/>
    </row>
    <row r="2494" spans="1:1" x14ac:dyDescent="0.2">
      <c r="A2494" s="58"/>
    </row>
    <row r="2495" spans="1:1" x14ac:dyDescent="0.2">
      <c r="A2495" s="58"/>
    </row>
    <row r="2496" spans="1:1" x14ac:dyDescent="0.2">
      <c r="A2496" s="58"/>
    </row>
    <row r="2497" spans="1:1" x14ac:dyDescent="0.2">
      <c r="A2497" s="58"/>
    </row>
    <row r="2498" spans="1:1" x14ac:dyDescent="0.2">
      <c r="A2498" s="58"/>
    </row>
    <row r="2499" spans="1:1" x14ac:dyDescent="0.2">
      <c r="A2499" s="58"/>
    </row>
    <row r="2500" spans="1:1" x14ac:dyDescent="0.2">
      <c r="A2500" s="58"/>
    </row>
    <row r="2501" spans="1:1" x14ac:dyDescent="0.2">
      <c r="A2501" s="58"/>
    </row>
    <row r="2502" spans="1:1" x14ac:dyDescent="0.2">
      <c r="A2502" s="58"/>
    </row>
    <row r="2503" spans="1:1" x14ac:dyDescent="0.2">
      <c r="A2503" s="58"/>
    </row>
    <row r="2504" spans="1:1" x14ac:dyDescent="0.2">
      <c r="A2504" s="58"/>
    </row>
    <row r="2505" spans="1:1" x14ac:dyDescent="0.2">
      <c r="A2505" s="58"/>
    </row>
    <row r="2506" spans="1:1" x14ac:dyDescent="0.2">
      <c r="A2506" s="58"/>
    </row>
    <row r="2507" spans="1:1" x14ac:dyDescent="0.2">
      <c r="A2507" s="58"/>
    </row>
    <row r="2508" spans="1:1" x14ac:dyDescent="0.2">
      <c r="A2508" s="58"/>
    </row>
    <row r="2509" spans="1:1" x14ac:dyDescent="0.2">
      <c r="A2509" s="58"/>
    </row>
    <row r="2510" spans="1:1" x14ac:dyDescent="0.2">
      <c r="A2510" s="58"/>
    </row>
    <row r="2511" spans="1:1" x14ac:dyDescent="0.2">
      <c r="A2511" s="58"/>
    </row>
    <row r="2512" spans="1:1" x14ac:dyDescent="0.2">
      <c r="A2512" s="58"/>
    </row>
    <row r="2513" spans="1:1" x14ac:dyDescent="0.2">
      <c r="A2513" s="58"/>
    </row>
    <row r="2514" spans="1:1" x14ac:dyDescent="0.2">
      <c r="A2514" s="58"/>
    </row>
    <row r="2515" spans="1:1" x14ac:dyDescent="0.2">
      <c r="A2515" s="58"/>
    </row>
    <row r="2516" spans="1:1" x14ac:dyDescent="0.2">
      <c r="A2516" s="58"/>
    </row>
    <row r="2517" spans="1:1" x14ac:dyDescent="0.2">
      <c r="A2517" s="58"/>
    </row>
    <row r="2518" spans="1:1" x14ac:dyDescent="0.2">
      <c r="A2518" s="58"/>
    </row>
    <row r="2519" spans="1:1" x14ac:dyDescent="0.2">
      <c r="A2519" s="58"/>
    </row>
    <row r="2520" spans="1:1" x14ac:dyDescent="0.2">
      <c r="A2520" s="58"/>
    </row>
    <row r="2521" spans="1:1" x14ac:dyDescent="0.2">
      <c r="A2521" s="58"/>
    </row>
    <row r="2522" spans="1:1" x14ac:dyDescent="0.2">
      <c r="A2522" s="58"/>
    </row>
    <row r="2523" spans="1:1" x14ac:dyDescent="0.2">
      <c r="A2523" s="58"/>
    </row>
    <row r="2524" spans="1:1" x14ac:dyDescent="0.2">
      <c r="A2524" s="58"/>
    </row>
    <row r="2525" spans="1:1" x14ac:dyDescent="0.2">
      <c r="A2525" s="58"/>
    </row>
    <row r="2526" spans="1:1" x14ac:dyDescent="0.2">
      <c r="A2526" s="58"/>
    </row>
    <row r="2527" spans="1:1" x14ac:dyDescent="0.2">
      <c r="A2527" s="58"/>
    </row>
    <row r="2528" spans="1:1" x14ac:dyDescent="0.2">
      <c r="A2528" s="58"/>
    </row>
    <row r="2529" spans="1:1" x14ac:dyDescent="0.2">
      <c r="A2529" s="58"/>
    </row>
    <row r="2530" spans="1:1" x14ac:dyDescent="0.2">
      <c r="A2530" s="58"/>
    </row>
    <row r="2531" spans="1:1" x14ac:dyDescent="0.2">
      <c r="A2531" s="58"/>
    </row>
    <row r="2532" spans="1:1" x14ac:dyDescent="0.2">
      <c r="A2532" s="58"/>
    </row>
    <row r="2533" spans="1:1" x14ac:dyDescent="0.2">
      <c r="A2533" s="58"/>
    </row>
    <row r="2534" spans="1:1" x14ac:dyDescent="0.2">
      <c r="A2534" s="58"/>
    </row>
    <row r="2535" spans="1:1" x14ac:dyDescent="0.2">
      <c r="A2535" s="58"/>
    </row>
    <row r="2536" spans="1:1" x14ac:dyDescent="0.2">
      <c r="A2536" s="58"/>
    </row>
    <row r="2537" spans="1:1" x14ac:dyDescent="0.2">
      <c r="A2537" s="58"/>
    </row>
    <row r="2538" spans="1:1" x14ac:dyDescent="0.2">
      <c r="A2538" s="58"/>
    </row>
    <row r="2539" spans="1:1" x14ac:dyDescent="0.2">
      <c r="A2539" s="58"/>
    </row>
    <row r="2540" spans="1:1" x14ac:dyDescent="0.2">
      <c r="A2540" s="58"/>
    </row>
    <row r="2541" spans="1:1" x14ac:dyDescent="0.2">
      <c r="A2541" s="58"/>
    </row>
    <row r="2542" spans="1:1" x14ac:dyDescent="0.2">
      <c r="A2542" s="58"/>
    </row>
    <row r="2543" spans="1:1" x14ac:dyDescent="0.2">
      <c r="A2543" s="58"/>
    </row>
    <row r="2544" spans="1:1" x14ac:dyDescent="0.2">
      <c r="A2544" s="58"/>
    </row>
    <row r="2545" spans="1:1" x14ac:dyDescent="0.2">
      <c r="A2545" s="58"/>
    </row>
    <row r="2546" spans="1:1" x14ac:dyDescent="0.2">
      <c r="A2546" s="58"/>
    </row>
    <row r="2547" spans="1:1" x14ac:dyDescent="0.2">
      <c r="A2547" s="58"/>
    </row>
    <row r="2548" spans="1:1" x14ac:dyDescent="0.2">
      <c r="A2548" s="58"/>
    </row>
    <row r="2549" spans="1:1" x14ac:dyDescent="0.2">
      <c r="A2549" s="58"/>
    </row>
    <row r="2550" spans="1:1" x14ac:dyDescent="0.2">
      <c r="A2550" s="58"/>
    </row>
    <row r="2551" spans="1:1" x14ac:dyDescent="0.2">
      <c r="A2551" s="58"/>
    </row>
    <row r="2552" spans="1:1" x14ac:dyDescent="0.2">
      <c r="A2552" s="58"/>
    </row>
    <row r="2553" spans="1:1" x14ac:dyDescent="0.2">
      <c r="A2553" s="58"/>
    </row>
    <row r="2554" spans="1:1" x14ac:dyDescent="0.2">
      <c r="A2554" s="58"/>
    </row>
    <row r="2555" spans="1:1" x14ac:dyDescent="0.2">
      <c r="A2555" s="58"/>
    </row>
    <row r="2556" spans="1:1" x14ac:dyDescent="0.2">
      <c r="A2556" s="58"/>
    </row>
    <row r="2557" spans="1:1" x14ac:dyDescent="0.2">
      <c r="A2557" s="58"/>
    </row>
    <row r="2558" spans="1:1" x14ac:dyDescent="0.2">
      <c r="A2558" s="58"/>
    </row>
    <row r="2559" spans="1:1" x14ac:dyDescent="0.2">
      <c r="A2559" s="58"/>
    </row>
    <row r="2560" spans="1:1" x14ac:dyDescent="0.2">
      <c r="A2560" s="58"/>
    </row>
    <row r="2561" spans="1:1" x14ac:dyDescent="0.2">
      <c r="A2561" s="58"/>
    </row>
    <row r="2562" spans="1:1" x14ac:dyDescent="0.2">
      <c r="A2562" s="58"/>
    </row>
    <row r="2563" spans="1:1" x14ac:dyDescent="0.2">
      <c r="A2563" s="58"/>
    </row>
    <row r="2564" spans="1:1" x14ac:dyDescent="0.2">
      <c r="A2564" s="58"/>
    </row>
    <row r="2565" spans="1:1" x14ac:dyDescent="0.2">
      <c r="A2565" s="58"/>
    </row>
    <row r="2566" spans="1:1" x14ac:dyDescent="0.2">
      <c r="A2566" s="58"/>
    </row>
    <row r="2567" spans="1:1" x14ac:dyDescent="0.2">
      <c r="A2567" s="58"/>
    </row>
    <row r="2568" spans="1:1" x14ac:dyDescent="0.2">
      <c r="A2568" s="58"/>
    </row>
    <row r="2569" spans="1:1" x14ac:dyDescent="0.2">
      <c r="A2569" s="58"/>
    </row>
    <row r="2570" spans="1:1" x14ac:dyDescent="0.2">
      <c r="A2570" s="58"/>
    </row>
    <row r="2571" spans="1:1" x14ac:dyDescent="0.2">
      <c r="A2571" s="58"/>
    </row>
    <row r="2572" spans="1:1" x14ac:dyDescent="0.2">
      <c r="A2572" s="58"/>
    </row>
    <row r="2573" spans="1:1" x14ac:dyDescent="0.2">
      <c r="A2573" s="58"/>
    </row>
    <row r="2574" spans="1:1" x14ac:dyDescent="0.2">
      <c r="A2574" s="58"/>
    </row>
    <row r="2575" spans="1:1" x14ac:dyDescent="0.2">
      <c r="A2575" s="58"/>
    </row>
    <row r="2576" spans="1:1" x14ac:dyDescent="0.2">
      <c r="A2576" s="58"/>
    </row>
    <row r="2577" spans="1:1" x14ac:dyDescent="0.2">
      <c r="A2577" s="58"/>
    </row>
    <row r="2578" spans="1:1" x14ac:dyDescent="0.2">
      <c r="A2578" s="58"/>
    </row>
    <row r="2579" spans="1:1" x14ac:dyDescent="0.2">
      <c r="A2579" s="58"/>
    </row>
    <row r="2580" spans="1:1" x14ac:dyDescent="0.2">
      <c r="A2580" s="58"/>
    </row>
    <row r="2581" spans="1:1" x14ac:dyDescent="0.2">
      <c r="A2581" s="58"/>
    </row>
    <row r="2582" spans="1:1" x14ac:dyDescent="0.2">
      <c r="A2582" s="58"/>
    </row>
    <row r="2583" spans="1:1" x14ac:dyDescent="0.2">
      <c r="A2583" s="58"/>
    </row>
    <row r="2584" spans="1:1" x14ac:dyDescent="0.2">
      <c r="A2584" s="58"/>
    </row>
    <row r="2585" spans="1:1" x14ac:dyDescent="0.2">
      <c r="A2585" s="58"/>
    </row>
    <row r="2586" spans="1:1" x14ac:dyDescent="0.2">
      <c r="A2586" s="58"/>
    </row>
    <row r="2587" spans="1:1" x14ac:dyDescent="0.2">
      <c r="A2587" s="58"/>
    </row>
    <row r="2588" spans="1:1" x14ac:dyDescent="0.2">
      <c r="A2588" s="58"/>
    </row>
    <row r="2589" spans="1:1" x14ac:dyDescent="0.2">
      <c r="A2589" s="58"/>
    </row>
    <row r="2590" spans="1:1" x14ac:dyDescent="0.2">
      <c r="A2590" s="58"/>
    </row>
    <row r="2591" spans="1:1" x14ac:dyDescent="0.2">
      <c r="A2591" s="58"/>
    </row>
    <row r="2592" spans="1:1" x14ac:dyDescent="0.2">
      <c r="A2592" s="58"/>
    </row>
    <row r="2593" spans="1:1" x14ac:dyDescent="0.2">
      <c r="A2593" s="58"/>
    </row>
    <row r="2594" spans="1:1" x14ac:dyDescent="0.2">
      <c r="A2594" s="58"/>
    </row>
    <row r="2595" spans="1:1" x14ac:dyDescent="0.2">
      <c r="A2595" s="58"/>
    </row>
    <row r="2596" spans="1:1" x14ac:dyDescent="0.2">
      <c r="A2596" s="58"/>
    </row>
    <row r="2597" spans="1:1" x14ac:dyDescent="0.2">
      <c r="A2597" s="58"/>
    </row>
    <row r="2598" spans="1:1" x14ac:dyDescent="0.2">
      <c r="A2598" s="58"/>
    </row>
    <row r="2599" spans="1:1" x14ac:dyDescent="0.2">
      <c r="A2599" s="58"/>
    </row>
    <row r="2600" spans="1:1" x14ac:dyDescent="0.2">
      <c r="A2600" s="58"/>
    </row>
    <row r="2601" spans="1:1" x14ac:dyDescent="0.2">
      <c r="A2601" s="58"/>
    </row>
    <row r="2602" spans="1:1" x14ac:dyDescent="0.2">
      <c r="A2602" s="58"/>
    </row>
    <row r="2603" spans="1:1" x14ac:dyDescent="0.2">
      <c r="A2603" s="58"/>
    </row>
    <row r="2604" spans="1:1" x14ac:dyDescent="0.2">
      <c r="A2604" s="58"/>
    </row>
    <row r="2605" spans="1:1" x14ac:dyDescent="0.2">
      <c r="A2605" s="58"/>
    </row>
    <row r="2606" spans="1:1" x14ac:dyDescent="0.2">
      <c r="A2606" s="58"/>
    </row>
    <row r="2607" spans="1:1" x14ac:dyDescent="0.2">
      <c r="A2607" s="58"/>
    </row>
    <row r="2608" spans="1:1" x14ac:dyDescent="0.2">
      <c r="A2608" s="58"/>
    </row>
    <row r="2609" spans="1:1" x14ac:dyDescent="0.2">
      <c r="A2609" s="58"/>
    </row>
    <row r="2610" spans="1:1" x14ac:dyDescent="0.2">
      <c r="A2610" s="58"/>
    </row>
    <row r="2611" spans="1:1" x14ac:dyDescent="0.2">
      <c r="A2611" s="58"/>
    </row>
    <row r="2612" spans="1:1" x14ac:dyDescent="0.2">
      <c r="A2612" s="58"/>
    </row>
    <row r="2613" spans="1:1" x14ac:dyDescent="0.2">
      <c r="A2613" s="58"/>
    </row>
    <row r="2614" spans="1:1" x14ac:dyDescent="0.2">
      <c r="A2614" s="58"/>
    </row>
    <row r="2615" spans="1:1" x14ac:dyDescent="0.2">
      <c r="A2615" s="58"/>
    </row>
    <row r="2616" spans="1:1" x14ac:dyDescent="0.2">
      <c r="A2616" s="58"/>
    </row>
    <row r="2617" spans="1:1" x14ac:dyDescent="0.2">
      <c r="A2617" s="58"/>
    </row>
    <row r="2618" spans="1:1" x14ac:dyDescent="0.2">
      <c r="A2618" s="58"/>
    </row>
    <row r="2619" spans="1:1" x14ac:dyDescent="0.2">
      <c r="A2619" s="58"/>
    </row>
    <row r="2620" spans="1:1" x14ac:dyDescent="0.2">
      <c r="A2620" s="58"/>
    </row>
    <row r="2621" spans="1:1" x14ac:dyDescent="0.2">
      <c r="A2621" s="58"/>
    </row>
    <row r="2622" spans="1:1" x14ac:dyDescent="0.2">
      <c r="A2622" s="58"/>
    </row>
    <row r="2623" spans="1:1" x14ac:dyDescent="0.2">
      <c r="A2623" s="58"/>
    </row>
    <row r="2624" spans="1:1" x14ac:dyDescent="0.2">
      <c r="A2624" s="58"/>
    </row>
    <row r="2625" spans="1:1" x14ac:dyDescent="0.2">
      <c r="A2625" s="58"/>
    </row>
    <row r="2626" spans="1:1" x14ac:dyDescent="0.2">
      <c r="A2626" s="58"/>
    </row>
    <row r="2627" spans="1:1" x14ac:dyDescent="0.2">
      <c r="A2627" s="58"/>
    </row>
    <row r="2628" spans="1:1" x14ac:dyDescent="0.2">
      <c r="A2628" s="58"/>
    </row>
    <row r="2629" spans="1:1" x14ac:dyDescent="0.2">
      <c r="A2629" s="58"/>
    </row>
    <row r="2630" spans="1:1" x14ac:dyDescent="0.2">
      <c r="A2630" s="58"/>
    </row>
    <row r="2631" spans="1:1" x14ac:dyDescent="0.2">
      <c r="A2631" s="58"/>
    </row>
    <row r="2632" spans="1:1" x14ac:dyDescent="0.2">
      <c r="A2632" s="58"/>
    </row>
    <row r="2633" spans="1:1" x14ac:dyDescent="0.2">
      <c r="A2633" s="58"/>
    </row>
    <row r="2634" spans="1:1" x14ac:dyDescent="0.2">
      <c r="A2634" s="58"/>
    </row>
    <row r="2635" spans="1:1" x14ac:dyDescent="0.2">
      <c r="A2635" s="58"/>
    </row>
    <row r="2636" spans="1:1" x14ac:dyDescent="0.2">
      <c r="A2636" s="58"/>
    </row>
    <row r="2637" spans="1:1" x14ac:dyDescent="0.2">
      <c r="A2637" s="58"/>
    </row>
    <row r="2638" spans="1:1" x14ac:dyDescent="0.2">
      <c r="A2638" s="58"/>
    </row>
    <row r="2639" spans="1:1" x14ac:dyDescent="0.2">
      <c r="A2639" s="58"/>
    </row>
    <row r="2640" spans="1:1" x14ac:dyDescent="0.2">
      <c r="A2640" s="58"/>
    </row>
    <row r="2641" spans="1:1" x14ac:dyDescent="0.2">
      <c r="A2641" s="58"/>
    </row>
    <row r="2642" spans="1:1" x14ac:dyDescent="0.2">
      <c r="A2642" s="58"/>
    </row>
    <row r="2643" spans="1:1" x14ac:dyDescent="0.2">
      <c r="A2643" s="58"/>
    </row>
    <row r="2644" spans="1:1" x14ac:dyDescent="0.2">
      <c r="A2644" s="58"/>
    </row>
    <row r="2645" spans="1:1" x14ac:dyDescent="0.2">
      <c r="A2645" s="58"/>
    </row>
    <row r="2646" spans="1:1" x14ac:dyDescent="0.2">
      <c r="A2646" s="58"/>
    </row>
    <row r="2647" spans="1:1" x14ac:dyDescent="0.2">
      <c r="A2647" s="58"/>
    </row>
    <row r="2648" spans="1:1" x14ac:dyDescent="0.2">
      <c r="A2648" s="58"/>
    </row>
    <row r="2649" spans="1:1" x14ac:dyDescent="0.2">
      <c r="A2649" s="58"/>
    </row>
    <row r="2650" spans="1:1" x14ac:dyDescent="0.2">
      <c r="A2650" s="58"/>
    </row>
    <row r="2651" spans="1:1" x14ac:dyDescent="0.2">
      <c r="A2651" s="58"/>
    </row>
    <row r="2652" spans="1:1" x14ac:dyDescent="0.2">
      <c r="A2652" s="58"/>
    </row>
    <row r="2653" spans="1:1" x14ac:dyDescent="0.2">
      <c r="A2653" s="58"/>
    </row>
    <row r="2654" spans="1:1" x14ac:dyDescent="0.2">
      <c r="A2654" s="58"/>
    </row>
    <row r="2655" spans="1:1" x14ac:dyDescent="0.2">
      <c r="A2655" s="58"/>
    </row>
    <row r="2656" spans="1:1" x14ac:dyDescent="0.2">
      <c r="A2656" s="58"/>
    </row>
    <row r="2657" spans="1:1" x14ac:dyDescent="0.2">
      <c r="A2657" s="58"/>
    </row>
    <row r="2658" spans="1:1" x14ac:dyDescent="0.2">
      <c r="A2658" s="58"/>
    </row>
    <row r="2659" spans="1:1" x14ac:dyDescent="0.2">
      <c r="A2659" s="58"/>
    </row>
    <row r="2660" spans="1:1" x14ac:dyDescent="0.2">
      <c r="A2660" s="58"/>
    </row>
    <row r="2661" spans="1:1" x14ac:dyDescent="0.2">
      <c r="A2661" s="58"/>
    </row>
    <row r="2662" spans="1:1" x14ac:dyDescent="0.2">
      <c r="A2662" s="58"/>
    </row>
    <row r="2663" spans="1:1" x14ac:dyDescent="0.2">
      <c r="A2663" s="58"/>
    </row>
    <row r="2664" spans="1:1" x14ac:dyDescent="0.2">
      <c r="A2664" s="58"/>
    </row>
    <row r="2665" spans="1:1" x14ac:dyDescent="0.2">
      <c r="A2665" s="58"/>
    </row>
    <row r="2666" spans="1:1" x14ac:dyDescent="0.2">
      <c r="A2666" s="58"/>
    </row>
    <row r="2667" spans="1:1" x14ac:dyDescent="0.2">
      <c r="A2667" s="58"/>
    </row>
    <row r="2668" spans="1:1" x14ac:dyDescent="0.2">
      <c r="A2668" s="58"/>
    </row>
    <row r="2669" spans="1:1" x14ac:dyDescent="0.2">
      <c r="A2669" s="58"/>
    </row>
    <row r="2670" spans="1:1" x14ac:dyDescent="0.2">
      <c r="A2670" s="58"/>
    </row>
    <row r="2671" spans="1:1" x14ac:dyDescent="0.2">
      <c r="A2671" s="58"/>
    </row>
    <row r="2672" spans="1:1" x14ac:dyDescent="0.2">
      <c r="A2672" s="58"/>
    </row>
    <row r="2673" spans="1:1" x14ac:dyDescent="0.2">
      <c r="A2673" s="58"/>
    </row>
    <row r="2674" spans="1:1" x14ac:dyDescent="0.2">
      <c r="A2674" s="58"/>
    </row>
    <row r="2675" spans="1:1" x14ac:dyDescent="0.2">
      <c r="A2675" s="58"/>
    </row>
    <row r="2676" spans="1:1" x14ac:dyDescent="0.2">
      <c r="A2676" s="58"/>
    </row>
    <row r="2677" spans="1:1" x14ac:dyDescent="0.2">
      <c r="A2677" s="58"/>
    </row>
    <row r="2678" spans="1:1" x14ac:dyDescent="0.2">
      <c r="A2678" s="58"/>
    </row>
    <row r="2679" spans="1:1" x14ac:dyDescent="0.2">
      <c r="A2679" s="58"/>
    </row>
    <row r="2680" spans="1:1" x14ac:dyDescent="0.2">
      <c r="A2680" s="58"/>
    </row>
    <row r="2681" spans="1:1" x14ac:dyDescent="0.2">
      <c r="A2681" s="58"/>
    </row>
    <row r="2682" spans="1:1" x14ac:dyDescent="0.2">
      <c r="A2682" s="58"/>
    </row>
    <row r="2683" spans="1:1" x14ac:dyDescent="0.2">
      <c r="A2683" s="58"/>
    </row>
    <row r="2684" spans="1:1" x14ac:dyDescent="0.2">
      <c r="A2684" s="58"/>
    </row>
    <row r="2685" spans="1:1" x14ac:dyDescent="0.2">
      <c r="A2685" s="58"/>
    </row>
    <row r="2686" spans="1:1" x14ac:dyDescent="0.2">
      <c r="A2686" s="58"/>
    </row>
    <row r="2687" spans="1:1" x14ac:dyDescent="0.2">
      <c r="A2687" s="58"/>
    </row>
    <row r="2688" spans="1:1" x14ac:dyDescent="0.2">
      <c r="A2688" s="58"/>
    </row>
    <row r="2689" spans="1:1" x14ac:dyDescent="0.2">
      <c r="A2689" s="58"/>
    </row>
    <row r="2690" spans="1:1" x14ac:dyDescent="0.2">
      <c r="A2690" s="58"/>
    </row>
    <row r="2691" spans="1:1" x14ac:dyDescent="0.2">
      <c r="A2691" s="58"/>
    </row>
    <row r="2692" spans="1:1" x14ac:dyDescent="0.2">
      <c r="A2692" s="58"/>
    </row>
    <row r="2693" spans="1:1" x14ac:dyDescent="0.2">
      <c r="A2693" s="58"/>
    </row>
    <row r="2694" spans="1:1" x14ac:dyDescent="0.2">
      <c r="A2694" s="58"/>
    </row>
    <row r="2695" spans="1:1" x14ac:dyDescent="0.2">
      <c r="A2695" s="58"/>
    </row>
    <row r="2696" spans="1:1" x14ac:dyDescent="0.2">
      <c r="A2696" s="58"/>
    </row>
    <row r="2697" spans="1:1" x14ac:dyDescent="0.2">
      <c r="A2697" s="58"/>
    </row>
    <row r="2698" spans="1:1" x14ac:dyDescent="0.2">
      <c r="A2698" s="58"/>
    </row>
    <row r="2699" spans="1:1" x14ac:dyDescent="0.2">
      <c r="A2699" s="58"/>
    </row>
    <row r="2700" spans="1:1" x14ac:dyDescent="0.2">
      <c r="A2700" s="58"/>
    </row>
    <row r="2701" spans="1:1" x14ac:dyDescent="0.2">
      <c r="A2701" s="58"/>
    </row>
    <row r="2702" spans="1:1" x14ac:dyDescent="0.2">
      <c r="A2702" s="58"/>
    </row>
    <row r="2703" spans="1:1" x14ac:dyDescent="0.2">
      <c r="A2703" s="58"/>
    </row>
    <row r="2704" spans="1:1" x14ac:dyDescent="0.2">
      <c r="A2704" s="58"/>
    </row>
    <row r="2705" spans="1:1" x14ac:dyDescent="0.2">
      <c r="A2705" s="58"/>
    </row>
    <row r="2706" spans="1:1" x14ac:dyDescent="0.2">
      <c r="A2706" s="58"/>
    </row>
    <row r="2707" spans="1:1" x14ac:dyDescent="0.2">
      <c r="A2707" s="58"/>
    </row>
    <row r="2708" spans="1:1" x14ac:dyDescent="0.2">
      <c r="A2708" s="58"/>
    </row>
    <row r="2709" spans="1:1" x14ac:dyDescent="0.2">
      <c r="A2709" s="58"/>
    </row>
    <row r="2710" spans="1:1" x14ac:dyDescent="0.2">
      <c r="A2710" s="58"/>
    </row>
    <row r="2711" spans="1:1" x14ac:dyDescent="0.2">
      <c r="A2711" s="58"/>
    </row>
    <row r="2712" spans="1:1" x14ac:dyDescent="0.2">
      <c r="A2712" s="58"/>
    </row>
    <row r="2713" spans="1:1" x14ac:dyDescent="0.2">
      <c r="A2713" s="58"/>
    </row>
    <row r="2714" spans="1:1" x14ac:dyDescent="0.2">
      <c r="A2714" s="58"/>
    </row>
    <row r="2715" spans="1:1" x14ac:dyDescent="0.2">
      <c r="A2715" s="58"/>
    </row>
    <row r="2716" spans="1:1" x14ac:dyDescent="0.2">
      <c r="A2716" s="58"/>
    </row>
    <row r="2717" spans="1:1" x14ac:dyDescent="0.2">
      <c r="A2717" s="58"/>
    </row>
    <row r="2718" spans="1:1" x14ac:dyDescent="0.2">
      <c r="A2718" s="58"/>
    </row>
    <row r="2719" spans="1:1" x14ac:dyDescent="0.2">
      <c r="A2719" s="58"/>
    </row>
    <row r="2720" spans="1:1" x14ac:dyDescent="0.2">
      <c r="A2720" s="58"/>
    </row>
    <row r="2721" spans="1:1" x14ac:dyDescent="0.2">
      <c r="A2721" s="58"/>
    </row>
    <row r="2722" spans="1:1" x14ac:dyDescent="0.2">
      <c r="A2722" s="58"/>
    </row>
    <row r="2723" spans="1:1" x14ac:dyDescent="0.2">
      <c r="A2723" s="58"/>
    </row>
    <row r="2724" spans="1:1" x14ac:dyDescent="0.2">
      <c r="A2724" s="58"/>
    </row>
    <row r="2725" spans="1:1" x14ac:dyDescent="0.2">
      <c r="A2725" s="58"/>
    </row>
    <row r="2726" spans="1:1" x14ac:dyDescent="0.2">
      <c r="A2726" s="58"/>
    </row>
    <row r="2727" spans="1:1" x14ac:dyDescent="0.2">
      <c r="A2727" s="58"/>
    </row>
    <row r="2728" spans="1:1" x14ac:dyDescent="0.2">
      <c r="A2728" s="58"/>
    </row>
    <row r="2729" spans="1:1" x14ac:dyDescent="0.2">
      <c r="A2729" s="58"/>
    </row>
    <row r="2730" spans="1:1" x14ac:dyDescent="0.2">
      <c r="A2730" s="58"/>
    </row>
    <row r="2731" spans="1:1" x14ac:dyDescent="0.2">
      <c r="A2731" s="58"/>
    </row>
    <row r="2732" spans="1:1" x14ac:dyDescent="0.2">
      <c r="A2732" s="58"/>
    </row>
    <row r="2733" spans="1:1" x14ac:dyDescent="0.2">
      <c r="A2733" s="58"/>
    </row>
    <row r="2734" spans="1:1" x14ac:dyDescent="0.2">
      <c r="A2734" s="58"/>
    </row>
    <row r="2735" spans="1:1" x14ac:dyDescent="0.2">
      <c r="A2735" s="58"/>
    </row>
    <row r="2736" spans="1:1" x14ac:dyDescent="0.2">
      <c r="A2736" s="58"/>
    </row>
    <row r="2737" spans="1:1" x14ac:dyDescent="0.2">
      <c r="A2737" s="58"/>
    </row>
    <row r="2738" spans="1:1" x14ac:dyDescent="0.2">
      <c r="A2738" s="58"/>
    </row>
    <row r="2739" spans="1:1" x14ac:dyDescent="0.2">
      <c r="A2739" s="58"/>
    </row>
    <row r="2740" spans="1:1" x14ac:dyDescent="0.2">
      <c r="A2740" s="58"/>
    </row>
    <row r="2741" spans="1:1" x14ac:dyDescent="0.2">
      <c r="A2741" s="58"/>
    </row>
    <row r="2742" spans="1:1" x14ac:dyDescent="0.2">
      <c r="A2742" s="58"/>
    </row>
    <row r="2743" spans="1:1" x14ac:dyDescent="0.2">
      <c r="A2743" s="58"/>
    </row>
    <row r="2744" spans="1:1" x14ac:dyDescent="0.2">
      <c r="A2744" s="58"/>
    </row>
    <row r="2745" spans="1:1" x14ac:dyDescent="0.2">
      <c r="A2745" s="58"/>
    </row>
    <row r="2746" spans="1:1" x14ac:dyDescent="0.2">
      <c r="A2746" s="58"/>
    </row>
    <row r="2747" spans="1:1" x14ac:dyDescent="0.2">
      <c r="A2747" s="58"/>
    </row>
    <row r="2748" spans="1:1" x14ac:dyDescent="0.2">
      <c r="A2748" s="58"/>
    </row>
    <row r="2749" spans="1:1" x14ac:dyDescent="0.2">
      <c r="A2749" s="58"/>
    </row>
    <row r="2750" spans="1:1" x14ac:dyDescent="0.2">
      <c r="A2750" s="58"/>
    </row>
    <row r="2751" spans="1:1" x14ac:dyDescent="0.2">
      <c r="A2751" s="58"/>
    </row>
    <row r="2752" spans="1:1" x14ac:dyDescent="0.2">
      <c r="A2752" s="58"/>
    </row>
    <row r="2753" spans="1:1" x14ac:dyDescent="0.2">
      <c r="A2753" s="58"/>
    </row>
    <row r="2754" spans="1:1" x14ac:dyDescent="0.2">
      <c r="A2754" s="58"/>
    </row>
    <row r="2755" spans="1:1" x14ac:dyDescent="0.2">
      <c r="A2755" s="58"/>
    </row>
    <row r="2756" spans="1:1" x14ac:dyDescent="0.2">
      <c r="A2756" s="58"/>
    </row>
    <row r="2757" spans="1:1" x14ac:dyDescent="0.2">
      <c r="A2757" s="58"/>
    </row>
    <row r="2758" spans="1:1" x14ac:dyDescent="0.2">
      <c r="A2758" s="58"/>
    </row>
    <row r="2759" spans="1:1" x14ac:dyDescent="0.2">
      <c r="A2759" s="58"/>
    </row>
    <row r="2760" spans="1:1" x14ac:dyDescent="0.2">
      <c r="A2760" s="58"/>
    </row>
    <row r="2761" spans="1:1" x14ac:dyDescent="0.2">
      <c r="A2761" s="58"/>
    </row>
    <row r="2762" spans="1:1" x14ac:dyDescent="0.2">
      <c r="A2762" s="58"/>
    </row>
    <row r="2763" spans="1:1" x14ac:dyDescent="0.2">
      <c r="A2763" s="58"/>
    </row>
    <row r="2764" spans="1:1" x14ac:dyDescent="0.2">
      <c r="A2764" s="58"/>
    </row>
    <row r="2765" spans="1:1" x14ac:dyDescent="0.2">
      <c r="A2765" s="58"/>
    </row>
    <row r="2766" spans="1:1" x14ac:dyDescent="0.2">
      <c r="A2766" s="58"/>
    </row>
    <row r="2767" spans="1:1" x14ac:dyDescent="0.2">
      <c r="A2767" s="58"/>
    </row>
    <row r="2768" spans="1:1" x14ac:dyDescent="0.2">
      <c r="A2768" s="58"/>
    </row>
    <row r="2769" spans="1:1" x14ac:dyDescent="0.2">
      <c r="A2769" s="58"/>
    </row>
    <row r="2770" spans="1:1" x14ac:dyDescent="0.2">
      <c r="A2770" s="58"/>
    </row>
    <row r="2771" spans="1:1" x14ac:dyDescent="0.2">
      <c r="A2771" s="58"/>
    </row>
    <row r="2772" spans="1:1" x14ac:dyDescent="0.2">
      <c r="A2772" s="58"/>
    </row>
    <row r="2773" spans="1:1" x14ac:dyDescent="0.2">
      <c r="A2773" s="58"/>
    </row>
    <row r="2774" spans="1:1" x14ac:dyDescent="0.2">
      <c r="A2774" s="58"/>
    </row>
    <row r="2775" spans="1:1" x14ac:dyDescent="0.2">
      <c r="A2775" s="58"/>
    </row>
    <row r="2776" spans="1:1" x14ac:dyDescent="0.2">
      <c r="A2776" s="58"/>
    </row>
    <row r="2777" spans="1:1" x14ac:dyDescent="0.2">
      <c r="A2777" s="58"/>
    </row>
    <row r="2778" spans="1:1" x14ac:dyDescent="0.2">
      <c r="A2778" s="58"/>
    </row>
    <row r="2779" spans="1:1" x14ac:dyDescent="0.2">
      <c r="A2779" s="58"/>
    </row>
    <row r="2780" spans="1:1" x14ac:dyDescent="0.2">
      <c r="A2780" s="58"/>
    </row>
    <row r="2781" spans="1:1" x14ac:dyDescent="0.2">
      <c r="A2781" s="58"/>
    </row>
    <row r="2782" spans="1:1" x14ac:dyDescent="0.2">
      <c r="A2782" s="58"/>
    </row>
    <row r="2783" spans="1:1" x14ac:dyDescent="0.2">
      <c r="A2783" s="58"/>
    </row>
    <row r="2784" spans="1:1" x14ac:dyDescent="0.2">
      <c r="A2784" s="58"/>
    </row>
    <row r="2785" spans="1:1" x14ac:dyDescent="0.2">
      <c r="A2785" s="58"/>
    </row>
    <row r="2786" spans="1:1" x14ac:dyDescent="0.2">
      <c r="A2786" s="58"/>
    </row>
    <row r="2787" spans="1:1" x14ac:dyDescent="0.2">
      <c r="A2787" s="58"/>
    </row>
    <row r="2788" spans="1:1" x14ac:dyDescent="0.2">
      <c r="A2788" s="58"/>
    </row>
    <row r="2789" spans="1:1" x14ac:dyDescent="0.2">
      <c r="A2789" s="58"/>
    </row>
    <row r="2790" spans="1:1" x14ac:dyDescent="0.2">
      <c r="A2790" s="58"/>
    </row>
    <row r="2791" spans="1:1" x14ac:dyDescent="0.2">
      <c r="A2791" s="58"/>
    </row>
    <row r="2792" spans="1:1" x14ac:dyDescent="0.2">
      <c r="A2792" s="58"/>
    </row>
    <row r="2793" spans="1:1" x14ac:dyDescent="0.2">
      <c r="A2793" s="58"/>
    </row>
    <row r="2794" spans="1:1" x14ac:dyDescent="0.2">
      <c r="A2794" s="58"/>
    </row>
    <row r="2795" spans="1:1" x14ac:dyDescent="0.2">
      <c r="A2795" s="58"/>
    </row>
    <row r="2796" spans="1:1" x14ac:dyDescent="0.2">
      <c r="A2796" s="58"/>
    </row>
    <row r="2797" spans="1:1" x14ac:dyDescent="0.2">
      <c r="A2797" s="58"/>
    </row>
    <row r="2798" spans="1:1" x14ac:dyDescent="0.2">
      <c r="A2798" s="58"/>
    </row>
    <row r="2799" spans="1:1" x14ac:dyDescent="0.2">
      <c r="A2799" s="58"/>
    </row>
    <row r="2800" spans="1:1" x14ac:dyDescent="0.2">
      <c r="A2800" s="58"/>
    </row>
    <row r="2801" spans="1:1" x14ac:dyDescent="0.2">
      <c r="A2801" s="58"/>
    </row>
    <row r="2802" spans="1:1" x14ac:dyDescent="0.2">
      <c r="A2802" s="58"/>
    </row>
    <row r="2803" spans="1:1" x14ac:dyDescent="0.2">
      <c r="A2803" s="58"/>
    </row>
    <row r="2804" spans="1:1" x14ac:dyDescent="0.2">
      <c r="A2804" s="58"/>
    </row>
    <row r="2805" spans="1:1" x14ac:dyDescent="0.2">
      <c r="A2805" s="58"/>
    </row>
    <row r="2806" spans="1:1" x14ac:dyDescent="0.2">
      <c r="A2806" s="58"/>
    </row>
    <row r="2807" spans="1:1" x14ac:dyDescent="0.2">
      <c r="A2807" s="58"/>
    </row>
    <row r="2808" spans="1:1" x14ac:dyDescent="0.2">
      <c r="A2808" s="58"/>
    </row>
    <row r="2809" spans="1:1" x14ac:dyDescent="0.2">
      <c r="A2809" s="58"/>
    </row>
    <row r="2810" spans="1:1" x14ac:dyDescent="0.2">
      <c r="A2810" s="58"/>
    </row>
    <row r="2811" spans="1:1" x14ac:dyDescent="0.2">
      <c r="A2811" s="58"/>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00B050"/>
  </sheetPr>
  <dimension ref="A1:AJ1003"/>
  <sheetViews>
    <sheetView zoomScale="120" zoomScaleNormal="120" workbookViewId="0">
      <pane ySplit="11" topLeftCell="A854" activePane="bottomLeft" state="frozen"/>
      <selection activeCell="F8" sqref="F8"/>
      <selection pane="bottomLeft" activeCell="F8" sqref="F8"/>
    </sheetView>
  </sheetViews>
  <sheetFormatPr baseColWidth="10" defaultColWidth="8.83203125" defaultRowHeight="15" x14ac:dyDescent="0.2"/>
  <cols>
    <col min="1" max="1" width="14" style="51" customWidth="1"/>
    <col min="2" max="2" width="12.6640625" style="3" customWidth="1"/>
    <col min="3" max="3" width="15" style="3" customWidth="1"/>
    <col min="4" max="4" width="13" style="3" customWidth="1"/>
    <col min="5" max="5" width="16.1640625" style="3" customWidth="1"/>
    <col min="6" max="6" width="14.33203125" style="3" customWidth="1"/>
    <col min="7" max="36" width="9.1640625" style="60" customWidth="1"/>
  </cols>
  <sheetData>
    <row r="1" spans="1:36" s="60" customFormat="1" x14ac:dyDescent="0.2">
      <c r="A1" s="60" t="s">
        <v>16</v>
      </c>
      <c r="B1" s="16" t="s">
        <v>38</v>
      </c>
      <c r="C1" s="16"/>
      <c r="D1" s="16"/>
      <c r="E1" s="16"/>
      <c r="F1" s="16"/>
    </row>
    <row r="2" spans="1:36" s="60" customFormat="1" ht="16" customHeight="1" thickBot="1" x14ac:dyDescent="0.25">
      <c r="B2" s="16"/>
      <c r="C2" s="16"/>
      <c r="D2" s="16"/>
      <c r="E2" s="16"/>
      <c r="F2" s="16"/>
    </row>
    <row r="3" spans="1:36" s="60" customFormat="1" x14ac:dyDescent="0.2">
      <c r="B3" s="16"/>
      <c r="C3" s="23" t="s">
        <v>39</v>
      </c>
      <c r="D3" s="19">
        <f>MAX(C13:C1026)</f>
        <v>4846</v>
      </c>
      <c r="E3" s="16"/>
      <c r="F3" s="17"/>
    </row>
    <row r="4" spans="1:36" s="60" customFormat="1" x14ac:dyDescent="0.2">
      <c r="A4" s="18"/>
      <c r="B4" s="16"/>
      <c r="C4" s="24" t="s">
        <v>40</v>
      </c>
      <c r="D4" s="20">
        <f>MIN(C13:C1026)</f>
        <v>-20679</v>
      </c>
      <c r="E4" s="16"/>
      <c r="F4" s="16"/>
    </row>
    <row r="5" spans="1:36" s="60" customFormat="1" x14ac:dyDescent="0.2">
      <c r="B5" s="16"/>
      <c r="C5" s="24" t="s">
        <v>41</v>
      </c>
      <c r="D5" s="21">
        <f>AVERAGE(C13:C1526)</f>
        <v>118.62058526740665</v>
      </c>
      <c r="E5" s="16"/>
      <c r="F5" s="16"/>
    </row>
    <row r="6" spans="1:36" s="60" customFormat="1" ht="16" customHeight="1" thickBot="1" x14ac:dyDescent="0.25">
      <c r="B6" s="16"/>
      <c r="C6" s="25" t="s">
        <v>42</v>
      </c>
      <c r="D6" s="22">
        <f>AVERAGE(C864:C1026)</f>
        <v>126.34285714285714</v>
      </c>
      <c r="E6" s="16"/>
      <c r="F6" s="16"/>
    </row>
    <row r="7" spans="1:36" s="60" customFormat="1" x14ac:dyDescent="0.2">
      <c r="B7" s="16"/>
      <c r="C7" s="16"/>
      <c r="D7" s="16"/>
      <c r="E7" s="16"/>
      <c r="F7" s="16"/>
    </row>
    <row r="8" spans="1:36" s="60" customFormat="1" x14ac:dyDescent="0.2">
      <c r="C8" s="16"/>
      <c r="D8" s="16"/>
      <c r="E8" s="16"/>
      <c r="F8" s="16"/>
    </row>
    <row r="9" spans="1:36" s="60" customFormat="1" x14ac:dyDescent="0.2">
      <c r="B9" s="16"/>
      <c r="C9" s="16"/>
      <c r="D9" s="16"/>
      <c r="E9" s="16"/>
      <c r="F9" s="16"/>
    </row>
    <row r="10" spans="1:36" s="60" customFormat="1" x14ac:dyDescent="0.2">
      <c r="A10" s="60" t="s">
        <v>43</v>
      </c>
      <c r="B10" s="16"/>
      <c r="C10" s="16"/>
      <c r="D10" s="16"/>
      <c r="E10" s="16"/>
      <c r="F10" s="16"/>
    </row>
    <row r="11" spans="1:36" s="50" customFormat="1" ht="32" customHeight="1" x14ac:dyDescent="0.2">
      <c r="A11" s="15" t="s">
        <v>44</v>
      </c>
      <c r="B11" s="5" t="s">
        <v>16</v>
      </c>
      <c r="C11" s="5" t="s">
        <v>45</v>
      </c>
      <c r="D11" s="15" t="s">
        <v>46</v>
      </c>
      <c r="E11" s="15" t="s">
        <v>18</v>
      </c>
      <c r="F11" s="15" t="s">
        <v>21</v>
      </c>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row>
    <row r="12" spans="1:36" x14ac:dyDescent="0.2">
      <c r="A12" s="56">
        <v>14246</v>
      </c>
      <c r="B12" s="26">
        <f>VLOOKUP(Table1[[#This Row],[Date]],Database!A:D,3,)</f>
        <v>29923</v>
      </c>
      <c r="C12" s="27"/>
      <c r="D12" s="27"/>
      <c r="E12" s="63"/>
      <c r="F12" s="63"/>
    </row>
    <row r="13" spans="1:36" x14ac:dyDescent="0.2">
      <c r="A13" s="56">
        <v>14277</v>
      </c>
      <c r="B13" s="26">
        <f>VLOOKUP(Table1[[#This Row],[Date]],Database!A:D,3,)</f>
        <v>30100</v>
      </c>
      <c r="C13" s="27">
        <f t="shared" ref="C13:C76" si="0">B13-B12</f>
        <v>177</v>
      </c>
      <c r="D13" s="27"/>
      <c r="E13" s="63"/>
      <c r="F13" s="63"/>
    </row>
    <row r="14" spans="1:36" x14ac:dyDescent="0.2">
      <c r="A14" s="56">
        <v>14305</v>
      </c>
      <c r="B14" s="26">
        <f>VLOOKUP(Table1[[#This Row],[Date]],Database!A:D,3,)</f>
        <v>30280</v>
      </c>
      <c r="C14" s="27">
        <f t="shared" si="0"/>
        <v>180</v>
      </c>
      <c r="D14" s="27"/>
      <c r="E14" s="63"/>
      <c r="F14" s="63"/>
    </row>
    <row r="15" spans="1:36" x14ac:dyDescent="0.2">
      <c r="A15" s="56">
        <v>14336</v>
      </c>
      <c r="B15" s="26">
        <f>VLOOKUP(Table1[[#This Row],[Date]],Database!A:D,3,)</f>
        <v>30094</v>
      </c>
      <c r="C15" s="27">
        <f t="shared" si="0"/>
        <v>-186</v>
      </c>
      <c r="D15" s="27">
        <f t="shared" ref="D15:D78" si="1">AVERAGE(C13:C15)</f>
        <v>57</v>
      </c>
      <c r="E15" s="63"/>
      <c r="F15" s="63"/>
    </row>
    <row r="16" spans="1:36" x14ac:dyDescent="0.2">
      <c r="A16" s="56">
        <v>14366</v>
      </c>
      <c r="B16" s="26">
        <f>VLOOKUP(Table1[[#This Row],[Date]],Database!A:D,3,)</f>
        <v>30299</v>
      </c>
      <c r="C16" s="27">
        <f t="shared" si="0"/>
        <v>205</v>
      </c>
      <c r="D16" s="27">
        <f t="shared" si="1"/>
        <v>66.333333333333329</v>
      </c>
      <c r="E16" s="63"/>
      <c r="F16" s="63"/>
    </row>
    <row r="17" spans="1:6" x14ac:dyDescent="0.2">
      <c r="A17" s="56">
        <v>14397</v>
      </c>
      <c r="B17" s="26">
        <f>VLOOKUP(Table1[[#This Row],[Date]],Database!A:D,3,)</f>
        <v>30502</v>
      </c>
      <c r="C17" s="27">
        <f t="shared" si="0"/>
        <v>203</v>
      </c>
      <c r="D17" s="27">
        <f t="shared" si="1"/>
        <v>74</v>
      </c>
      <c r="E17" s="63"/>
      <c r="F17" s="63"/>
    </row>
    <row r="18" spans="1:6" x14ac:dyDescent="0.2">
      <c r="A18" s="56">
        <v>14427</v>
      </c>
      <c r="B18" s="26">
        <f>VLOOKUP(Table1[[#This Row],[Date]],Database!A:D,3,)</f>
        <v>30419</v>
      </c>
      <c r="C18" s="27">
        <f t="shared" si="0"/>
        <v>-83</v>
      </c>
      <c r="D18" s="27">
        <f t="shared" si="1"/>
        <v>108.33333333333333</v>
      </c>
      <c r="E18" s="63"/>
      <c r="F18" s="63"/>
    </row>
    <row r="19" spans="1:6" x14ac:dyDescent="0.2">
      <c r="A19" s="56">
        <v>14458</v>
      </c>
      <c r="B19" s="26">
        <f>VLOOKUP(Table1[[#This Row],[Date]],Database!A:D,3,)</f>
        <v>30663</v>
      </c>
      <c r="C19" s="27">
        <f t="shared" si="0"/>
        <v>244</v>
      </c>
      <c r="D19" s="27">
        <f t="shared" si="1"/>
        <v>121.33333333333333</v>
      </c>
      <c r="E19" s="63"/>
      <c r="F19" s="63"/>
    </row>
    <row r="20" spans="1:6" x14ac:dyDescent="0.2">
      <c r="A20" s="56">
        <v>14489</v>
      </c>
      <c r="B20" s="26">
        <f>VLOOKUP(Table1[[#This Row],[Date]],Database!A:D,3,)</f>
        <v>31031</v>
      </c>
      <c r="C20" s="27">
        <f t="shared" si="0"/>
        <v>368</v>
      </c>
      <c r="D20" s="27">
        <f t="shared" si="1"/>
        <v>176.33333333333334</v>
      </c>
      <c r="E20" s="63"/>
      <c r="F20" s="63"/>
    </row>
    <row r="21" spans="1:6" x14ac:dyDescent="0.2">
      <c r="A21" s="56">
        <v>14519</v>
      </c>
      <c r="B21" s="26">
        <f>VLOOKUP(Table1[[#This Row],[Date]],Database!A:D,3,)</f>
        <v>31411</v>
      </c>
      <c r="C21" s="27">
        <f t="shared" si="0"/>
        <v>380</v>
      </c>
      <c r="D21" s="27">
        <f t="shared" si="1"/>
        <v>330.66666666666669</v>
      </c>
      <c r="E21" s="63"/>
      <c r="F21" s="63"/>
    </row>
    <row r="22" spans="1:6" x14ac:dyDescent="0.2">
      <c r="A22" s="56">
        <v>14550</v>
      </c>
      <c r="B22" s="26">
        <f>VLOOKUP(Table1[[#This Row],[Date]],Database!A:D,3,)</f>
        <v>31470</v>
      </c>
      <c r="C22" s="27">
        <f t="shared" si="0"/>
        <v>59</v>
      </c>
      <c r="D22" s="27">
        <f t="shared" si="1"/>
        <v>269</v>
      </c>
      <c r="E22" s="63"/>
      <c r="F22" s="63"/>
    </row>
    <row r="23" spans="1:6" x14ac:dyDescent="0.2">
      <c r="A23" s="56">
        <v>14580</v>
      </c>
      <c r="B23" s="26">
        <f>VLOOKUP(Table1[[#This Row],[Date]],Database!A:D,3,)</f>
        <v>31542</v>
      </c>
      <c r="C23" s="27">
        <f t="shared" si="0"/>
        <v>72</v>
      </c>
      <c r="D23" s="27">
        <f t="shared" si="1"/>
        <v>170.33333333333334</v>
      </c>
      <c r="E23" s="63"/>
      <c r="F23" s="63"/>
    </row>
    <row r="24" spans="1:6" x14ac:dyDescent="0.2">
      <c r="A24" s="56">
        <v>14611</v>
      </c>
      <c r="B24" s="26">
        <f>VLOOKUP(Table1[[#This Row],[Date]],Database!A:D,3,)</f>
        <v>31603</v>
      </c>
      <c r="C24" s="27">
        <f t="shared" si="0"/>
        <v>61</v>
      </c>
      <c r="D24" s="27">
        <f t="shared" si="1"/>
        <v>64</v>
      </c>
      <c r="E24" s="63"/>
      <c r="F24" s="63"/>
    </row>
    <row r="25" spans="1:6" x14ac:dyDescent="0.2">
      <c r="A25" s="56">
        <v>14642</v>
      </c>
      <c r="B25" s="26">
        <f>VLOOKUP(Table1[[#This Row],[Date]],Database!A:D,3,)</f>
        <v>31715</v>
      </c>
      <c r="C25" s="27">
        <f t="shared" si="0"/>
        <v>112</v>
      </c>
      <c r="D25" s="27">
        <f t="shared" si="1"/>
        <v>81.666666666666671</v>
      </c>
      <c r="E25" s="63"/>
      <c r="F25" s="63"/>
    </row>
    <row r="26" spans="1:6" x14ac:dyDescent="0.2">
      <c r="A26" s="56">
        <v>14671</v>
      </c>
      <c r="B26" s="26">
        <f>VLOOKUP(Table1[[#This Row],[Date]],Database!A:D,3,)</f>
        <v>31825</v>
      </c>
      <c r="C26" s="27">
        <f t="shared" si="0"/>
        <v>110</v>
      </c>
      <c r="D26" s="27">
        <f t="shared" si="1"/>
        <v>94.333333333333329</v>
      </c>
      <c r="E26" s="63"/>
      <c r="F26" s="63"/>
    </row>
    <row r="27" spans="1:6" x14ac:dyDescent="0.2">
      <c r="A27" s="56">
        <v>14702</v>
      </c>
      <c r="B27" s="26">
        <f>VLOOKUP(Table1[[#This Row],[Date]],Database!A:D,3,)</f>
        <v>31701</v>
      </c>
      <c r="C27" s="27">
        <f t="shared" si="0"/>
        <v>-124</v>
      </c>
      <c r="D27" s="27">
        <f t="shared" si="1"/>
        <v>32.666666666666664</v>
      </c>
      <c r="E27" s="63"/>
      <c r="F27" s="63"/>
    </row>
    <row r="28" spans="1:6" x14ac:dyDescent="0.2">
      <c r="A28" s="56">
        <v>14732</v>
      </c>
      <c r="B28" s="26">
        <f>VLOOKUP(Table1[[#This Row],[Date]],Database!A:D,3,)</f>
        <v>31879</v>
      </c>
      <c r="C28" s="27">
        <f t="shared" si="0"/>
        <v>178</v>
      </c>
      <c r="D28" s="27">
        <f t="shared" si="1"/>
        <v>54.666666666666664</v>
      </c>
      <c r="E28" s="63"/>
      <c r="F28" s="63"/>
    </row>
    <row r="29" spans="1:6" x14ac:dyDescent="0.2">
      <c r="A29" s="56">
        <v>14763</v>
      </c>
      <c r="B29" s="26">
        <f>VLOOKUP(Table1[[#This Row],[Date]],Database!A:D,3,)</f>
        <v>31977</v>
      </c>
      <c r="C29" s="27">
        <f t="shared" si="0"/>
        <v>98</v>
      </c>
      <c r="D29" s="27">
        <f t="shared" si="1"/>
        <v>50.666666666666664</v>
      </c>
      <c r="E29" s="63"/>
      <c r="F29" s="63"/>
    </row>
    <row r="30" spans="1:6" x14ac:dyDescent="0.2">
      <c r="A30" s="56">
        <v>14793</v>
      </c>
      <c r="B30" s="26">
        <f>VLOOKUP(Table1[[#This Row],[Date]],Database!A:D,3,)</f>
        <v>31942</v>
      </c>
      <c r="C30" s="27">
        <f t="shared" si="0"/>
        <v>-35</v>
      </c>
      <c r="D30" s="27">
        <f t="shared" si="1"/>
        <v>80.333333333333329</v>
      </c>
      <c r="E30" s="63"/>
      <c r="F30" s="63"/>
    </row>
    <row r="31" spans="1:6" x14ac:dyDescent="0.2">
      <c r="A31" s="56">
        <v>14824</v>
      </c>
      <c r="B31" s="26">
        <f>VLOOKUP(Table1[[#This Row],[Date]],Database!A:D,3,)</f>
        <v>32352</v>
      </c>
      <c r="C31" s="27">
        <f t="shared" si="0"/>
        <v>410</v>
      </c>
      <c r="D31" s="27">
        <f t="shared" si="1"/>
        <v>157.66666666666666</v>
      </c>
      <c r="E31" s="63"/>
      <c r="F31" s="63"/>
    </row>
    <row r="32" spans="1:6" x14ac:dyDescent="0.2">
      <c r="A32" s="56">
        <v>14855</v>
      </c>
      <c r="B32" s="26">
        <f>VLOOKUP(Table1[[#This Row],[Date]],Database!A:D,3,)</f>
        <v>32810</v>
      </c>
      <c r="C32" s="27">
        <f t="shared" si="0"/>
        <v>458</v>
      </c>
      <c r="D32" s="27">
        <f t="shared" si="1"/>
        <v>277.66666666666669</v>
      </c>
      <c r="E32" s="63"/>
      <c r="F32" s="63"/>
    </row>
    <row r="33" spans="1:6" x14ac:dyDescent="0.2">
      <c r="A33" s="56">
        <v>14885</v>
      </c>
      <c r="B33" s="26">
        <f>VLOOKUP(Table1[[#This Row],[Date]],Database!A:D,3,)</f>
        <v>33267</v>
      </c>
      <c r="C33" s="27">
        <f t="shared" si="0"/>
        <v>457</v>
      </c>
      <c r="D33" s="27">
        <f t="shared" si="1"/>
        <v>441.66666666666669</v>
      </c>
      <c r="E33" s="63"/>
      <c r="F33" s="63"/>
    </row>
    <row r="34" spans="1:6" x14ac:dyDescent="0.2">
      <c r="A34" s="56">
        <v>14916</v>
      </c>
      <c r="B34" s="26">
        <f>VLOOKUP(Table1[[#This Row],[Date]],Database!A:D,3,)</f>
        <v>33669</v>
      </c>
      <c r="C34" s="27">
        <f t="shared" si="0"/>
        <v>402</v>
      </c>
      <c r="D34" s="27">
        <f t="shared" si="1"/>
        <v>439</v>
      </c>
      <c r="E34" s="63"/>
      <c r="F34" s="63"/>
    </row>
    <row r="35" spans="1:6" x14ac:dyDescent="0.2">
      <c r="A35" s="56">
        <v>14946</v>
      </c>
      <c r="B35" s="26">
        <f>VLOOKUP(Table1[[#This Row],[Date]],Database!A:D,3,)</f>
        <v>34174</v>
      </c>
      <c r="C35" s="27">
        <f t="shared" si="0"/>
        <v>505</v>
      </c>
      <c r="D35" s="27">
        <f t="shared" si="1"/>
        <v>454.66666666666669</v>
      </c>
      <c r="E35" s="63"/>
      <c r="F35" s="63"/>
    </row>
    <row r="36" spans="1:6" x14ac:dyDescent="0.2">
      <c r="A36" s="56">
        <v>14977</v>
      </c>
      <c r="B36" s="26">
        <f>VLOOKUP(Table1[[#This Row],[Date]],Database!A:D,3,)</f>
        <v>34481</v>
      </c>
      <c r="C36" s="27">
        <f t="shared" si="0"/>
        <v>307</v>
      </c>
      <c r="D36" s="27">
        <f t="shared" si="1"/>
        <v>404.66666666666669</v>
      </c>
      <c r="E36" s="63"/>
      <c r="F36" s="63"/>
    </row>
    <row r="37" spans="1:6" x14ac:dyDescent="0.2">
      <c r="A37" s="56">
        <v>15008</v>
      </c>
      <c r="B37" s="26">
        <f>VLOOKUP(Table1[[#This Row],[Date]],Database!A:D,3,)</f>
        <v>34843</v>
      </c>
      <c r="C37" s="27">
        <f t="shared" si="0"/>
        <v>362</v>
      </c>
      <c r="D37" s="27">
        <f t="shared" si="1"/>
        <v>391.33333333333331</v>
      </c>
      <c r="E37" s="63"/>
      <c r="F37" s="63"/>
    </row>
    <row r="38" spans="1:6" x14ac:dyDescent="0.2">
      <c r="A38" s="56">
        <v>15036</v>
      </c>
      <c r="B38" s="26">
        <f>VLOOKUP(Table1[[#This Row],[Date]],Database!A:D,3,)</f>
        <v>35092</v>
      </c>
      <c r="C38" s="27">
        <f t="shared" si="0"/>
        <v>249</v>
      </c>
      <c r="D38" s="27">
        <f t="shared" si="1"/>
        <v>306</v>
      </c>
      <c r="E38" s="63"/>
      <c r="F38" s="63"/>
    </row>
    <row r="39" spans="1:6" x14ac:dyDescent="0.2">
      <c r="A39" s="56">
        <v>15067</v>
      </c>
      <c r="B39" s="26">
        <f>VLOOKUP(Table1[[#This Row],[Date]],Database!A:D,3,)</f>
        <v>35468</v>
      </c>
      <c r="C39" s="27">
        <f t="shared" si="0"/>
        <v>376</v>
      </c>
      <c r="D39" s="27">
        <f t="shared" si="1"/>
        <v>329</v>
      </c>
      <c r="E39" s="63"/>
      <c r="F39" s="63"/>
    </row>
    <row r="40" spans="1:6" x14ac:dyDescent="0.2">
      <c r="A40" s="56">
        <v>15097</v>
      </c>
      <c r="B40" s="26">
        <f>VLOOKUP(Table1[[#This Row],[Date]],Database!A:D,3,)</f>
        <v>36182</v>
      </c>
      <c r="C40" s="27">
        <f t="shared" si="0"/>
        <v>714</v>
      </c>
      <c r="D40" s="27">
        <f t="shared" si="1"/>
        <v>446.33333333333331</v>
      </c>
      <c r="E40" s="63"/>
      <c r="F40" s="63"/>
    </row>
    <row r="41" spans="1:6" x14ac:dyDescent="0.2">
      <c r="A41" s="56">
        <v>15128</v>
      </c>
      <c r="B41" s="26">
        <f>VLOOKUP(Table1[[#This Row],[Date]],Database!A:D,3,)</f>
        <v>36650</v>
      </c>
      <c r="C41" s="27">
        <f t="shared" si="0"/>
        <v>468</v>
      </c>
      <c r="D41" s="27">
        <f t="shared" si="1"/>
        <v>519.33333333333337</v>
      </c>
      <c r="E41" s="63"/>
      <c r="F41" s="63"/>
    </row>
    <row r="42" spans="1:6" x14ac:dyDescent="0.2">
      <c r="A42" s="56">
        <v>15158</v>
      </c>
      <c r="B42" s="26">
        <f>VLOOKUP(Table1[[#This Row],[Date]],Database!A:D,3,)</f>
        <v>37137</v>
      </c>
      <c r="C42" s="27">
        <f t="shared" si="0"/>
        <v>487</v>
      </c>
      <c r="D42" s="27">
        <f t="shared" si="1"/>
        <v>556.33333333333337</v>
      </c>
      <c r="E42" s="63"/>
      <c r="F42" s="63"/>
    </row>
    <row r="43" spans="1:6" x14ac:dyDescent="0.2">
      <c r="A43" s="56">
        <v>15189</v>
      </c>
      <c r="B43" s="26">
        <f>VLOOKUP(Table1[[#This Row],[Date]],Database!A:D,3,)</f>
        <v>37544</v>
      </c>
      <c r="C43" s="27">
        <f t="shared" si="0"/>
        <v>407</v>
      </c>
      <c r="D43" s="27">
        <f t="shared" si="1"/>
        <v>454</v>
      </c>
      <c r="E43" s="63"/>
      <c r="F43" s="63"/>
    </row>
    <row r="44" spans="1:6" x14ac:dyDescent="0.2">
      <c r="A44" s="56">
        <v>15220</v>
      </c>
      <c r="B44" s="26">
        <f>VLOOKUP(Table1[[#This Row],[Date]],Database!A:D,3,)</f>
        <v>37835</v>
      </c>
      <c r="C44" s="27">
        <f t="shared" si="0"/>
        <v>291</v>
      </c>
      <c r="D44" s="27">
        <f t="shared" si="1"/>
        <v>395</v>
      </c>
      <c r="E44" s="63"/>
      <c r="F44" s="63"/>
    </row>
    <row r="45" spans="1:6" x14ac:dyDescent="0.2">
      <c r="A45" s="56">
        <v>15250</v>
      </c>
      <c r="B45" s="26">
        <f>VLOOKUP(Table1[[#This Row],[Date]],Database!A:D,3,)</f>
        <v>37949</v>
      </c>
      <c r="C45" s="27">
        <f t="shared" si="0"/>
        <v>114</v>
      </c>
      <c r="D45" s="27">
        <f t="shared" si="1"/>
        <v>270.66666666666669</v>
      </c>
      <c r="E45" s="63"/>
      <c r="F45" s="63"/>
    </row>
    <row r="46" spans="1:6" x14ac:dyDescent="0.2">
      <c r="A46" s="56">
        <v>15281</v>
      </c>
      <c r="B46" s="26">
        <f>VLOOKUP(Table1[[#This Row],[Date]],Database!A:D,3,)</f>
        <v>38024</v>
      </c>
      <c r="C46" s="27">
        <f t="shared" si="0"/>
        <v>75</v>
      </c>
      <c r="D46" s="27">
        <f t="shared" si="1"/>
        <v>160</v>
      </c>
      <c r="E46" s="63"/>
      <c r="F46" s="63"/>
    </row>
    <row r="47" spans="1:6" x14ac:dyDescent="0.2">
      <c r="A47" s="56">
        <v>15311</v>
      </c>
      <c r="B47" s="26">
        <f>VLOOKUP(Table1[[#This Row],[Date]],Database!A:D,3,)</f>
        <v>38104</v>
      </c>
      <c r="C47" s="27">
        <f t="shared" si="0"/>
        <v>80</v>
      </c>
      <c r="D47" s="27">
        <f t="shared" si="1"/>
        <v>89.666666666666671</v>
      </c>
      <c r="E47" s="63"/>
      <c r="F47" s="63"/>
    </row>
    <row r="48" spans="1:6" x14ac:dyDescent="0.2">
      <c r="A48" s="56">
        <v>15342</v>
      </c>
      <c r="B48" s="26">
        <f>VLOOKUP(Table1[[#This Row],[Date]],Database!A:D,3,)</f>
        <v>38347</v>
      </c>
      <c r="C48" s="27">
        <f t="shared" si="0"/>
        <v>243</v>
      </c>
      <c r="D48" s="27">
        <f t="shared" si="1"/>
        <v>132.66666666666666</v>
      </c>
      <c r="E48" s="63"/>
      <c r="F48" s="63"/>
    </row>
    <row r="49" spans="1:6" x14ac:dyDescent="0.2">
      <c r="A49" s="56">
        <v>15373</v>
      </c>
      <c r="B49" s="26">
        <f>VLOOKUP(Table1[[#This Row],[Date]],Database!A:D,3,)</f>
        <v>38512</v>
      </c>
      <c r="C49" s="27">
        <f t="shared" si="0"/>
        <v>165</v>
      </c>
      <c r="D49" s="27">
        <f t="shared" si="1"/>
        <v>162.66666666666666</v>
      </c>
      <c r="E49" s="63"/>
      <c r="F49" s="63"/>
    </row>
    <row r="50" spans="1:6" x14ac:dyDescent="0.2">
      <c r="A50" s="56">
        <v>15401</v>
      </c>
      <c r="B50" s="26">
        <f>VLOOKUP(Table1[[#This Row],[Date]],Database!A:D,3,)</f>
        <v>38935</v>
      </c>
      <c r="C50" s="27">
        <f t="shared" si="0"/>
        <v>423</v>
      </c>
      <c r="D50" s="27">
        <f t="shared" si="1"/>
        <v>277</v>
      </c>
      <c r="E50" s="63"/>
      <c r="F50" s="63"/>
    </row>
    <row r="51" spans="1:6" x14ac:dyDescent="0.2">
      <c r="A51" s="56">
        <v>15432</v>
      </c>
      <c r="B51" s="26">
        <f>VLOOKUP(Table1[[#This Row],[Date]],Database!A:D,3,)</f>
        <v>39352</v>
      </c>
      <c r="C51" s="27">
        <f t="shared" si="0"/>
        <v>417</v>
      </c>
      <c r="D51" s="27">
        <f t="shared" si="1"/>
        <v>335</v>
      </c>
      <c r="E51" s="63"/>
      <c r="F51" s="63"/>
    </row>
    <row r="52" spans="1:6" x14ac:dyDescent="0.2">
      <c r="A52" s="56">
        <v>15462</v>
      </c>
      <c r="B52" s="26">
        <f>VLOOKUP(Table1[[#This Row],[Date]],Database!A:D,3,)</f>
        <v>39771</v>
      </c>
      <c r="C52" s="27">
        <f t="shared" si="0"/>
        <v>419</v>
      </c>
      <c r="D52" s="27">
        <f t="shared" si="1"/>
        <v>419.66666666666669</v>
      </c>
      <c r="E52" s="63"/>
      <c r="F52" s="63"/>
    </row>
    <row r="53" spans="1:6" x14ac:dyDescent="0.2">
      <c r="A53" s="56">
        <v>15493</v>
      </c>
      <c r="B53" s="26">
        <f>VLOOKUP(Table1[[#This Row],[Date]],Database!A:D,3,)</f>
        <v>40029</v>
      </c>
      <c r="C53" s="27">
        <f t="shared" si="0"/>
        <v>258</v>
      </c>
      <c r="D53" s="27">
        <f t="shared" si="1"/>
        <v>364.66666666666669</v>
      </c>
      <c r="E53" s="63"/>
      <c r="F53" s="63"/>
    </row>
    <row r="54" spans="1:6" x14ac:dyDescent="0.2">
      <c r="A54" s="56">
        <v>15523</v>
      </c>
      <c r="B54" s="26">
        <f>VLOOKUP(Table1[[#This Row],[Date]],Database!A:D,3,)</f>
        <v>40472</v>
      </c>
      <c r="C54" s="27">
        <f t="shared" si="0"/>
        <v>443</v>
      </c>
      <c r="D54" s="27">
        <f t="shared" si="1"/>
        <v>373.33333333333331</v>
      </c>
      <c r="E54" s="63"/>
      <c r="F54" s="63"/>
    </row>
    <row r="55" spans="1:6" x14ac:dyDescent="0.2">
      <c r="A55" s="56">
        <v>15554</v>
      </c>
      <c r="B55" s="26">
        <f>VLOOKUP(Table1[[#This Row],[Date]],Database!A:D,3,)</f>
        <v>40988</v>
      </c>
      <c r="C55" s="27">
        <f t="shared" si="0"/>
        <v>516</v>
      </c>
      <c r="D55" s="27">
        <f t="shared" si="1"/>
        <v>405.66666666666669</v>
      </c>
      <c r="E55" s="63"/>
      <c r="F55" s="63"/>
    </row>
    <row r="56" spans="1:6" x14ac:dyDescent="0.2">
      <c r="A56" s="56">
        <v>15585</v>
      </c>
      <c r="B56" s="26">
        <f>VLOOKUP(Table1[[#This Row],[Date]],Database!A:D,3,)</f>
        <v>41259</v>
      </c>
      <c r="C56" s="27">
        <f t="shared" si="0"/>
        <v>271</v>
      </c>
      <c r="D56" s="27">
        <f t="shared" si="1"/>
        <v>410</v>
      </c>
      <c r="E56" s="63"/>
      <c r="F56" s="63"/>
    </row>
    <row r="57" spans="1:6" x14ac:dyDescent="0.2">
      <c r="A57" s="56">
        <v>15615</v>
      </c>
      <c r="B57" s="26">
        <f>VLOOKUP(Table1[[#This Row],[Date]],Database!A:D,3,)</f>
        <v>41515</v>
      </c>
      <c r="C57" s="27">
        <f t="shared" si="0"/>
        <v>256</v>
      </c>
      <c r="D57" s="27">
        <f t="shared" si="1"/>
        <v>347.66666666666669</v>
      </c>
      <c r="E57" s="63"/>
      <c r="F57" s="63"/>
    </row>
    <row r="58" spans="1:6" x14ac:dyDescent="0.2">
      <c r="A58" s="56">
        <v>15646</v>
      </c>
      <c r="B58" s="26">
        <f>VLOOKUP(Table1[[#This Row],[Date]],Database!A:D,3,)</f>
        <v>41674</v>
      </c>
      <c r="C58" s="27">
        <f t="shared" si="0"/>
        <v>159</v>
      </c>
      <c r="D58" s="27">
        <f t="shared" si="1"/>
        <v>228.66666666666666</v>
      </c>
      <c r="E58" s="63"/>
      <c r="F58" s="63"/>
    </row>
    <row r="59" spans="1:6" x14ac:dyDescent="0.2">
      <c r="A59" s="56">
        <v>15676</v>
      </c>
      <c r="B59" s="26">
        <f>VLOOKUP(Table1[[#This Row],[Date]],Database!A:D,3,)</f>
        <v>41915</v>
      </c>
      <c r="C59" s="27">
        <f t="shared" si="0"/>
        <v>241</v>
      </c>
      <c r="D59" s="27">
        <f t="shared" si="1"/>
        <v>218.66666666666666</v>
      </c>
      <c r="E59" s="63"/>
      <c r="F59" s="63"/>
    </row>
    <row r="60" spans="1:6" x14ac:dyDescent="0.2">
      <c r="A60" s="56">
        <v>15707</v>
      </c>
      <c r="B60" s="26">
        <f>VLOOKUP(Table1[[#This Row],[Date]],Database!A:D,3,)</f>
        <v>42172</v>
      </c>
      <c r="C60" s="27">
        <f t="shared" si="0"/>
        <v>257</v>
      </c>
      <c r="D60" s="27">
        <f t="shared" si="1"/>
        <v>219</v>
      </c>
      <c r="E60" s="63"/>
      <c r="F60" s="63"/>
    </row>
    <row r="61" spans="1:6" x14ac:dyDescent="0.2">
      <c r="A61" s="56">
        <v>15738</v>
      </c>
      <c r="B61" s="26">
        <f>VLOOKUP(Table1[[#This Row],[Date]],Database!A:D,3,)</f>
        <v>42393</v>
      </c>
      <c r="C61" s="27">
        <f t="shared" si="0"/>
        <v>221</v>
      </c>
      <c r="D61" s="27">
        <f t="shared" si="1"/>
        <v>239.66666666666666</v>
      </c>
      <c r="E61" s="63"/>
      <c r="F61" s="63"/>
    </row>
    <row r="62" spans="1:6" x14ac:dyDescent="0.2">
      <c r="A62" s="56">
        <v>15766</v>
      </c>
      <c r="B62" s="26">
        <f>VLOOKUP(Table1[[#This Row],[Date]],Database!A:D,3,)</f>
        <v>42552</v>
      </c>
      <c r="C62" s="27">
        <f t="shared" si="0"/>
        <v>159</v>
      </c>
      <c r="D62" s="27">
        <f t="shared" si="1"/>
        <v>212.33333333333334</v>
      </c>
      <c r="E62" s="63"/>
      <c r="F62" s="63"/>
    </row>
    <row r="63" spans="1:6" x14ac:dyDescent="0.2">
      <c r="A63" s="56">
        <v>15797</v>
      </c>
      <c r="B63" s="26">
        <f>VLOOKUP(Table1[[#This Row],[Date]],Database!A:D,3,)</f>
        <v>42647</v>
      </c>
      <c r="C63" s="27">
        <f t="shared" si="0"/>
        <v>95</v>
      </c>
      <c r="D63" s="27">
        <f t="shared" si="1"/>
        <v>158.33333333333334</v>
      </c>
      <c r="E63" s="63"/>
      <c r="F63" s="63"/>
    </row>
    <row r="64" spans="1:6" x14ac:dyDescent="0.2">
      <c r="A64" s="56">
        <v>15827</v>
      </c>
      <c r="B64" s="26">
        <f>VLOOKUP(Table1[[#This Row],[Date]],Database!A:D,3,)</f>
        <v>42596</v>
      </c>
      <c r="C64" s="27">
        <f t="shared" si="0"/>
        <v>-51</v>
      </c>
      <c r="D64" s="27">
        <f t="shared" si="1"/>
        <v>67.666666666666671</v>
      </c>
      <c r="E64" s="63"/>
      <c r="F64" s="63"/>
    </row>
    <row r="65" spans="1:6" x14ac:dyDescent="0.2">
      <c r="A65" s="56">
        <v>15858</v>
      </c>
      <c r="B65" s="26">
        <f>VLOOKUP(Table1[[#This Row],[Date]],Database!A:D,3,)</f>
        <v>42781</v>
      </c>
      <c r="C65" s="27">
        <f t="shared" si="0"/>
        <v>185</v>
      </c>
      <c r="D65" s="27">
        <f t="shared" si="1"/>
        <v>76.333333333333329</v>
      </c>
      <c r="E65" s="63"/>
      <c r="F65" s="63"/>
    </row>
    <row r="66" spans="1:6" x14ac:dyDescent="0.2">
      <c r="A66" s="56">
        <v>15888</v>
      </c>
      <c r="B66" s="26">
        <f>VLOOKUP(Table1[[#This Row],[Date]],Database!A:D,3,)</f>
        <v>42700</v>
      </c>
      <c r="C66" s="27">
        <f t="shared" si="0"/>
        <v>-81</v>
      </c>
      <c r="D66" s="27">
        <f t="shared" si="1"/>
        <v>17.666666666666668</v>
      </c>
      <c r="E66" s="63"/>
      <c r="F66" s="63"/>
    </row>
    <row r="67" spans="1:6" x14ac:dyDescent="0.2">
      <c r="A67" s="56">
        <v>15919</v>
      </c>
      <c r="B67" s="26">
        <f>VLOOKUP(Table1[[#This Row],[Date]],Database!A:D,3,)</f>
        <v>42546</v>
      </c>
      <c r="C67" s="27">
        <f t="shared" si="0"/>
        <v>-154</v>
      </c>
      <c r="D67" s="27">
        <f t="shared" si="1"/>
        <v>-16.666666666666668</v>
      </c>
      <c r="E67" s="63"/>
      <c r="F67" s="63"/>
    </row>
    <row r="68" spans="1:6" x14ac:dyDescent="0.2">
      <c r="A68" s="56">
        <v>15950</v>
      </c>
      <c r="B68" s="26">
        <f>VLOOKUP(Table1[[#This Row],[Date]],Database!A:D,3,)</f>
        <v>42492</v>
      </c>
      <c r="C68" s="27">
        <f t="shared" si="0"/>
        <v>-54</v>
      </c>
      <c r="D68" s="27">
        <f t="shared" si="1"/>
        <v>-96.333333333333329</v>
      </c>
      <c r="E68" s="63"/>
      <c r="F68" s="63"/>
    </row>
    <row r="69" spans="1:6" x14ac:dyDescent="0.2">
      <c r="A69" s="56">
        <v>15980</v>
      </c>
      <c r="B69" s="26">
        <f>VLOOKUP(Table1[[#This Row],[Date]],Database!A:D,3,)</f>
        <v>42675</v>
      </c>
      <c r="C69" s="27">
        <f t="shared" si="0"/>
        <v>183</v>
      </c>
      <c r="D69" s="27">
        <f t="shared" si="1"/>
        <v>-8.3333333333333339</v>
      </c>
      <c r="E69" s="63"/>
      <c r="F69" s="63"/>
    </row>
    <row r="70" spans="1:6" x14ac:dyDescent="0.2">
      <c r="A70" s="56">
        <v>16011</v>
      </c>
      <c r="B70" s="26">
        <f>VLOOKUP(Table1[[#This Row],[Date]],Database!A:D,3,)</f>
        <v>42821</v>
      </c>
      <c r="C70" s="27">
        <f t="shared" si="0"/>
        <v>146</v>
      </c>
      <c r="D70" s="27">
        <f t="shared" si="1"/>
        <v>91.666666666666671</v>
      </c>
      <c r="E70" s="63"/>
      <c r="F70" s="63"/>
    </row>
    <row r="71" spans="1:6" x14ac:dyDescent="0.2">
      <c r="A71" s="56">
        <v>16041</v>
      </c>
      <c r="B71" s="26">
        <f>VLOOKUP(Table1[[#This Row],[Date]],Database!A:D,3,)</f>
        <v>42746</v>
      </c>
      <c r="C71" s="27">
        <f t="shared" si="0"/>
        <v>-75</v>
      </c>
      <c r="D71" s="27">
        <f t="shared" si="1"/>
        <v>84.666666666666671</v>
      </c>
      <c r="E71" s="63"/>
      <c r="F71" s="63"/>
    </row>
    <row r="72" spans="1:6" x14ac:dyDescent="0.2">
      <c r="A72" s="56">
        <v>16072</v>
      </c>
      <c r="B72" s="26">
        <f>VLOOKUP(Table1[[#This Row],[Date]],Database!A:D,3,)</f>
        <v>42654</v>
      </c>
      <c r="C72" s="27">
        <f t="shared" si="0"/>
        <v>-92</v>
      </c>
      <c r="D72" s="27">
        <f t="shared" si="1"/>
        <v>-7</v>
      </c>
      <c r="E72" s="63"/>
      <c r="F72" s="63"/>
    </row>
    <row r="73" spans="1:6" x14ac:dyDescent="0.2">
      <c r="A73" s="56">
        <v>16103</v>
      </c>
      <c r="B73" s="26">
        <f>VLOOKUP(Table1[[#This Row],[Date]],Database!A:D,3,)</f>
        <v>42538</v>
      </c>
      <c r="C73" s="27">
        <f t="shared" si="0"/>
        <v>-116</v>
      </c>
      <c r="D73" s="27">
        <f t="shared" si="1"/>
        <v>-94.333333333333329</v>
      </c>
      <c r="E73" s="63"/>
      <c r="F73" s="63"/>
    </row>
    <row r="74" spans="1:6" x14ac:dyDescent="0.2">
      <c r="A74" s="56">
        <v>16132</v>
      </c>
      <c r="B74" s="26">
        <f>VLOOKUP(Table1[[#This Row],[Date]],Database!A:D,3,)</f>
        <v>42294</v>
      </c>
      <c r="C74" s="27">
        <f t="shared" si="0"/>
        <v>-244</v>
      </c>
      <c r="D74" s="27">
        <f t="shared" si="1"/>
        <v>-150.66666666666666</v>
      </c>
      <c r="E74" s="63"/>
      <c r="F74" s="63"/>
    </row>
    <row r="75" spans="1:6" x14ac:dyDescent="0.2">
      <c r="A75" s="56">
        <v>16163</v>
      </c>
      <c r="B75" s="26">
        <f>VLOOKUP(Table1[[#This Row],[Date]],Database!A:D,3,)</f>
        <v>42063</v>
      </c>
      <c r="C75" s="27">
        <f t="shared" si="0"/>
        <v>-231</v>
      </c>
      <c r="D75" s="27">
        <f t="shared" si="1"/>
        <v>-197</v>
      </c>
      <c r="E75" s="63"/>
      <c r="F75" s="63"/>
    </row>
    <row r="76" spans="1:6" x14ac:dyDescent="0.2">
      <c r="A76" s="56">
        <v>16193</v>
      </c>
      <c r="B76" s="26">
        <f>VLOOKUP(Table1[[#This Row],[Date]],Database!A:D,3,)</f>
        <v>41985</v>
      </c>
      <c r="C76" s="27">
        <f t="shared" si="0"/>
        <v>-78</v>
      </c>
      <c r="D76" s="27">
        <f t="shared" si="1"/>
        <v>-184.33333333333334</v>
      </c>
      <c r="E76" s="63"/>
      <c r="F76" s="63"/>
    </row>
    <row r="77" spans="1:6" x14ac:dyDescent="0.2">
      <c r="A77" s="56">
        <v>16224</v>
      </c>
      <c r="B77" s="26">
        <f>VLOOKUP(Table1[[#This Row],[Date]],Database!A:D,3,)</f>
        <v>41947</v>
      </c>
      <c r="C77" s="27">
        <f t="shared" ref="C77:C140" si="2">B77-B76</f>
        <v>-38</v>
      </c>
      <c r="D77" s="27">
        <f t="shared" si="1"/>
        <v>-115.66666666666667</v>
      </c>
      <c r="E77" s="63"/>
      <c r="F77" s="63"/>
    </row>
    <row r="78" spans="1:6" x14ac:dyDescent="0.2">
      <c r="A78" s="56">
        <v>16254</v>
      </c>
      <c r="B78" s="26">
        <f>VLOOKUP(Table1[[#This Row],[Date]],Database!A:D,3,)</f>
        <v>41904</v>
      </c>
      <c r="C78" s="27">
        <f t="shared" si="2"/>
        <v>-43</v>
      </c>
      <c r="D78" s="27">
        <f t="shared" si="1"/>
        <v>-53</v>
      </c>
      <c r="E78" s="63"/>
      <c r="F78" s="63"/>
    </row>
    <row r="79" spans="1:6" x14ac:dyDescent="0.2">
      <c r="A79" s="56">
        <v>16285</v>
      </c>
      <c r="B79" s="26">
        <f>VLOOKUP(Table1[[#This Row],[Date]],Database!A:D,3,)</f>
        <v>41850</v>
      </c>
      <c r="C79" s="27">
        <f t="shared" si="2"/>
        <v>-54</v>
      </c>
      <c r="D79" s="27">
        <f t="shared" ref="D79:D142" si="3">AVERAGE(C77:C79)</f>
        <v>-45</v>
      </c>
      <c r="E79" s="63"/>
      <c r="F79" s="63"/>
    </row>
    <row r="80" spans="1:6" x14ac:dyDescent="0.2">
      <c r="A80" s="56">
        <v>16316</v>
      </c>
      <c r="B80" s="26">
        <f>VLOOKUP(Table1[[#This Row],[Date]],Database!A:D,3,)</f>
        <v>41679</v>
      </c>
      <c r="C80" s="27">
        <f t="shared" si="2"/>
        <v>-171</v>
      </c>
      <c r="D80" s="27">
        <f t="shared" si="3"/>
        <v>-89.333333333333329</v>
      </c>
      <c r="E80" s="63"/>
      <c r="F80" s="63"/>
    </row>
    <row r="81" spans="1:6" x14ac:dyDescent="0.2">
      <c r="A81" s="56">
        <v>16346</v>
      </c>
      <c r="B81" s="26">
        <f>VLOOKUP(Table1[[#This Row],[Date]],Database!A:D,3,)</f>
        <v>41708</v>
      </c>
      <c r="C81" s="27">
        <f t="shared" si="2"/>
        <v>29</v>
      </c>
      <c r="D81" s="27">
        <f t="shared" si="3"/>
        <v>-65.333333333333329</v>
      </c>
      <c r="E81" s="63"/>
      <c r="F81" s="63"/>
    </row>
    <row r="82" spans="1:6" x14ac:dyDescent="0.2">
      <c r="A82" s="56">
        <v>16377</v>
      </c>
      <c r="B82" s="26">
        <f>VLOOKUP(Table1[[#This Row],[Date]],Database!A:D,3,)</f>
        <v>41711</v>
      </c>
      <c r="C82" s="27">
        <f t="shared" si="2"/>
        <v>3</v>
      </c>
      <c r="D82" s="27">
        <f t="shared" si="3"/>
        <v>-46.333333333333336</v>
      </c>
      <c r="E82" s="63"/>
      <c r="F82" s="63"/>
    </row>
    <row r="83" spans="1:6" x14ac:dyDescent="0.2">
      <c r="A83" s="56">
        <v>16407</v>
      </c>
      <c r="B83" s="26">
        <f>VLOOKUP(Table1[[#This Row],[Date]],Database!A:D,3,)</f>
        <v>41860</v>
      </c>
      <c r="C83" s="27">
        <f t="shared" si="2"/>
        <v>149</v>
      </c>
      <c r="D83" s="27">
        <f t="shared" si="3"/>
        <v>60.333333333333336</v>
      </c>
      <c r="E83" s="63"/>
      <c r="F83" s="63"/>
    </row>
    <row r="84" spans="1:6" x14ac:dyDescent="0.2">
      <c r="A84" s="56">
        <v>16438</v>
      </c>
      <c r="B84" s="26">
        <f>VLOOKUP(Table1[[#This Row],[Date]],Database!A:D,3,)</f>
        <v>41895</v>
      </c>
      <c r="C84" s="27">
        <f t="shared" si="2"/>
        <v>35</v>
      </c>
      <c r="D84" s="27">
        <f t="shared" si="3"/>
        <v>62.333333333333336</v>
      </c>
      <c r="E84" s="63"/>
      <c r="F84" s="63"/>
    </row>
    <row r="85" spans="1:6" x14ac:dyDescent="0.2">
      <c r="A85" s="56">
        <v>16469</v>
      </c>
      <c r="B85" s="26">
        <f>VLOOKUP(Table1[[#This Row],[Date]],Database!A:D,3,)</f>
        <v>41897</v>
      </c>
      <c r="C85" s="27">
        <f t="shared" si="2"/>
        <v>2</v>
      </c>
      <c r="D85" s="27">
        <f t="shared" si="3"/>
        <v>62</v>
      </c>
      <c r="E85" s="63"/>
      <c r="F85" s="63"/>
    </row>
    <row r="86" spans="1:6" x14ac:dyDescent="0.2">
      <c r="A86" s="56">
        <v>16497</v>
      </c>
      <c r="B86" s="26">
        <f>VLOOKUP(Table1[[#This Row],[Date]],Database!A:D,3,)</f>
        <v>41798</v>
      </c>
      <c r="C86" s="27">
        <f t="shared" si="2"/>
        <v>-99</v>
      </c>
      <c r="D86" s="27">
        <f t="shared" si="3"/>
        <v>-20.666666666666668</v>
      </c>
      <c r="E86" s="63"/>
      <c r="F86" s="63"/>
    </row>
    <row r="87" spans="1:6" x14ac:dyDescent="0.2">
      <c r="A87" s="56">
        <v>16528</v>
      </c>
      <c r="B87" s="26">
        <f>VLOOKUP(Table1[[#This Row],[Date]],Database!A:D,3,)</f>
        <v>41446</v>
      </c>
      <c r="C87" s="27">
        <f t="shared" si="2"/>
        <v>-352</v>
      </c>
      <c r="D87" s="27">
        <f t="shared" si="3"/>
        <v>-149.66666666666666</v>
      </c>
      <c r="E87" s="63"/>
      <c r="F87" s="63"/>
    </row>
    <row r="88" spans="1:6" x14ac:dyDescent="0.2">
      <c r="A88" s="56">
        <v>16558</v>
      </c>
      <c r="B88" s="26">
        <f>VLOOKUP(Table1[[#This Row],[Date]],Database!A:D,3,)</f>
        <v>41304</v>
      </c>
      <c r="C88" s="27">
        <f t="shared" si="2"/>
        <v>-142</v>
      </c>
      <c r="D88" s="27">
        <f t="shared" si="3"/>
        <v>-197.66666666666666</v>
      </c>
      <c r="E88" s="63"/>
      <c r="F88" s="63"/>
    </row>
    <row r="89" spans="1:6" x14ac:dyDescent="0.2">
      <c r="A89" s="56">
        <v>16589</v>
      </c>
      <c r="B89" s="26">
        <f>VLOOKUP(Table1[[#This Row],[Date]],Database!A:D,3,)</f>
        <v>41149</v>
      </c>
      <c r="C89" s="27">
        <f t="shared" si="2"/>
        <v>-155</v>
      </c>
      <c r="D89" s="27">
        <f t="shared" si="3"/>
        <v>-216.33333333333334</v>
      </c>
      <c r="E89" s="63"/>
      <c r="F89" s="63"/>
    </row>
    <row r="90" spans="1:6" x14ac:dyDescent="0.2">
      <c r="A90" s="56">
        <v>16619</v>
      </c>
      <c r="B90" s="26">
        <f>VLOOKUP(Table1[[#This Row],[Date]],Database!A:D,3,)</f>
        <v>40874</v>
      </c>
      <c r="C90" s="27">
        <f t="shared" si="2"/>
        <v>-275</v>
      </c>
      <c r="D90" s="27">
        <f t="shared" si="3"/>
        <v>-190.66666666666666</v>
      </c>
      <c r="E90" s="63"/>
      <c r="F90" s="63"/>
    </row>
    <row r="91" spans="1:6" x14ac:dyDescent="0.2">
      <c r="A91" s="56">
        <v>16650</v>
      </c>
      <c r="B91" s="26">
        <f>VLOOKUP(Table1[[#This Row],[Date]],Database!A:D,3,)</f>
        <v>40466</v>
      </c>
      <c r="C91" s="27">
        <f t="shared" si="2"/>
        <v>-408</v>
      </c>
      <c r="D91" s="27">
        <f t="shared" si="3"/>
        <v>-279.33333333333331</v>
      </c>
      <c r="E91" s="63"/>
      <c r="F91" s="63"/>
    </row>
    <row r="92" spans="1:6" x14ac:dyDescent="0.2">
      <c r="A92" s="56">
        <v>16681</v>
      </c>
      <c r="B92" s="26">
        <f>VLOOKUP(Table1[[#This Row],[Date]],Database!A:D,3,)</f>
        <v>38507</v>
      </c>
      <c r="C92" s="27">
        <f t="shared" si="2"/>
        <v>-1959</v>
      </c>
      <c r="D92" s="27">
        <f t="shared" si="3"/>
        <v>-880.66666666666663</v>
      </c>
      <c r="E92" s="63"/>
      <c r="F92" s="63"/>
    </row>
    <row r="93" spans="1:6" x14ac:dyDescent="0.2">
      <c r="A93" s="56">
        <v>16711</v>
      </c>
      <c r="B93" s="26">
        <f>VLOOKUP(Table1[[#This Row],[Date]],Database!A:D,3,)</f>
        <v>38600</v>
      </c>
      <c r="C93" s="27">
        <f t="shared" si="2"/>
        <v>93</v>
      </c>
      <c r="D93" s="27">
        <f t="shared" si="3"/>
        <v>-758</v>
      </c>
      <c r="E93" s="63"/>
      <c r="F93" s="63"/>
    </row>
    <row r="94" spans="1:6" x14ac:dyDescent="0.2">
      <c r="A94" s="56">
        <v>16742</v>
      </c>
      <c r="B94" s="26">
        <f>VLOOKUP(Table1[[#This Row],[Date]],Database!A:D,3,)</f>
        <v>38996</v>
      </c>
      <c r="C94" s="27">
        <f t="shared" si="2"/>
        <v>396</v>
      </c>
      <c r="D94" s="27">
        <f t="shared" si="3"/>
        <v>-490</v>
      </c>
      <c r="E94" s="63"/>
      <c r="F94" s="63"/>
    </row>
    <row r="95" spans="1:6" x14ac:dyDescent="0.2">
      <c r="A95" s="56">
        <v>16772</v>
      </c>
      <c r="B95" s="26">
        <f>VLOOKUP(Table1[[#This Row],[Date]],Database!A:D,3,)</f>
        <v>39110</v>
      </c>
      <c r="C95" s="27">
        <f t="shared" si="2"/>
        <v>114</v>
      </c>
      <c r="D95" s="27">
        <f t="shared" si="3"/>
        <v>201</v>
      </c>
      <c r="E95" s="63"/>
      <c r="F95" s="63"/>
    </row>
    <row r="96" spans="1:6" x14ac:dyDescent="0.2">
      <c r="A96" s="56">
        <v>16803</v>
      </c>
      <c r="B96" s="26">
        <f>VLOOKUP(Table1[[#This Row],[Date]],Database!A:D,3,)</f>
        <v>39829</v>
      </c>
      <c r="C96" s="27">
        <f t="shared" si="2"/>
        <v>719</v>
      </c>
      <c r="D96" s="27">
        <f t="shared" si="3"/>
        <v>409.66666666666669</v>
      </c>
      <c r="E96" s="63"/>
      <c r="F96" s="63"/>
    </row>
    <row r="97" spans="1:6" x14ac:dyDescent="0.2">
      <c r="A97" s="56">
        <v>16834</v>
      </c>
      <c r="B97" s="26">
        <f>VLOOKUP(Table1[[#This Row],[Date]],Database!A:D,3,)</f>
        <v>39244</v>
      </c>
      <c r="C97" s="27">
        <f t="shared" si="2"/>
        <v>-585</v>
      </c>
      <c r="D97" s="27">
        <f t="shared" si="3"/>
        <v>82.666666666666671</v>
      </c>
      <c r="E97" s="63"/>
      <c r="F97" s="63"/>
    </row>
    <row r="98" spans="1:6" x14ac:dyDescent="0.2">
      <c r="A98" s="56">
        <v>16862</v>
      </c>
      <c r="B98" s="26">
        <f>VLOOKUP(Table1[[#This Row],[Date]],Database!A:D,3,)</f>
        <v>40195</v>
      </c>
      <c r="C98" s="27">
        <f t="shared" si="2"/>
        <v>951</v>
      </c>
      <c r="D98" s="27">
        <f t="shared" si="3"/>
        <v>361.66666666666669</v>
      </c>
      <c r="E98" s="63"/>
      <c r="F98" s="63"/>
    </row>
    <row r="99" spans="1:6" x14ac:dyDescent="0.2">
      <c r="A99" s="56">
        <v>16893</v>
      </c>
      <c r="B99" s="26">
        <f>VLOOKUP(Table1[[#This Row],[Date]],Database!A:D,3,)</f>
        <v>40913</v>
      </c>
      <c r="C99" s="27">
        <f t="shared" si="2"/>
        <v>718</v>
      </c>
      <c r="D99" s="27">
        <f t="shared" si="3"/>
        <v>361.33333333333331</v>
      </c>
      <c r="E99" s="63"/>
      <c r="F99" s="63"/>
    </row>
    <row r="100" spans="1:6" x14ac:dyDescent="0.2">
      <c r="A100" s="56">
        <v>16923</v>
      </c>
      <c r="B100" s="26">
        <f>VLOOKUP(Table1[[#This Row],[Date]],Database!A:D,3,)</f>
        <v>41349</v>
      </c>
      <c r="C100" s="27">
        <f t="shared" si="2"/>
        <v>436</v>
      </c>
      <c r="D100" s="27">
        <f t="shared" si="3"/>
        <v>701.66666666666663</v>
      </c>
      <c r="E100" s="63"/>
      <c r="F100" s="63"/>
    </row>
    <row r="101" spans="1:6" x14ac:dyDescent="0.2">
      <c r="A101" s="56">
        <v>16954</v>
      </c>
      <c r="B101" s="26">
        <f>VLOOKUP(Table1[[#This Row],[Date]],Database!A:D,3,)</f>
        <v>41735</v>
      </c>
      <c r="C101" s="27">
        <f t="shared" si="2"/>
        <v>386</v>
      </c>
      <c r="D101" s="27">
        <f t="shared" si="3"/>
        <v>513.33333333333337</v>
      </c>
      <c r="E101" s="63"/>
      <c r="F101" s="63"/>
    </row>
    <row r="102" spans="1:6" x14ac:dyDescent="0.2">
      <c r="A102" s="56">
        <v>16984</v>
      </c>
      <c r="B102" s="26">
        <f>VLOOKUP(Table1[[#This Row],[Date]],Database!A:D,3,)</f>
        <v>42153</v>
      </c>
      <c r="C102" s="27">
        <f t="shared" si="2"/>
        <v>418</v>
      </c>
      <c r="D102" s="27">
        <f t="shared" si="3"/>
        <v>413.33333333333331</v>
      </c>
      <c r="E102" s="63"/>
      <c r="F102" s="63"/>
    </row>
    <row r="103" spans="1:6" x14ac:dyDescent="0.2">
      <c r="A103" s="56">
        <v>17015</v>
      </c>
      <c r="B103" s="26">
        <f>VLOOKUP(Table1[[#This Row],[Date]],Database!A:D,3,)</f>
        <v>42642</v>
      </c>
      <c r="C103" s="27">
        <f t="shared" si="2"/>
        <v>489</v>
      </c>
      <c r="D103" s="27">
        <f t="shared" si="3"/>
        <v>431</v>
      </c>
      <c r="E103" s="63"/>
      <c r="F103" s="63"/>
    </row>
    <row r="104" spans="1:6" x14ac:dyDescent="0.2">
      <c r="A104" s="56">
        <v>17046</v>
      </c>
      <c r="B104" s="26">
        <f>VLOOKUP(Table1[[#This Row],[Date]],Database!A:D,3,)</f>
        <v>42915</v>
      </c>
      <c r="C104" s="27">
        <f t="shared" si="2"/>
        <v>273</v>
      </c>
      <c r="D104" s="27">
        <f t="shared" si="3"/>
        <v>393.33333333333331</v>
      </c>
      <c r="E104" s="63"/>
      <c r="F104" s="63"/>
    </row>
    <row r="105" spans="1:6" x14ac:dyDescent="0.2">
      <c r="A105" s="56">
        <v>17076</v>
      </c>
      <c r="B105" s="26">
        <f>VLOOKUP(Table1[[#This Row],[Date]],Database!A:D,3,)</f>
        <v>43093</v>
      </c>
      <c r="C105" s="27">
        <f t="shared" si="2"/>
        <v>178</v>
      </c>
      <c r="D105" s="27">
        <f t="shared" si="3"/>
        <v>313.33333333333331</v>
      </c>
      <c r="E105" s="63"/>
      <c r="F105" s="63"/>
    </row>
    <row r="106" spans="1:6" x14ac:dyDescent="0.2">
      <c r="A106" s="56">
        <v>17107</v>
      </c>
      <c r="B106" s="26">
        <f>VLOOKUP(Table1[[#This Row],[Date]],Database!A:D,3,)</f>
        <v>43395</v>
      </c>
      <c r="C106" s="27">
        <f t="shared" si="2"/>
        <v>302</v>
      </c>
      <c r="D106" s="27">
        <f t="shared" si="3"/>
        <v>251</v>
      </c>
      <c r="E106" s="63"/>
      <c r="F106" s="63"/>
    </row>
    <row r="107" spans="1:6" x14ac:dyDescent="0.2">
      <c r="A107" s="56">
        <v>17137</v>
      </c>
      <c r="B107" s="26">
        <f>VLOOKUP(Table1[[#This Row],[Date]],Database!A:D,3,)</f>
        <v>43379</v>
      </c>
      <c r="C107" s="27">
        <f t="shared" si="2"/>
        <v>-16</v>
      </c>
      <c r="D107" s="27">
        <f t="shared" si="3"/>
        <v>154.66666666666666</v>
      </c>
      <c r="E107" s="63"/>
      <c r="F107" s="63"/>
    </row>
    <row r="108" spans="1:6" x14ac:dyDescent="0.2">
      <c r="A108" s="56">
        <v>17168</v>
      </c>
      <c r="B108" s="26">
        <f>VLOOKUP(Table1[[#This Row],[Date]],Database!A:D,3,)</f>
        <v>43535</v>
      </c>
      <c r="C108" s="27">
        <f t="shared" si="2"/>
        <v>156</v>
      </c>
      <c r="D108" s="27">
        <f t="shared" si="3"/>
        <v>147.33333333333334</v>
      </c>
      <c r="E108" s="63"/>
      <c r="F108" s="63"/>
    </row>
    <row r="109" spans="1:6" x14ac:dyDescent="0.2">
      <c r="A109" s="56">
        <v>17199</v>
      </c>
      <c r="B109" s="26">
        <f>VLOOKUP(Table1[[#This Row],[Date]],Database!A:D,3,)</f>
        <v>43557</v>
      </c>
      <c r="C109" s="27">
        <f t="shared" si="2"/>
        <v>22</v>
      </c>
      <c r="D109" s="27">
        <f t="shared" si="3"/>
        <v>54</v>
      </c>
      <c r="E109" s="63"/>
      <c r="F109" s="63"/>
    </row>
    <row r="110" spans="1:6" x14ac:dyDescent="0.2">
      <c r="A110" s="56">
        <v>17227</v>
      </c>
      <c r="B110" s="26">
        <f>VLOOKUP(Table1[[#This Row],[Date]],Database!A:D,3,)</f>
        <v>43607</v>
      </c>
      <c r="C110" s="27">
        <f t="shared" si="2"/>
        <v>50</v>
      </c>
      <c r="D110" s="27">
        <f t="shared" si="3"/>
        <v>76</v>
      </c>
      <c r="E110" s="63"/>
      <c r="F110" s="63"/>
    </row>
    <row r="111" spans="1:6" x14ac:dyDescent="0.2">
      <c r="A111" s="56">
        <v>17258</v>
      </c>
      <c r="B111" s="26">
        <f>VLOOKUP(Table1[[#This Row],[Date]],Database!A:D,3,)</f>
        <v>43499</v>
      </c>
      <c r="C111" s="27">
        <f t="shared" si="2"/>
        <v>-108</v>
      </c>
      <c r="D111" s="27">
        <f t="shared" si="3"/>
        <v>-12</v>
      </c>
      <c r="E111" s="63"/>
      <c r="F111" s="63"/>
    </row>
    <row r="112" spans="1:6" x14ac:dyDescent="0.2">
      <c r="A112" s="56">
        <v>17288</v>
      </c>
      <c r="B112" s="26">
        <f>VLOOKUP(Table1[[#This Row],[Date]],Database!A:D,3,)</f>
        <v>43638</v>
      </c>
      <c r="C112" s="27">
        <f t="shared" si="2"/>
        <v>139</v>
      </c>
      <c r="D112" s="27">
        <f t="shared" si="3"/>
        <v>27</v>
      </c>
      <c r="E112" s="63"/>
      <c r="F112" s="63"/>
    </row>
    <row r="113" spans="1:7" x14ac:dyDescent="0.2">
      <c r="A113" s="56">
        <v>17319</v>
      </c>
      <c r="B113" s="26">
        <f>VLOOKUP(Table1[[#This Row],[Date]],Database!A:D,3,)</f>
        <v>43810</v>
      </c>
      <c r="C113" s="27">
        <f t="shared" si="2"/>
        <v>172</v>
      </c>
      <c r="D113" s="27">
        <f t="shared" si="3"/>
        <v>67.666666666666671</v>
      </c>
      <c r="E113" s="63"/>
      <c r="F113" s="63"/>
    </row>
    <row r="114" spans="1:7" x14ac:dyDescent="0.2">
      <c r="A114" s="56">
        <v>17349</v>
      </c>
      <c r="B114" s="26">
        <f>VLOOKUP(Table1[[#This Row],[Date]],Database!A:D,3,)</f>
        <v>43743</v>
      </c>
      <c r="C114" s="27">
        <f t="shared" si="2"/>
        <v>-67</v>
      </c>
      <c r="D114" s="27">
        <f t="shared" si="3"/>
        <v>81.333333333333329</v>
      </c>
      <c r="E114" s="63"/>
      <c r="F114" s="63"/>
    </row>
    <row r="115" spans="1:7" x14ac:dyDescent="0.2">
      <c r="A115" s="56">
        <v>17380</v>
      </c>
      <c r="B115" s="26">
        <f>VLOOKUP(Table1[[#This Row],[Date]],Database!A:D,3,)</f>
        <v>43960</v>
      </c>
      <c r="C115" s="27">
        <f t="shared" si="2"/>
        <v>217</v>
      </c>
      <c r="D115" s="27">
        <f t="shared" si="3"/>
        <v>107.33333333333333</v>
      </c>
      <c r="E115" s="63"/>
      <c r="F115" s="63"/>
    </row>
    <row r="116" spans="1:7" x14ac:dyDescent="0.2">
      <c r="A116" s="56">
        <v>17411</v>
      </c>
      <c r="B116" s="26">
        <f>VLOOKUP(Table1[[#This Row],[Date]],Database!A:D,3,)</f>
        <v>44203</v>
      </c>
      <c r="C116" s="27">
        <f t="shared" si="2"/>
        <v>243</v>
      </c>
      <c r="D116" s="27">
        <f t="shared" si="3"/>
        <v>131</v>
      </c>
      <c r="E116" s="63"/>
      <c r="F116" s="63"/>
    </row>
    <row r="117" spans="1:7" x14ac:dyDescent="0.2">
      <c r="A117" s="56">
        <v>17441</v>
      </c>
      <c r="B117" s="26">
        <f>VLOOKUP(Table1[[#This Row],[Date]],Database!A:D,3,)</f>
        <v>44411</v>
      </c>
      <c r="C117" s="27">
        <f t="shared" si="2"/>
        <v>208</v>
      </c>
      <c r="D117" s="27">
        <f t="shared" si="3"/>
        <v>222.66666666666666</v>
      </c>
      <c r="E117" s="63"/>
      <c r="F117" s="63"/>
    </row>
    <row r="118" spans="1:7" x14ac:dyDescent="0.2">
      <c r="A118" s="56">
        <v>17472</v>
      </c>
      <c r="B118" s="26">
        <f>VLOOKUP(Table1[[#This Row],[Date]],Database!A:D,3,)</f>
        <v>44484</v>
      </c>
      <c r="C118" s="27">
        <f t="shared" si="2"/>
        <v>73</v>
      </c>
      <c r="D118" s="27">
        <f t="shared" si="3"/>
        <v>174.66666666666666</v>
      </c>
      <c r="E118" s="63"/>
      <c r="F118" s="63"/>
    </row>
    <row r="119" spans="1:7" x14ac:dyDescent="0.2">
      <c r="A119" s="56">
        <v>17502</v>
      </c>
      <c r="B119" s="26">
        <f>VLOOKUP(Table1[[#This Row],[Date]],Database!A:D,3,)</f>
        <v>44581</v>
      </c>
      <c r="C119" s="27">
        <f t="shared" si="2"/>
        <v>97</v>
      </c>
      <c r="D119" s="27">
        <f t="shared" si="3"/>
        <v>126</v>
      </c>
      <c r="E119" s="63"/>
      <c r="F119" s="63"/>
      <c r="G119" s="57"/>
    </row>
    <row r="120" spans="1:7" x14ac:dyDescent="0.2">
      <c r="A120" s="56">
        <v>17533</v>
      </c>
      <c r="B120" s="26">
        <f>VLOOKUP(Table1[[#This Row],[Date]],Database!A:D,3,)</f>
        <v>44679</v>
      </c>
      <c r="C120" s="27">
        <f t="shared" si="2"/>
        <v>98</v>
      </c>
      <c r="D120" s="27">
        <f t="shared" si="3"/>
        <v>89.333333333333329</v>
      </c>
      <c r="E120" s="63">
        <f>VLOOKUP(Table1[[#This Row],[Date]],Database!A:D,4,)</f>
        <v>3.4</v>
      </c>
      <c r="F120" s="63">
        <f>VLOOKUP(Table1[[#This Row],[Date]],Database!A:D,2,)</f>
        <v>58.6</v>
      </c>
      <c r="G120" s="57"/>
    </row>
    <row r="121" spans="1:7" x14ac:dyDescent="0.2">
      <c r="A121" s="56">
        <v>17564</v>
      </c>
      <c r="B121" s="26">
        <f>VLOOKUP(Table1[[#This Row],[Date]],Database!A:D,3,)</f>
        <v>44533</v>
      </c>
      <c r="C121" s="27">
        <f t="shared" si="2"/>
        <v>-146</v>
      </c>
      <c r="D121" s="27">
        <f t="shared" si="3"/>
        <v>16.333333333333332</v>
      </c>
      <c r="E121" s="63">
        <f>VLOOKUP(Table1[[#This Row],[Date]],Database!A:D,4,)</f>
        <v>3.8</v>
      </c>
      <c r="F121" s="63">
        <f>VLOOKUP(Table1[[#This Row],[Date]],Database!A:D,2,)</f>
        <v>58.9</v>
      </c>
      <c r="G121" s="57"/>
    </row>
    <row r="122" spans="1:7" x14ac:dyDescent="0.2">
      <c r="A122" s="56">
        <v>17593</v>
      </c>
      <c r="B122" s="26">
        <f>VLOOKUP(Table1[[#This Row],[Date]],Database!A:D,3,)</f>
        <v>44683</v>
      </c>
      <c r="C122" s="27">
        <f t="shared" si="2"/>
        <v>150</v>
      </c>
      <c r="D122" s="27">
        <f t="shared" si="3"/>
        <v>34</v>
      </c>
      <c r="E122" s="63">
        <f>VLOOKUP(Table1[[#This Row],[Date]],Database!A:D,4,)</f>
        <v>4</v>
      </c>
      <c r="F122" s="63">
        <f>VLOOKUP(Table1[[#This Row],[Date]],Database!A:D,2,)</f>
        <v>58.5</v>
      </c>
      <c r="G122" s="57"/>
    </row>
    <row r="123" spans="1:7" x14ac:dyDescent="0.2">
      <c r="A123" s="56">
        <v>17624</v>
      </c>
      <c r="B123" s="26">
        <f>VLOOKUP(Table1[[#This Row],[Date]],Database!A:D,3,)</f>
        <v>44379</v>
      </c>
      <c r="C123" s="27">
        <f t="shared" si="2"/>
        <v>-304</v>
      </c>
      <c r="D123" s="27">
        <f t="shared" si="3"/>
        <v>-100</v>
      </c>
      <c r="E123" s="63">
        <f>VLOOKUP(Table1[[#This Row],[Date]],Database!A:D,4,)</f>
        <v>3.9</v>
      </c>
      <c r="F123" s="63">
        <f>VLOOKUP(Table1[[#This Row],[Date]],Database!A:D,2,)</f>
        <v>59</v>
      </c>
      <c r="G123" s="57"/>
    </row>
    <row r="124" spans="1:7" x14ac:dyDescent="0.2">
      <c r="A124" s="56">
        <v>17654</v>
      </c>
      <c r="B124" s="26">
        <f>VLOOKUP(Table1[[#This Row],[Date]],Database!A:D,3,)</f>
        <v>44796</v>
      </c>
      <c r="C124" s="27">
        <f t="shared" si="2"/>
        <v>417</v>
      </c>
      <c r="D124" s="27">
        <f t="shared" si="3"/>
        <v>87.666666666666671</v>
      </c>
      <c r="E124" s="63">
        <f>VLOOKUP(Table1[[#This Row],[Date]],Database!A:D,4,)</f>
        <v>3.5</v>
      </c>
      <c r="F124" s="63">
        <f>VLOOKUP(Table1[[#This Row],[Date]],Database!A:D,2,)</f>
        <v>58.3</v>
      </c>
      <c r="G124" s="57"/>
    </row>
    <row r="125" spans="1:7" x14ac:dyDescent="0.2">
      <c r="A125" s="56">
        <v>17685</v>
      </c>
      <c r="B125" s="26">
        <f>VLOOKUP(Table1[[#This Row],[Date]],Database!A:D,3,)</f>
        <v>45034</v>
      </c>
      <c r="C125" s="27">
        <f t="shared" si="2"/>
        <v>238</v>
      </c>
      <c r="D125" s="27">
        <f t="shared" si="3"/>
        <v>117</v>
      </c>
      <c r="E125" s="63">
        <f>VLOOKUP(Table1[[#This Row],[Date]],Database!A:D,4,)</f>
        <v>3.6</v>
      </c>
      <c r="F125" s="63">
        <f>VLOOKUP(Table1[[#This Row],[Date]],Database!A:D,2,)</f>
        <v>59.2</v>
      </c>
      <c r="G125" s="57"/>
    </row>
    <row r="126" spans="1:7" x14ac:dyDescent="0.2">
      <c r="A126" s="56">
        <v>17715</v>
      </c>
      <c r="B126" s="26">
        <f>VLOOKUP(Table1[[#This Row],[Date]],Database!A:D,3,)</f>
        <v>45160</v>
      </c>
      <c r="C126" s="27">
        <f t="shared" si="2"/>
        <v>126</v>
      </c>
      <c r="D126" s="27">
        <f t="shared" si="3"/>
        <v>260.33333333333331</v>
      </c>
      <c r="E126" s="63">
        <f>VLOOKUP(Table1[[#This Row],[Date]],Database!A:D,4,)</f>
        <v>3.6</v>
      </c>
      <c r="F126" s="63">
        <f>VLOOKUP(Table1[[#This Row],[Date]],Database!A:D,2,)</f>
        <v>59.3</v>
      </c>
      <c r="G126" s="57"/>
    </row>
    <row r="127" spans="1:7" x14ac:dyDescent="0.2">
      <c r="A127" s="56">
        <v>17746</v>
      </c>
      <c r="B127" s="26">
        <f>VLOOKUP(Table1[[#This Row],[Date]],Database!A:D,3,)</f>
        <v>45178</v>
      </c>
      <c r="C127" s="27">
        <f t="shared" si="2"/>
        <v>18</v>
      </c>
      <c r="D127" s="27">
        <f t="shared" si="3"/>
        <v>127.33333333333333</v>
      </c>
      <c r="E127" s="63">
        <f>VLOOKUP(Table1[[#This Row],[Date]],Database!A:D,4,)</f>
        <v>3.9</v>
      </c>
      <c r="F127" s="63">
        <f>VLOOKUP(Table1[[#This Row],[Date]],Database!A:D,2,)</f>
        <v>58.9</v>
      </c>
      <c r="G127" s="57"/>
    </row>
    <row r="128" spans="1:7" x14ac:dyDescent="0.2">
      <c r="A128" s="56">
        <v>17777</v>
      </c>
      <c r="B128" s="26">
        <f>VLOOKUP(Table1[[#This Row],[Date]],Database!A:D,3,)</f>
        <v>45294</v>
      </c>
      <c r="C128" s="27">
        <f t="shared" si="2"/>
        <v>116</v>
      </c>
      <c r="D128" s="27">
        <f t="shared" si="3"/>
        <v>86.666666666666671</v>
      </c>
      <c r="E128" s="63">
        <f>VLOOKUP(Table1[[#This Row],[Date]],Database!A:D,4,)</f>
        <v>3.8</v>
      </c>
      <c r="F128" s="63">
        <f>VLOOKUP(Table1[[#This Row],[Date]],Database!A:D,2,)</f>
        <v>58.9</v>
      </c>
      <c r="G128" s="57"/>
    </row>
    <row r="129" spans="1:7" x14ac:dyDescent="0.2">
      <c r="A129" s="56">
        <v>17807</v>
      </c>
      <c r="B129" s="26">
        <f>VLOOKUP(Table1[[#This Row],[Date]],Database!A:D,3,)</f>
        <v>45245</v>
      </c>
      <c r="C129" s="27">
        <f t="shared" si="2"/>
        <v>-49</v>
      </c>
      <c r="D129" s="27">
        <f t="shared" si="3"/>
        <v>28.333333333333332</v>
      </c>
      <c r="E129" s="63">
        <f>VLOOKUP(Table1[[#This Row],[Date]],Database!A:D,4,)</f>
        <v>3.7</v>
      </c>
      <c r="F129" s="63">
        <f>VLOOKUP(Table1[[#This Row],[Date]],Database!A:D,2,)</f>
        <v>58.7</v>
      </c>
      <c r="G129" s="57"/>
    </row>
    <row r="130" spans="1:7" x14ac:dyDescent="0.2">
      <c r="A130" s="56">
        <v>17838</v>
      </c>
      <c r="B130" s="26">
        <f>VLOOKUP(Table1[[#This Row],[Date]],Database!A:D,3,)</f>
        <v>45192</v>
      </c>
      <c r="C130" s="27">
        <f t="shared" si="2"/>
        <v>-53</v>
      </c>
      <c r="D130" s="27">
        <f t="shared" si="3"/>
        <v>4.666666666666667</v>
      </c>
      <c r="E130" s="63">
        <f>VLOOKUP(Table1[[#This Row],[Date]],Database!A:D,4,)</f>
        <v>3.8</v>
      </c>
      <c r="F130" s="63">
        <f>VLOOKUP(Table1[[#This Row],[Date]],Database!A:D,2,)</f>
        <v>58.7</v>
      </c>
      <c r="G130" s="57"/>
    </row>
    <row r="131" spans="1:7" x14ac:dyDescent="0.2">
      <c r="A131" s="56">
        <v>17868</v>
      </c>
      <c r="B131" s="26">
        <f>VLOOKUP(Table1[[#This Row],[Date]],Database!A:D,3,)</f>
        <v>45032</v>
      </c>
      <c r="C131" s="27">
        <f t="shared" si="2"/>
        <v>-160</v>
      </c>
      <c r="D131" s="27">
        <f t="shared" si="3"/>
        <v>-87.333333333333329</v>
      </c>
      <c r="E131" s="63">
        <f>VLOOKUP(Table1[[#This Row],[Date]],Database!A:D,4,)</f>
        <v>4</v>
      </c>
      <c r="F131" s="63">
        <f>VLOOKUP(Table1[[#This Row],[Date]],Database!A:D,2,)</f>
        <v>59.1</v>
      </c>
      <c r="G131" s="57"/>
    </row>
    <row r="132" spans="1:7" x14ac:dyDescent="0.2">
      <c r="A132" s="56">
        <v>17899</v>
      </c>
      <c r="B132" s="26">
        <f>VLOOKUP(Table1[[#This Row],[Date]],Database!A:D,3,)</f>
        <v>44668</v>
      </c>
      <c r="C132" s="27">
        <f t="shared" si="2"/>
        <v>-364</v>
      </c>
      <c r="D132" s="27">
        <f t="shared" si="3"/>
        <v>-192.33333333333334</v>
      </c>
      <c r="E132" s="63">
        <f>VLOOKUP(Table1[[#This Row],[Date]],Database!A:D,4,)</f>
        <v>4.3</v>
      </c>
      <c r="F132" s="63">
        <f>VLOOKUP(Table1[[#This Row],[Date]],Database!A:D,2,)</f>
        <v>58.7</v>
      </c>
      <c r="G132" s="57"/>
    </row>
    <row r="133" spans="1:7" x14ac:dyDescent="0.2">
      <c r="A133" s="56">
        <v>17930</v>
      </c>
      <c r="B133" s="26">
        <f>VLOOKUP(Table1[[#This Row],[Date]],Database!A:D,3,)</f>
        <v>44497</v>
      </c>
      <c r="C133" s="27">
        <f t="shared" si="2"/>
        <v>-171</v>
      </c>
      <c r="D133" s="27">
        <f t="shared" si="3"/>
        <v>-231.66666666666666</v>
      </c>
      <c r="E133" s="63">
        <f>VLOOKUP(Table1[[#This Row],[Date]],Database!A:D,4,)</f>
        <v>4.7</v>
      </c>
      <c r="F133" s="63">
        <f>VLOOKUP(Table1[[#This Row],[Date]],Database!A:D,2,)</f>
        <v>59</v>
      </c>
      <c r="G133" s="57"/>
    </row>
    <row r="134" spans="1:7" x14ac:dyDescent="0.2">
      <c r="A134" s="56">
        <v>17958</v>
      </c>
      <c r="B134" s="26">
        <f>VLOOKUP(Table1[[#This Row],[Date]],Database!A:D,3,)</f>
        <v>44240</v>
      </c>
      <c r="C134" s="27">
        <f t="shared" si="2"/>
        <v>-257</v>
      </c>
      <c r="D134" s="27">
        <f t="shared" si="3"/>
        <v>-264</v>
      </c>
      <c r="E134" s="63">
        <f>VLOOKUP(Table1[[#This Row],[Date]],Database!A:D,4,)</f>
        <v>5</v>
      </c>
      <c r="F134" s="63">
        <f>VLOOKUP(Table1[[#This Row],[Date]],Database!A:D,2,)</f>
        <v>58.9</v>
      </c>
      <c r="G134" s="57"/>
    </row>
    <row r="135" spans="1:7" x14ac:dyDescent="0.2">
      <c r="A135" s="56">
        <v>17989</v>
      </c>
      <c r="B135" s="26">
        <f>VLOOKUP(Table1[[#This Row],[Date]],Database!A:D,3,)</f>
        <v>44236</v>
      </c>
      <c r="C135" s="27">
        <f t="shared" si="2"/>
        <v>-4</v>
      </c>
      <c r="D135" s="27">
        <f t="shared" si="3"/>
        <v>-144</v>
      </c>
      <c r="E135" s="63">
        <f>VLOOKUP(Table1[[#This Row],[Date]],Database!A:D,4,)</f>
        <v>5.3</v>
      </c>
      <c r="F135" s="63">
        <f>VLOOKUP(Table1[[#This Row],[Date]],Database!A:D,2,)</f>
        <v>58.8</v>
      </c>
      <c r="G135" s="57"/>
    </row>
    <row r="136" spans="1:7" x14ac:dyDescent="0.2">
      <c r="A136" s="56">
        <v>18019</v>
      </c>
      <c r="B136" s="26">
        <f>VLOOKUP(Table1[[#This Row],[Date]],Database!A:D,3,)</f>
        <v>43984</v>
      </c>
      <c r="C136" s="27">
        <f t="shared" si="2"/>
        <v>-252</v>
      </c>
      <c r="D136" s="27">
        <f t="shared" si="3"/>
        <v>-171</v>
      </c>
      <c r="E136" s="63">
        <f>VLOOKUP(Table1[[#This Row],[Date]],Database!A:D,4,)</f>
        <v>6.1</v>
      </c>
      <c r="F136" s="63">
        <f>VLOOKUP(Table1[[#This Row],[Date]],Database!A:D,2,)</f>
        <v>59</v>
      </c>
      <c r="G136" s="57"/>
    </row>
    <row r="137" spans="1:7" x14ac:dyDescent="0.2">
      <c r="A137" s="56">
        <v>18050</v>
      </c>
      <c r="B137" s="26">
        <f>VLOOKUP(Table1[[#This Row],[Date]],Database!A:D,3,)</f>
        <v>43739</v>
      </c>
      <c r="C137" s="27">
        <f t="shared" si="2"/>
        <v>-245</v>
      </c>
      <c r="D137" s="27">
        <f t="shared" si="3"/>
        <v>-167</v>
      </c>
      <c r="E137" s="63">
        <f>VLOOKUP(Table1[[#This Row],[Date]],Database!A:D,4,)</f>
        <v>6.2</v>
      </c>
      <c r="F137" s="63">
        <f>VLOOKUP(Table1[[#This Row],[Date]],Database!A:D,2,)</f>
        <v>58.6</v>
      </c>
      <c r="G137" s="57"/>
    </row>
    <row r="138" spans="1:7" x14ac:dyDescent="0.2">
      <c r="A138" s="56">
        <v>18080</v>
      </c>
      <c r="B138" s="26">
        <f>VLOOKUP(Table1[[#This Row],[Date]],Database!A:D,3,)</f>
        <v>43531</v>
      </c>
      <c r="C138" s="27">
        <f t="shared" si="2"/>
        <v>-208</v>
      </c>
      <c r="D138" s="27">
        <f t="shared" si="3"/>
        <v>-235</v>
      </c>
      <c r="E138" s="63">
        <f>VLOOKUP(Table1[[#This Row],[Date]],Database!A:D,4,)</f>
        <v>6.7</v>
      </c>
      <c r="F138" s="63">
        <f>VLOOKUP(Table1[[#This Row],[Date]],Database!A:D,2,)</f>
        <v>58.9</v>
      </c>
      <c r="G138" s="57"/>
    </row>
    <row r="139" spans="1:7" x14ac:dyDescent="0.2">
      <c r="A139" s="56">
        <v>18111</v>
      </c>
      <c r="B139" s="26">
        <f>VLOOKUP(Table1[[#This Row],[Date]],Database!A:D,3,)</f>
        <v>43624</v>
      </c>
      <c r="C139" s="27">
        <f t="shared" si="2"/>
        <v>93</v>
      </c>
      <c r="D139" s="27">
        <f t="shared" si="3"/>
        <v>-120</v>
      </c>
      <c r="E139" s="63">
        <f>VLOOKUP(Table1[[#This Row],[Date]],Database!A:D,4,)</f>
        <v>6.8</v>
      </c>
      <c r="F139" s="63">
        <f>VLOOKUP(Table1[[#This Row],[Date]],Database!A:D,2,)</f>
        <v>59.2</v>
      </c>
      <c r="G139" s="57"/>
    </row>
    <row r="140" spans="1:7" x14ac:dyDescent="0.2">
      <c r="A140" s="56">
        <v>18142</v>
      </c>
      <c r="B140" s="26">
        <f>VLOOKUP(Table1[[#This Row],[Date]],Database!A:D,3,)</f>
        <v>43780</v>
      </c>
      <c r="C140" s="27">
        <f t="shared" si="2"/>
        <v>156</v>
      </c>
      <c r="D140" s="27">
        <f t="shared" si="3"/>
        <v>13.666666666666666</v>
      </c>
      <c r="E140" s="63">
        <f>VLOOKUP(Table1[[#This Row],[Date]],Database!A:D,4,)</f>
        <v>6.6</v>
      </c>
      <c r="F140" s="63">
        <f>VLOOKUP(Table1[[#This Row],[Date]],Database!A:D,2,)</f>
        <v>59.1</v>
      </c>
      <c r="G140" s="57"/>
    </row>
    <row r="141" spans="1:7" x14ac:dyDescent="0.2">
      <c r="A141" s="56">
        <v>18172</v>
      </c>
      <c r="B141" s="26">
        <f>VLOOKUP(Table1[[#This Row],[Date]],Database!A:D,3,)</f>
        <v>42942</v>
      </c>
      <c r="C141" s="27">
        <f t="shared" ref="C141:C204" si="4">B141-B140</f>
        <v>-838</v>
      </c>
      <c r="D141" s="27">
        <f t="shared" si="3"/>
        <v>-196.33333333333334</v>
      </c>
      <c r="E141" s="63">
        <f>VLOOKUP(Table1[[#This Row],[Date]],Database!A:D,4,)</f>
        <v>7.9</v>
      </c>
      <c r="F141" s="63">
        <f>VLOOKUP(Table1[[#This Row],[Date]],Database!A:D,2,)</f>
        <v>59.6</v>
      </c>
      <c r="G141" s="57"/>
    </row>
    <row r="142" spans="1:7" x14ac:dyDescent="0.2">
      <c r="A142" s="56">
        <v>18203</v>
      </c>
      <c r="B142" s="26">
        <f>VLOOKUP(Table1[[#This Row],[Date]],Database!A:D,3,)</f>
        <v>43242</v>
      </c>
      <c r="C142" s="27">
        <f t="shared" si="4"/>
        <v>300</v>
      </c>
      <c r="D142" s="27">
        <f t="shared" si="3"/>
        <v>-127.33333333333333</v>
      </c>
      <c r="E142" s="63">
        <f>VLOOKUP(Table1[[#This Row],[Date]],Database!A:D,4,)</f>
        <v>6.4</v>
      </c>
      <c r="F142" s="63">
        <f>VLOOKUP(Table1[[#This Row],[Date]],Database!A:D,2,)</f>
        <v>59.4</v>
      </c>
      <c r="G142" s="57"/>
    </row>
    <row r="143" spans="1:7" x14ac:dyDescent="0.2">
      <c r="A143" s="56">
        <v>18233</v>
      </c>
      <c r="B143" s="26">
        <f>VLOOKUP(Table1[[#This Row],[Date]],Database!A:D,3,)</f>
        <v>43522</v>
      </c>
      <c r="C143" s="27">
        <f t="shared" si="4"/>
        <v>280</v>
      </c>
      <c r="D143" s="27">
        <f t="shared" ref="D143:D206" si="5">AVERAGE(C141:C143)</f>
        <v>-86</v>
      </c>
      <c r="E143" s="63">
        <f>VLOOKUP(Table1[[#This Row],[Date]],Database!A:D,4,)</f>
        <v>6.6</v>
      </c>
      <c r="F143" s="63">
        <f>VLOOKUP(Table1[[#This Row],[Date]],Database!A:D,2,)</f>
        <v>59.2</v>
      </c>
      <c r="G143" s="57"/>
    </row>
    <row r="144" spans="1:7" x14ac:dyDescent="0.2">
      <c r="A144" s="56">
        <v>18264</v>
      </c>
      <c r="B144" s="26">
        <f>VLOOKUP(Table1[[#This Row],[Date]],Database!A:D,3,)</f>
        <v>43526</v>
      </c>
      <c r="C144" s="27">
        <f t="shared" si="4"/>
        <v>4</v>
      </c>
      <c r="D144" s="27">
        <f t="shared" si="5"/>
        <v>194.66666666666666</v>
      </c>
      <c r="E144" s="63">
        <f>VLOOKUP(Table1[[#This Row],[Date]],Database!A:D,4,)</f>
        <v>6.5</v>
      </c>
      <c r="F144" s="63">
        <f>VLOOKUP(Table1[[#This Row],[Date]],Database!A:D,2,)</f>
        <v>58.9</v>
      </c>
      <c r="G144" s="57"/>
    </row>
    <row r="145" spans="1:7" x14ac:dyDescent="0.2">
      <c r="A145" s="56">
        <v>18295</v>
      </c>
      <c r="B145" s="26">
        <f>VLOOKUP(Table1[[#This Row],[Date]],Database!A:D,3,)</f>
        <v>43297</v>
      </c>
      <c r="C145" s="27">
        <f t="shared" si="4"/>
        <v>-229</v>
      </c>
      <c r="D145" s="27">
        <f t="shared" si="5"/>
        <v>18.333333333333332</v>
      </c>
      <c r="E145" s="63">
        <f>VLOOKUP(Table1[[#This Row],[Date]],Database!A:D,4,)</f>
        <v>6.4</v>
      </c>
      <c r="F145" s="63">
        <f>VLOOKUP(Table1[[#This Row],[Date]],Database!A:D,2,)</f>
        <v>58.9</v>
      </c>
      <c r="G145" s="57"/>
    </row>
    <row r="146" spans="1:7" x14ac:dyDescent="0.2">
      <c r="A146" s="56">
        <v>18323</v>
      </c>
      <c r="B146" s="26">
        <f>VLOOKUP(Table1[[#This Row],[Date]],Database!A:D,3,)</f>
        <v>43954</v>
      </c>
      <c r="C146" s="27">
        <f t="shared" si="4"/>
        <v>657</v>
      </c>
      <c r="D146" s="27">
        <f t="shared" si="5"/>
        <v>144</v>
      </c>
      <c r="E146" s="63">
        <f>VLOOKUP(Table1[[#This Row],[Date]],Database!A:D,4,)</f>
        <v>6.3</v>
      </c>
      <c r="F146" s="63">
        <f>VLOOKUP(Table1[[#This Row],[Date]],Database!A:D,2,)</f>
        <v>58.8</v>
      </c>
      <c r="G146" s="57"/>
    </row>
    <row r="147" spans="1:7" x14ac:dyDescent="0.2">
      <c r="A147" s="56">
        <v>18354</v>
      </c>
      <c r="B147" s="26">
        <f>VLOOKUP(Table1[[#This Row],[Date]],Database!A:D,3,)</f>
        <v>44382</v>
      </c>
      <c r="C147" s="27">
        <f t="shared" si="4"/>
        <v>428</v>
      </c>
      <c r="D147" s="27">
        <f t="shared" si="5"/>
        <v>285.33333333333331</v>
      </c>
      <c r="E147" s="63">
        <f>VLOOKUP(Table1[[#This Row],[Date]],Database!A:D,4,)</f>
        <v>5.8</v>
      </c>
      <c r="F147" s="63">
        <f>VLOOKUP(Table1[[#This Row],[Date]],Database!A:D,2,)</f>
        <v>59.2</v>
      </c>
      <c r="G147" s="57"/>
    </row>
    <row r="148" spans="1:7" x14ac:dyDescent="0.2">
      <c r="A148" s="56">
        <v>18384</v>
      </c>
      <c r="B148" s="26">
        <f>VLOOKUP(Table1[[#This Row],[Date]],Database!A:D,3,)</f>
        <v>44718</v>
      </c>
      <c r="C148" s="27">
        <f t="shared" si="4"/>
        <v>336</v>
      </c>
      <c r="D148" s="27">
        <f t="shared" si="5"/>
        <v>473.66666666666669</v>
      </c>
      <c r="E148" s="63">
        <f>VLOOKUP(Table1[[#This Row],[Date]],Database!A:D,4,)</f>
        <v>5.5</v>
      </c>
      <c r="F148" s="63">
        <f>VLOOKUP(Table1[[#This Row],[Date]],Database!A:D,2,)</f>
        <v>59.1</v>
      </c>
      <c r="G148" s="57"/>
    </row>
    <row r="149" spans="1:7" x14ac:dyDescent="0.2">
      <c r="A149" s="56">
        <v>18415</v>
      </c>
      <c r="B149" s="26">
        <f>VLOOKUP(Table1[[#This Row],[Date]],Database!A:D,3,)</f>
        <v>45083</v>
      </c>
      <c r="C149" s="27">
        <f t="shared" si="4"/>
        <v>365</v>
      </c>
      <c r="D149" s="27">
        <f t="shared" si="5"/>
        <v>376.33333333333331</v>
      </c>
      <c r="E149" s="63">
        <f>VLOOKUP(Table1[[#This Row],[Date]],Database!A:D,4,)</f>
        <v>5.4</v>
      </c>
      <c r="F149" s="63">
        <f>VLOOKUP(Table1[[#This Row],[Date]],Database!A:D,2,)</f>
        <v>59.4</v>
      </c>
      <c r="G149" s="57"/>
    </row>
    <row r="150" spans="1:7" x14ac:dyDescent="0.2">
      <c r="A150" s="56">
        <v>18445</v>
      </c>
      <c r="B150" s="26">
        <f>VLOOKUP(Table1[[#This Row],[Date]],Database!A:D,3,)</f>
        <v>45454</v>
      </c>
      <c r="C150" s="27">
        <f t="shared" si="4"/>
        <v>371</v>
      </c>
      <c r="D150" s="27">
        <f t="shared" si="5"/>
        <v>357.33333333333331</v>
      </c>
      <c r="E150" s="63">
        <f>VLOOKUP(Table1[[#This Row],[Date]],Database!A:D,4,)</f>
        <v>5</v>
      </c>
      <c r="F150" s="63">
        <f>VLOOKUP(Table1[[#This Row],[Date]],Database!A:D,2,)</f>
        <v>59.1</v>
      </c>
      <c r="G150" s="57"/>
    </row>
    <row r="151" spans="1:7" x14ac:dyDescent="0.2">
      <c r="A151" s="56">
        <v>18476</v>
      </c>
      <c r="B151" s="26">
        <f>VLOOKUP(Table1[[#This Row],[Date]],Database!A:D,3,)</f>
        <v>46192</v>
      </c>
      <c r="C151" s="27">
        <f t="shared" si="4"/>
        <v>738</v>
      </c>
      <c r="D151" s="27">
        <f t="shared" si="5"/>
        <v>491.33333333333331</v>
      </c>
      <c r="E151" s="63">
        <f>VLOOKUP(Table1[[#This Row],[Date]],Database!A:D,4,)</f>
        <v>4.5</v>
      </c>
      <c r="F151" s="63">
        <f>VLOOKUP(Table1[[#This Row],[Date]],Database!A:D,2,)</f>
        <v>59.5</v>
      </c>
      <c r="G151" s="57"/>
    </row>
    <row r="152" spans="1:7" x14ac:dyDescent="0.2">
      <c r="A152" s="56">
        <v>18507</v>
      </c>
      <c r="B152" s="26">
        <f>VLOOKUP(Table1[[#This Row],[Date]],Database!A:D,3,)</f>
        <v>46438</v>
      </c>
      <c r="C152" s="27">
        <f t="shared" si="4"/>
        <v>246</v>
      </c>
      <c r="D152" s="27">
        <f t="shared" si="5"/>
        <v>451.66666666666669</v>
      </c>
      <c r="E152" s="63">
        <f>VLOOKUP(Table1[[#This Row],[Date]],Database!A:D,4,)</f>
        <v>4.4000000000000004</v>
      </c>
      <c r="F152" s="63">
        <f>VLOOKUP(Table1[[#This Row],[Date]],Database!A:D,2,)</f>
        <v>59.2</v>
      </c>
      <c r="G152" s="57"/>
    </row>
    <row r="153" spans="1:7" x14ac:dyDescent="0.2">
      <c r="A153" s="56">
        <v>18537</v>
      </c>
      <c r="B153" s="26">
        <f>VLOOKUP(Table1[[#This Row],[Date]],Database!A:D,3,)</f>
        <v>46706</v>
      </c>
      <c r="C153" s="27">
        <f t="shared" si="4"/>
        <v>268</v>
      </c>
      <c r="D153" s="27">
        <f t="shared" si="5"/>
        <v>417.33333333333331</v>
      </c>
      <c r="E153" s="63">
        <f>VLOOKUP(Table1[[#This Row],[Date]],Database!A:D,4,)</f>
        <v>4.2</v>
      </c>
      <c r="F153" s="63">
        <f>VLOOKUP(Table1[[#This Row],[Date]],Database!A:D,2,)</f>
        <v>59.4</v>
      </c>
      <c r="G153" s="57"/>
    </row>
    <row r="154" spans="1:7" x14ac:dyDescent="0.2">
      <c r="A154" s="56">
        <v>18568</v>
      </c>
      <c r="B154" s="26">
        <f>VLOOKUP(Table1[[#This Row],[Date]],Database!A:D,3,)</f>
        <v>46776</v>
      </c>
      <c r="C154" s="27">
        <f t="shared" si="4"/>
        <v>70</v>
      </c>
      <c r="D154" s="27">
        <f t="shared" si="5"/>
        <v>194.66666666666666</v>
      </c>
      <c r="E154" s="63">
        <f>VLOOKUP(Table1[[#This Row],[Date]],Database!A:D,4,)</f>
        <v>4.2</v>
      </c>
      <c r="F154" s="63">
        <f>VLOOKUP(Table1[[#This Row],[Date]],Database!A:D,2,)</f>
        <v>59.3</v>
      </c>
      <c r="G154" s="57"/>
    </row>
    <row r="155" spans="1:7" x14ac:dyDescent="0.2">
      <c r="A155" s="56">
        <v>18598</v>
      </c>
      <c r="B155" s="26">
        <f>VLOOKUP(Table1[[#This Row],[Date]],Database!A:D,3,)</f>
        <v>46861</v>
      </c>
      <c r="C155" s="27">
        <f t="shared" si="4"/>
        <v>85</v>
      </c>
      <c r="D155" s="27">
        <f t="shared" si="5"/>
        <v>141</v>
      </c>
      <c r="E155" s="63">
        <f>VLOOKUP(Table1[[#This Row],[Date]],Database!A:D,4,)</f>
        <v>4.3</v>
      </c>
      <c r="F155" s="63">
        <f>VLOOKUP(Table1[[#This Row],[Date]],Database!A:D,2,)</f>
        <v>59.2</v>
      </c>
      <c r="G155" s="57"/>
    </row>
    <row r="156" spans="1:7" x14ac:dyDescent="0.2">
      <c r="A156" s="56">
        <v>18629</v>
      </c>
      <c r="B156" s="26">
        <f>VLOOKUP(Table1[[#This Row],[Date]],Database!A:D,3,)</f>
        <v>47288</v>
      </c>
      <c r="C156" s="27">
        <f t="shared" si="4"/>
        <v>427</v>
      </c>
      <c r="D156" s="27">
        <f t="shared" si="5"/>
        <v>194</v>
      </c>
      <c r="E156" s="63">
        <f>VLOOKUP(Table1[[#This Row],[Date]],Database!A:D,4,)</f>
        <v>3.7</v>
      </c>
      <c r="F156" s="63">
        <f>VLOOKUP(Table1[[#This Row],[Date]],Database!A:D,2,)</f>
        <v>59.1</v>
      </c>
      <c r="G156" s="57"/>
    </row>
    <row r="157" spans="1:7" x14ac:dyDescent="0.2">
      <c r="A157" s="56">
        <v>18660</v>
      </c>
      <c r="B157" s="26">
        <f>VLOOKUP(Table1[[#This Row],[Date]],Database!A:D,3,)</f>
        <v>47577</v>
      </c>
      <c r="C157" s="27">
        <f t="shared" si="4"/>
        <v>289</v>
      </c>
      <c r="D157" s="27">
        <f t="shared" si="5"/>
        <v>267</v>
      </c>
      <c r="E157" s="63">
        <f>VLOOKUP(Table1[[#This Row],[Date]],Database!A:D,4,)</f>
        <v>3.4</v>
      </c>
      <c r="F157" s="63">
        <f>VLOOKUP(Table1[[#This Row],[Date]],Database!A:D,2,)</f>
        <v>59.1</v>
      </c>
      <c r="G157" s="57"/>
    </row>
    <row r="158" spans="1:7" x14ac:dyDescent="0.2">
      <c r="A158" s="56">
        <v>18688</v>
      </c>
      <c r="B158" s="26">
        <f>VLOOKUP(Table1[[#This Row],[Date]],Database!A:D,3,)</f>
        <v>47873</v>
      </c>
      <c r="C158" s="27">
        <f t="shared" si="4"/>
        <v>296</v>
      </c>
      <c r="D158" s="27">
        <f t="shared" si="5"/>
        <v>337.33333333333331</v>
      </c>
      <c r="E158" s="63">
        <f>VLOOKUP(Table1[[#This Row],[Date]],Database!A:D,4,)</f>
        <v>3.4</v>
      </c>
      <c r="F158" s="63">
        <f>VLOOKUP(Table1[[#This Row],[Date]],Database!A:D,2,)</f>
        <v>59.8</v>
      </c>
      <c r="G158" s="57"/>
    </row>
    <row r="159" spans="1:7" x14ac:dyDescent="0.2">
      <c r="A159" s="56">
        <v>18719</v>
      </c>
      <c r="B159" s="26">
        <f>VLOOKUP(Table1[[#This Row],[Date]],Database!A:D,3,)</f>
        <v>47861</v>
      </c>
      <c r="C159" s="27">
        <f t="shared" si="4"/>
        <v>-12</v>
      </c>
      <c r="D159" s="27">
        <f t="shared" si="5"/>
        <v>191</v>
      </c>
      <c r="E159" s="63">
        <f>VLOOKUP(Table1[[#This Row],[Date]],Database!A:D,4,)</f>
        <v>3.1</v>
      </c>
      <c r="F159" s="63">
        <f>VLOOKUP(Table1[[#This Row],[Date]],Database!A:D,2,)</f>
        <v>59.1</v>
      </c>
      <c r="G159" s="57"/>
    </row>
    <row r="160" spans="1:7" x14ac:dyDescent="0.2">
      <c r="A160" s="56">
        <v>18749</v>
      </c>
      <c r="B160" s="26">
        <f>VLOOKUP(Table1[[#This Row],[Date]],Database!A:D,3,)</f>
        <v>47952</v>
      </c>
      <c r="C160" s="27">
        <f t="shared" si="4"/>
        <v>91</v>
      </c>
      <c r="D160" s="27">
        <f t="shared" si="5"/>
        <v>125</v>
      </c>
      <c r="E160" s="63">
        <f>VLOOKUP(Table1[[#This Row],[Date]],Database!A:D,4,)</f>
        <v>3</v>
      </c>
      <c r="F160" s="63">
        <f>VLOOKUP(Table1[[#This Row],[Date]],Database!A:D,2,)</f>
        <v>59.4</v>
      </c>
      <c r="G160" s="57"/>
    </row>
    <row r="161" spans="1:7" x14ac:dyDescent="0.2">
      <c r="A161" s="56">
        <v>18780</v>
      </c>
      <c r="B161" s="26">
        <f>VLOOKUP(Table1[[#This Row],[Date]],Database!A:D,3,)</f>
        <v>48064</v>
      </c>
      <c r="C161" s="27">
        <f t="shared" si="4"/>
        <v>112</v>
      </c>
      <c r="D161" s="27">
        <f t="shared" si="5"/>
        <v>63.666666666666664</v>
      </c>
      <c r="E161" s="63">
        <f>VLOOKUP(Table1[[#This Row],[Date]],Database!A:D,4,)</f>
        <v>3.2</v>
      </c>
      <c r="F161" s="63">
        <f>VLOOKUP(Table1[[#This Row],[Date]],Database!A:D,2,)</f>
        <v>59</v>
      </c>
      <c r="G161" s="57"/>
    </row>
    <row r="162" spans="1:7" x14ac:dyDescent="0.2">
      <c r="A162" s="56">
        <v>18810</v>
      </c>
      <c r="B162" s="26">
        <f>VLOOKUP(Table1[[#This Row],[Date]],Database!A:D,3,)</f>
        <v>48061</v>
      </c>
      <c r="C162" s="27">
        <f t="shared" si="4"/>
        <v>-3</v>
      </c>
      <c r="D162" s="27">
        <f t="shared" si="5"/>
        <v>66.666666666666671</v>
      </c>
      <c r="E162" s="63">
        <f>VLOOKUP(Table1[[#This Row],[Date]],Database!A:D,4,)</f>
        <v>3.1</v>
      </c>
      <c r="F162" s="63">
        <f>VLOOKUP(Table1[[#This Row],[Date]],Database!A:D,2,)</f>
        <v>59.4</v>
      </c>
      <c r="G162" s="57"/>
    </row>
    <row r="163" spans="1:7" x14ac:dyDescent="0.2">
      <c r="A163" s="56">
        <v>18841</v>
      </c>
      <c r="B163" s="26">
        <f>VLOOKUP(Table1[[#This Row],[Date]],Database!A:D,3,)</f>
        <v>48012</v>
      </c>
      <c r="C163" s="27">
        <f t="shared" si="4"/>
        <v>-49</v>
      </c>
      <c r="D163" s="27">
        <f t="shared" si="5"/>
        <v>20</v>
      </c>
      <c r="E163" s="63">
        <f>VLOOKUP(Table1[[#This Row],[Date]],Database!A:D,4,)</f>
        <v>3.1</v>
      </c>
      <c r="F163" s="63">
        <f>VLOOKUP(Table1[[#This Row],[Date]],Database!A:D,2,)</f>
        <v>59.2</v>
      </c>
      <c r="G163" s="57"/>
    </row>
    <row r="164" spans="1:7" x14ac:dyDescent="0.2">
      <c r="A164" s="56">
        <v>18872</v>
      </c>
      <c r="B164" s="26">
        <f>VLOOKUP(Table1[[#This Row],[Date]],Database!A:D,3,)</f>
        <v>47954</v>
      </c>
      <c r="C164" s="27">
        <f t="shared" si="4"/>
        <v>-58</v>
      </c>
      <c r="D164" s="27">
        <f t="shared" si="5"/>
        <v>-36.666666666666664</v>
      </c>
      <c r="E164" s="63">
        <f>VLOOKUP(Table1[[#This Row],[Date]],Database!A:D,4,)</f>
        <v>3.3</v>
      </c>
      <c r="F164" s="63">
        <f>VLOOKUP(Table1[[#This Row],[Date]],Database!A:D,2,)</f>
        <v>59.1</v>
      </c>
      <c r="G164" s="57"/>
    </row>
    <row r="165" spans="1:7" x14ac:dyDescent="0.2">
      <c r="A165" s="56">
        <v>18902</v>
      </c>
      <c r="B165" s="26">
        <f>VLOOKUP(Table1[[#This Row],[Date]],Database!A:D,3,)</f>
        <v>48006</v>
      </c>
      <c r="C165" s="27">
        <f t="shared" si="4"/>
        <v>52</v>
      </c>
      <c r="D165" s="27">
        <f t="shared" si="5"/>
        <v>-18.333333333333332</v>
      </c>
      <c r="E165" s="63">
        <f>VLOOKUP(Table1[[#This Row],[Date]],Database!A:D,4,)</f>
        <v>3.5</v>
      </c>
      <c r="F165" s="63">
        <f>VLOOKUP(Table1[[#This Row],[Date]],Database!A:D,2,)</f>
        <v>59.4</v>
      </c>
      <c r="G165" s="57"/>
    </row>
    <row r="166" spans="1:7" x14ac:dyDescent="0.2">
      <c r="A166" s="56">
        <v>18933</v>
      </c>
      <c r="B166" s="26">
        <f>VLOOKUP(Table1[[#This Row],[Date]],Database!A:D,3,)</f>
        <v>48147</v>
      </c>
      <c r="C166" s="27">
        <f t="shared" si="4"/>
        <v>141</v>
      </c>
      <c r="D166" s="27">
        <f t="shared" si="5"/>
        <v>45</v>
      </c>
      <c r="E166" s="63">
        <f>VLOOKUP(Table1[[#This Row],[Date]],Database!A:D,4,)</f>
        <v>3.5</v>
      </c>
      <c r="F166" s="63">
        <f>VLOOKUP(Table1[[#This Row],[Date]],Database!A:D,2,)</f>
        <v>59.2</v>
      </c>
      <c r="G166" s="57"/>
    </row>
    <row r="167" spans="1:7" x14ac:dyDescent="0.2">
      <c r="A167" s="56">
        <v>18963</v>
      </c>
      <c r="B167" s="26">
        <f>VLOOKUP(Table1[[#This Row],[Date]],Database!A:D,3,)</f>
        <v>48314</v>
      </c>
      <c r="C167" s="27">
        <f t="shared" si="4"/>
        <v>167</v>
      </c>
      <c r="D167" s="27">
        <f t="shared" si="5"/>
        <v>120</v>
      </c>
      <c r="E167" s="63">
        <f>VLOOKUP(Table1[[#This Row],[Date]],Database!A:D,4,)</f>
        <v>3.1</v>
      </c>
      <c r="F167" s="63">
        <f>VLOOKUP(Table1[[#This Row],[Date]],Database!A:D,2,)</f>
        <v>59.6</v>
      </c>
      <c r="G167" s="57"/>
    </row>
    <row r="168" spans="1:7" x14ac:dyDescent="0.2">
      <c r="A168" s="56">
        <v>18994</v>
      </c>
      <c r="B168" s="26">
        <f>VLOOKUP(Table1[[#This Row],[Date]],Database!A:D,3,)</f>
        <v>48296</v>
      </c>
      <c r="C168" s="27">
        <f t="shared" si="4"/>
        <v>-18</v>
      </c>
      <c r="D168" s="27">
        <f t="shared" si="5"/>
        <v>96.666666666666671</v>
      </c>
      <c r="E168" s="63">
        <f>VLOOKUP(Table1[[#This Row],[Date]],Database!A:D,4,)</f>
        <v>3.2</v>
      </c>
      <c r="F168" s="63">
        <f>VLOOKUP(Table1[[#This Row],[Date]],Database!A:D,2,)</f>
        <v>59.5</v>
      </c>
      <c r="G168" s="57"/>
    </row>
    <row r="169" spans="1:7" x14ac:dyDescent="0.2">
      <c r="A169" s="56">
        <v>19025</v>
      </c>
      <c r="B169" s="26">
        <f>VLOOKUP(Table1[[#This Row],[Date]],Database!A:D,3,)</f>
        <v>48522</v>
      </c>
      <c r="C169" s="27">
        <f t="shared" si="4"/>
        <v>226</v>
      </c>
      <c r="D169" s="27">
        <f t="shared" si="5"/>
        <v>125</v>
      </c>
      <c r="E169" s="63">
        <f>VLOOKUP(Table1[[#This Row],[Date]],Database!A:D,4,)</f>
        <v>3.1</v>
      </c>
      <c r="F169" s="63">
        <f>VLOOKUP(Table1[[#This Row],[Date]],Database!A:D,2,)</f>
        <v>59.5</v>
      </c>
      <c r="G169" s="57"/>
    </row>
    <row r="170" spans="1:7" x14ac:dyDescent="0.2">
      <c r="A170" s="56">
        <v>19054</v>
      </c>
      <c r="B170" s="26">
        <f>VLOOKUP(Table1[[#This Row],[Date]],Database!A:D,3,)</f>
        <v>48504</v>
      </c>
      <c r="C170" s="27">
        <f t="shared" si="4"/>
        <v>-18</v>
      </c>
      <c r="D170" s="27">
        <f t="shared" si="5"/>
        <v>63.333333333333336</v>
      </c>
      <c r="E170" s="63">
        <f>VLOOKUP(Table1[[#This Row],[Date]],Database!A:D,4,)</f>
        <v>2.9</v>
      </c>
      <c r="F170" s="63">
        <f>VLOOKUP(Table1[[#This Row],[Date]],Database!A:D,2,)</f>
        <v>58.9</v>
      </c>
      <c r="G170" s="57"/>
    </row>
    <row r="171" spans="1:7" x14ac:dyDescent="0.2">
      <c r="A171" s="56">
        <v>19085</v>
      </c>
      <c r="B171" s="26">
        <f>VLOOKUP(Table1[[#This Row],[Date]],Database!A:D,3,)</f>
        <v>48620</v>
      </c>
      <c r="C171" s="27">
        <f t="shared" si="4"/>
        <v>116</v>
      </c>
      <c r="D171" s="27">
        <f t="shared" si="5"/>
        <v>108</v>
      </c>
      <c r="E171" s="63">
        <f>VLOOKUP(Table1[[#This Row],[Date]],Database!A:D,4,)</f>
        <v>2.9</v>
      </c>
      <c r="F171" s="63">
        <f>VLOOKUP(Table1[[#This Row],[Date]],Database!A:D,2,)</f>
        <v>58.8</v>
      </c>
      <c r="G171" s="57"/>
    </row>
    <row r="172" spans="1:7" x14ac:dyDescent="0.2">
      <c r="A172" s="56">
        <v>19115</v>
      </c>
      <c r="B172" s="26">
        <f>VLOOKUP(Table1[[#This Row],[Date]],Database!A:D,3,)</f>
        <v>48642</v>
      </c>
      <c r="C172" s="27">
        <f t="shared" si="4"/>
        <v>22</v>
      </c>
      <c r="D172" s="27">
        <f t="shared" si="5"/>
        <v>40</v>
      </c>
      <c r="E172" s="63">
        <f>VLOOKUP(Table1[[#This Row],[Date]],Database!A:D,4,)</f>
        <v>3</v>
      </c>
      <c r="F172" s="63">
        <f>VLOOKUP(Table1[[#This Row],[Date]],Database!A:D,2,)</f>
        <v>59.1</v>
      </c>
      <c r="G172" s="57"/>
    </row>
    <row r="173" spans="1:7" x14ac:dyDescent="0.2">
      <c r="A173" s="56">
        <v>19146</v>
      </c>
      <c r="B173" s="26">
        <f>VLOOKUP(Table1[[#This Row],[Date]],Database!A:D,3,)</f>
        <v>48282</v>
      </c>
      <c r="C173" s="27">
        <f t="shared" si="4"/>
        <v>-360</v>
      </c>
      <c r="D173" s="27">
        <f t="shared" si="5"/>
        <v>-74</v>
      </c>
      <c r="E173" s="63">
        <f>VLOOKUP(Table1[[#This Row],[Date]],Database!A:D,4,)</f>
        <v>3</v>
      </c>
      <c r="F173" s="63">
        <f>VLOOKUP(Table1[[#This Row],[Date]],Database!A:D,2,)</f>
        <v>59.1</v>
      </c>
      <c r="G173" s="57"/>
    </row>
    <row r="174" spans="1:7" x14ac:dyDescent="0.2">
      <c r="A174" s="56">
        <v>19176</v>
      </c>
      <c r="B174" s="26">
        <f>VLOOKUP(Table1[[#This Row],[Date]],Database!A:D,3,)</f>
        <v>48143</v>
      </c>
      <c r="C174" s="27">
        <f t="shared" si="4"/>
        <v>-139</v>
      </c>
      <c r="D174" s="27">
        <f t="shared" si="5"/>
        <v>-159</v>
      </c>
      <c r="E174" s="63">
        <f>VLOOKUP(Table1[[#This Row],[Date]],Database!A:D,4,)</f>
        <v>3.2</v>
      </c>
      <c r="F174" s="63">
        <f>VLOOKUP(Table1[[#This Row],[Date]],Database!A:D,2,)</f>
        <v>58.9</v>
      </c>
      <c r="G174" s="57"/>
    </row>
    <row r="175" spans="1:7" x14ac:dyDescent="0.2">
      <c r="A175" s="56">
        <v>19207</v>
      </c>
      <c r="B175" s="26">
        <f>VLOOKUP(Table1[[#This Row],[Date]],Database!A:D,3,)</f>
        <v>48924</v>
      </c>
      <c r="C175" s="27">
        <f t="shared" si="4"/>
        <v>781</v>
      </c>
      <c r="D175" s="27">
        <f t="shared" si="5"/>
        <v>94</v>
      </c>
      <c r="E175" s="63">
        <f>VLOOKUP(Table1[[#This Row],[Date]],Database!A:D,4,)</f>
        <v>3.4</v>
      </c>
      <c r="F175" s="63">
        <f>VLOOKUP(Table1[[#This Row],[Date]],Database!A:D,2,)</f>
        <v>58.7</v>
      </c>
      <c r="G175" s="57"/>
    </row>
    <row r="176" spans="1:7" x14ac:dyDescent="0.2">
      <c r="A176" s="56">
        <v>19238</v>
      </c>
      <c r="B176" s="26">
        <f>VLOOKUP(Table1[[#This Row],[Date]],Database!A:D,3,)</f>
        <v>49320</v>
      </c>
      <c r="C176" s="27">
        <f t="shared" si="4"/>
        <v>396</v>
      </c>
      <c r="D176" s="27">
        <f t="shared" si="5"/>
        <v>346</v>
      </c>
      <c r="E176" s="63">
        <f>VLOOKUP(Table1[[#This Row],[Date]],Database!A:D,4,)</f>
        <v>3.1</v>
      </c>
      <c r="F176" s="63">
        <f>VLOOKUP(Table1[[#This Row],[Date]],Database!A:D,2,)</f>
        <v>59.2</v>
      </c>
      <c r="G176" s="57"/>
    </row>
    <row r="177" spans="1:7" x14ac:dyDescent="0.2">
      <c r="A177" s="56">
        <v>19268</v>
      </c>
      <c r="B177" s="26">
        <f>VLOOKUP(Table1[[#This Row],[Date]],Database!A:D,3,)</f>
        <v>49597</v>
      </c>
      <c r="C177" s="27">
        <f t="shared" si="4"/>
        <v>277</v>
      </c>
      <c r="D177" s="27">
        <f t="shared" si="5"/>
        <v>484.66666666666669</v>
      </c>
      <c r="E177" s="63">
        <f>VLOOKUP(Table1[[#This Row],[Date]],Database!A:D,4,)</f>
        <v>3</v>
      </c>
      <c r="F177" s="63">
        <f>VLOOKUP(Table1[[#This Row],[Date]],Database!A:D,2,)</f>
        <v>58.7</v>
      </c>
      <c r="G177" s="57"/>
    </row>
    <row r="178" spans="1:7" x14ac:dyDescent="0.2">
      <c r="A178" s="56">
        <v>19299</v>
      </c>
      <c r="B178" s="26">
        <f>VLOOKUP(Table1[[#This Row],[Date]],Database!A:D,3,)</f>
        <v>49816</v>
      </c>
      <c r="C178" s="27">
        <f t="shared" si="4"/>
        <v>219</v>
      </c>
      <c r="D178" s="27">
        <f t="shared" si="5"/>
        <v>297.33333333333331</v>
      </c>
      <c r="E178" s="63">
        <f>VLOOKUP(Table1[[#This Row],[Date]],Database!A:D,4,)</f>
        <v>2.8</v>
      </c>
      <c r="F178" s="63">
        <f>VLOOKUP(Table1[[#This Row],[Date]],Database!A:D,2,)</f>
        <v>59.1</v>
      </c>
      <c r="G178" s="57"/>
    </row>
    <row r="179" spans="1:7" x14ac:dyDescent="0.2">
      <c r="A179" s="56">
        <v>19329</v>
      </c>
      <c r="B179" s="26">
        <f>VLOOKUP(Table1[[#This Row],[Date]],Database!A:D,3,)</f>
        <v>50166</v>
      </c>
      <c r="C179" s="27">
        <f t="shared" si="4"/>
        <v>350</v>
      </c>
      <c r="D179" s="27">
        <f t="shared" si="5"/>
        <v>282</v>
      </c>
      <c r="E179" s="63">
        <f>VLOOKUP(Table1[[#This Row],[Date]],Database!A:D,4,)</f>
        <v>2.7</v>
      </c>
      <c r="F179" s="63">
        <f>VLOOKUP(Table1[[#This Row],[Date]],Database!A:D,2,)</f>
        <v>59.2</v>
      </c>
      <c r="G179" s="57"/>
    </row>
    <row r="180" spans="1:7" x14ac:dyDescent="0.2">
      <c r="A180" s="56">
        <v>19360</v>
      </c>
      <c r="B180" s="26">
        <f>VLOOKUP(Table1[[#This Row],[Date]],Database!A:D,3,)</f>
        <v>50144</v>
      </c>
      <c r="C180" s="27">
        <f t="shared" si="4"/>
        <v>-22</v>
      </c>
      <c r="D180" s="27">
        <f t="shared" si="5"/>
        <v>182.33333333333334</v>
      </c>
      <c r="E180" s="63">
        <f>VLOOKUP(Table1[[#This Row],[Date]],Database!A:D,4,)</f>
        <v>2.9</v>
      </c>
      <c r="F180" s="63">
        <f>VLOOKUP(Table1[[#This Row],[Date]],Database!A:D,2,)</f>
        <v>59.5</v>
      </c>
      <c r="G180" s="57"/>
    </row>
    <row r="181" spans="1:7" x14ac:dyDescent="0.2">
      <c r="A181" s="56">
        <v>19391</v>
      </c>
      <c r="B181" s="26">
        <f>VLOOKUP(Table1[[#This Row],[Date]],Database!A:D,3,)</f>
        <v>50339</v>
      </c>
      <c r="C181" s="27">
        <f t="shared" si="4"/>
        <v>195</v>
      </c>
      <c r="D181" s="27">
        <f t="shared" si="5"/>
        <v>174.33333333333334</v>
      </c>
      <c r="E181" s="63">
        <f>VLOOKUP(Table1[[#This Row],[Date]],Database!A:D,4,)</f>
        <v>2.6</v>
      </c>
      <c r="F181" s="63">
        <f>VLOOKUP(Table1[[#This Row],[Date]],Database!A:D,2,)</f>
        <v>59.5</v>
      </c>
      <c r="G181" s="57"/>
    </row>
    <row r="182" spans="1:7" x14ac:dyDescent="0.2">
      <c r="A182" s="56">
        <v>19419</v>
      </c>
      <c r="B182" s="26">
        <f>VLOOKUP(Table1[[#This Row],[Date]],Database!A:D,3,)</f>
        <v>50473</v>
      </c>
      <c r="C182" s="27">
        <f t="shared" si="4"/>
        <v>134</v>
      </c>
      <c r="D182" s="27">
        <f t="shared" si="5"/>
        <v>102.33333333333333</v>
      </c>
      <c r="E182" s="63">
        <f>VLOOKUP(Table1[[#This Row],[Date]],Database!A:D,4,)</f>
        <v>2.6</v>
      </c>
      <c r="F182" s="63">
        <f>VLOOKUP(Table1[[#This Row],[Date]],Database!A:D,2,)</f>
        <v>59.6</v>
      </c>
      <c r="G182" s="57"/>
    </row>
    <row r="183" spans="1:7" x14ac:dyDescent="0.2">
      <c r="A183" s="56">
        <v>19450</v>
      </c>
      <c r="B183" s="26">
        <f>VLOOKUP(Table1[[#This Row],[Date]],Database!A:D,3,)</f>
        <v>50435</v>
      </c>
      <c r="C183" s="27">
        <f t="shared" si="4"/>
        <v>-38</v>
      </c>
      <c r="D183" s="27">
        <f t="shared" si="5"/>
        <v>97</v>
      </c>
      <c r="E183" s="63">
        <f>VLOOKUP(Table1[[#This Row],[Date]],Database!A:D,4,)</f>
        <v>2.7</v>
      </c>
      <c r="F183" s="63">
        <f>VLOOKUP(Table1[[#This Row],[Date]],Database!A:D,2,)</f>
        <v>59.1</v>
      </c>
      <c r="G183" s="57"/>
    </row>
    <row r="184" spans="1:7" x14ac:dyDescent="0.2">
      <c r="A184" s="56">
        <v>19480</v>
      </c>
      <c r="B184" s="26">
        <f>VLOOKUP(Table1[[#This Row],[Date]],Database!A:D,3,)</f>
        <v>50490</v>
      </c>
      <c r="C184" s="27">
        <f t="shared" si="4"/>
        <v>55</v>
      </c>
      <c r="D184" s="27">
        <f t="shared" si="5"/>
        <v>50.333333333333336</v>
      </c>
      <c r="E184" s="63">
        <f>VLOOKUP(Table1[[#This Row],[Date]],Database!A:D,4,)</f>
        <v>2.5</v>
      </c>
      <c r="F184" s="63">
        <f>VLOOKUP(Table1[[#This Row],[Date]],Database!A:D,2,)</f>
        <v>58.6</v>
      </c>
      <c r="G184" s="57"/>
    </row>
    <row r="185" spans="1:7" x14ac:dyDescent="0.2">
      <c r="A185" s="56">
        <v>19511</v>
      </c>
      <c r="B185" s="26">
        <f>VLOOKUP(Table1[[#This Row],[Date]],Database!A:D,3,)</f>
        <v>50519</v>
      </c>
      <c r="C185" s="27">
        <f t="shared" si="4"/>
        <v>29</v>
      </c>
      <c r="D185" s="27">
        <f t="shared" si="5"/>
        <v>15.333333333333334</v>
      </c>
      <c r="E185" s="63">
        <f>VLOOKUP(Table1[[#This Row],[Date]],Database!A:D,4,)</f>
        <v>2.5</v>
      </c>
      <c r="F185" s="63">
        <f>VLOOKUP(Table1[[#This Row],[Date]],Database!A:D,2,)</f>
        <v>58.9</v>
      </c>
      <c r="G185" s="57"/>
    </row>
    <row r="186" spans="1:7" x14ac:dyDescent="0.2">
      <c r="A186" s="56">
        <v>19541</v>
      </c>
      <c r="B186" s="26">
        <f>VLOOKUP(Table1[[#This Row],[Date]],Database!A:D,3,)</f>
        <v>50536</v>
      </c>
      <c r="C186" s="27">
        <f t="shared" si="4"/>
        <v>17</v>
      </c>
      <c r="D186" s="27">
        <f t="shared" si="5"/>
        <v>33.666666666666664</v>
      </c>
      <c r="E186" s="63">
        <f>VLOOKUP(Table1[[#This Row],[Date]],Database!A:D,4,)</f>
        <v>2.6</v>
      </c>
      <c r="F186" s="63">
        <f>VLOOKUP(Table1[[#This Row],[Date]],Database!A:D,2,)</f>
        <v>58.9</v>
      </c>
      <c r="G186" s="57"/>
    </row>
    <row r="187" spans="1:7" x14ac:dyDescent="0.2">
      <c r="A187" s="56">
        <v>19572</v>
      </c>
      <c r="B187" s="26">
        <f>VLOOKUP(Table1[[#This Row],[Date]],Database!A:D,3,)</f>
        <v>50489</v>
      </c>
      <c r="C187" s="27">
        <f t="shared" si="4"/>
        <v>-47</v>
      </c>
      <c r="D187" s="27">
        <f t="shared" si="5"/>
        <v>-0.33333333333333331</v>
      </c>
      <c r="E187" s="63">
        <f>VLOOKUP(Table1[[#This Row],[Date]],Database!A:D,4,)</f>
        <v>2.7</v>
      </c>
      <c r="F187" s="63">
        <f>VLOOKUP(Table1[[#This Row],[Date]],Database!A:D,2,)</f>
        <v>58.6</v>
      </c>
      <c r="G187" s="57"/>
    </row>
    <row r="188" spans="1:7" x14ac:dyDescent="0.2">
      <c r="A188" s="56">
        <v>19603</v>
      </c>
      <c r="B188" s="26">
        <f>VLOOKUP(Table1[[#This Row],[Date]],Database!A:D,3,)</f>
        <v>50368</v>
      </c>
      <c r="C188" s="27">
        <f t="shared" si="4"/>
        <v>-121</v>
      </c>
      <c r="D188" s="27">
        <f t="shared" si="5"/>
        <v>-50.333333333333336</v>
      </c>
      <c r="E188" s="63">
        <f>VLOOKUP(Table1[[#This Row],[Date]],Database!A:D,4,)</f>
        <v>2.9</v>
      </c>
      <c r="F188" s="63">
        <f>VLOOKUP(Table1[[#This Row],[Date]],Database!A:D,2,)</f>
        <v>58.5</v>
      </c>
      <c r="G188" s="57"/>
    </row>
    <row r="189" spans="1:7" x14ac:dyDescent="0.2">
      <c r="A189" s="56">
        <v>19633</v>
      </c>
      <c r="B189" s="26">
        <f>VLOOKUP(Table1[[#This Row],[Date]],Database!A:D,3,)</f>
        <v>50240</v>
      </c>
      <c r="C189" s="27">
        <f t="shared" si="4"/>
        <v>-128</v>
      </c>
      <c r="D189" s="27">
        <f t="shared" si="5"/>
        <v>-98.666666666666671</v>
      </c>
      <c r="E189" s="63">
        <f>VLOOKUP(Table1[[#This Row],[Date]],Database!A:D,4,)</f>
        <v>3.1</v>
      </c>
      <c r="F189" s="63">
        <f>VLOOKUP(Table1[[#This Row],[Date]],Database!A:D,2,)</f>
        <v>58.5</v>
      </c>
      <c r="G189" s="57"/>
    </row>
    <row r="190" spans="1:7" x14ac:dyDescent="0.2">
      <c r="A190" s="56">
        <v>19664</v>
      </c>
      <c r="B190" s="26">
        <f>VLOOKUP(Table1[[#This Row],[Date]],Database!A:D,3,)</f>
        <v>49908</v>
      </c>
      <c r="C190" s="27">
        <f t="shared" si="4"/>
        <v>-332</v>
      </c>
      <c r="D190" s="27">
        <f t="shared" si="5"/>
        <v>-193.66666666666666</v>
      </c>
      <c r="E190" s="63">
        <f>VLOOKUP(Table1[[#This Row],[Date]],Database!A:D,4,)</f>
        <v>3.5</v>
      </c>
      <c r="F190" s="63">
        <f>VLOOKUP(Table1[[#This Row],[Date]],Database!A:D,2,)</f>
        <v>58.6</v>
      </c>
      <c r="G190" s="57"/>
    </row>
    <row r="191" spans="1:7" x14ac:dyDescent="0.2">
      <c r="A191" s="56">
        <v>19694</v>
      </c>
      <c r="B191" s="26">
        <f>VLOOKUP(Table1[[#This Row],[Date]],Database!A:D,3,)</f>
        <v>49703</v>
      </c>
      <c r="C191" s="27">
        <f t="shared" si="4"/>
        <v>-205</v>
      </c>
      <c r="D191" s="27">
        <f t="shared" si="5"/>
        <v>-221.66666666666666</v>
      </c>
      <c r="E191" s="63">
        <f>VLOOKUP(Table1[[#This Row],[Date]],Database!A:D,4,)</f>
        <v>4.5</v>
      </c>
      <c r="F191" s="63">
        <f>VLOOKUP(Table1[[#This Row],[Date]],Database!A:D,2,)</f>
        <v>58.3</v>
      </c>
      <c r="G191" s="57"/>
    </row>
    <row r="192" spans="1:7" x14ac:dyDescent="0.2">
      <c r="A192" s="56">
        <v>19725</v>
      </c>
      <c r="B192" s="26">
        <f>VLOOKUP(Table1[[#This Row],[Date]],Database!A:D,3,)</f>
        <v>49469</v>
      </c>
      <c r="C192" s="27">
        <f t="shared" si="4"/>
        <v>-234</v>
      </c>
      <c r="D192" s="27">
        <f t="shared" si="5"/>
        <v>-257</v>
      </c>
      <c r="E192" s="63">
        <f>VLOOKUP(Table1[[#This Row],[Date]],Database!A:D,4,)</f>
        <v>4.9000000000000004</v>
      </c>
      <c r="F192" s="63">
        <f>VLOOKUP(Table1[[#This Row],[Date]],Database!A:D,2,)</f>
        <v>58.6</v>
      </c>
      <c r="G192" s="57"/>
    </row>
    <row r="193" spans="1:7" x14ac:dyDescent="0.2">
      <c r="A193" s="56">
        <v>19756</v>
      </c>
      <c r="B193" s="26">
        <f>VLOOKUP(Table1[[#This Row],[Date]],Database!A:D,3,)</f>
        <v>49382</v>
      </c>
      <c r="C193" s="27">
        <f t="shared" si="4"/>
        <v>-87</v>
      </c>
      <c r="D193" s="27">
        <f t="shared" si="5"/>
        <v>-175.33333333333334</v>
      </c>
      <c r="E193" s="63">
        <f>VLOOKUP(Table1[[#This Row],[Date]],Database!A:D,4,)</f>
        <v>5.2</v>
      </c>
      <c r="F193" s="63">
        <f>VLOOKUP(Table1[[#This Row],[Date]],Database!A:D,2,)</f>
        <v>59.3</v>
      </c>
      <c r="G193" s="57"/>
    </row>
    <row r="194" spans="1:7" x14ac:dyDescent="0.2">
      <c r="A194" s="56">
        <v>19784</v>
      </c>
      <c r="B194" s="26">
        <f>VLOOKUP(Table1[[#This Row],[Date]],Database!A:D,3,)</f>
        <v>49157</v>
      </c>
      <c r="C194" s="27">
        <f t="shared" si="4"/>
        <v>-225</v>
      </c>
      <c r="D194" s="27">
        <f t="shared" si="5"/>
        <v>-182</v>
      </c>
      <c r="E194" s="63">
        <f>VLOOKUP(Table1[[#This Row],[Date]],Database!A:D,4,)</f>
        <v>5.7</v>
      </c>
      <c r="F194" s="63">
        <f>VLOOKUP(Table1[[#This Row],[Date]],Database!A:D,2,)</f>
        <v>59.1</v>
      </c>
      <c r="G194" s="57"/>
    </row>
    <row r="195" spans="1:7" x14ac:dyDescent="0.2">
      <c r="A195" s="56">
        <v>19815</v>
      </c>
      <c r="B195" s="26">
        <f>VLOOKUP(Table1[[#This Row],[Date]],Database!A:D,3,)</f>
        <v>49179</v>
      </c>
      <c r="C195" s="27">
        <f t="shared" si="4"/>
        <v>22</v>
      </c>
      <c r="D195" s="27">
        <f t="shared" si="5"/>
        <v>-96.666666666666671</v>
      </c>
      <c r="E195" s="63">
        <f>VLOOKUP(Table1[[#This Row],[Date]],Database!A:D,4,)</f>
        <v>5.9</v>
      </c>
      <c r="F195" s="63">
        <f>VLOOKUP(Table1[[#This Row],[Date]],Database!A:D,2,)</f>
        <v>59.2</v>
      </c>
      <c r="G195" s="57"/>
    </row>
    <row r="196" spans="1:7" x14ac:dyDescent="0.2">
      <c r="A196" s="56">
        <v>19845</v>
      </c>
      <c r="B196" s="26">
        <f>VLOOKUP(Table1[[#This Row],[Date]],Database!A:D,3,)</f>
        <v>48965</v>
      </c>
      <c r="C196" s="27">
        <f t="shared" si="4"/>
        <v>-214</v>
      </c>
      <c r="D196" s="27">
        <f t="shared" si="5"/>
        <v>-139</v>
      </c>
      <c r="E196" s="63">
        <f>VLOOKUP(Table1[[#This Row],[Date]],Database!A:D,4,)</f>
        <v>5.9</v>
      </c>
      <c r="F196" s="63">
        <f>VLOOKUP(Table1[[#This Row],[Date]],Database!A:D,2,)</f>
        <v>58.9</v>
      </c>
      <c r="G196" s="57"/>
    </row>
    <row r="197" spans="1:7" x14ac:dyDescent="0.2">
      <c r="A197" s="56">
        <v>19876</v>
      </c>
      <c r="B197" s="26">
        <f>VLOOKUP(Table1[[#This Row],[Date]],Database!A:D,3,)</f>
        <v>48895</v>
      </c>
      <c r="C197" s="27">
        <f t="shared" si="4"/>
        <v>-70</v>
      </c>
      <c r="D197" s="27">
        <f t="shared" si="5"/>
        <v>-87.333333333333329</v>
      </c>
      <c r="E197" s="63">
        <f>VLOOKUP(Table1[[#This Row],[Date]],Database!A:D,4,)</f>
        <v>5.6</v>
      </c>
      <c r="F197" s="63">
        <f>VLOOKUP(Table1[[#This Row],[Date]],Database!A:D,2,)</f>
        <v>58.5</v>
      </c>
      <c r="G197" s="57"/>
    </row>
    <row r="198" spans="1:7" x14ac:dyDescent="0.2">
      <c r="A198" s="56">
        <v>19906</v>
      </c>
      <c r="B198" s="26">
        <f>VLOOKUP(Table1[[#This Row],[Date]],Database!A:D,3,)</f>
        <v>48835</v>
      </c>
      <c r="C198" s="27">
        <f t="shared" si="4"/>
        <v>-60</v>
      </c>
      <c r="D198" s="27">
        <f t="shared" si="5"/>
        <v>-114.66666666666667</v>
      </c>
      <c r="E198" s="63">
        <f>VLOOKUP(Table1[[#This Row],[Date]],Database!A:D,4,)</f>
        <v>5.8</v>
      </c>
      <c r="F198" s="63">
        <f>VLOOKUP(Table1[[#This Row],[Date]],Database!A:D,2,)</f>
        <v>58.4</v>
      </c>
      <c r="G198" s="57"/>
    </row>
    <row r="199" spans="1:7" x14ac:dyDescent="0.2">
      <c r="A199" s="56">
        <v>19937</v>
      </c>
      <c r="B199" s="26">
        <f>VLOOKUP(Table1[[#This Row],[Date]],Database!A:D,3,)</f>
        <v>48826</v>
      </c>
      <c r="C199" s="27">
        <f t="shared" si="4"/>
        <v>-9</v>
      </c>
      <c r="D199" s="27">
        <f t="shared" si="5"/>
        <v>-46.333333333333336</v>
      </c>
      <c r="E199" s="63">
        <f>VLOOKUP(Table1[[#This Row],[Date]],Database!A:D,4,)</f>
        <v>6</v>
      </c>
      <c r="F199" s="63">
        <f>VLOOKUP(Table1[[#This Row],[Date]],Database!A:D,2,)</f>
        <v>58.7</v>
      </c>
      <c r="G199" s="57"/>
    </row>
    <row r="200" spans="1:7" x14ac:dyDescent="0.2">
      <c r="A200" s="56">
        <v>19968</v>
      </c>
      <c r="B200" s="26">
        <f>VLOOKUP(Table1[[#This Row],[Date]],Database!A:D,3,)</f>
        <v>48886</v>
      </c>
      <c r="C200" s="27">
        <f t="shared" si="4"/>
        <v>60</v>
      </c>
      <c r="D200" s="27">
        <f t="shared" si="5"/>
        <v>-3</v>
      </c>
      <c r="E200" s="63">
        <f>VLOOKUP(Table1[[#This Row],[Date]],Database!A:D,4,)</f>
        <v>6.1</v>
      </c>
      <c r="F200" s="63">
        <f>VLOOKUP(Table1[[#This Row],[Date]],Database!A:D,2,)</f>
        <v>59.2</v>
      </c>
      <c r="G200" s="57"/>
    </row>
    <row r="201" spans="1:7" x14ac:dyDescent="0.2">
      <c r="A201" s="56">
        <v>19998</v>
      </c>
      <c r="B201" s="26">
        <f>VLOOKUP(Table1[[#This Row],[Date]],Database!A:D,3,)</f>
        <v>48942</v>
      </c>
      <c r="C201" s="27">
        <f t="shared" si="4"/>
        <v>56</v>
      </c>
      <c r="D201" s="27">
        <f t="shared" si="5"/>
        <v>35.666666666666664</v>
      </c>
      <c r="E201" s="63">
        <f>VLOOKUP(Table1[[#This Row],[Date]],Database!A:D,4,)</f>
        <v>5.7</v>
      </c>
      <c r="F201" s="63">
        <f>VLOOKUP(Table1[[#This Row],[Date]],Database!A:D,2,)</f>
        <v>58.8</v>
      </c>
      <c r="G201" s="57"/>
    </row>
    <row r="202" spans="1:7" x14ac:dyDescent="0.2">
      <c r="A202" s="56">
        <v>20029</v>
      </c>
      <c r="B202" s="26">
        <f>VLOOKUP(Table1[[#This Row],[Date]],Database!A:D,3,)</f>
        <v>49180</v>
      </c>
      <c r="C202" s="27">
        <f t="shared" si="4"/>
        <v>238</v>
      </c>
      <c r="D202" s="27">
        <f t="shared" si="5"/>
        <v>118</v>
      </c>
      <c r="E202" s="63">
        <f>VLOOKUP(Table1[[#This Row],[Date]],Database!A:D,4,)</f>
        <v>5.3</v>
      </c>
      <c r="F202" s="63">
        <f>VLOOKUP(Table1[[#This Row],[Date]],Database!A:D,2,)</f>
        <v>58.6</v>
      </c>
      <c r="G202" s="57"/>
    </row>
    <row r="203" spans="1:7" x14ac:dyDescent="0.2">
      <c r="A203" s="56">
        <v>20059</v>
      </c>
      <c r="B203" s="26">
        <f>VLOOKUP(Table1[[#This Row],[Date]],Database!A:D,3,)</f>
        <v>49331</v>
      </c>
      <c r="C203" s="27">
        <f t="shared" si="4"/>
        <v>151</v>
      </c>
      <c r="D203" s="27">
        <f t="shared" si="5"/>
        <v>148.33333333333334</v>
      </c>
      <c r="E203" s="63">
        <f>VLOOKUP(Table1[[#This Row],[Date]],Database!A:D,4,)</f>
        <v>5</v>
      </c>
      <c r="F203" s="63">
        <f>VLOOKUP(Table1[[#This Row],[Date]],Database!A:D,2,)</f>
        <v>58.1</v>
      </c>
      <c r="G203" s="57"/>
    </row>
    <row r="204" spans="1:7" x14ac:dyDescent="0.2">
      <c r="A204" s="56">
        <v>20090</v>
      </c>
      <c r="B204" s="26">
        <f>VLOOKUP(Table1[[#This Row],[Date]],Database!A:D,3,)</f>
        <v>49496</v>
      </c>
      <c r="C204" s="27">
        <f t="shared" si="4"/>
        <v>165</v>
      </c>
      <c r="D204" s="27">
        <f t="shared" si="5"/>
        <v>184.66666666666666</v>
      </c>
      <c r="E204" s="63">
        <f>VLOOKUP(Table1[[#This Row],[Date]],Database!A:D,4,)</f>
        <v>4.9000000000000004</v>
      </c>
      <c r="F204" s="63">
        <f>VLOOKUP(Table1[[#This Row],[Date]],Database!A:D,2,)</f>
        <v>58.6</v>
      </c>
      <c r="G204" s="57"/>
    </row>
    <row r="205" spans="1:7" x14ac:dyDescent="0.2">
      <c r="A205" s="56">
        <v>20121</v>
      </c>
      <c r="B205" s="26">
        <f>VLOOKUP(Table1[[#This Row],[Date]],Database!A:D,3,)</f>
        <v>49644</v>
      </c>
      <c r="C205" s="27">
        <f t="shared" ref="C205:C268" si="6">B205-B204</f>
        <v>148</v>
      </c>
      <c r="D205" s="27">
        <f t="shared" si="5"/>
        <v>154.66666666666666</v>
      </c>
      <c r="E205" s="63">
        <f>VLOOKUP(Table1[[#This Row],[Date]],Database!A:D,4,)</f>
        <v>4.7</v>
      </c>
      <c r="F205" s="63">
        <f>VLOOKUP(Table1[[#This Row],[Date]],Database!A:D,2,)</f>
        <v>58.4</v>
      </c>
      <c r="G205" s="57"/>
    </row>
    <row r="206" spans="1:7" x14ac:dyDescent="0.2">
      <c r="A206" s="56">
        <v>20149</v>
      </c>
      <c r="B206" s="26">
        <f>VLOOKUP(Table1[[#This Row],[Date]],Database!A:D,3,)</f>
        <v>49962</v>
      </c>
      <c r="C206" s="27">
        <f t="shared" si="6"/>
        <v>318</v>
      </c>
      <c r="D206" s="27">
        <f t="shared" si="5"/>
        <v>210.33333333333334</v>
      </c>
      <c r="E206" s="63">
        <f>VLOOKUP(Table1[[#This Row],[Date]],Database!A:D,4,)</f>
        <v>4.5999999999999996</v>
      </c>
      <c r="F206" s="63">
        <f>VLOOKUP(Table1[[#This Row],[Date]],Database!A:D,2,)</f>
        <v>58.5</v>
      </c>
      <c r="G206" s="57"/>
    </row>
    <row r="207" spans="1:7" x14ac:dyDescent="0.2">
      <c r="A207" s="56">
        <v>20180</v>
      </c>
      <c r="B207" s="26">
        <f>VLOOKUP(Table1[[#This Row],[Date]],Database!A:D,3,)</f>
        <v>50248</v>
      </c>
      <c r="C207" s="27">
        <f t="shared" si="6"/>
        <v>286</v>
      </c>
      <c r="D207" s="27">
        <f t="shared" ref="D207:D270" si="7">AVERAGE(C205:C207)</f>
        <v>250.66666666666666</v>
      </c>
      <c r="E207" s="63">
        <f>VLOOKUP(Table1[[#This Row],[Date]],Database!A:D,4,)</f>
        <v>4.7</v>
      </c>
      <c r="F207" s="63">
        <f>VLOOKUP(Table1[[#This Row],[Date]],Database!A:D,2,)</f>
        <v>59</v>
      </c>
      <c r="G207" s="57"/>
    </row>
    <row r="208" spans="1:7" x14ac:dyDescent="0.2">
      <c r="A208" s="56">
        <v>20210</v>
      </c>
      <c r="B208" s="26">
        <f>VLOOKUP(Table1[[#This Row],[Date]],Database!A:D,3,)</f>
        <v>50512</v>
      </c>
      <c r="C208" s="27">
        <f t="shared" si="6"/>
        <v>264</v>
      </c>
      <c r="D208" s="27">
        <f t="shared" si="7"/>
        <v>289.33333333333331</v>
      </c>
      <c r="E208" s="63">
        <f>VLOOKUP(Table1[[#This Row],[Date]],Database!A:D,4,)</f>
        <v>4.3</v>
      </c>
      <c r="F208" s="63">
        <f>VLOOKUP(Table1[[#This Row],[Date]],Database!A:D,2,)</f>
        <v>58.8</v>
      </c>
      <c r="G208" s="57"/>
    </row>
    <row r="209" spans="1:7" x14ac:dyDescent="0.2">
      <c r="A209" s="56">
        <v>20241</v>
      </c>
      <c r="B209" s="26">
        <f>VLOOKUP(Table1[[#This Row],[Date]],Database!A:D,3,)</f>
        <v>50790</v>
      </c>
      <c r="C209" s="27">
        <f t="shared" si="6"/>
        <v>278</v>
      </c>
      <c r="D209" s="27">
        <f t="shared" si="7"/>
        <v>276</v>
      </c>
      <c r="E209" s="63">
        <f>VLOOKUP(Table1[[#This Row],[Date]],Database!A:D,4,)</f>
        <v>4.2</v>
      </c>
      <c r="F209" s="63">
        <f>VLOOKUP(Table1[[#This Row],[Date]],Database!A:D,2,)</f>
        <v>58.8</v>
      </c>
      <c r="G209" s="57"/>
    </row>
    <row r="210" spans="1:7" x14ac:dyDescent="0.2">
      <c r="A210" s="56">
        <v>20271</v>
      </c>
      <c r="B210" s="26">
        <f>VLOOKUP(Table1[[#This Row],[Date]],Database!A:D,3,)</f>
        <v>50987</v>
      </c>
      <c r="C210" s="27">
        <f t="shared" si="6"/>
        <v>197</v>
      </c>
      <c r="D210" s="27">
        <f t="shared" si="7"/>
        <v>246.33333333333334</v>
      </c>
      <c r="E210" s="63">
        <f>VLOOKUP(Table1[[#This Row],[Date]],Database!A:D,4,)</f>
        <v>4</v>
      </c>
      <c r="F210" s="63">
        <f>VLOOKUP(Table1[[#This Row],[Date]],Database!A:D,2,)</f>
        <v>59.3</v>
      </c>
      <c r="G210" s="57"/>
    </row>
    <row r="211" spans="1:7" x14ac:dyDescent="0.2">
      <c r="A211" s="56">
        <v>20302</v>
      </c>
      <c r="B211" s="26">
        <f>VLOOKUP(Table1[[#This Row],[Date]],Database!A:D,3,)</f>
        <v>51111</v>
      </c>
      <c r="C211" s="27">
        <f t="shared" si="6"/>
        <v>124</v>
      </c>
      <c r="D211" s="27">
        <f t="shared" si="7"/>
        <v>199.66666666666666</v>
      </c>
      <c r="E211" s="63">
        <f>VLOOKUP(Table1[[#This Row],[Date]],Database!A:D,4,)</f>
        <v>4.2</v>
      </c>
      <c r="F211" s="63">
        <f>VLOOKUP(Table1[[#This Row],[Date]],Database!A:D,2,)</f>
        <v>59.7</v>
      </c>
      <c r="G211" s="57"/>
    </row>
    <row r="212" spans="1:7" x14ac:dyDescent="0.2">
      <c r="A212" s="56">
        <v>20333</v>
      </c>
      <c r="B212" s="26">
        <f>VLOOKUP(Table1[[#This Row],[Date]],Database!A:D,3,)</f>
        <v>51266</v>
      </c>
      <c r="C212" s="27">
        <f t="shared" si="6"/>
        <v>155</v>
      </c>
      <c r="D212" s="27">
        <f t="shared" si="7"/>
        <v>158.66666666666666</v>
      </c>
      <c r="E212" s="63">
        <f>VLOOKUP(Table1[[#This Row],[Date]],Database!A:D,4,)</f>
        <v>4.0999999999999996</v>
      </c>
      <c r="F212" s="63">
        <f>VLOOKUP(Table1[[#This Row],[Date]],Database!A:D,2,)</f>
        <v>59.7</v>
      </c>
      <c r="G212" s="57"/>
    </row>
    <row r="213" spans="1:7" x14ac:dyDescent="0.2">
      <c r="A213" s="56">
        <v>20363</v>
      </c>
      <c r="B213" s="26">
        <f>VLOOKUP(Table1[[#This Row],[Date]],Database!A:D,3,)</f>
        <v>51429</v>
      </c>
      <c r="C213" s="27">
        <f t="shared" si="6"/>
        <v>163</v>
      </c>
      <c r="D213" s="27">
        <f t="shared" si="7"/>
        <v>147.33333333333334</v>
      </c>
      <c r="E213" s="63">
        <f>VLOOKUP(Table1[[#This Row],[Date]],Database!A:D,4,)</f>
        <v>4.3</v>
      </c>
      <c r="F213" s="63">
        <f>VLOOKUP(Table1[[#This Row],[Date]],Database!A:D,2,)</f>
        <v>59.8</v>
      </c>
      <c r="G213" s="57"/>
    </row>
    <row r="214" spans="1:7" x14ac:dyDescent="0.2">
      <c r="A214" s="56">
        <v>20394</v>
      </c>
      <c r="B214" s="26">
        <f>VLOOKUP(Table1[[#This Row],[Date]],Database!A:D,3,)</f>
        <v>51592</v>
      </c>
      <c r="C214" s="27">
        <f t="shared" si="6"/>
        <v>163</v>
      </c>
      <c r="D214" s="27">
        <f t="shared" si="7"/>
        <v>160.33333333333334</v>
      </c>
      <c r="E214" s="63">
        <f>VLOOKUP(Table1[[#This Row],[Date]],Database!A:D,4,)</f>
        <v>4.2</v>
      </c>
      <c r="F214" s="63">
        <f>VLOOKUP(Table1[[#This Row],[Date]],Database!A:D,2,)</f>
        <v>59.9</v>
      </c>
      <c r="G214" s="57"/>
    </row>
    <row r="215" spans="1:7" x14ac:dyDescent="0.2">
      <c r="A215" s="56">
        <v>20424</v>
      </c>
      <c r="B215" s="26">
        <f>VLOOKUP(Table1[[#This Row],[Date]],Database!A:D,3,)</f>
        <v>51805</v>
      </c>
      <c r="C215" s="27">
        <f t="shared" si="6"/>
        <v>213</v>
      </c>
      <c r="D215" s="27">
        <f t="shared" si="7"/>
        <v>179.66666666666666</v>
      </c>
      <c r="E215" s="63">
        <f>VLOOKUP(Table1[[#This Row],[Date]],Database!A:D,4,)</f>
        <v>4.2</v>
      </c>
      <c r="F215" s="63">
        <f>VLOOKUP(Table1[[#This Row],[Date]],Database!A:D,2,)</f>
        <v>60.2</v>
      </c>
      <c r="G215" s="57"/>
    </row>
    <row r="216" spans="1:7" x14ac:dyDescent="0.2">
      <c r="A216" s="56">
        <v>20455</v>
      </c>
      <c r="B216" s="26">
        <f>VLOOKUP(Table1[[#This Row],[Date]],Database!A:D,3,)</f>
        <v>51975</v>
      </c>
      <c r="C216" s="27">
        <f t="shared" si="6"/>
        <v>170</v>
      </c>
      <c r="D216" s="27">
        <f t="shared" si="7"/>
        <v>182</v>
      </c>
      <c r="E216" s="63">
        <f>VLOOKUP(Table1[[#This Row],[Date]],Database!A:D,4,)</f>
        <v>4</v>
      </c>
      <c r="F216" s="63">
        <f>VLOOKUP(Table1[[#This Row],[Date]],Database!A:D,2,)</f>
        <v>60.2</v>
      </c>
      <c r="G216" s="57"/>
    </row>
    <row r="217" spans="1:7" x14ac:dyDescent="0.2">
      <c r="A217" s="56">
        <v>20486</v>
      </c>
      <c r="B217" s="26">
        <f>VLOOKUP(Table1[[#This Row],[Date]],Database!A:D,3,)</f>
        <v>52167</v>
      </c>
      <c r="C217" s="27">
        <f t="shared" si="6"/>
        <v>192</v>
      </c>
      <c r="D217" s="27">
        <f t="shared" si="7"/>
        <v>191.66666666666666</v>
      </c>
      <c r="E217" s="63">
        <f>VLOOKUP(Table1[[#This Row],[Date]],Database!A:D,4,)</f>
        <v>3.9</v>
      </c>
      <c r="F217" s="63">
        <f>VLOOKUP(Table1[[#This Row],[Date]],Database!A:D,2,)</f>
        <v>59.9</v>
      </c>
      <c r="G217" s="57"/>
    </row>
    <row r="218" spans="1:7" x14ac:dyDescent="0.2">
      <c r="A218" s="56">
        <v>20515</v>
      </c>
      <c r="B218" s="26">
        <f>VLOOKUP(Table1[[#This Row],[Date]],Database!A:D,3,)</f>
        <v>52294</v>
      </c>
      <c r="C218" s="27">
        <f t="shared" si="6"/>
        <v>127</v>
      </c>
      <c r="D218" s="27">
        <f t="shared" si="7"/>
        <v>163</v>
      </c>
      <c r="E218" s="63">
        <f>VLOOKUP(Table1[[#This Row],[Date]],Database!A:D,4,)</f>
        <v>4.2</v>
      </c>
      <c r="F218" s="63">
        <f>VLOOKUP(Table1[[#This Row],[Date]],Database!A:D,2,)</f>
        <v>59.8</v>
      </c>
      <c r="G218" s="57"/>
    </row>
    <row r="219" spans="1:7" x14ac:dyDescent="0.2">
      <c r="A219" s="56">
        <v>20546</v>
      </c>
      <c r="B219" s="26">
        <f>VLOOKUP(Table1[[#This Row],[Date]],Database!A:D,3,)</f>
        <v>52375</v>
      </c>
      <c r="C219" s="27">
        <f t="shared" si="6"/>
        <v>81</v>
      </c>
      <c r="D219" s="27">
        <f t="shared" si="7"/>
        <v>133.33333333333334</v>
      </c>
      <c r="E219" s="63">
        <f>VLOOKUP(Table1[[#This Row],[Date]],Database!A:D,4,)</f>
        <v>4</v>
      </c>
      <c r="F219" s="63">
        <f>VLOOKUP(Table1[[#This Row],[Date]],Database!A:D,2,)</f>
        <v>59.9</v>
      </c>
      <c r="G219" s="57"/>
    </row>
    <row r="220" spans="1:7" x14ac:dyDescent="0.2">
      <c r="A220" s="56">
        <v>20576</v>
      </c>
      <c r="B220" s="26">
        <f>VLOOKUP(Table1[[#This Row],[Date]],Database!A:D,3,)</f>
        <v>52506</v>
      </c>
      <c r="C220" s="27">
        <f t="shared" si="6"/>
        <v>131</v>
      </c>
      <c r="D220" s="27">
        <f t="shared" si="7"/>
        <v>113</v>
      </c>
      <c r="E220" s="63">
        <f>VLOOKUP(Table1[[#This Row],[Date]],Database!A:D,4,)</f>
        <v>4.3</v>
      </c>
      <c r="F220" s="63">
        <f>VLOOKUP(Table1[[#This Row],[Date]],Database!A:D,2,)</f>
        <v>60.2</v>
      </c>
      <c r="G220" s="57"/>
    </row>
    <row r="221" spans="1:7" x14ac:dyDescent="0.2">
      <c r="A221" s="56">
        <v>20607</v>
      </c>
      <c r="B221" s="26">
        <f>VLOOKUP(Table1[[#This Row],[Date]],Database!A:D,3,)</f>
        <v>52586</v>
      </c>
      <c r="C221" s="27">
        <f t="shared" si="6"/>
        <v>80</v>
      </c>
      <c r="D221" s="27">
        <f t="shared" si="7"/>
        <v>97.333333333333329</v>
      </c>
      <c r="E221" s="63">
        <f>VLOOKUP(Table1[[#This Row],[Date]],Database!A:D,4,)</f>
        <v>4.3</v>
      </c>
      <c r="F221" s="63">
        <f>VLOOKUP(Table1[[#This Row],[Date]],Database!A:D,2,)</f>
        <v>60.1</v>
      </c>
      <c r="G221" s="57"/>
    </row>
    <row r="222" spans="1:7" x14ac:dyDescent="0.2">
      <c r="A222" s="56">
        <v>20637</v>
      </c>
      <c r="B222" s="26">
        <f>VLOOKUP(Table1[[#This Row],[Date]],Database!A:D,3,)</f>
        <v>51955</v>
      </c>
      <c r="C222" s="27">
        <f t="shared" si="6"/>
        <v>-631</v>
      </c>
      <c r="D222" s="27">
        <f t="shared" si="7"/>
        <v>-140</v>
      </c>
      <c r="E222" s="63">
        <f>VLOOKUP(Table1[[#This Row],[Date]],Database!A:D,4,)</f>
        <v>4.4000000000000004</v>
      </c>
      <c r="F222" s="63">
        <f>VLOOKUP(Table1[[#This Row],[Date]],Database!A:D,2,)</f>
        <v>60.1</v>
      </c>
      <c r="G222" s="57"/>
    </row>
    <row r="223" spans="1:7" x14ac:dyDescent="0.2">
      <c r="A223" s="56">
        <v>20668</v>
      </c>
      <c r="B223" s="26">
        <f>VLOOKUP(Table1[[#This Row],[Date]],Database!A:D,3,)</f>
        <v>52631</v>
      </c>
      <c r="C223" s="27">
        <f t="shared" si="6"/>
        <v>676</v>
      </c>
      <c r="D223" s="27">
        <f t="shared" si="7"/>
        <v>41.666666666666664</v>
      </c>
      <c r="E223" s="63">
        <f>VLOOKUP(Table1[[#This Row],[Date]],Database!A:D,4,)</f>
        <v>4.0999999999999996</v>
      </c>
      <c r="F223" s="63">
        <f>VLOOKUP(Table1[[#This Row],[Date]],Database!A:D,2,)</f>
        <v>60</v>
      </c>
      <c r="G223" s="57"/>
    </row>
    <row r="224" spans="1:7" x14ac:dyDescent="0.2">
      <c r="A224" s="56">
        <v>20699</v>
      </c>
      <c r="B224" s="26">
        <f>VLOOKUP(Table1[[#This Row],[Date]],Database!A:D,3,)</f>
        <v>52604</v>
      </c>
      <c r="C224" s="27">
        <f t="shared" si="6"/>
        <v>-27</v>
      </c>
      <c r="D224" s="27">
        <f t="shared" si="7"/>
        <v>6</v>
      </c>
      <c r="E224" s="63">
        <f>VLOOKUP(Table1[[#This Row],[Date]],Database!A:D,4,)</f>
        <v>3.9</v>
      </c>
      <c r="F224" s="63">
        <f>VLOOKUP(Table1[[#This Row],[Date]],Database!A:D,2,)</f>
        <v>60</v>
      </c>
      <c r="G224" s="57"/>
    </row>
    <row r="225" spans="1:7" x14ac:dyDescent="0.2">
      <c r="A225" s="56">
        <v>20729</v>
      </c>
      <c r="B225" s="26">
        <f>VLOOKUP(Table1[[#This Row],[Date]],Database!A:D,3,)</f>
        <v>52777</v>
      </c>
      <c r="C225" s="27">
        <f t="shared" si="6"/>
        <v>173</v>
      </c>
      <c r="D225" s="27">
        <f t="shared" si="7"/>
        <v>274</v>
      </c>
      <c r="E225" s="63">
        <f>VLOOKUP(Table1[[#This Row],[Date]],Database!A:D,4,)</f>
        <v>3.9</v>
      </c>
      <c r="F225" s="63">
        <f>VLOOKUP(Table1[[#This Row],[Date]],Database!A:D,2,)</f>
        <v>59.8</v>
      </c>
      <c r="G225" s="57"/>
    </row>
    <row r="226" spans="1:7" x14ac:dyDescent="0.2">
      <c r="A226" s="56">
        <v>20760</v>
      </c>
      <c r="B226" s="26">
        <f>VLOOKUP(Table1[[#This Row],[Date]],Database!A:D,3,)</f>
        <v>52821</v>
      </c>
      <c r="C226" s="27">
        <f t="shared" si="6"/>
        <v>44</v>
      </c>
      <c r="D226" s="27">
        <f t="shared" si="7"/>
        <v>63.333333333333336</v>
      </c>
      <c r="E226" s="63">
        <f>VLOOKUP(Table1[[#This Row],[Date]],Database!A:D,4,)</f>
        <v>4.3</v>
      </c>
      <c r="F226" s="63">
        <f>VLOOKUP(Table1[[#This Row],[Date]],Database!A:D,2,)</f>
        <v>59.8</v>
      </c>
      <c r="G226" s="57"/>
    </row>
    <row r="227" spans="1:7" x14ac:dyDescent="0.2">
      <c r="A227" s="56">
        <v>20790</v>
      </c>
      <c r="B227" s="26">
        <f>VLOOKUP(Table1[[#This Row],[Date]],Database!A:D,3,)</f>
        <v>52929</v>
      </c>
      <c r="C227" s="27">
        <f t="shared" si="6"/>
        <v>108</v>
      </c>
      <c r="D227" s="27">
        <f t="shared" si="7"/>
        <v>108.33333333333333</v>
      </c>
      <c r="E227" s="63">
        <f>VLOOKUP(Table1[[#This Row],[Date]],Database!A:D,4,)</f>
        <v>4.2</v>
      </c>
      <c r="F227" s="63">
        <f>VLOOKUP(Table1[[#This Row],[Date]],Database!A:D,2,)</f>
        <v>59.8</v>
      </c>
      <c r="G227" s="57"/>
    </row>
    <row r="228" spans="1:7" x14ac:dyDescent="0.2">
      <c r="A228" s="56">
        <v>20821</v>
      </c>
      <c r="B228" s="26">
        <f>VLOOKUP(Table1[[#This Row],[Date]],Database!A:D,3,)</f>
        <v>52887</v>
      </c>
      <c r="C228" s="27">
        <f t="shared" si="6"/>
        <v>-42</v>
      </c>
      <c r="D228" s="27">
        <f t="shared" si="7"/>
        <v>36.666666666666664</v>
      </c>
      <c r="E228" s="63">
        <f>VLOOKUP(Table1[[#This Row],[Date]],Database!A:D,4,)</f>
        <v>4.2</v>
      </c>
      <c r="F228" s="63">
        <f>VLOOKUP(Table1[[#This Row],[Date]],Database!A:D,2,)</f>
        <v>59.5</v>
      </c>
      <c r="G228" s="57"/>
    </row>
    <row r="229" spans="1:7" x14ac:dyDescent="0.2">
      <c r="A229" s="56">
        <v>20852</v>
      </c>
      <c r="B229" s="26">
        <f>VLOOKUP(Table1[[#This Row],[Date]],Database!A:D,3,)</f>
        <v>53097</v>
      </c>
      <c r="C229" s="27">
        <f t="shared" si="6"/>
        <v>210</v>
      </c>
      <c r="D229" s="27">
        <f t="shared" si="7"/>
        <v>92</v>
      </c>
      <c r="E229" s="63">
        <f>VLOOKUP(Table1[[#This Row],[Date]],Database!A:D,4,)</f>
        <v>3.9</v>
      </c>
      <c r="F229" s="63">
        <f>VLOOKUP(Table1[[#This Row],[Date]],Database!A:D,2,)</f>
        <v>59.9</v>
      </c>
      <c r="G229" s="57"/>
    </row>
    <row r="230" spans="1:7" x14ac:dyDescent="0.2">
      <c r="A230" s="56">
        <v>20880</v>
      </c>
      <c r="B230" s="26">
        <f>VLOOKUP(Table1[[#This Row],[Date]],Database!A:D,3,)</f>
        <v>53156</v>
      </c>
      <c r="C230" s="27">
        <f t="shared" si="6"/>
        <v>59</v>
      </c>
      <c r="D230" s="27">
        <f t="shared" si="7"/>
        <v>75.666666666666671</v>
      </c>
      <c r="E230" s="63">
        <f>VLOOKUP(Table1[[#This Row],[Date]],Database!A:D,4,)</f>
        <v>3.7</v>
      </c>
      <c r="F230" s="63">
        <f>VLOOKUP(Table1[[#This Row],[Date]],Database!A:D,2,)</f>
        <v>59.8</v>
      </c>
      <c r="G230" s="57"/>
    </row>
    <row r="231" spans="1:7" x14ac:dyDescent="0.2">
      <c r="A231" s="56">
        <v>20911</v>
      </c>
      <c r="B231" s="26">
        <f>VLOOKUP(Table1[[#This Row],[Date]],Database!A:D,3,)</f>
        <v>53238</v>
      </c>
      <c r="C231" s="27">
        <f t="shared" si="6"/>
        <v>82</v>
      </c>
      <c r="D231" s="27">
        <f t="shared" si="7"/>
        <v>117</v>
      </c>
      <c r="E231" s="63">
        <f>VLOOKUP(Table1[[#This Row],[Date]],Database!A:D,4,)</f>
        <v>3.9</v>
      </c>
      <c r="F231" s="63">
        <f>VLOOKUP(Table1[[#This Row],[Date]],Database!A:D,2,)</f>
        <v>59.5</v>
      </c>
      <c r="G231" s="57"/>
    </row>
    <row r="232" spans="1:7" x14ac:dyDescent="0.2">
      <c r="A232" s="56">
        <v>20941</v>
      </c>
      <c r="B232" s="26">
        <f>VLOOKUP(Table1[[#This Row],[Date]],Database!A:D,3,)</f>
        <v>53150</v>
      </c>
      <c r="C232" s="27">
        <f t="shared" si="6"/>
        <v>-88</v>
      </c>
      <c r="D232" s="27">
        <f t="shared" si="7"/>
        <v>17.666666666666668</v>
      </c>
      <c r="E232" s="63">
        <f>VLOOKUP(Table1[[#This Row],[Date]],Database!A:D,4,)</f>
        <v>4.0999999999999996</v>
      </c>
      <c r="F232" s="63">
        <f>VLOOKUP(Table1[[#This Row],[Date]],Database!A:D,2,)</f>
        <v>59.5</v>
      </c>
      <c r="G232" s="57"/>
    </row>
    <row r="233" spans="1:7" x14ac:dyDescent="0.2">
      <c r="A233" s="56">
        <v>20972</v>
      </c>
      <c r="B233" s="26">
        <f>VLOOKUP(Table1[[#This Row],[Date]],Database!A:D,3,)</f>
        <v>53067</v>
      </c>
      <c r="C233" s="27">
        <f t="shared" si="6"/>
        <v>-83</v>
      </c>
      <c r="D233" s="27">
        <f t="shared" si="7"/>
        <v>-29.666666666666668</v>
      </c>
      <c r="E233" s="63">
        <f>VLOOKUP(Table1[[#This Row],[Date]],Database!A:D,4,)</f>
        <v>4.3</v>
      </c>
      <c r="F233" s="63">
        <f>VLOOKUP(Table1[[#This Row],[Date]],Database!A:D,2,)</f>
        <v>59.8</v>
      </c>
      <c r="G233" s="57"/>
    </row>
    <row r="234" spans="1:7" x14ac:dyDescent="0.2">
      <c r="A234" s="56">
        <v>21002</v>
      </c>
      <c r="B234" s="26">
        <f>VLOOKUP(Table1[[#This Row],[Date]],Database!A:D,3,)</f>
        <v>53123</v>
      </c>
      <c r="C234" s="27">
        <f t="shared" si="6"/>
        <v>56</v>
      </c>
      <c r="D234" s="27">
        <f t="shared" si="7"/>
        <v>-38.333333333333336</v>
      </c>
      <c r="E234" s="63">
        <f>VLOOKUP(Table1[[#This Row],[Date]],Database!A:D,4,)</f>
        <v>4.2</v>
      </c>
      <c r="F234" s="63">
        <f>VLOOKUP(Table1[[#This Row],[Date]],Database!A:D,2,)</f>
        <v>60</v>
      </c>
      <c r="G234" s="57"/>
    </row>
    <row r="235" spans="1:7" x14ac:dyDescent="0.2">
      <c r="A235" s="56">
        <v>21033</v>
      </c>
      <c r="B235" s="26">
        <f>VLOOKUP(Table1[[#This Row],[Date]],Database!A:D,3,)</f>
        <v>53128</v>
      </c>
      <c r="C235" s="27">
        <f t="shared" si="6"/>
        <v>5</v>
      </c>
      <c r="D235" s="27">
        <f t="shared" si="7"/>
        <v>-7.333333333333333</v>
      </c>
      <c r="E235" s="63">
        <f>VLOOKUP(Table1[[#This Row],[Date]],Database!A:D,4,)</f>
        <v>4.0999999999999996</v>
      </c>
      <c r="F235" s="63">
        <f>VLOOKUP(Table1[[#This Row],[Date]],Database!A:D,2,)</f>
        <v>59.3</v>
      </c>
      <c r="G235" s="57"/>
    </row>
    <row r="236" spans="1:7" x14ac:dyDescent="0.2">
      <c r="A236" s="56">
        <v>21064</v>
      </c>
      <c r="B236" s="26">
        <f>VLOOKUP(Table1[[#This Row],[Date]],Database!A:D,3,)</f>
        <v>52934</v>
      </c>
      <c r="C236" s="27">
        <f t="shared" si="6"/>
        <v>-194</v>
      </c>
      <c r="D236" s="27">
        <f t="shared" si="7"/>
        <v>-44.333333333333336</v>
      </c>
      <c r="E236" s="63">
        <f>VLOOKUP(Table1[[#This Row],[Date]],Database!A:D,4,)</f>
        <v>4.4000000000000004</v>
      </c>
      <c r="F236" s="63">
        <f>VLOOKUP(Table1[[#This Row],[Date]],Database!A:D,2,)</f>
        <v>59.6</v>
      </c>
      <c r="G236" s="57"/>
    </row>
    <row r="237" spans="1:7" x14ac:dyDescent="0.2">
      <c r="A237" s="56">
        <v>21094</v>
      </c>
      <c r="B237" s="26">
        <f>VLOOKUP(Table1[[#This Row],[Date]],Database!A:D,3,)</f>
        <v>52763</v>
      </c>
      <c r="C237" s="27">
        <f t="shared" si="6"/>
        <v>-171</v>
      </c>
      <c r="D237" s="27">
        <f t="shared" si="7"/>
        <v>-120</v>
      </c>
      <c r="E237" s="63">
        <f>VLOOKUP(Table1[[#This Row],[Date]],Database!A:D,4,)</f>
        <v>4.5</v>
      </c>
      <c r="F237" s="63">
        <f>VLOOKUP(Table1[[#This Row],[Date]],Database!A:D,2,)</f>
        <v>59.5</v>
      </c>
      <c r="G237" s="57"/>
    </row>
    <row r="238" spans="1:7" x14ac:dyDescent="0.2">
      <c r="A238" s="56">
        <v>21125</v>
      </c>
      <c r="B238" s="26">
        <f>VLOOKUP(Table1[[#This Row],[Date]],Database!A:D,3,)</f>
        <v>52558</v>
      </c>
      <c r="C238" s="27">
        <f t="shared" si="6"/>
        <v>-205</v>
      </c>
      <c r="D238" s="27">
        <f t="shared" si="7"/>
        <v>-190</v>
      </c>
      <c r="E238" s="63">
        <f>VLOOKUP(Table1[[#This Row],[Date]],Database!A:D,4,)</f>
        <v>5.0999999999999996</v>
      </c>
      <c r="F238" s="63">
        <f>VLOOKUP(Table1[[#This Row],[Date]],Database!A:D,2,)</f>
        <v>59.5</v>
      </c>
      <c r="G238" s="57"/>
    </row>
    <row r="239" spans="1:7" x14ac:dyDescent="0.2">
      <c r="A239" s="56">
        <v>21155</v>
      </c>
      <c r="B239" s="26">
        <f>VLOOKUP(Table1[[#This Row],[Date]],Database!A:D,3,)</f>
        <v>52384</v>
      </c>
      <c r="C239" s="27">
        <f t="shared" si="6"/>
        <v>-174</v>
      </c>
      <c r="D239" s="27">
        <f t="shared" si="7"/>
        <v>-183.33333333333334</v>
      </c>
      <c r="E239" s="63">
        <f>VLOOKUP(Table1[[#This Row],[Date]],Database!A:D,4,)</f>
        <v>5.2</v>
      </c>
      <c r="F239" s="63">
        <f>VLOOKUP(Table1[[#This Row],[Date]],Database!A:D,2,)</f>
        <v>59.6</v>
      </c>
      <c r="G239" s="57"/>
    </row>
    <row r="240" spans="1:7" x14ac:dyDescent="0.2">
      <c r="A240" s="56">
        <v>21186</v>
      </c>
      <c r="B240" s="26">
        <f>VLOOKUP(Table1[[#This Row],[Date]],Database!A:D,3,)</f>
        <v>52076</v>
      </c>
      <c r="C240" s="27">
        <f t="shared" si="6"/>
        <v>-308</v>
      </c>
      <c r="D240" s="27">
        <f t="shared" si="7"/>
        <v>-229</v>
      </c>
      <c r="E240" s="63">
        <f>VLOOKUP(Table1[[#This Row],[Date]],Database!A:D,4,)</f>
        <v>5.8</v>
      </c>
      <c r="F240" s="63">
        <f>VLOOKUP(Table1[[#This Row],[Date]],Database!A:D,2,)</f>
        <v>59.3</v>
      </c>
      <c r="G240" s="57"/>
    </row>
    <row r="241" spans="1:7" x14ac:dyDescent="0.2">
      <c r="A241" s="56">
        <v>21217</v>
      </c>
      <c r="B241" s="26">
        <f>VLOOKUP(Table1[[#This Row],[Date]],Database!A:D,3,)</f>
        <v>51576</v>
      </c>
      <c r="C241" s="27">
        <f t="shared" si="6"/>
        <v>-500</v>
      </c>
      <c r="D241" s="27">
        <f t="shared" si="7"/>
        <v>-327.33333333333331</v>
      </c>
      <c r="E241" s="63">
        <f>VLOOKUP(Table1[[#This Row],[Date]],Database!A:D,4,)</f>
        <v>6.4</v>
      </c>
      <c r="F241" s="63">
        <f>VLOOKUP(Table1[[#This Row],[Date]],Database!A:D,2,)</f>
        <v>59.3</v>
      </c>
      <c r="G241" s="57"/>
    </row>
    <row r="242" spans="1:7" x14ac:dyDescent="0.2">
      <c r="A242" s="56">
        <v>21245</v>
      </c>
      <c r="B242" s="26">
        <f>VLOOKUP(Table1[[#This Row],[Date]],Database!A:D,3,)</f>
        <v>51299</v>
      </c>
      <c r="C242" s="27">
        <f t="shared" si="6"/>
        <v>-277</v>
      </c>
      <c r="D242" s="27">
        <f t="shared" si="7"/>
        <v>-361.66666666666669</v>
      </c>
      <c r="E242" s="63">
        <f>VLOOKUP(Table1[[#This Row],[Date]],Database!A:D,4,)</f>
        <v>6.7</v>
      </c>
      <c r="F242" s="63">
        <f>VLOOKUP(Table1[[#This Row],[Date]],Database!A:D,2,)</f>
        <v>59.3</v>
      </c>
      <c r="G242" s="57"/>
    </row>
    <row r="243" spans="1:7" x14ac:dyDescent="0.2">
      <c r="A243" s="56">
        <v>21276</v>
      </c>
      <c r="B243" s="26">
        <f>VLOOKUP(Table1[[#This Row],[Date]],Database!A:D,3,)</f>
        <v>51027</v>
      </c>
      <c r="C243" s="27">
        <f t="shared" si="6"/>
        <v>-272</v>
      </c>
      <c r="D243" s="27">
        <f t="shared" si="7"/>
        <v>-349.66666666666669</v>
      </c>
      <c r="E243" s="63">
        <f>VLOOKUP(Table1[[#This Row],[Date]],Database!A:D,4,)</f>
        <v>7.4</v>
      </c>
      <c r="F243" s="63">
        <f>VLOOKUP(Table1[[#This Row],[Date]],Database!A:D,2,)</f>
        <v>59.6</v>
      </c>
      <c r="G243" s="57"/>
    </row>
    <row r="244" spans="1:7" x14ac:dyDescent="0.2">
      <c r="A244" s="56">
        <v>21306</v>
      </c>
      <c r="B244" s="26">
        <f>VLOOKUP(Table1[[#This Row],[Date]],Database!A:D,3,)</f>
        <v>50914</v>
      </c>
      <c r="C244" s="27">
        <f t="shared" si="6"/>
        <v>-113</v>
      </c>
      <c r="D244" s="27">
        <f t="shared" si="7"/>
        <v>-220.66666666666666</v>
      </c>
      <c r="E244" s="63">
        <f>VLOOKUP(Table1[[#This Row],[Date]],Database!A:D,4,)</f>
        <v>7.4</v>
      </c>
      <c r="F244" s="63">
        <f>VLOOKUP(Table1[[#This Row],[Date]],Database!A:D,2,)</f>
        <v>59.8</v>
      </c>
      <c r="G244" s="57"/>
    </row>
    <row r="245" spans="1:7" x14ac:dyDescent="0.2">
      <c r="A245" s="56">
        <v>21337</v>
      </c>
      <c r="B245" s="26">
        <f>VLOOKUP(Table1[[#This Row],[Date]],Database!A:D,3,)</f>
        <v>50914</v>
      </c>
      <c r="C245" s="27">
        <f t="shared" si="6"/>
        <v>0</v>
      </c>
      <c r="D245" s="27">
        <f t="shared" si="7"/>
        <v>-128.33333333333334</v>
      </c>
      <c r="E245" s="63">
        <f>VLOOKUP(Table1[[#This Row],[Date]],Database!A:D,4,)</f>
        <v>7.3</v>
      </c>
      <c r="F245" s="63">
        <f>VLOOKUP(Table1[[#This Row],[Date]],Database!A:D,2,)</f>
        <v>59.5</v>
      </c>
      <c r="G245" s="57"/>
    </row>
    <row r="246" spans="1:7" x14ac:dyDescent="0.2">
      <c r="A246" s="56">
        <v>21367</v>
      </c>
      <c r="B246" s="26">
        <f>VLOOKUP(Table1[[#This Row],[Date]],Database!A:D,3,)</f>
        <v>51039</v>
      </c>
      <c r="C246" s="27">
        <f t="shared" si="6"/>
        <v>125</v>
      </c>
      <c r="D246" s="27">
        <f t="shared" si="7"/>
        <v>4</v>
      </c>
      <c r="E246" s="63">
        <f>VLOOKUP(Table1[[#This Row],[Date]],Database!A:D,4,)</f>
        <v>7.5</v>
      </c>
      <c r="F246" s="63">
        <f>VLOOKUP(Table1[[#This Row],[Date]],Database!A:D,2,)</f>
        <v>59.6</v>
      </c>
      <c r="G246" s="57"/>
    </row>
    <row r="247" spans="1:7" x14ac:dyDescent="0.2">
      <c r="A247" s="56">
        <v>21398</v>
      </c>
      <c r="B247" s="26">
        <f>VLOOKUP(Table1[[#This Row],[Date]],Database!A:D,3,)</f>
        <v>51233</v>
      </c>
      <c r="C247" s="27">
        <f t="shared" si="6"/>
        <v>194</v>
      </c>
      <c r="D247" s="27">
        <f t="shared" si="7"/>
        <v>106.33333333333333</v>
      </c>
      <c r="E247" s="63">
        <f>VLOOKUP(Table1[[#This Row],[Date]],Database!A:D,4,)</f>
        <v>7.4</v>
      </c>
      <c r="F247" s="63">
        <f>VLOOKUP(Table1[[#This Row],[Date]],Database!A:D,2,)</f>
        <v>59.8</v>
      </c>
      <c r="G247" s="57"/>
    </row>
    <row r="248" spans="1:7" x14ac:dyDescent="0.2">
      <c r="A248" s="56">
        <v>21429</v>
      </c>
      <c r="B248" s="26">
        <f>VLOOKUP(Table1[[#This Row],[Date]],Database!A:D,3,)</f>
        <v>51506</v>
      </c>
      <c r="C248" s="27">
        <f t="shared" si="6"/>
        <v>273</v>
      </c>
      <c r="D248" s="27">
        <f t="shared" si="7"/>
        <v>197.33333333333334</v>
      </c>
      <c r="E248" s="63">
        <f>VLOOKUP(Table1[[#This Row],[Date]],Database!A:D,4,)</f>
        <v>7.1</v>
      </c>
      <c r="F248" s="63">
        <f>VLOOKUP(Table1[[#This Row],[Date]],Database!A:D,2,)</f>
        <v>59.7</v>
      </c>
      <c r="G248" s="57"/>
    </row>
    <row r="249" spans="1:7" x14ac:dyDescent="0.2">
      <c r="A249" s="56">
        <v>21459</v>
      </c>
      <c r="B249" s="26">
        <f>VLOOKUP(Table1[[#This Row],[Date]],Database!A:D,3,)</f>
        <v>51485</v>
      </c>
      <c r="C249" s="27">
        <f t="shared" si="6"/>
        <v>-21</v>
      </c>
      <c r="D249" s="27">
        <f t="shared" si="7"/>
        <v>148.66666666666666</v>
      </c>
      <c r="E249" s="63">
        <f>VLOOKUP(Table1[[#This Row],[Date]],Database!A:D,4,)</f>
        <v>6.7</v>
      </c>
      <c r="F249" s="63">
        <f>VLOOKUP(Table1[[#This Row],[Date]],Database!A:D,2,)</f>
        <v>59.6</v>
      </c>
      <c r="G249" s="57"/>
    </row>
    <row r="250" spans="1:7" x14ac:dyDescent="0.2">
      <c r="A250" s="56">
        <v>21490</v>
      </c>
      <c r="B250" s="26">
        <f>VLOOKUP(Table1[[#This Row],[Date]],Database!A:D,3,)</f>
        <v>51944</v>
      </c>
      <c r="C250" s="27">
        <f t="shared" si="6"/>
        <v>459</v>
      </c>
      <c r="D250" s="27">
        <f t="shared" si="7"/>
        <v>237</v>
      </c>
      <c r="E250" s="63">
        <f>VLOOKUP(Table1[[#This Row],[Date]],Database!A:D,4,)</f>
        <v>6.2</v>
      </c>
      <c r="F250" s="63">
        <f>VLOOKUP(Table1[[#This Row],[Date]],Database!A:D,2,)</f>
        <v>59.2</v>
      </c>
      <c r="G250" s="57"/>
    </row>
    <row r="251" spans="1:7" x14ac:dyDescent="0.2">
      <c r="A251" s="56">
        <v>21520</v>
      </c>
      <c r="B251" s="26">
        <f>VLOOKUP(Table1[[#This Row],[Date]],Database!A:D,3,)</f>
        <v>52085</v>
      </c>
      <c r="C251" s="27">
        <f t="shared" si="6"/>
        <v>141</v>
      </c>
      <c r="D251" s="27">
        <f t="shared" si="7"/>
        <v>193</v>
      </c>
      <c r="E251" s="63">
        <f>VLOOKUP(Table1[[#This Row],[Date]],Database!A:D,4,)</f>
        <v>6.2</v>
      </c>
      <c r="F251" s="63">
        <f>VLOOKUP(Table1[[#This Row],[Date]],Database!A:D,2,)</f>
        <v>59.2</v>
      </c>
      <c r="G251" s="57"/>
    </row>
    <row r="252" spans="1:7" x14ac:dyDescent="0.2">
      <c r="A252" s="56">
        <v>21551</v>
      </c>
      <c r="B252" s="26">
        <f>VLOOKUP(Table1[[#This Row],[Date]],Database!A:D,3,)</f>
        <v>52478</v>
      </c>
      <c r="C252" s="27">
        <f t="shared" si="6"/>
        <v>393</v>
      </c>
      <c r="D252" s="27">
        <f t="shared" si="7"/>
        <v>331</v>
      </c>
      <c r="E252" s="63">
        <f>VLOOKUP(Table1[[#This Row],[Date]],Database!A:D,4,)</f>
        <v>6</v>
      </c>
      <c r="F252" s="63">
        <f>VLOOKUP(Table1[[#This Row],[Date]],Database!A:D,2,)</f>
        <v>59.3</v>
      </c>
      <c r="G252" s="57"/>
    </row>
    <row r="253" spans="1:7" x14ac:dyDescent="0.2">
      <c r="A253" s="56">
        <v>21582</v>
      </c>
      <c r="B253" s="26">
        <f>VLOOKUP(Table1[[#This Row],[Date]],Database!A:D,3,)</f>
        <v>52688</v>
      </c>
      <c r="C253" s="27">
        <f t="shared" si="6"/>
        <v>210</v>
      </c>
      <c r="D253" s="27">
        <f t="shared" si="7"/>
        <v>248</v>
      </c>
      <c r="E253" s="63">
        <f>VLOOKUP(Table1[[#This Row],[Date]],Database!A:D,4,)</f>
        <v>5.9</v>
      </c>
      <c r="F253" s="63">
        <f>VLOOKUP(Table1[[#This Row],[Date]],Database!A:D,2,)</f>
        <v>59</v>
      </c>
      <c r="G253" s="57"/>
    </row>
    <row r="254" spans="1:7" x14ac:dyDescent="0.2">
      <c r="A254" s="56">
        <v>21610</v>
      </c>
      <c r="B254" s="26">
        <f>VLOOKUP(Table1[[#This Row],[Date]],Database!A:D,3,)</f>
        <v>53014</v>
      </c>
      <c r="C254" s="27">
        <f t="shared" si="6"/>
        <v>326</v>
      </c>
      <c r="D254" s="27">
        <f t="shared" si="7"/>
        <v>309.66666666666669</v>
      </c>
      <c r="E254" s="63">
        <f>VLOOKUP(Table1[[#This Row],[Date]],Database!A:D,4,)</f>
        <v>5.6</v>
      </c>
      <c r="F254" s="63">
        <f>VLOOKUP(Table1[[#This Row],[Date]],Database!A:D,2,)</f>
        <v>59.3</v>
      </c>
      <c r="G254" s="57"/>
    </row>
    <row r="255" spans="1:7" x14ac:dyDescent="0.2">
      <c r="A255" s="56">
        <v>21641</v>
      </c>
      <c r="B255" s="26">
        <f>VLOOKUP(Table1[[#This Row],[Date]],Database!A:D,3,)</f>
        <v>53321</v>
      </c>
      <c r="C255" s="27">
        <f t="shared" si="6"/>
        <v>307</v>
      </c>
      <c r="D255" s="27">
        <f t="shared" si="7"/>
        <v>281</v>
      </c>
      <c r="E255" s="63">
        <f>VLOOKUP(Table1[[#This Row],[Date]],Database!A:D,4,)</f>
        <v>5.2</v>
      </c>
      <c r="F255" s="63">
        <f>VLOOKUP(Table1[[#This Row],[Date]],Database!A:D,2,)</f>
        <v>59.4</v>
      </c>
      <c r="G255" s="57"/>
    </row>
    <row r="256" spans="1:7" x14ac:dyDescent="0.2">
      <c r="A256" s="56">
        <v>21671</v>
      </c>
      <c r="B256" s="26">
        <f>VLOOKUP(Table1[[#This Row],[Date]],Database!A:D,3,)</f>
        <v>53550</v>
      </c>
      <c r="C256" s="27">
        <f t="shared" si="6"/>
        <v>229</v>
      </c>
      <c r="D256" s="27">
        <f t="shared" si="7"/>
        <v>287.33333333333331</v>
      </c>
      <c r="E256" s="63">
        <f>VLOOKUP(Table1[[#This Row],[Date]],Database!A:D,4,)</f>
        <v>5.0999999999999996</v>
      </c>
      <c r="F256" s="63">
        <f>VLOOKUP(Table1[[#This Row],[Date]],Database!A:D,2,)</f>
        <v>59.2</v>
      </c>
      <c r="G256" s="57"/>
    </row>
    <row r="257" spans="1:7" x14ac:dyDescent="0.2">
      <c r="A257" s="56">
        <v>21702</v>
      </c>
      <c r="B257" s="26">
        <f>VLOOKUP(Table1[[#This Row],[Date]],Database!A:D,3,)</f>
        <v>53681</v>
      </c>
      <c r="C257" s="27">
        <f t="shared" si="6"/>
        <v>131</v>
      </c>
      <c r="D257" s="27">
        <f t="shared" si="7"/>
        <v>222.33333333333334</v>
      </c>
      <c r="E257" s="63">
        <f>VLOOKUP(Table1[[#This Row],[Date]],Database!A:D,4,)</f>
        <v>5</v>
      </c>
      <c r="F257" s="63">
        <f>VLOOKUP(Table1[[#This Row],[Date]],Database!A:D,2,)</f>
        <v>59.2</v>
      </c>
      <c r="G257" s="57"/>
    </row>
    <row r="258" spans="1:7" x14ac:dyDescent="0.2">
      <c r="A258" s="56">
        <v>21732</v>
      </c>
      <c r="B258" s="26">
        <f>VLOOKUP(Table1[[#This Row],[Date]],Database!A:D,3,)</f>
        <v>53804</v>
      </c>
      <c r="C258" s="27">
        <f t="shared" si="6"/>
        <v>123</v>
      </c>
      <c r="D258" s="27">
        <f t="shared" si="7"/>
        <v>161</v>
      </c>
      <c r="E258" s="63">
        <f>VLOOKUP(Table1[[#This Row],[Date]],Database!A:D,4,)</f>
        <v>5.0999999999999996</v>
      </c>
      <c r="F258" s="63">
        <f>VLOOKUP(Table1[[#This Row],[Date]],Database!A:D,2,)</f>
        <v>59.4</v>
      </c>
      <c r="G258" s="57"/>
    </row>
    <row r="259" spans="1:7" x14ac:dyDescent="0.2">
      <c r="A259" s="56">
        <v>21763</v>
      </c>
      <c r="B259" s="26">
        <f>VLOOKUP(Table1[[#This Row],[Date]],Database!A:D,3,)</f>
        <v>53336</v>
      </c>
      <c r="C259" s="27">
        <f t="shared" si="6"/>
        <v>-468</v>
      </c>
      <c r="D259" s="27">
        <f t="shared" si="7"/>
        <v>-71.333333333333329</v>
      </c>
      <c r="E259" s="63">
        <f>VLOOKUP(Table1[[#This Row],[Date]],Database!A:D,4,)</f>
        <v>5.2</v>
      </c>
      <c r="F259" s="63">
        <f>VLOOKUP(Table1[[#This Row],[Date]],Database!A:D,2,)</f>
        <v>59.2</v>
      </c>
      <c r="G259" s="57"/>
    </row>
    <row r="260" spans="1:7" x14ac:dyDescent="0.2">
      <c r="A260" s="56">
        <v>21794</v>
      </c>
      <c r="B260" s="26">
        <f>VLOOKUP(Table1[[#This Row],[Date]],Database!A:D,3,)</f>
        <v>53428</v>
      </c>
      <c r="C260" s="27">
        <f t="shared" si="6"/>
        <v>92</v>
      </c>
      <c r="D260" s="27">
        <f t="shared" si="7"/>
        <v>-84.333333333333329</v>
      </c>
      <c r="E260" s="63">
        <f>VLOOKUP(Table1[[#This Row],[Date]],Database!A:D,4,)</f>
        <v>5.5</v>
      </c>
      <c r="F260" s="63">
        <f>VLOOKUP(Table1[[#This Row],[Date]],Database!A:D,2,)</f>
        <v>59.3</v>
      </c>
      <c r="G260" s="57"/>
    </row>
    <row r="261" spans="1:7" x14ac:dyDescent="0.2">
      <c r="A261" s="56">
        <v>21824</v>
      </c>
      <c r="B261" s="26">
        <f>VLOOKUP(Table1[[#This Row],[Date]],Database!A:D,3,)</f>
        <v>53358</v>
      </c>
      <c r="C261" s="27">
        <f t="shared" si="6"/>
        <v>-70</v>
      </c>
      <c r="D261" s="27">
        <f t="shared" si="7"/>
        <v>-148.66666666666666</v>
      </c>
      <c r="E261" s="63">
        <f>VLOOKUP(Table1[[#This Row],[Date]],Database!A:D,4,)</f>
        <v>5.7</v>
      </c>
      <c r="F261" s="63">
        <f>VLOOKUP(Table1[[#This Row],[Date]],Database!A:D,2,)</f>
        <v>59.4</v>
      </c>
      <c r="G261" s="57"/>
    </row>
    <row r="262" spans="1:7" x14ac:dyDescent="0.2">
      <c r="A262" s="56">
        <v>21855</v>
      </c>
      <c r="B262" s="26">
        <f>VLOOKUP(Table1[[#This Row],[Date]],Database!A:D,3,)</f>
        <v>53634</v>
      </c>
      <c r="C262" s="27">
        <f t="shared" si="6"/>
        <v>276</v>
      </c>
      <c r="D262" s="27">
        <f t="shared" si="7"/>
        <v>99.333333333333329</v>
      </c>
      <c r="E262" s="63">
        <f>VLOOKUP(Table1[[#This Row],[Date]],Database!A:D,4,)</f>
        <v>5.8</v>
      </c>
      <c r="F262" s="63">
        <f>VLOOKUP(Table1[[#This Row],[Date]],Database!A:D,2,)</f>
        <v>59.1</v>
      </c>
      <c r="G262" s="57"/>
    </row>
    <row r="263" spans="1:7" x14ac:dyDescent="0.2">
      <c r="A263" s="56">
        <v>21885</v>
      </c>
      <c r="B263" s="26">
        <f>VLOOKUP(Table1[[#This Row],[Date]],Database!A:D,3,)</f>
        <v>54174</v>
      </c>
      <c r="C263" s="27">
        <f t="shared" si="6"/>
        <v>540</v>
      </c>
      <c r="D263" s="27">
        <f t="shared" si="7"/>
        <v>248.66666666666666</v>
      </c>
      <c r="E263" s="63">
        <f>VLOOKUP(Table1[[#This Row],[Date]],Database!A:D,4,)</f>
        <v>5.3</v>
      </c>
      <c r="F263" s="63">
        <f>VLOOKUP(Table1[[#This Row],[Date]],Database!A:D,2,)</f>
        <v>59.5</v>
      </c>
      <c r="G263" s="57"/>
    </row>
    <row r="264" spans="1:7" x14ac:dyDescent="0.2">
      <c r="A264" s="56">
        <v>21916</v>
      </c>
      <c r="B264" s="26">
        <f>VLOOKUP(Table1[[#This Row],[Date]],Database!A:D,3,)</f>
        <v>54274</v>
      </c>
      <c r="C264" s="27">
        <f t="shared" si="6"/>
        <v>100</v>
      </c>
      <c r="D264" s="27">
        <f t="shared" si="7"/>
        <v>305.33333333333331</v>
      </c>
      <c r="E264" s="63">
        <f>VLOOKUP(Table1[[#This Row],[Date]],Database!A:D,4,)</f>
        <v>5.2</v>
      </c>
      <c r="F264" s="63">
        <f>VLOOKUP(Table1[[#This Row],[Date]],Database!A:D,2,)</f>
        <v>59.1</v>
      </c>
      <c r="G264" s="57"/>
    </row>
    <row r="265" spans="1:7" x14ac:dyDescent="0.2">
      <c r="A265" s="56">
        <v>21947</v>
      </c>
      <c r="B265" s="26">
        <f>VLOOKUP(Table1[[#This Row],[Date]],Database!A:D,3,)</f>
        <v>54513</v>
      </c>
      <c r="C265" s="27">
        <f t="shared" si="6"/>
        <v>239</v>
      </c>
      <c r="D265" s="27">
        <f t="shared" si="7"/>
        <v>293</v>
      </c>
      <c r="E265" s="63">
        <f>VLOOKUP(Table1[[#This Row],[Date]],Database!A:D,4,)</f>
        <v>4.8</v>
      </c>
      <c r="F265" s="63">
        <f>VLOOKUP(Table1[[#This Row],[Date]],Database!A:D,2,)</f>
        <v>59.1</v>
      </c>
      <c r="G265" s="57"/>
    </row>
    <row r="266" spans="1:7" x14ac:dyDescent="0.2">
      <c r="A266" s="56">
        <v>21976</v>
      </c>
      <c r="B266" s="26">
        <f>VLOOKUP(Table1[[#This Row],[Date]],Database!A:D,3,)</f>
        <v>54454</v>
      </c>
      <c r="C266" s="27">
        <f t="shared" si="6"/>
        <v>-59</v>
      </c>
      <c r="D266" s="27">
        <f t="shared" si="7"/>
        <v>93.333333333333329</v>
      </c>
      <c r="E266" s="63">
        <f>VLOOKUP(Table1[[#This Row],[Date]],Database!A:D,4,)</f>
        <v>5.4</v>
      </c>
      <c r="F266" s="63">
        <f>VLOOKUP(Table1[[#This Row],[Date]],Database!A:D,2,)</f>
        <v>58.5</v>
      </c>
      <c r="G266" s="57"/>
    </row>
    <row r="267" spans="1:7" x14ac:dyDescent="0.2">
      <c r="A267" s="56">
        <v>22007</v>
      </c>
      <c r="B267" s="26">
        <f>VLOOKUP(Table1[[#This Row],[Date]],Database!A:D,3,)</f>
        <v>54813</v>
      </c>
      <c r="C267" s="27">
        <f t="shared" si="6"/>
        <v>359</v>
      </c>
      <c r="D267" s="27">
        <f t="shared" si="7"/>
        <v>179.66666666666666</v>
      </c>
      <c r="E267" s="63">
        <f>VLOOKUP(Table1[[#This Row],[Date]],Database!A:D,4,)</f>
        <v>5.2</v>
      </c>
      <c r="F267" s="63">
        <f>VLOOKUP(Table1[[#This Row],[Date]],Database!A:D,2,)</f>
        <v>59.5</v>
      </c>
      <c r="G267" s="57"/>
    </row>
    <row r="268" spans="1:7" x14ac:dyDescent="0.2">
      <c r="A268" s="56">
        <v>22037</v>
      </c>
      <c r="B268" s="26">
        <f>VLOOKUP(Table1[[#This Row],[Date]],Database!A:D,3,)</f>
        <v>54475</v>
      </c>
      <c r="C268" s="27">
        <f t="shared" si="6"/>
        <v>-338</v>
      </c>
      <c r="D268" s="27">
        <f t="shared" si="7"/>
        <v>-12.666666666666666</v>
      </c>
      <c r="E268" s="63">
        <f>VLOOKUP(Table1[[#This Row],[Date]],Database!A:D,4,)</f>
        <v>5.0999999999999996</v>
      </c>
      <c r="F268" s="63">
        <f>VLOOKUP(Table1[[#This Row],[Date]],Database!A:D,2,)</f>
        <v>59.5</v>
      </c>
      <c r="G268" s="57"/>
    </row>
    <row r="269" spans="1:7" x14ac:dyDescent="0.2">
      <c r="A269" s="56">
        <v>22068</v>
      </c>
      <c r="B269" s="26">
        <f>VLOOKUP(Table1[[#This Row],[Date]],Database!A:D,3,)</f>
        <v>54348</v>
      </c>
      <c r="C269" s="27">
        <f t="shared" ref="C269:C332" si="8">B269-B268</f>
        <v>-127</v>
      </c>
      <c r="D269" s="27">
        <f t="shared" si="7"/>
        <v>-35.333333333333336</v>
      </c>
      <c r="E269" s="63">
        <f>VLOOKUP(Table1[[#This Row],[Date]],Database!A:D,4,)</f>
        <v>5.4</v>
      </c>
      <c r="F269" s="63">
        <f>VLOOKUP(Table1[[#This Row],[Date]],Database!A:D,2,)</f>
        <v>59.7</v>
      </c>
      <c r="G269" s="57"/>
    </row>
    <row r="270" spans="1:7" x14ac:dyDescent="0.2">
      <c r="A270" s="56">
        <v>22098</v>
      </c>
      <c r="B270" s="26">
        <f>VLOOKUP(Table1[[#This Row],[Date]],Database!A:D,3,)</f>
        <v>54306</v>
      </c>
      <c r="C270" s="27">
        <f t="shared" si="8"/>
        <v>-42</v>
      </c>
      <c r="D270" s="27">
        <f t="shared" si="7"/>
        <v>-169</v>
      </c>
      <c r="E270" s="63">
        <f>VLOOKUP(Table1[[#This Row],[Date]],Database!A:D,4,)</f>
        <v>5.5</v>
      </c>
      <c r="F270" s="63">
        <f>VLOOKUP(Table1[[#This Row],[Date]],Database!A:D,2,)</f>
        <v>59.5</v>
      </c>
      <c r="G270" s="57"/>
    </row>
    <row r="271" spans="1:7" x14ac:dyDescent="0.2">
      <c r="A271" s="56">
        <v>22129</v>
      </c>
      <c r="B271" s="26">
        <f>VLOOKUP(Table1[[#This Row],[Date]],Database!A:D,3,)</f>
        <v>54272</v>
      </c>
      <c r="C271" s="27">
        <f t="shared" si="8"/>
        <v>-34</v>
      </c>
      <c r="D271" s="27">
        <f t="shared" ref="D271:D334" si="9">AVERAGE(C269:C271)</f>
        <v>-67.666666666666671</v>
      </c>
      <c r="E271" s="63">
        <f>VLOOKUP(Table1[[#This Row],[Date]],Database!A:D,4,)</f>
        <v>5.6</v>
      </c>
      <c r="F271" s="63">
        <f>VLOOKUP(Table1[[#This Row],[Date]],Database!A:D,2,)</f>
        <v>59.5</v>
      </c>
      <c r="G271" s="57"/>
    </row>
    <row r="272" spans="1:7" x14ac:dyDescent="0.2">
      <c r="A272" s="56">
        <v>22160</v>
      </c>
      <c r="B272" s="26">
        <f>VLOOKUP(Table1[[#This Row],[Date]],Database!A:D,3,)</f>
        <v>54227</v>
      </c>
      <c r="C272" s="27">
        <f t="shared" si="8"/>
        <v>-45</v>
      </c>
      <c r="D272" s="27">
        <f t="shared" si="9"/>
        <v>-40.333333333333336</v>
      </c>
      <c r="E272" s="63">
        <f>VLOOKUP(Table1[[#This Row],[Date]],Database!A:D,4,)</f>
        <v>5.5</v>
      </c>
      <c r="F272" s="63">
        <f>VLOOKUP(Table1[[#This Row],[Date]],Database!A:D,2,)</f>
        <v>59.7</v>
      </c>
      <c r="G272" s="57"/>
    </row>
    <row r="273" spans="1:7" x14ac:dyDescent="0.2">
      <c r="A273" s="56">
        <v>22190</v>
      </c>
      <c r="B273" s="26">
        <f>VLOOKUP(Table1[[#This Row],[Date]],Database!A:D,3,)</f>
        <v>54142</v>
      </c>
      <c r="C273" s="27">
        <f t="shared" si="8"/>
        <v>-85</v>
      </c>
      <c r="D273" s="27">
        <f t="shared" si="9"/>
        <v>-54.666666666666664</v>
      </c>
      <c r="E273" s="63">
        <f>VLOOKUP(Table1[[#This Row],[Date]],Database!A:D,4,)</f>
        <v>6.1</v>
      </c>
      <c r="F273" s="63">
        <f>VLOOKUP(Table1[[#This Row],[Date]],Database!A:D,2,)</f>
        <v>59.4</v>
      </c>
      <c r="G273" s="57"/>
    </row>
    <row r="274" spans="1:7" x14ac:dyDescent="0.2">
      <c r="A274" s="56">
        <v>22221</v>
      </c>
      <c r="B274" s="26">
        <f>VLOOKUP(Table1[[#This Row],[Date]],Database!A:D,3,)</f>
        <v>53961</v>
      </c>
      <c r="C274" s="27">
        <f t="shared" si="8"/>
        <v>-181</v>
      </c>
      <c r="D274" s="27">
        <f t="shared" si="9"/>
        <v>-103.66666666666667</v>
      </c>
      <c r="E274" s="63">
        <f>VLOOKUP(Table1[[#This Row],[Date]],Database!A:D,4,)</f>
        <v>6.1</v>
      </c>
      <c r="F274" s="63">
        <f>VLOOKUP(Table1[[#This Row],[Date]],Database!A:D,2,)</f>
        <v>59.8</v>
      </c>
      <c r="G274" s="57"/>
    </row>
    <row r="275" spans="1:7" x14ac:dyDescent="0.2">
      <c r="A275" s="56">
        <v>22251</v>
      </c>
      <c r="B275" s="26">
        <f>VLOOKUP(Table1[[#This Row],[Date]],Database!A:D,3,)</f>
        <v>53742</v>
      </c>
      <c r="C275" s="27">
        <f t="shared" si="8"/>
        <v>-219</v>
      </c>
      <c r="D275" s="27">
        <f t="shared" si="9"/>
        <v>-161.66666666666666</v>
      </c>
      <c r="E275" s="63">
        <f>VLOOKUP(Table1[[#This Row],[Date]],Database!A:D,4,)</f>
        <v>6.6</v>
      </c>
      <c r="F275" s="63">
        <f>VLOOKUP(Table1[[#This Row],[Date]],Database!A:D,2,)</f>
        <v>59.7</v>
      </c>
      <c r="G275" s="57"/>
    </row>
    <row r="276" spans="1:7" x14ac:dyDescent="0.2">
      <c r="A276" s="56">
        <v>22282</v>
      </c>
      <c r="B276" s="26">
        <f>VLOOKUP(Table1[[#This Row],[Date]],Database!A:D,3,)</f>
        <v>53683</v>
      </c>
      <c r="C276" s="27">
        <f t="shared" si="8"/>
        <v>-59</v>
      </c>
      <c r="D276" s="27">
        <f t="shared" si="9"/>
        <v>-153</v>
      </c>
      <c r="E276" s="63">
        <f>VLOOKUP(Table1[[#This Row],[Date]],Database!A:D,4,)</f>
        <v>6.6</v>
      </c>
      <c r="F276" s="63">
        <f>VLOOKUP(Table1[[#This Row],[Date]],Database!A:D,2,)</f>
        <v>59.6</v>
      </c>
      <c r="G276" s="57"/>
    </row>
    <row r="277" spans="1:7" x14ac:dyDescent="0.2">
      <c r="A277" s="56">
        <v>22313</v>
      </c>
      <c r="B277" s="26">
        <f>VLOOKUP(Table1[[#This Row],[Date]],Database!A:D,3,)</f>
        <v>53557</v>
      </c>
      <c r="C277" s="27">
        <f t="shared" si="8"/>
        <v>-126</v>
      </c>
      <c r="D277" s="27">
        <f t="shared" si="9"/>
        <v>-134.66666666666666</v>
      </c>
      <c r="E277" s="63">
        <f>VLOOKUP(Table1[[#This Row],[Date]],Database!A:D,4,)</f>
        <v>6.9</v>
      </c>
      <c r="F277" s="63">
        <f>VLOOKUP(Table1[[#This Row],[Date]],Database!A:D,2,)</f>
        <v>59.6</v>
      </c>
      <c r="G277" s="57"/>
    </row>
    <row r="278" spans="1:7" x14ac:dyDescent="0.2">
      <c r="A278" s="56">
        <v>22341</v>
      </c>
      <c r="B278" s="26">
        <f>VLOOKUP(Table1[[#This Row],[Date]],Database!A:D,3,)</f>
        <v>53659</v>
      </c>
      <c r="C278" s="27">
        <f t="shared" si="8"/>
        <v>102</v>
      </c>
      <c r="D278" s="27">
        <f t="shared" si="9"/>
        <v>-27.666666666666668</v>
      </c>
      <c r="E278" s="63">
        <f>VLOOKUP(Table1[[#This Row],[Date]],Database!A:D,4,)</f>
        <v>6.9</v>
      </c>
      <c r="F278" s="63">
        <f>VLOOKUP(Table1[[#This Row],[Date]],Database!A:D,2,)</f>
        <v>59.7</v>
      </c>
      <c r="G278" s="57"/>
    </row>
    <row r="279" spans="1:7" x14ac:dyDescent="0.2">
      <c r="A279" s="56">
        <v>22372</v>
      </c>
      <c r="B279" s="26">
        <f>VLOOKUP(Table1[[#This Row],[Date]],Database!A:D,3,)</f>
        <v>53627</v>
      </c>
      <c r="C279" s="27">
        <f t="shared" si="8"/>
        <v>-32</v>
      </c>
      <c r="D279" s="27">
        <f t="shared" si="9"/>
        <v>-18.666666666666668</v>
      </c>
      <c r="E279" s="63">
        <f>VLOOKUP(Table1[[#This Row],[Date]],Database!A:D,4,)</f>
        <v>7</v>
      </c>
      <c r="F279" s="63">
        <f>VLOOKUP(Table1[[#This Row],[Date]],Database!A:D,2,)</f>
        <v>59.3</v>
      </c>
      <c r="G279" s="57"/>
    </row>
    <row r="280" spans="1:7" x14ac:dyDescent="0.2">
      <c r="A280" s="56">
        <v>22402</v>
      </c>
      <c r="B280" s="26">
        <f>VLOOKUP(Table1[[#This Row],[Date]],Database!A:D,3,)</f>
        <v>53786</v>
      </c>
      <c r="C280" s="27">
        <f t="shared" si="8"/>
        <v>159</v>
      </c>
      <c r="D280" s="27">
        <f t="shared" si="9"/>
        <v>76.333333333333329</v>
      </c>
      <c r="E280" s="63">
        <f>VLOOKUP(Table1[[#This Row],[Date]],Database!A:D,4,)</f>
        <v>7.1</v>
      </c>
      <c r="F280" s="63">
        <f>VLOOKUP(Table1[[#This Row],[Date]],Database!A:D,2,)</f>
        <v>59.4</v>
      </c>
      <c r="G280" s="57"/>
    </row>
    <row r="281" spans="1:7" x14ac:dyDescent="0.2">
      <c r="A281" s="56">
        <v>22433</v>
      </c>
      <c r="B281" s="26">
        <f>VLOOKUP(Table1[[#This Row],[Date]],Database!A:D,3,)</f>
        <v>53977</v>
      </c>
      <c r="C281" s="27">
        <f t="shared" si="8"/>
        <v>191</v>
      </c>
      <c r="D281" s="27">
        <f t="shared" si="9"/>
        <v>106</v>
      </c>
      <c r="E281" s="63">
        <f>VLOOKUP(Table1[[#This Row],[Date]],Database!A:D,4,)</f>
        <v>6.9</v>
      </c>
      <c r="F281" s="63">
        <f>VLOOKUP(Table1[[#This Row],[Date]],Database!A:D,2,)</f>
        <v>59.7</v>
      </c>
      <c r="G281" s="57"/>
    </row>
    <row r="282" spans="1:7" x14ac:dyDescent="0.2">
      <c r="A282" s="56">
        <v>22463</v>
      </c>
      <c r="B282" s="26">
        <f>VLOOKUP(Table1[[#This Row],[Date]],Database!A:D,3,)</f>
        <v>54123</v>
      </c>
      <c r="C282" s="27">
        <f t="shared" si="8"/>
        <v>146</v>
      </c>
      <c r="D282" s="27">
        <f t="shared" si="9"/>
        <v>165.33333333333334</v>
      </c>
      <c r="E282" s="63">
        <f>VLOOKUP(Table1[[#This Row],[Date]],Database!A:D,4,)</f>
        <v>7</v>
      </c>
      <c r="F282" s="63">
        <f>VLOOKUP(Table1[[#This Row],[Date]],Database!A:D,2,)</f>
        <v>59.3</v>
      </c>
      <c r="G282" s="57"/>
    </row>
    <row r="283" spans="1:7" x14ac:dyDescent="0.2">
      <c r="A283" s="56">
        <v>22494</v>
      </c>
      <c r="B283" s="26">
        <f>VLOOKUP(Table1[[#This Row],[Date]],Database!A:D,3,)</f>
        <v>54298</v>
      </c>
      <c r="C283" s="27">
        <f t="shared" si="8"/>
        <v>175</v>
      </c>
      <c r="D283" s="27">
        <f t="shared" si="9"/>
        <v>170.66666666666666</v>
      </c>
      <c r="E283" s="63">
        <f>VLOOKUP(Table1[[#This Row],[Date]],Database!A:D,4,)</f>
        <v>6.6</v>
      </c>
      <c r="F283" s="63">
        <f>VLOOKUP(Table1[[#This Row],[Date]],Database!A:D,2,)</f>
        <v>59.3</v>
      </c>
      <c r="G283" s="57"/>
    </row>
    <row r="284" spans="1:7" x14ac:dyDescent="0.2">
      <c r="A284" s="56">
        <v>22525</v>
      </c>
      <c r="B284" s="26">
        <f>VLOOKUP(Table1[[#This Row],[Date]],Database!A:D,3,)</f>
        <v>54388</v>
      </c>
      <c r="C284" s="27">
        <f t="shared" si="8"/>
        <v>90</v>
      </c>
      <c r="D284" s="27">
        <f t="shared" si="9"/>
        <v>137</v>
      </c>
      <c r="E284" s="63">
        <f>VLOOKUP(Table1[[#This Row],[Date]],Database!A:D,4,)</f>
        <v>6.7</v>
      </c>
      <c r="F284" s="63">
        <f>VLOOKUP(Table1[[#This Row],[Date]],Database!A:D,2,)</f>
        <v>59</v>
      </c>
      <c r="G284" s="57"/>
    </row>
    <row r="285" spans="1:7" x14ac:dyDescent="0.2">
      <c r="A285" s="56">
        <v>22555</v>
      </c>
      <c r="B285" s="26">
        <f>VLOOKUP(Table1[[#This Row],[Date]],Database!A:D,3,)</f>
        <v>54522</v>
      </c>
      <c r="C285" s="27">
        <f t="shared" si="8"/>
        <v>134</v>
      </c>
      <c r="D285" s="27">
        <f t="shared" si="9"/>
        <v>133</v>
      </c>
      <c r="E285" s="63">
        <f>VLOOKUP(Table1[[#This Row],[Date]],Database!A:D,4,)</f>
        <v>6.5</v>
      </c>
      <c r="F285" s="63">
        <f>VLOOKUP(Table1[[#This Row],[Date]],Database!A:D,2,)</f>
        <v>59.1</v>
      </c>
      <c r="G285" s="57"/>
    </row>
    <row r="286" spans="1:7" x14ac:dyDescent="0.2">
      <c r="A286" s="56">
        <v>22586</v>
      </c>
      <c r="B286" s="26">
        <f>VLOOKUP(Table1[[#This Row],[Date]],Database!A:D,3,)</f>
        <v>54742</v>
      </c>
      <c r="C286" s="27">
        <f t="shared" si="8"/>
        <v>220</v>
      </c>
      <c r="D286" s="27">
        <f t="shared" si="9"/>
        <v>148</v>
      </c>
      <c r="E286" s="63">
        <f>VLOOKUP(Table1[[#This Row],[Date]],Database!A:D,4,)</f>
        <v>6.1</v>
      </c>
      <c r="F286" s="63">
        <f>VLOOKUP(Table1[[#This Row],[Date]],Database!A:D,2,)</f>
        <v>59.1</v>
      </c>
      <c r="G286" s="57"/>
    </row>
    <row r="287" spans="1:7" x14ac:dyDescent="0.2">
      <c r="A287" s="56">
        <v>22616</v>
      </c>
      <c r="B287" s="26">
        <f>VLOOKUP(Table1[[#This Row],[Date]],Database!A:D,3,)</f>
        <v>54872</v>
      </c>
      <c r="C287" s="27">
        <f t="shared" si="8"/>
        <v>130</v>
      </c>
      <c r="D287" s="27">
        <f t="shared" si="9"/>
        <v>161.33333333333334</v>
      </c>
      <c r="E287" s="63">
        <f>VLOOKUP(Table1[[#This Row],[Date]],Database!A:D,4,)</f>
        <v>6</v>
      </c>
      <c r="F287" s="63">
        <f>VLOOKUP(Table1[[#This Row],[Date]],Database!A:D,2,)</f>
        <v>58.8</v>
      </c>
      <c r="G287" s="57"/>
    </row>
    <row r="288" spans="1:7" x14ac:dyDescent="0.2">
      <c r="A288" s="56">
        <v>22647</v>
      </c>
      <c r="B288" s="26">
        <f>VLOOKUP(Table1[[#This Row],[Date]],Database!A:D,3,)</f>
        <v>54891</v>
      </c>
      <c r="C288" s="27">
        <f t="shared" si="8"/>
        <v>19</v>
      </c>
      <c r="D288" s="27">
        <f t="shared" si="9"/>
        <v>123</v>
      </c>
      <c r="E288" s="63">
        <f>VLOOKUP(Table1[[#This Row],[Date]],Database!A:D,4,)</f>
        <v>5.8</v>
      </c>
      <c r="F288" s="63">
        <f>VLOOKUP(Table1[[#This Row],[Date]],Database!A:D,2,)</f>
        <v>58.8</v>
      </c>
      <c r="G288" s="57"/>
    </row>
    <row r="289" spans="1:7" x14ac:dyDescent="0.2">
      <c r="A289" s="56">
        <v>22678</v>
      </c>
      <c r="B289" s="26">
        <f>VLOOKUP(Table1[[#This Row],[Date]],Database!A:D,3,)</f>
        <v>55188</v>
      </c>
      <c r="C289" s="27">
        <f t="shared" si="8"/>
        <v>297</v>
      </c>
      <c r="D289" s="27">
        <f t="shared" si="9"/>
        <v>148.66666666666666</v>
      </c>
      <c r="E289" s="63">
        <f>VLOOKUP(Table1[[#This Row],[Date]],Database!A:D,4,)</f>
        <v>5.5</v>
      </c>
      <c r="F289" s="63">
        <f>VLOOKUP(Table1[[#This Row],[Date]],Database!A:D,2,)</f>
        <v>59</v>
      </c>
      <c r="G289" s="57"/>
    </row>
    <row r="290" spans="1:7" x14ac:dyDescent="0.2">
      <c r="A290" s="56">
        <v>22706</v>
      </c>
      <c r="B290" s="26">
        <f>VLOOKUP(Table1[[#This Row],[Date]],Database!A:D,3,)</f>
        <v>55275</v>
      </c>
      <c r="C290" s="27">
        <f t="shared" si="8"/>
        <v>87</v>
      </c>
      <c r="D290" s="27">
        <f t="shared" si="9"/>
        <v>134.33333333333334</v>
      </c>
      <c r="E290" s="63">
        <f>VLOOKUP(Table1[[#This Row],[Date]],Database!A:D,4,)</f>
        <v>5.6</v>
      </c>
      <c r="F290" s="63">
        <f>VLOOKUP(Table1[[#This Row],[Date]],Database!A:D,2,)</f>
        <v>58.9</v>
      </c>
      <c r="G290" s="57"/>
    </row>
    <row r="291" spans="1:7" x14ac:dyDescent="0.2">
      <c r="A291" s="56">
        <v>22737</v>
      </c>
      <c r="B291" s="26">
        <f>VLOOKUP(Table1[[#This Row],[Date]],Database!A:D,3,)</f>
        <v>55602</v>
      </c>
      <c r="C291" s="27">
        <f t="shared" si="8"/>
        <v>327</v>
      </c>
      <c r="D291" s="27">
        <f t="shared" si="9"/>
        <v>237</v>
      </c>
      <c r="E291" s="63">
        <f>VLOOKUP(Table1[[#This Row],[Date]],Database!A:D,4,)</f>
        <v>5.6</v>
      </c>
      <c r="F291" s="63">
        <f>VLOOKUP(Table1[[#This Row],[Date]],Database!A:D,2,)</f>
        <v>58.7</v>
      </c>
      <c r="G291" s="57"/>
    </row>
    <row r="292" spans="1:7" x14ac:dyDescent="0.2">
      <c r="A292" s="56">
        <v>22767</v>
      </c>
      <c r="B292" s="26">
        <f>VLOOKUP(Table1[[#This Row],[Date]],Database!A:D,3,)</f>
        <v>55628</v>
      </c>
      <c r="C292" s="27">
        <f t="shared" si="8"/>
        <v>26</v>
      </c>
      <c r="D292" s="27">
        <f t="shared" si="9"/>
        <v>146.66666666666666</v>
      </c>
      <c r="E292" s="63">
        <f>VLOOKUP(Table1[[#This Row],[Date]],Database!A:D,4,)</f>
        <v>5.5</v>
      </c>
      <c r="F292" s="63">
        <f>VLOOKUP(Table1[[#This Row],[Date]],Database!A:D,2,)</f>
        <v>58.9</v>
      </c>
      <c r="G292" s="57"/>
    </row>
    <row r="293" spans="1:7" x14ac:dyDescent="0.2">
      <c r="A293" s="56">
        <v>22798</v>
      </c>
      <c r="B293" s="26">
        <f>VLOOKUP(Table1[[#This Row],[Date]],Database!A:D,3,)</f>
        <v>55644</v>
      </c>
      <c r="C293" s="27">
        <f t="shared" si="8"/>
        <v>16</v>
      </c>
      <c r="D293" s="27">
        <f t="shared" si="9"/>
        <v>123</v>
      </c>
      <c r="E293" s="63">
        <f>VLOOKUP(Table1[[#This Row],[Date]],Database!A:D,4,)</f>
        <v>5.5</v>
      </c>
      <c r="F293" s="63">
        <f>VLOOKUP(Table1[[#This Row],[Date]],Database!A:D,2,)</f>
        <v>58.8</v>
      </c>
      <c r="G293" s="57"/>
    </row>
    <row r="294" spans="1:7" x14ac:dyDescent="0.2">
      <c r="A294" s="56">
        <v>22828</v>
      </c>
      <c r="B294" s="26">
        <f>VLOOKUP(Table1[[#This Row],[Date]],Database!A:D,3,)</f>
        <v>55746</v>
      </c>
      <c r="C294" s="27">
        <f t="shared" si="8"/>
        <v>102</v>
      </c>
      <c r="D294" s="27">
        <f t="shared" si="9"/>
        <v>48</v>
      </c>
      <c r="E294" s="63">
        <f>VLOOKUP(Table1[[#This Row],[Date]],Database!A:D,4,)</f>
        <v>5.4</v>
      </c>
      <c r="F294" s="63">
        <f>VLOOKUP(Table1[[#This Row],[Date]],Database!A:D,2,)</f>
        <v>58.5</v>
      </c>
      <c r="G294" s="57"/>
    </row>
    <row r="295" spans="1:7" x14ac:dyDescent="0.2">
      <c r="A295" s="56">
        <v>22859</v>
      </c>
      <c r="B295" s="26">
        <f>VLOOKUP(Table1[[#This Row],[Date]],Database!A:D,3,)</f>
        <v>55838</v>
      </c>
      <c r="C295" s="27">
        <f t="shared" si="8"/>
        <v>92</v>
      </c>
      <c r="D295" s="27">
        <f t="shared" si="9"/>
        <v>70</v>
      </c>
      <c r="E295" s="63">
        <f>VLOOKUP(Table1[[#This Row],[Date]],Database!A:D,4,)</f>
        <v>5.7</v>
      </c>
      <c r="F295" s="63">
        <f>VLOOKUP(Table1[[#This Row],[Date]],Database!A:D,2,)</f>
        <v>59</v>
      </c>
      <c r="G295" s="57"/>
    </row>
    <row r="296" spans="1:7" x14ac:dyDescent="0.2">
      <c r="A296" s="56">
        <v>22890</v>
      </c>
      <c r="B296" s="26">
        <f>VLOOKUP(Table1[[#This Row],[Date]],Database!A:D,3,)</f>
        <v>55978</v>
      </c>
      <c r="C296" s="27">
        <f t="shared" si="8"/>
        <v>140</v>
      </c>
      <c r="D296" s="27">
        <f t="shared" si="9"/>
        <v>111.33333333333333</v>
      </c>
      <c r="E296" s="63">
        <f>VLOOKUP(Table1[[#This Row],[Date]],Database!A:D,4,)</f>
        <v>5.6</v>
      </c>
      <c r="F296" s="63">
        <f>VLOOKUP(Table1[[#This Row],[Date]],Database!A:D,2,)</f>
        <v>59</v>
      </c>
      <c r="G296" s="57"/>
    </row>
    <row r="297" spans="1:7" x14ac:dyDescent="0.2">
      <c r="A297" s="56">
        <v>22920</v>
      </c>
      <c r="B297" s="26">
        <f>VLOOKUP(Table1[[#This Row],[Date]],Database!A:D,3,)</f>
        <v>56041</v>
      </c>
      <c r="C297" s="27">
        <f t="shared" si="8"/>
        <v>63</v>
      </c>
      <c r="D297" s="27">
        <f t="shared" si="9"/>
        <v>98.333333333333329</v>
      </c>
      <c r="E297" s="63">
        <f>VLOOKUP(Table1[[#This Row],[Date]],Database!A:D,4,)</f>
        <v>5.4</v>
      </c>
      <c r="F297" s="63">
        <f>VLOOKUP(Table1[[#This Row],[Date]],Database!A:D,2,)</f>
        <v>58.7</v>
      </c>
      <c r="G297" s="57"/>
    </row>
    <row r="298" spans="1:7" x14ac:dyDescent="0.2">
      <c r="A298" s="56">
        <v>22951</v>
      </c>
      <c r="B298" s="26">
        <f>VLOOKUP(Table1[[#This Row],[Date]],Database!A:D,3,)</f>
        <v>56056</v>
      </c>
      <c r="C298" s="27">
        <f t="shared" si="8"/>
        <v>15</v>
      </c>
      <c r="D298" s="27">
        <f t="shared" si="9"/>
        <v>72.666666666666671</v>
      </c>
      <c r="E298" s="63">
        <f>VLOOKUP(Table1[[#This Row],[Date]],Database!A:D,4,)</f>
        <v>5.7</v>
      </c>
      <c r="F298" s="63">
        <f>VLOOKUP(Table1[[#This Row],[Date]],Database!A:D,2,)</f>
        <v>58.5</v>
      </c>
      <c r="G298" s="57"/>
    </row>
    <row r="299" spans="1:7" x14ac:dyDescent="0.2">
      <c r="A299" s="56">
        <v>22981</v>
      </c>
      <c r="B299" s="26">
        <f>VLOOKUP(Table1[[#This Row],[Date]],Database!A:D,3,)</f>
        <v>56028</v>
      </c>
      <c r="C299" s="27">
        <f t="shared" si="8"/>
        <v>-28</v>
      </c>
      <c r="D299" s="27">
        <f t="shared" si="9"/>
        <v>16.666666666666668</v>
      </c>
      <c r="E299" s="63">
        <f>VLOOKUP(Table1[[#This Row],[Date]],Database!A:D,4,)</f>
        <v>5.5</v>
      </c>
      <c r="F299" s="63">
        <f>VLOOKUP(Table1[[#This Row],[Date]],Database!A:D,2,)</f>
        <v>58.4</v>
      </c>
      <c r="G299" s="57"/>
    </row>
    <row r="300" spans="1:7" x14ac:dyDescent="0.2">
      <c r="A300" s="56">
        <v>23012</v>
      </c>
      <c r="B300" s="26">
        <f>VLOOKUP(Table1[[#This Row],[Date]],Database!A:D,3,)</f>
        <v>56115</v>
      </c>
      <c r="C300" s="27">
        <f t="shared" si="8"/>
        <v>87</v>
      </c>
      <c r="D300" s="27">
        <f t="shared" si="9"/>
        <v>24.666666666666668</v>
      </c>
      <c r="E300" s="63">
        <f>VLOOKUP(Table1[[#This Row],[Date]],Database!A:D,4,)</f>
        <v>5.7</v>
      </c>
      <c r="F300" s="63">
        <f>VLOOKUP(Table1[[#This Row],[Date]],Database!A:D,2,)</f>
        <v>58.6</v>
      </c>
      <c r="G300" s="57"/>
    </row>
    <row r="301" spans="1:7" x14ac:dyDescent="0.2">
      <c r="A301" s="56">
        <v>23043</v>
      </c>
      <c r="B301" s="26">
        <f>VLOOKUP(Table1[[#This Row],[Date]],Database!A:D,3,)</f>
        <v>56230</v>
      </c>
      <c r="C301" s="27">
        <f t="shared" si="8"/>
        <v>115</v>
      </c>
      <c r="D301" s="27">
        <f t="shared" si="9"/>
        <v>58</v>
      </c>
      <c r="E301" s="63">
        <f>VLOOKUP(Table1[[#This Row],[Date]],Database!A:D,4,)</f>
        <v>5.9</v>
      </c>
      <c r="F301" s="63">
        <f>VLOOKUP(Table1[[#This Row],[Date]],Database!A:D,2,)</f>
        <v>58.6</v>
      </c>
      <c r="G301" s="57"/>
    </row>
    <row r="302" spans="1:7" x14ac:dyDescent="0.2">
      <c r="A302" s="56">
        <v>23071</v>
      </c>
      <c r="B302" s="26">
        <f>VLOOKUP(Table1[[#This Row],[Date]],Database!A:D,3,)</f>
        <v>56320</v>
      </c>
      <c r="C302" s="27">
        <f t="shared" si="8"/>
        <v>90</v>
      </c>
      <c r="D302" s="27">
        <f t="shared" si="9"/>
        <v>97.333333333333329</v>
      </c>
      <c r="E302" s="63">
        <f>VLOOKUP(Table1[[#This Row],[Date]],Database!A:D,4,)</f>
        <v>5.7</v>
      </c>
      <c r="F302" s="63">
        <f>VLOOKUP(Table1[[#This Row],[Date]],Database!A:D,2,)</f>
        <v>58.6</v>
      </c>
      <c r="G302" s="57"/>
    </row>
    <row r="303" spans="1:7" x14ac:dyDescent="0.2">
      <c r="A303" s="56">
        <v>23102</v>
      </c>
      <c r="B303" s="26">
        <f>VLOOKUP(Table1[[#This Row],[Date]],Database!A:D,3,)</f>
        <v>56580</v>
      </c>
      <c r="C303" s="27">
        <f t="shared" si="8"/>
        <v>260</v>
      </c>
      <c r="D303" s="27">
        <f t="shared" si="9"/>
        <v>155</v>
      </c>
      <c r="E303" s="63">
        <f>VLOOKUP(Table1[[#This Row],[Date]],Database!A:D,4,)</f>
        <v>5.7</v>
      </c>
      <c r="F303" s="63">
        <f>VLOOKUP(Table1[[#This Row],[Date]],Database!A:D,2,)</f>
        <v>58.8</v>
      </c>
      <c r="G303" s="57"/>
    </row>
    <row r="304" spans="1:7" x14ac:dyDescent="0.2">
      <c r="A304" s="56">
        <v>23132</v>
      </c>
      <c r="B304" s="26">
        <f>VLOOKUP(Table1[[#This Row],[Date]],Database!A:D,3,)</f>
        <v>56616</v>
      </c>
      <c r="C304" s="27">
        <f t="shared" si="8"/>
        <v>36</v>
      </c>
      <c r="D304" s="27">
        <f t="shared" si="9"/>
        <v>128.66666666666666</v>
      </c>
      <c r="E304" s="63">
        <f>VLOOKUP(Table1[[#This Row],[Date]],Database!A:D,4,)</f>
        <v>5.9</v>
      </c>
      <c r="F304" s="63">
        <f>VLOOKUP(Table1[[#This Row],[Date]],Database!A:D,2,)</f>
        <v>58.8</v>
      </c>
      <c r="G304" s="57"/>
    </row>
    <row r="305" spans="1:7" x14ac:dyDescent="0.2">
      <c r="A305" s="56">
        <v>23163</v>
      </c>
      <c r="B305" s="26">
        <f>VLOOKUP(Table1[[#This Row],[Date]],Database!A:D,3,)</f>
        <v>56659</v>
      </c>
      <c r="C305" s="27">
        <f t="shared" si="8"/>
        <v>43</v>
      </c>
      <c r="D305" s="27">
        <f t="shared" si="9"/>
        <v>113</v>
      </c>
      <c r="E305" s="63">
        <f>VLOOKUP(Table1[[#This Row],[Date]],Database!A:D,4,)</f>
        <v>5.6</v>
      </c>
      <c r="F305" s="63">
        <f>VLOOKUP(Table1[[#This Row],[Date]],Database!A:D,2,)</f>
        <v>58.5</v>
      </c>
      <c r="G305" s="57"/>
    </row>
    <row r="306" spans="1:7" x14ac:dyDescent="0.2">
      <c r="A306" s="56">
        <v>23193</v>
      </c>
      <c r="B306" s="26">
        <f>VLOOKUP(Table1[[#This Row],[Date]],Database!A:D,3,)</f>
        <v>56794</v>
      </c>
      <c r="C306" s="27">
        <f t="shared" si="8"/>
        <v>135</v>
      </c>
      <c r="D306" s="27">
        <f t="shared" si="9"/>
        <v>71.333333333333329</v>
      </c>
      <c r="E306" s="63">
        <f>VLOOKUP(Table1[[#This Row],[Date]],Database!A:D,4,)</f>
        <v>5.6</v>
      </c>
      <c r="F306" s="63">
        <f>VLOOKUP(Table1[[#This Row],[Date]],Database!A:D,2,)</f>
        <v>58.7</v>
      </c>
      <c r="G306" s="57"/>
    </row>
    <row r="307" spans="1:7" x14ac:dyDescent="0.2">
      <c r="A307" s="56">
        <v>23224</v>
      </c>
      <c r="B307" s="26">
        <f>VLOOKUP(Table1[[#This Row],[Date]],Database!A:D,3,)</f>
        <v>56910</v>
      </c>
      <c r="C307" s="27">
        <f t="shared" si="8"/>
        <v>116</v>
      </c>
      <c r="D307" s="27">
        <f t="shared" si="9"/>
        <v>98</v>
      </c>
      <c r="E307" s="63">
        <f>VLOOKUP(Table1[[#This Row],[Date]],Database!A:D,4,)</f>
        <v>5.4</v>
      </c>
      <c r="F307" s="63">
        <f>VLOOKUP(Table1[[#This Row],[Date]],Database!A:D,2,)</f>
        <v>58.5</v>
      </c>
      <c r="G307" s="57"/>
    </row>
    <row r="308" spans="1:7" x14ac:dyDescent="0.2">
      <c r="A308" s="56">
        <v>23255</v>
      </c>
      <c r="B308" s="26">
        <f>VLOOKUP(Table1[[#This Row],[Date]],Database!A:D,3,)</f>
        <v>57078</v>
      </c>
      <c r="C308" s="27">
        <f t="shared" si="8"/>
        <v>168</v>
      </c>
      <c r="D308" s="27">
        <f t="shared" si="9"/>
        <v>139.66666666666666</v>
      </c>
      <c r="E308" s="63">
        <f>VLOOKUP(Table1[[#This Row],[Date]],Database!A:D,4,)</f>
        <v>5.5</v>
      </c>
      <c r="F308" s="63">
        <f>VLOOKUP(Table1[[#This Row],[Date]],Database!A:D,2,)</f>
        <v>58.7</v>
      </c>
      <c r="G308" s="57"/>
    </row>
    <row r="309" spans="1:7" x14ac:dyDescent="0.2">
      <c r="A309" s="56">
        <v>23285</v>
      </c>
      <c r="B309" s="26">
        <f>VLOOKUP(Table1[[#This Row],[Date]],Database!A:D,3,)</f>
        <v>57283</v>
      </c>
      <c r="C309" s="27">
        <f t="shared" si="8"/>
        <v>205</v>
      </c>
      <c r="D309" s="27">
        <f t="shared" si="9"/>
        <v>163</v>
      </c>
      <c r="E309" s="63">
        <f>VLOOKUP(Table1[[#This Row],[Date]],Database!A:D,4,)</f>
        <v>5.5</v>
      </c>
      <c r="F309" s="63">
        <f>VLOOKUP(Table1[[#This Row],[Date]],Database!A:D,2,)</f>
        <v>58.8</v>
      </c>
      <c r="G309" s="57"/>
    </row>
    <row r="310" spans="1:7" x14ac:dyDescent="0.2">
      <c r="A310" s="56">
        <v>23316</v>
      </c>
      <c r="B310" s="26">
        <f>VLOOKUP(Table1[[#This Row],[Date]],Database!A:D,3,)</f>
        <v>57255</v>
      </c>
      <c r="C310" s="27">
        <f t="shared" si="8"/>
        <v>-28</v>
      </c>
      <c r="D310" s="27">
        <f t="shared" si="9"/>
        <v>115</v>
      </c>
      <c r="E310" s="63">
        <f>VLOOKUP(Table1[[#This Row],[Date]],Database!A:D,4,)</f>
        <v>5.7</v>
      </c>
      <c r="F310" s="63">
        <f>VLOOKUP(Table1[[#This Row],[Date]],Database!A:D,2,)</f>
        <v>58.8</v>
      </c>
      <c r="G310" s="57"/>
    </row>
    <row r="311" spans="1:7" x14ac:dyDescent="0.2">
      <c r="A311" s="56">
        <v>23346</v>
      </c>
      <c r="B311" s="26">
        <f>VLOOKUP(Table1[[#This Row],[Date]],Database!A:D,3,)</f>
        <v>57361</v>
      </c>
      <c r="C311" s="27">
        <f t="shared" si="8"/>
        <v>106</v>
      </c>
      <c r="D311" s="27">
        <f t="shared" si="9"/>
        <v>94.333333333333329</v>
      </c>
      <c r="E311" s="63">
        <f>VLOOKUP(Table1[[#This Row],[Date]],Database!A:D,4,)</f>
        <v>5.5</v>
      </c>
      <c r="F311" s="63">
        <f>VLOOKUP(Table1[[#This Row],[Date]],Database!A:D,2,)</f>
        <v>58.5</v>
      </c>
      <c r="G311" s="57"/>
    </row>
    <row r="312" spans="1:7" x14ac:dyDescent="0.2">
      <c r="A312" s="56">
        <v>23377</v>
      </c>
      <c r="B312" s="26">
        <f>VLOOKUP(Table1[[#This Row],[Date]],Database!A:D,3,)</f>
        <v>57487</v>
      </c>
      <c r="C312" s="27">
        <f t="shared" si="8"/>
        <v>126</v>
      </c>
      <c r="D312" s="27">
        <f t="shared" si="9"/>
        <v>68</v>
      </c>
      <c r="E312" s="63">
        <f>VLOOKUP(Table1[[#This Row],[Date]],Database!A:D,4,)</f>
        <v>5.6</v>
      </c>
      <c r="F312" s="63">
        <f>VLOOKUP(Table1[[#This Row],[Date]],Database!A:D,2,)</f>
        <v>58.6</v>
      </c>
      <c r="G312" s="57"/>
    </row>
    <row r="313" spans="1:7" x14ac:dyDescent="0.2">
      <c r="A313" s="56">
        <v>23408</v>
      </c>
      <c r="B313" s="26">
        <f>VLOOKUP(Table1[[#This Row],[Date]],Database!A:D,3,)</f>
        <v>57753</v>
      </c>
      <c r="C313" s="27">
        <f t="shared" si="8"/>
        <v>266</v>
      </c>
      <c r="D313" s="27">
        <f t="shared" si="9"/>
        <v>166</v>
      </c>
      <c r="E313" s="63">
        <f>VLOOKUP(Table1[[#This Row],[Date]],Database!A:D,4,)</f>
        <v>5.4</v>
      </c>
      <c r="F313" s="63">
        <f>VLOOKUP(Table1[[#This Row],[Date]],Database!A:D,2,)</f>
        <v>58.8</v>
      </c>
      <c r="G313" s="57"/>
    </row>
    <row r="314" spans="1:7" x14ac:dyDescent="0.2">
      <c r="A314" s="56">
        <v>23437</v>
      </c>
      <c r="B314" s="26">
        <f>VLOOKUP(Table1[[#This Row],[Date]],Database!A:D,3,)</f>
        <v>57897</v>
      </c>
      <c r="C314" s="27">
        <f t="shared" si="8"/>
        <v>144</v>
      </c>
      <c r="D314" s="27">
        <f t="shared" si="9"/>
        <v>178.66666666666666</v>
      </c>
      <c r="E314" s="63">
        <f>VLOOKUP(Table1[[#This Row],[Date]],Database!A:D,4,)</f>
        <v>5.4</v>
      </c>
      <c r="F314" s="63">
        <f>VLOOKUP(Table1[[#This Row],[Date]],Database!A:D,2,)</f>
        <v>58.7</v>
      </c>
      <c r="G314" s="57"/>
    </row>
    <row r="315" spans="1:7" x14ac:dyDescent="0.2">
      <c r="A315" s="56">
        <v>23468</v>
      </c>
      <c r="B315" s="26">
        <f>VLOOKUP(Table1[[#This Row],[Date]],Database!A:D,3,)</f>
        <v>57922</v>
      </c>
      <c r="C315" s="27">
        <f t="shared" si="8"/>
        <v>25</v>
      </c>
      <c r="D315" s="27">
        <f t="shared" si="9"/>
        <v>145</v>
      </c>
      <c r="E315" s="63">
        <f>VLOOKUP(Table1[[#This Row],[Date]],Database!A:D,4,)</f>
        <v>5.3</v>
      </c>
      <c r="F315" s="63">
        <f>VLOOKUP(Table1[[#This Row],[Date]],Database!A:D,2,)</f>
        <v>59.1</v>
      </c>
      <c r="G315" s="57"/>
    </row>
    <row r="316" spans="1:7" x14ac:dyDescent="0.2">
      <c r="A316" s="56">
        <v>23498</v>
      </c>
      <c r="B316" s="26">
        <f>VLOOKUP(Table1[[#This Row],[Date]],Database!A:D,3,)</f>
        <v>58089</v>
      </c>
      <c r="C316" s="27">
        <f t="shared" si="8"/>
        <v>167</v>
      </c>
      <c r="D316" s="27">
        <f t="shared" si="9"/>
        <v>112</v>
      </c>
      <c r="E316" s="63">
        <f>VLOOKUP(Table1[[#This Row],[Date]],Database!A:D,4,)</f>
        <v>5.0999999999999996</v>
      </c>
      <c r="F316" s="63">
        <f>VLOOKUP(Table1[[#This Row],[Date]],Database!A:D,2,)</f>
        <v>59.1</v>
      </c>
      <c r="G316" s="57"/>
    </row>
    <row r="317" spans="1:7" x14ac:dyDescent="0.2">
      <c r="A317" s="56">
        <v>23529</v>
      </c>
      <c r="B317" s="26">
        <f>VLOOKUP(Table1[[#This Row],[Date]],Database!A:D,3,)</f>
        <v>58219</v>
      </c>
      <c r="C317" s="27">
        <f t="shared" si="8"/>
        <v>130</v>
      </c>
      <c r="D317" s="27">
        <f t="shared" si="9"/>
        <v>107.33333333333333</v>
      </c>
      <c r="E317" s="63">
        <f>VLOOKUP(Table1[[#This Row],[Date]],Database!A:D,4,)</f>
        <v>5.2</v>
      </c>
      <c r="F317" s="63">
        <f>VLOOKUP(Table1[[#This Row],[Date]],Database!A:D,2,)</f>
        <v>58.7</v>
      </c>
      <c r="G317" s="57"/>
    </row>
    <row r="318" spans="1:7" x14ac:dyDescent="0.2">
      <c r="A318" s="56">
        <v>23559</v>
      </c>
      <c r="B318" s="26">
        <f>VLOOKUP(Table1[[#This Row],[Date]],Database!A:D,3,)</f>
        <v>58412</v>
      </c>
      <c r="C318" s="27">
        <f t="shared" si="8"/>
        <v>193</v>
      </c>
      <c r="D318" s="27">
        <f t="shared" si="9"/>
        <v>163.33333333333334</v>
      </c>
      <c r="E318" s="63">
        <f>VLOOKUP(Table1[[#This Row],[Date]],Database!A:D,4,)</f>
        <v>4.9000000000000004</v>
      </c>
      <c r="F318" s="63">
        <f>VLOOKUP(Table1[[#This Row],[Date]],Database!A:D,2,)</f>
        <v>58.6</v>
      </c>
      <c r="G318" s="57"/>
    </row>
    <row r="319" spans="1:7" x14ac:dyDescent="0.2">
      <c r="A319" s="56">
        <v>23590</v>
      </c>
      <c r="B319" s="26">
        <f>VLOOKUP(Table1[[#This Row],[Date]],Database!A:D,3,)</f>
        <v>58619</v>
      </c>
      <c r="C319" s="27">
        <f t="shared" si="8"/>
        <v>207</v>
      </c>
      <c r="D319" s="27">
        <f t="shared" si="9"/>
        <v>176.66666666666666</v>
      </c>
      <c r="E319" s="63">
        <f>VLOOKUP(Table1[[#This Row],[Date]],Database!A:D,4,)</f>
        <v>5</v>
      </c>
      <c r="F319" s="63">
        <f>VLOOKUP(Table1[[#This Row],[Date]],Database!A:D,2,)</f>
        <v>58.6</v>
      </c>
      <c r="G319" s="57"/>
    </row>
    <row r="320" spans="1:7" x14ac:dyDescent="0.2">
      <c r="A320" s="56">
        <v>23621</v>
      </c>
      <c r="B320" s="26">
        <f>VLOOKUP(Table1[[#This Row],[Date]],Database!A:D,3,)</f>
        <v>58903</v>
      </c>
      <c r="C320" s="27">
        <f t="shared" si="8"/>
        <v>284</v>
      </c>
      <c r="D320" s="27">
        <f t="shared" si="9"/>
        <v>228</v>
      </c>
      <c r="E320" s="63">
        <f>VLOOKUP(Table1[[#This Row],[Date]],Database!A:D,4,)</f>
        <v>5.0999999999999996</v>
      </c>
      <c r="F320" s="63">
        <f>VLOOKUP(Table1[[#This Row],[Date]],Database!A:D,2,)</f>
        <v>58.7</v>
      </c>
      <c r="G320" s="57"/>
    </row>
    <row r="321" spans="1:7" x14ac:dyDescent="0.2">
      <c r="A321" s="56">
        <v>23651</v>
      </c>
      <c r="B321" s="26">
        <f>VLOOKUP(Table1[[#This Row],[Date]],Database!A:D,3,)</f>
        <v>58793</v>
      </c>
      <c r="C321" s="27">
        <f t="shared" si="8"/>
        <v>-110</v>
      </c>
      <c r="D321" s="27">
        <f t="shared" si="9"/>
        <v>127</v>
      </c>
      <c r="E321" s="63">
        <f>VLOOKUP(Table1[[#This Row],[Date]],Database!A:D,4,)</f>
        <v>5.0999999999999996</v>
      </c>
      <c r="F321" s="63">
        <f>VLOOKUP(Table1[[#This Row],[Date]],Database!A:D,2,)</f>
        <v>58.6</v>
      </c>
      <c r="G321" s="57"/>
    </row>
    <row r="322" spans="1:7" x14ac:dyDescent="0.2">
      <c r="A322" s="56">
        <v>23682</v>
      </c>
      <c r="B322" s="26">
        <f>VLOOKUP(Table1[[#This Row],[Date]],Database!A:D,3,)</f>
        <v>59218</v>
      </c>
      <c r="C322" s="27">
        <f t="shared" si="8"/>
        <v>425</v>
      </c>
      <c r="D322" s="27">
        <f t="shared" si="9"/>
        <v>199.66666666666666</v>
      </c>
      <c r="E322" s="63">
        <f>VLOOKUP(Table1[[#This Row],[Date]],Database!A:D,4,)</f>
        <v>4.8</v>
      </c>
      <c r="F322" s="63">
        <f>VLOOKUP(Table1[[#This Row],[Date]],Database!A:D,2,)</f>
        <v>58.5</v>
      </c>
      <c r="G322" s="57"/>
    </row>
    <row r="323" spans="1:7" x14ac:dyDescent="0.2">
      <c r="A323" s="56">
        <v>23712</v>
      </c>
      <c r="B323" s="26">
        <f>VLOOKUP(Table1[[#This Row],[Date]],Database!A:D,3,)</f>
        <v>59421</v>
      </c>
      <c r="C323" s="27">
        <f t="shared" si="8"/>
        <v>203</v>
      </c>
      <c r="D323" s="27">
        <f t="shared" si="9"/>
        <v>172.66666666666666</v>
      </c>
      <c r="E323" s="63">
        <f>VLOOKUP(Table1[[#This Row],[Date]],Database!A:D,4,)</f>
        <v>5</v>
      </c>
      <c r="F323" s="63">
        <f>VLOOKUP(Table1[[#This Row],[Date]],Database!A:D,2,)</f>
        <v>58.6</v>
      </c>
      <c r="G323" s="57"/>
    </row>
    <row r="324" spans="1:7" x14ac:dyDescent="0.2">
      <c r="A324" s="56">
        <v>23743</v>
      </c>
      <c r="B324" s="26">
        <f>VLOOKUP(Table1[[#This Row],[Date]],Database!A:D,3,)</f>
        <v>59582</v>
      </c>
      <c r="C324" s="27">
        <f t="shared" si="8"/>
        <v>161</v>
      </c>
      <c r="D324" s="27">
        <f t="shared" si="9"/>
        <v>263</v>
      </c>
      <c r="E324" s="63">
        <f>VLOOKUP(Table1[[#This Row],[Date]],Database!A:D,4,)</f>
        <v>4.9000000000000004</v>
      </c>
      <c r="F324" s="63">
        <f>VLOOKUP(Table1[[#This Row],[Date]],Database!A:D,2,)</f>
        <v>58.6</v>
      </c>
      <c r="G324" s="57"/>
    </row>
    <row r="325" spans="1:7" x14ac:dyDescent="0.2">
      <c r="A325" s="56">
        <v>23774</v>
      </c>
      <c r="B325" s="26">
        <f>VLOOKUP(Table1[[#This Row],[Date]],Database!A:D,3,)</f>
        <v>59800</v>
      </c>
      <c r="C325" s="27">
        <f t="shared" si="8"/>
        <v>218</v>
      </c>
      <c r="D325" s="27">
        <f t="shared" si="9"/>
        <v>194</v>
      </c>
      <c r="E325" s="63">
        <f>VLOOKUP(Table1[[#This Row],[Date]],Database!A:D,4,)</f>
        <v>5.0999999999999996</v>
      </c>
      <c r="F325" s="63">
        <f>VLOOKUP(Table1[[#This Row],[Date]],Database!A:D,2,)</f>
        <v>58.7</v>
      </c>
      <c r="G325" s="57"/>
    </row>
    <row r="326" spans="1:7" x14ac:dyDescent="0.2">
      <c r="A326" s="56">
        <v>23802</v>
      </c>
      <c r="B326" s="26">
        <f>VLOOKUP(Table1[[#This Row],[Date]],Database!A:D,3,)</f>
        <v>60003</v>
      </c>
      <c r="C326" s="27">
        <f t="shared" si="8"/>
        <v>203</v>
      </c>
      <c r="D326" s="27">
        <f t="shared" si="9"/>
        <v>194</v>
      </c>
      <c r="E326" s="63">
        <f>VLOOKUP(Table1[[#This Row],[Date]],Database!A:D,4,)</f>
        <v>4.7</v>
      </c>
      <c r="F326" s="63">
        <f>VLOOKUP(Table1[[#This Row],[Date]],Database!A:D,2,)</f>
        <v>58.7</v>
      </c>
      <c r="G326" s="57"/>
    </row>
    <row r="327" spans="1:7" x14ac:dyDescent="0.2">
      <c r="A327" s="56">
        <v>23833</v>
      </c>
      <c r="B327" s="26">
        <f>VLOOKUP(Table1[[#This Row],[Date]],Database!A:D,3,)</f>
        <v>60259</v>
      </c>
      <c r="C327" s="27">
        <f t="shared" si="8"/>
        <v>256</v>
      </c>
      <c r="D327" s="27">
        <f t="shared" si="9"/>
        <v>225.66666666666666</v>
      </c>
      <c r="E327" s="63">
        <f>VLOOKUP(Table1[[#This Row],[Date]],Database!A:D,4,)</f>
        <v>4.8</v>
      </c>
      <c r="F327" s="63">
        <f>VLOOKUP(Table1[[#This Row],[Date]],Database!A:D,2,)</f>
        <v>58.8</v>
      </c>
      <c r="G327" s="57"/>
    </row>
    <row r="328" spans="1:7" x14ac:dyDescent="0.2">
      <c r="A328" s="56">
        <v>23863</v>
      </c>
      <c r="B328" s="26">
        <f>VLOOKUP(Table1[[#This Row],[Date]],Database!A:D,3,)</f>
        <v>60491</v>
      </c>
      <c r="C328" s="27">
        <f t="shared" si="8"/>
        <v>232</v>
      </c>
      <c r="D328" s="27">
        <f t="shared" si="9"/>
        <v>230.33333333333334</v>
      </c>
      <c r="E328" s="63">
        <f>VLOOKUP(Table1[[#This Row],[Date]],Database!A:D,4,)</f>
        <v>4.5999999999999996</v>
      </c>
      <c r="F328" s="63">
        <f>VLOOKUP(Table1[[#This Row],[Date]],Database!A:D,2,)</f>
        <v>59</v>
      </c>
      <c r="G328" s="57"/>
    </row>
    <row r="329" spans="1:7" x14ac:dyDescent="0.2">
      <c r="A329" s="56">
        <v>23894</v>
      </c>
      <c r="B329" s="26">
        <f>VLOOKUP(Table1[[#This Row],[Date]],Database!A:D,3,)</f>
        <v>60690</v>
      </c>
      <c r="C329" s="27">
        <f t="shared" si="8"/>
        <v>199</v>
      </c>
      <c r="D329" s="27">
        <f t="shared" si="9"/>
        <v>229</v>
      </c>
      <c r="E329" s="63">
        <f>VLOOKUP(Table1[[#This Row],[Date]],Database!A:D,4,)</f>
        <v>4.5999999999999996</v>
      </c>
      <c r="F329" s="63">
        <f>VLOOKUP(Table1[[#This Row],[Date]],Database!A:D,2,)</f>
        <v>58.8</v>
      </c>
      <c r="G329" s="57"/>
    </row>
    <row r="330" spans="1:7" x14ac:dyDescent="0.2">
      <c r="A330" s="56">
        <v>23924</v>
      </c>
      <c r="B330" s="26">
        <f>VLOOKUP(Table1[[#This Row],[Date]],Database!A:D,3,)</f>
        <v>60965</v>
      </c>
      <c r="C330" s="27">
        <f t="shared" si="8"/>
        <v>275</v>
      </c>
      <c r="D330" s="27">
        <f t="shared" si="9"/>
        <v>235.33333333333334</v>
      </c>
      <c r="E330" s="63">
        <f>VLOOKUP(Table1[[#This Row],[Date]],Database!A:D,4,)</f>
        <v>4.4000000000000004</v>
      </c>
      <c r="F330" s="63">
        <f>VLOOKUP(Table1[[#This Row],[Date]],Database!A:D,2,)</f>
        <v>59.1</v>
      </c>
      <c r="G330" s="57"/>
    </row>
    <row r="331" spans="1:7" x14ac:dyDescent="0.2">
      <c r="A331" s="56">
        <v>23955</v>
      </c>
      <c r="B331" s="26">
        <f>VLOOKUP(Table1[[#This Row],[Date]],Database!A:D,3,)</f>
        <v>61228</v>
      </c>
      <c r="C331" s="27">
        <f t="shared" si="8"/>
        <v>263</v>
      </c>
      <c r="D331" s="27">
        <f t="shared" si="9"/>
        <v>245.66666666666666</v>
      </c>
      <c r="E331" s="63">
        <f>VLOOKUP(Table1[[#This Row],[Date]],Database!A:D,4,)</f>
        <v>4.4000000000000004</v>
      </c>
      <c r="F331" s="63">
        <f>VLOOKUP(Table1[[#This Row],[Date]],Database!A:D,2,)</f>
        <v>58.9</v>
      </c>
      <c r="G331" s="57"/>
    </row>
    <row r="332" spans="1:7" x14ac:dyDescent="0.2">
      <c r="A332" s="56">
        <v>23986</v>
      </c>
      <c r="B332" s="26">
        <f>VLOOKUP(Table1[[#This Row],[Date]],Database!A:D,3,)</f>
        <v>61490</v>
      </c>
      <c r="C332" s="27">
        <f t="shared" si="8"/>
        <v>262</v>
      </c>
      <c r="D332" s="27">
        <f t="shared" si="9"/>
        <v>266.66666666666669</v>
      </c>
      <c r="E332" s="63">
        <f>VLOOKUP(Table1[[#This Row],[Date]],Database!A:D,4,)</f>
        <v>4.3</v>
      </c>
      <c r="F332" s="63">
        <f>VLOOKUP(Table1[[#This Row],[Date]],Database!A:D,2,)</f>
        <v>58.7</v>
      </c>
      <c r="G332" s="57"/>
    </row>
    <row r="333" spans="1:7" x14ac:dyDescent="0.2">
      <c r="A333" s="56">
        <v>24016</v>
      </c>
      <c r="B333" s="26">
        <f>VLOOKUP(Table1[[#This Row],[Date]],Database!A:D,3,)</f>
        <v>61719</v>
      </c>
      <c r="C333" s="27">
        <f t="shared" ref="C333:C396" si="10">B333-B332</f>
        <v>229</v>
      </c>
      <c r="D333" s="27">
        <f t="shared" si="9"/>
        <v>251.33333333333334</v>
      </c>
      <c r="E333" s="63">
        <f>VLOOKUP(Table1[[#This Row],[Date]],Database!A:D,4,)</f>
        <v>4.2</v>
      </c>
      <c r="F333" s="63">
        <f>VLOOKUP(Table1[[#This Row],[Date]],Database!A:D,2,)</f>
        <v>58.9</v>
      </c>
      <c r="G333" s="57"/>
    </row>
    <row r="334" spans="1:7" x14ac:dyDescent="0.2">
      <c r="A334" s="56">
        <v>24047</v>
      </c>
      <c r="B334" s="26">
        <f>VLOOKUP(Table1[[#This Row],[Date]],Database!A:D,3,)</f>
        <v>61996</v>
      </c>
      <c r="C334" s="27">
        <f t="shared" si="10"/>
        <v>277</v>
      </c>
      <c r="D334" s="27">
        <f t="shared" si="9"/>
        <v>256</v>
      </c>
      <c r="E334" s="63">
        <f>VLOOKUP(Table1[[#This Row],[Date]],Database!A:D,4,)</f>
        <v>4.0999999999999996</v>
      </c>
      <c r="F334" s="63">
        <f>VLOOKUP(Table1[[#This Row],[Date]],Database!A:D,2,)</f>
        <v>58.8</v>
      </c>
      <c r="G334" s="57"/>
    </row>
    <row r="335" spans="1:7" x14ac:dyDescent="0.2">
      <c r="A335" s="56">
        <v>24077</v>
      </c>
      <c r="B335" s="26">
        <f>VLOOKUP(Table1[[#This Row],[Date]],Database!A:D,3,)</f>
        <v>62322</v>
      </c>
      <c r="C335" s="27">
        <f t="shared" si="10"/>
        <v>326</v>
      </c>
      <c r="D335" s="27">
        <f t="shared" ref="D335:D398" si="11">AVERAGE(C333:C335)</f>
        <v>277.33333333333331</v>
      </c>
      <c r="E335" s="63">
        <f>VLOOKUP(Table1[[#This Row],[Date]],Database!A:D,4,)</f>
        <v>4</v>
      </c>
      <c r="F335" s="63">
        <f>VLOOKUP(Table1[[#This Row],[Date]],Database!A:D,2,)</f>
        <v>59</v>
      </c>
      <c r="G335" s="57"/>
    </row>
    <row r="336" spans="1:7" x14ac:dyDescent="0.2">
      <c r="A336" s="56">
        <v>24108</v>
      </c>
      <c r="B336" s="26">
        <f>VLOOKUP(Table1[[#This Row],[Date]],Database!A:D,3,)</f>
        <v>62529</v>
      </c>
      <c r="C336" s="27">
        <f t="shared" si="10"/>
        <v>207</v>
      </c>
      <c r="D336" s="27">
        <f t="shared" si="11"/>
        <v>270</v>
      </c>
      <c r="E336" s="63">
        <f>VLOOKUP(Table1[[#This Row],[Date]],Database!A:D,4,)</f>
        <v>4</v>
      </c>
      <c r="F336" s="63">
        <f>VLOOKUP(Table1[[#This Row],[Date]],Database!A:D,2,)</f>
        <v>59</v>
      </c>
      <c r="G336" s="57"/>
    </row>
    <row r="337" spans="1:7" x14ac:dyDescent="0.2">
      <c r="A337" s="56">
        <v>24139</v>
      </c>
      <c r="B337" s="26">
        <f>VLOOKUP(Table1[[#This Row],[Date]],Database!A:D,3,)</f>
        <v>62796</v>
      </c>
      <c r="C337" s="27">
        <f t="shared" si="10"/>
        <v>267</v>
      </c>
      <c r="D337" s="27">
        <f t="shared" si="11"/>
        <v>266.66666666666669</v>
      </c>
      <c r="E337" s="63">
        <f>VLOOKUP(Table1[[#This Row],[Date]],Database!A:D,4,)</f>
        <v>3.8</v>
      </c>
      <c r="F337" s="63">
        <f>VLOOKUP(Table1[[#This Row],[Date]],Database!A:D,2,)</f>
        <v>58.8</v>
      </c>
      <c r="G337" s="57"/>
    </row>
    <row r="338" spans="1:7" x14ac:dyDescent="0.2">
      <c r="A338" s="56">
        <v>24167</v>
      </c>
      <c r="B338" s="26">
        <f>VLOOKUP(Table1[[#This Row],[Date]],Database!A:D,3,)</f>
        <v>63192</v>
      </c>
      <c r="C338" s="27">
        <f t="shared" si="10"/>
        <v>396</v>
      </c>
      <c r="D338" s="27">
        <f t="shared" si="11"/>
        <v>290</v>
      </c>
      <c r="E338" s="63">
        <f>VLOOKUP(Table1[[#This Row],[Date]],Database!A:D,4,)</f>
        <v>3.8</v>
      </c>
      <c r="F338" s="63">
        <f>VLOOKUP(Table1[[#This Row],[Date]],Database!A:D,2,)</f>
        <v>58.8</v>
      </c>
      <c r="G338" s="57"/>
    </row>
    <row r="339" spans="1:7" x14ac:dyDescent="0.2">
      <c r="A339" s="56">
        <v>24198</v>
      </c>
      <c r="B339" s="26">
        <f>VLOOKUP(Table1[[#This Row],[Date]],Database!A:D,3,)</f>
        <v>63437</v>
      </c>
      <c r="C339" s="27">
        <f t="shared" si="10"/>
        <v>245</v>
      </c>
      <c r="D339" s="27">
        <f t="shared" si="11"/>
        <v>302.66666666666669</v>
      </c>
      <c r="E339" s="63">
        <f>VLOOKUP(Table1[[#This Row],[Date]],Database!A:D,4,)</f>
        <v>3.8</v>
      </c>
      <c r="F339" s="63">
        <f>VLOOKUP(Table1[[#This Row],[Date]],Database!A:D,2,)</f>
        <v>59</v>
      </c>
      <c r="G339" s="57"/>
    </row>
    <row r="340" spans="1:7" x14ac:dyDescent="0.2">
      <c r="A340" s="56">
        <v>24228</v>
      </c>
      <c r="B340" s="26">
        <f>VLOOKUP(Table1[[#This Row],[Date]],Database!A:D,3,)</f>
        <v>63712</v>
      </c>
      <c r="C340" s="27">
        <f t="shared" si="10"/>
        <v>275</v>
      </c>
      <c r="D340" s="27">
        <f t="shared" si="11"/>
        <v>305.33333333333331</v>
      </c>
      <c r="E340" s="63">
        <f>VLOOKUP(Table1[[#This Row],[Date]],Database!A:D,4,)</f>
        <v>3.9</v>
      </c>
      <c r="F340" s="63">
        <f>VLOOKUP(Table1[[#This Row],[Date]],Database!A:D,2,)</f>
        <v>59</v>
      </c>
      <c r="G340" s="57"/>
    </row>
    <row r="341" spans="1:7" x14ac:dyDescent="0.2">
      <c r="A341" s="56">
        <v>24259</v>
      </c>
      <c r="B341" s="26">
        <f>VLOOKUP(Table1[[#This Row],[Date]],Database!A:D,3,)</f>
        <v>64111</v>
      </c>
      <c r="C341" s="27">
        <f t="shared" si="10"/>
        <v>399</v>
      </c>
      <c r="D341" s="27">
        <f t="shared" si="11"/>
        <v>306.33333333333331</v>
      </c>
      <c r="E341" s="63">
        <f>VLOOKUP(Table1[[#This Row],[Date]],Database!A:D,4,)</f>
        <v>3.8</v>
      </c>
      <c r="F341" s="63">
        <f>VLOOKUP(Table1[[#This Row],[Date]],Database!A:D,2,)</f>
        <v>59.1</v>
      </c>
      <c r="G341" s="57"/>
    </row>
    <row r="342" spans="1:7" x14ac:dyDescent="0.2">
      <c r="A342" s="56">
        <v>24289</v>
      </c>
      <c r="B342" s="26">
        <f>VLOOKUP(Table1[[#This Row],[Date]],Database!A:D,3,)</f>
        <v>64301</v>
      </c>
      <c r="C342" s="27">
        <f t="shared" si="10"/>
        <v>190</v>
      </c>
      <c r="D342" s="27">
        <f t="shared" si="11"/>
        <v>288</v>
      </c>
      <c r="E342" s="63">
        <f>VLOOKUP(Table1[[#This Row],[Date]],Database!A:D,4,)</f>
        <v>3.8</v>
      </c>
      <c r="F342" s="63">
        <f>VLOOKUP(Table1[[#This Row],[Date]],Database!A:D,2,)</f>
        <v>59.1</v>
      </c>
      <c r="G342" s="57"/>
    </row>
    <row r="343" spans="1:7" x14ac:dyDescent="0.2">
      <c r="A343" s="56">
        <v>24320</v>
      </c>
      <c r="B343" s="26">
        <f>VLOOKUP(Table1[[#This Row],[Date]],Database!A:D,3,)</f>
        <v>64507</v>
      </c>
      <c r="C343" s="27">
        <f t="shared" si="10"/>
        <v>206</v>
      </c>
      <c r="D343" s="27">
        <f t="shared" si="11"/>
        <v>265</v>
      </c>
      <c r="E343" s="63">
        <f>VLOOKUP(Table1[[#This Row],[Date]],Database!A:D,4,)</f>
        <v>3.8</v>
      </c>
      <c r="F343" s="63">
        <f>VLOOKUP(Table1[[#This Row],[Date]],Database!A:D,2,)</f>
        <v>59.3</v>
      </c>
      <c r="G343" s="57"/>
    </row>
    <row r="344" spans="1:7" x14ac:dyDescent="0.2">
      <c r="A344" s="56">
        <v>24351</v>
      </c>
      <c r="B344" s="26">
        <f>VLOOKUP(Table1[[#This Row],[Date]],Database!A:D,3,)</f>
        <v>64643</v>
      </c>
      <c r="C344" s="27">
        <f t="shared" si="10"/>
        <v>136</v>
      </c>
      <c r="D344" s="27">
        <f t="shared" si="11"/>
        <v>177.33333333333334</v>
      </c>
      <c r="E344" s="63">
        <f>VLOOKUP(Table1[[#This Row],[Date]],Database!A:D,4,)</f>
        <v>3.7</v>
      </c>
      <c r="F344" s="63">
        <f>VLOOKUP(Table1[[#This Row],[Date]],Database!A:D,2,)</f>
        <v>59.3</v>
      </c>
      <c r="G344" s="57"/>
    </row>
    <row r="345" spans="1:7" x14ac:dyDescent="0.2">
      <c r="A345" s="56">
        <v>24381</v>
      </c>
      <c r="B345" s="26">
        <f>VLOOKUP(Table1[[#This Row],[Date]],Database!A:D,3,)</f>
        <v>64854</v>
      </c>
      <c r="C345" s="27">
        <f t="shared" si="10"/>
        <v>211</v>
      </c>
      <c r="D345" s="27">
        <f t="shared" si="11"/>
        <v>184.33333333333334</v>
      </c>
      <c r="E345" s="63">
        <f>VLOOKUP(Table1[[#This Row],[Date]],Database!A:D,4,)</f>
        <v>3.7</v>
      </c>
      <c r="F345" s="63">
        <f>VLOOKUP(Table1[[#This Row],[Date]],Database!A:D,2,)</f>
        <v>59.3</v>
      </c>
      <c r="G345" s="57"/>
    </row>
    <row r="346" spans="1:7" x14ac:dyDescent="0.2">
      <c r="A346" s="56">
        <v>24412</v>
      </c>
      <c r="B346" s="26">
        <f>VLOOKUP(Table1[[#This Row],[Date]],Database!A:D,3,)</f>
        <v>65019</v>
      </c>
      <c r="C346" s="27">
        <f t="shared" si="10"/>
        <v>165</v>
      </c>
      <c r="D346" s="27">
        <f t="shared" si="11"/>
        <v>170.66666666666666</v>
      </c>
      <c r="E346" s="63">
        <f>VLOOKUP(Table1[[#This Row],[Date]],Database!A:D,4,)</f>
        <v>3.6</v>
      </c>
      <c r="F346" s="63">
        <f>VLOOKUP(Table1[[#This Row],[Date]],Database!A:D,2,)</f>
        <v>59.6</v>
      </c>
      <c r="G346" s="57"/>
    </row>
    <row r="347" spans="1:7" x14ac:dyDescent="0.2">
      <c r="A347" s="56">
        <v>24442</v>
      </c>
      <c r="B347" s="26">
        <f>VLOOKUP(Table1[[#This Row],[Date]],Database!A:D,3,)</f>
        <v>65199</v>
      </c>
      <c r="C347" s="27">
        <f t="shared" si="10"/>
        <v>180</v>
      </c>
      <c r="D347" s="27">
        <f t="shared" si="11"/>
        <v>185.33333333333334</v>
      </c>
      <c r="E347" s="63">
        <f>VLOOKUP(Table1[[#This Row],[Date]],Database!A:D,4,)</f>
        <v>3.8</v>
      </c>
      <c r="F347" s="63">
        <f>VLOOKUP(Table1[[#This Row],[Date]],Database!A:D,2,)</f>
        <v>59.5</v>
      </c>
      <c r="G347" s="57"/>
    </row>
    <row r="348" spans="1:7" x14ac:dyDescent="0.2">
      <c r="A348" s="56">
        <v>24473</v>
      </c>
      <c r="B348" s="26">
        <f>VLOOKUP(Table1[[#This Row],[Date]],Database!A:D,3,)</f>
        <v>65407</v>
      </c>
      <c r="C348" s="27">
        <f t="shared" si="10"/>
        <v>208</v>
      </c>
      <c r="D348" s="27">
        <f t="shared" si="11"/>
        <v>184.33333333333334</v>
      </c>
      <c r="E348" s="63">
        <f>VLOOKUP(Table1[[#This Row],[Date]],Database!A:D,4,)</f>
        <v>3.9</v>
      </c>
      <c r="F348" s="63">
        <f>VLOOKUP(Table1[[#This Row],[Date]],Database!A:D,2,)</f>
        <v>59.5</v>
      </c>
      <c r="G348" s="57"/>
    </row>
    <row r="349" spans="1:7" x14ac:dyDescent="0.2">
      <c r="A349" s="56">
        <v>24504</v>
      </c>
      <c r="B349" s="26">
        <f>VLOOKUP(Table1[[#This Row],[Date]],Database!A:D,3,)</f>
        <v>65429</v>
      </c>
      <c r="C349" s="27">
        <f t="shared" si="10"/>
        <v>22</v>
      </c>
      <c r="D349" s="27">
        <f t="shared" si="11"/>
        <v>136.66666666666666</v>
      </c>
      <c r="E349" s="63">
        <f>VLOOKUP(Table1[[#This Row],[Date]],Database!A:D,4,)</f>
        <v>3.8</v>
      </c>
      <c r="F349" s="63">
        <f>VLOOKUP(Table1[[#This Row],[Date]],Database!A:D,2,)</f>
        <v>59.3</v>
      </c>
      <c r="G349" s="57"/>
    </row>
    <row r="350" spans="1:7" x14ac:dyDescent="0.2">
      <c r="A350" s="56">
        <v>24532</v>
      </c>
      <c r="B350" s="26">
        <f>VLOOKUP(Table1[[#This Row],[Date]],Database!A:D,3,)</f>
        <v>65530</v>
      </c>
      <c r="C350" s="27">
        <f t="shared" si="10"/>
        <v>101</v>
      </c>
      <c r="D350" s="27">
        <f t="shared" si="11"/>
        <v>110.33333333333333</v>
      </c>
      <c r="E350" s="63">
        <f>VLOOKUP(Table1[[#This Row],[Date]],Database!A:D,4,)</f>
        <v>3.8</v>
      </c>
      <c r="F350" s="63">
        <f>VLOOKUP(Table1[[#This Row],[Date]],Database!A:D,2,)</f>
        <v>59.1</v>
      </c>
      <c r="G350" s="57"/>
    </row>
    <row r="351" spans="1:7" x14ac:dyDescent="0.2">
      <c r="A351" s="56">
        <v>24563</v>
      </c>
      <c r="B351" s="26">
        <f>VLOOKUP(Table1[[#This Row],[Date]],Database!A:D,3,)</f>
        <v>65466</v>
      </c>
      <c r="C351" s="27">
        <f t="shared" si="10"/>
        <v>-64</v>
      </c>
      <c r="D351" s="27">
        <f t="shared" si="11"/>
        <v>19.666666666666668</v>
      </c>
      <c r="E351" s="63">
        <f>VLOOKUP(Table1[[#This Row],[Date]],Database!A:D,4,)</f>
        <v>3.8</v>
      </c>
      <c r="F351" s="63">
        <f>VLOOKUP(Table1[[#This Row],[Date]],Database!A:D,2,)</f>
        <v>59.4</v>
      </c>
      <c r="G351" s="57"/>
    </row>
    <row r="352" spans="1:7" x14ac:dyDescent="0.2">
      <c r="A352" s="56">
        <v>24593</v>
      </c>
      <c r="B352" s="26">
        <f>VLOOKUP(Table1[[#This Row],[Date]],Database!A:D,3,)</f>
        <v>65620</v>
      </c>
      <c r="C352" s="27">
        <f t="shared" si="10"/>
        <v>154</v>
      </c>
      <c r="D352" s="27">
        <f t="shared" si="11"/>
        <v>63.666666666666664</v>
      </c>
      <c r="E352" s="63">
        <f>VLOOKUP(Table1[[#This Row],[Date]],Database!A:D,4,)</f>
        <v>3.8</v>
      </c>
      <c r="F352" s="63">
        <f>VLOOKUP(Table1[[#This Row],[Date]],Database!A:D,2,)</f>
        <v>59.3</v>
      </c>
      <c r="G352" s="57"/>
    </row>
    <row r="353" spans="1:7" x14ac:dyDescent="0.2">
      <c r="A353" s="56">
        <v>24624</v>
      </c>
      <c r="B353" s="26">
        <f>VLOOKUP(Table1[[#This Row],[Date]],Database!A:D,3,)</f>
        <v>65750</v>
      </c>
      <c r="C353" s="27">
        <f t="shared" si="10"/>
        <v>130</v>
      </c>
      <c r="D353" s="27">
        <f t="shared" si="11"/>
        <v>73.333333333333329</v>
      </c>
      <c r="E353" s="63">
        <f>VLOOKUP(Table1[[#This Row],[Date]],Database!A:D,4,)</f>
        <v>3.9</v>
      </c>
      <c r="F353" s="63">
        <f>VLOOKUP(Table1[[#This Row],[Date]],Database!A:D,2,)</f>
        <v>59.6</v>
      </c>
      <c r="G353" s="57"/>
    </row>
    <row r="354" spans="1:7" x14ac:dyDescent="0.2">
      <c r="A354" s="56">
        <v>24654</v>
      </c>
      <c r="B354" s="26">
        <f>VLOOKUP(Table1[[#This Row],[Date]],Database!A:D,3,)</f>
        <v>65888</v>
      </c>
      <c r="C354" s="27">
        <f t="shared" si="10"/>
        <v>138</v>
      </c>
      <c r="D354" s="27">
        <f t="shared" si="11"/>
        <v>140.66666666666666</v>
      </c>
      <c r="E354" s="63">
        <f>VLOOKUP(Table1[[#This Row],[Date]],Database!A:D,4,)</f>
        <v>3.8</v>
      </c>
      <c r="F354" s="63">
        <f>VLOOKUP(Table1[[#This Row],[Date]],Database!A:D,2,)</f>
        <v>59.6</v>
      </c>
      <c r="G354" s="57"/>
    </row>
    <row r="355" spans="1:7" x14ac:dyDescent="0.2">
      <c r="A355" s="56">
        <v>24685</v>
      </c>
      <c r="B355" s="26">
        <f>VLOOKUP(Table1[[#This Row],[Date]],Database!A:D,3,)</f>
        <v>66143</v>
      </c>
      <c r="C355" s="27">
        <f t="shared" si="10"/>
        <v>255</v>
      </c>
      <c r="D355" s="27">
        <f t="shared" si="11"/>
        <v>174.33333333333334</v>
      </c>
      <c r="E355" s="63">
        <f>VLOOKUP(Table1[[#This Row],[Date]],Database!A:D,4,)</f>
        <v>3.8</v>
      </c>
      <c r="F355" s="63">
        <f>VLOOKUP(Table1[[#This Row],[Date]],Database!A:D,2,)</f>
        <v>59.7</v>
      </c>
      <c r="G355" s="57"/>
    </row>
    <row r="356" spans="1:7" x14ac:dyDescent="0.2">
      <c r="A356" s="56">
        <v>24716</v>
      </c>
      <c r="B356" s="26">
        <f>VLOOKUP(Table1[[#This Row],[Date]],Database!A:D,3,)</f>
        <v>66164</v>
      </c>
      <c r="C356" s="27">
        <f t="shared" si="10"/>
        <v>21</v>
      </c>
      <c r="D356" s="27">
        <f t="shared" si="11"/>
        <v>138</v>
      </c>
      <c r="E356" s="63">
        <f>VLOOKUP(Table1[[#This Row],[Date]],Database!A:D,4,)</f>
        <v>3.8</v>
      </c>
      <c r="F356" s="63">
        <f>VLOOKUP(Table1[[#This Row],[Date]],Database!A:D,2,)</f>
        <v>59.7</v>
      </c>
      <c r="G356" s="57"/>
    </row>
    <row r="357" spans="1:7" x14ac:dyDescent="0.2">
      <c r="A357" s="56">
        <v>24746</v>
      </c>
      <c r="B357" s="26">
        <f>VLOOKUP(Table1[[#This Row],[Date]],Database!A:D,3,)</f>
        <v>66225</v>
      </c>
      <c r="C357" s="27">
        <f t="shared" si="10"/>
        <v>61</v>
      </c>
      <c r="D357" s="27">
        <f t="shared" si="11"/>
        <v>112.33333333333333</v>
      </c>
      <c r="E357" s="63">
        <f>VLOOKUP(Table1[[#This Row],[Date]],Database!A:D,4,)</f>
        <v>4</v>
      </c>
      <c r="F357" s="63">
        <f>VLOOKUP(Table1[[#This Row],[Date]],Database!A:D,2,)</f>
        <v>59.9</v>
      </c>
      <c r="G357" s="57"/>
    </row>
    <row r="358" spans="1:7" x14ac:dyDescent="0.2">
      <c r="A358" s="56">
        <v>24777</v>
      </c>
      <c r="B358" s="26">
        <f>VLOOKUP(Table1[[#This Row],[Date]],Database!A:D,3,)</f>
        <v>66703</v>
      </c>
      <c r="C358" s="27">
        <f t="shared" si="10"/>
        <v>478</v>
      </c>
      <c r="D358" s="27">
        <f t="shared" si="11"/>
        <v>186.66666666666666</v>
      </c>
      <c r="E358" s="63">
        <f>VLOOKUP(Table1[[#This Row],[Date]],Database!A:D,4,)</f>
        <v>3.9</v>
      </c>
      <c r="F358" s="63">
        <f>VLOOKUP(Table1[[#This Row],[Date]],Database!A:D,2,)</f>
        <v>59.8</v>
      </c>
      <c r="G358" s="57"/>
    </row>
    <row r="359" spans="1:7" x14ac:dyDescent="0.2">
      <c r="A359" s="56">
        <v>24807</v>
      </c>
      <c r="B359" s="26">
        <f>VLOOKUP(Table1[[#This Row],[Date]],Database!A:D,3,)</f>
        <v>66900</v>
      </c>
      <c r="C359" s="27">
        <f t="shared" si="10"/>
        <v>197</v>
      </c>
      <c r="D359" s="27">
        <f t="shared" si="11"/>
        <v>245.33333333333334</v>
      </c>
      <c r="E359" s="63">
        <f>VLOOKUP(Table1[[#This Row],[Date]],Database!A:D,4,)</f>
        <v>3.8</v>
      </c>
      <c r="F359" s="63">
        <f>VLOOKUP(Table1[[#This Row],[Date]],Database!A:D,2,)</f>
        <v>59.9</v>
      </c>
      <c r="G359" s="57"/>
    </row>
    <row r="360" spans="1:7" x14ac:dyDescent="0.2">
      <c r="A360" s="56">
        <v>24838</v>
      </c>
      <c r="B360" s="26">
        <f>VLOOKUP(Table1[[#This Row],[Date]],Database!A:D,3,)</f>
        <v>66804</v>
      </c>
      <c r="C360" s="27">
        <f t="shared" si="10"/>
        <v>-96</v>
      </c>
      <c r="D360" s="27">
        <f t="shared" si="11"/>
        <v>193</v>
      </c>
      <c r="E360" s="63">
        <f>VLOOKUP(Table1[[#This Row],[Date]],Database!A:D,4,)</f>
        <v>3.7</v>
      </c>
      <c r="F360" s="63">
        <f>VLOOKUP(Table1[[#This Row],[Date]],Database!A:D,2,)</f>
        <v>59.2</v>
      </c>
      <c r="G360" s="57"/>
    </row>
    <row r="361" spans="1:7" x14ac:dyDescent="0.2">
      <c r="A361" s="56">
        <v>24869</v>
      </c>
      <c r="B361" s="26">
        <f>VLOOKUP(Table1[[#This Row],[Date]],Database!A:D,3,)</f>
        <v>67215</v>
      </c>
      <c r="C361" s="27">
        <f t="shared" si="10"/>
        <v>411</v>
      </c>
      <c r="D361" s="27">
        <f t="shared" si="11"/>
        <v>170.66666666666666</v>
      </c>
      <c r="E361" s="63">
        <f>VLOOKUP(Table1[[#This Row],[Date]],Database!A:D,4,)</f>
        <v>3.8</v>
      </c>
      <c r="F361" s="63">
        <f>VLOOKUP(Table1[[#This Row],[Date]],Database!A:D,2,)</f>
        <v>59.6</v>
      </c>
      <c r="G361" s="57"/>
    </row>
    <row r="362" spans="1:7" x14ac:dyDescent="0.2">
      <c r="A362" s="56">
        <v>24898</v>
      </c>
      <c r="B362" s="26">
        <f>VLOOKUP(Table1[[#This Row],[Date]],Database!A:D,3,)</f>
        <v>67295</v>
      </c>
      <c r="C362" s="27">
        <f t="shared" si="10"/>
        <v>80</v>
      </c>
      <c r="D362" s="27">
        <f t="shared" si="11"/>
        <v>131.66666666666666</v>
      </c>
      <c r="E362" s="63">
        <f>VLOOKUP(Table1[[#This Row],[Date]],Database!A:D,4,)</f>
        <v>3.7</v>
      </c>
      <c r="F362" s="63">
        <f>VLOOKUP(Table1[[#This Row],[Date]],Database!A:D,2,)</f>
        <v>59.6</v>
      </c>
      <c r="G362" s="57"/>
    </row>
    <row r="363" spans="1:7" x14ac:dyDescent="0.2">
      <c r="A363" s="56">
        <v>24929</v>
      </c>
      <c r="B363" s="26">
        <f>VLOOKUP(Table1[[#This Row],[Date]],Database!A:D,3,)</f>
        <v>67556</v>
      </c>
      <c r="C363" s="27">
        <f t="shared" si="10"/>
        <v>261</v>
      </c>
      <c r="D363" s="27">
        <f t="shared" si="11"/>
        <v>250.66666666666666</v>
      </c>
      <c r="E363" s="63">
        <f>VLOOKUP(Table1[[#This Row],[Date]],Database!A:D,4,)</f>
        <v>3.5</v>
      </c>
      <c r="F363" s="63">
        <f>VLOOKUP(Table1[[#This Row],[Date]],Database!A:D,2,)</f>
        <v>59.5</v>
      </c>
      <c r="G363" s="57"/>
    </row>
    <row r="364" spans="1:7" x14ac:dyDescent="0.2">
      <c r="A364" s="56">
        <v>24959</v>
      </c>
      <c r="B364" s="26">
        <f>VLOOKUP(Table1[[#This Row],[Date]],Database!A:D,3,)</f>
        <v>67652</v>
      </c>
      <c r="C364" s="27">
        <f t="shared" si="10"/>
        <v>96</v>
      </c>
      <c r="D364" s="27">
        <f t="shared" si="11"/>
        <v>145.66666666666666</v>
      </c>
      <c r="E364" s="63">
        <f>VLOOKUP(Table1[[#This Row],[Date]],Database!A:D,4,)</f>
        <v>3.5</v>
      </c>
      <c r="F364" s="63">
        <f>VLOOKUP(Table1[[#This Row],[Date]],Database!A:D,2,)</f>
        <v>59.9</v>
      </c>
      <c r="G364" s="57"/>
    </row>
    <row r="365" spans="1:7" x14ac:dyDescent="0.2">
      <c r="A365" s="56">
        <v>24990</v>
      </c>
      <c r="B365" s="26">
        <f>VLOOKUP(Table1[[#This Row],[Date]],Database!A:D,3,)</f>
        <v>67905</v>
      </c>
      <c r="C365" s="27">
        <f t="shared" si="10"/>
        <v>253</v>
      </c>
      <c r="D365" s="27">
        <f t="shared" si="11"/>
        <v>203.33333333333334</v>
      </c>
      <c r="E365" s="63">
        <f>VLOOKUP(Table1[[#This Row],[Date]],Database!A:D,4,)</f>
        <v>3.7</v>
      </c>
      <c r="F365" s="63">
        <f>VLOOKUP(Table1[[#This Row],[Date]],Database!A:D,2,)</f>
        <v>60</v>
      </c>
      <c r="G365" s="57"/>
    </row>
    <row r="366" spans="1:7" x14ac:dyDescent="0.2">
      <c r="A366" s="56">
        <v>25020</v>
      </c>
      <c r="B366" s="26">
        <f>VLOOKUP(Table1[[#This Row],[Date]],Database!A:D,3,)</f>
        <v>68126</v>
      </c>
      <c r="C366" s="27">
        <f t="shared" si="10"/>
        <v>221</v>
      </c>
      <c r="D366" s="27">
        <f t="shared" si="11"/>
        <v>190</v>
      </c>
      <c r="E366" s="63">
        <f>VLOOKUP(Table1[[#This Row],[Date]],Database!A:D,4,)</f>
        <v>3.7</v>
      </c>
      <c r="F366" s="63">
        <f>VLOOKUP(Table1[[#This Row],[Date]],Database!A:D,2,)</f>
        <v>59.8</v>
      </c>
      <c r="G366" s="57"/>
    </row>
    <row r="367" spans="1:7" x14ac:dyDescent="0.2">
      <c r="A367" s="56">
        <v>25051</v>
      </c>
      <c r="B367" s="26">
        <f>VLOOKUP(Table1[[#This Row],[Date]],Database!A:D,3,)</f>
        <v>68330</v>
      </c>
      <c r="C367" s="27">
        <f t="shared" si="10"/>
        <v>204</v>
      </c>
      <c r="D367" s="27">
        <f t="shared" si="11"/>
        <v>226</v>
      </c>
      <c r="E367" s="63">
        <f>VLOOKUP(Table1[[#This Row],[Date]],Database!A:D,4,)</f>
        <v>3.5</v>
      </c>
      <c r="F367" s="63">
        <f>VLOOKUP(Table1[[#This Row],[Date]],Database!A:D,2,)</f>
        <v>59.6</v>
      </c>
      <c r="G367" s="57"/>
    </row>
    <row r="368" spans="1:7" x14ac:dyDescent="0.2">
      <c r="A368" s="56">
        <v>25082</v>
      </c>
      <c r="B368" s="26">
        <f>VLOOKUP(Table1[[#This Row],[Date]],Database!A:D,3,)</f>
        <v>68484</v>
      </c>
      <c r="C368" s="27">
        <f t="shared" si="10"/>
        <v>154</v>
      </c>
      <c r="D368" s="27">
        <f t="shared" si="11"/>
        <v>193</v>
      </c>
      <c r="E368" s="63">
        <f>VLOOKUP(Table1[[#This Row],[Date]],Database!A:D,4,)</f>
        <v>3.4</v>
      </c>
      <c r="F368" s="63">
        <f>VLOOKUP(Table1[[#This Row],[Date]],Database!A:D,2,)</f>
        <v>59.5</v>
      </c>
      <c r="G368" s="57"/>
    </row>
    <row r="369" spans="1:7" x14ac:dyDescent="0.2">
      <c r="A369" s="56">
        <v>25112</v>
      </c>
      <c r="B369" s="26">
        <f>VLOOKUP(Table1[[#This Row],[Date]],Database!A:D,3,)</f>
        <v>68721</v>
      </c>
      <c r="C369" s="27">
        <f t="shared" si="10"/>
        <v>237</v>
      </c>
      <c r="D369" s="27">
        <f t="shared" si="11"/>
        <v>198.33333333333334</v>
      </c>
      <c r="E369" s="63">
        <f>VLOOKUP(Table1[[#This Row],[Date]],Database!A:D,4,)</f>
        <v>3.4</v>
      </c>
      <c r="F369" s="63">
        <f>VLOOKUP(Table1[[#This Row],[Date]],Database!A:D,2,)</f>
        <v>59.5</v>
      </c>
      <c r="G369" s="57"/>
    </row>
    <row r="370" spans="1:7" x14ac:dyDescent="0.2">
      <c r="A370" s="56">
        <v>25143</v>
      </c>
      <c r="B370" s="26">
        <f>VLOOKUP(Table1[[#This Row],[Date]],Database!A:D,3,)</f>
        <v>68984</v>
      </c>
      <c r="C370" s="27">
        <f t="shared" si="10"/>
        <v>263</v>
      </c>
      <c r="D370" s="27">
        <f t="shared" si="11"/>
        <v>218</v>
      </c>
      <c r="E370" s="63">
        <f>VLOOKUP(Table1[[#This Row],[Date]],Database!A:D,4,)</f>
        <v>3.4</v>
      </c>
      <c r="F370" s="63">
        <f>VLOOKUP(Table1[[#This Row],[Date]],Database!A:D,2,)</f>
        <v>59.6</v>
      </c>
      <c r="G370" s="57"/>
    </row>
    <row r="371" spans="1:7" x14ac:dyDescent="0.2">
      <c r="A371" s="56">
        <v>25173</v>
      </c>
      <c r="B371" s="26">
        <f>VLOOKUP(Table1[[#This Row],[Date]],Database!A:D,3,)</f>
        <v>69248</v>
      </c>
      <c r="C371" s="27">
        <f t="shared" si="10"/>
        <v>264</v>
      </c>
      <c r="D371" s="27">
        <f t="shared" si="11"/>
        <v>254.66666666666666</v>
      </c>
      <c r="E371" s="63">
        <f>VLOOKUP(Table1[[#This Row],[Date]],Database!A:D,4,)</f>
        <v>3.4</v>
      </c>
      <c r="F371" s="63">
        <f>VLOOKUP(Table1[[#This Row],[Date]],Database!A:D,2,)</f>
        <v>59.7</v>
      </c>
      <c r="G371" s="57"/>
    </row>
    <row r="372" spans="1:7" x14ac:dyDescent="0.2">
      <c r="A372" s="56">
        <v>25204</v>
      </c>
      <c r="B372" s="26">
        <f>VLOOKUP(Table1[[#This Row],[Date]],Database!A:D,3,)</f>
        <v>69439</v>
      </c>
      <c r="C372" s="27">
        <f t="shared" si="10"/>
        <v>191</v>
      </c>
      <c r="D372" s="27">
        <f t="shared" si="11"/>
        <v>239.33333333333334</v>
      </c>
      <c r="E372" s="63">
        <f>VLOOKUP(Table1[[#This Row],[Date]],Database!A:D,4,)</f>
        <v>3.4</v>
      </c>
      <c r="F372" s="63">
        <f>VLOOKUP(Table1[[#This Row],[Date]],Database!A:D,2,)</f>
        <v>59.6</v>
      </c>
      <c r="G372" s="57"/>
    </row>
    <row r="373" spans="1:7" x14ac:dyDescent="0.2">
      <c r="A373" s="56">
        <v>25235</v>
      </c>
      <c r="B373" s="26">
        <f>VLOOKUP(Table1[[#This Row],[Date]],Database!A:D,3,)</f>
        <v>69699</v>
      </c>
      <c r="C373" s="27">
        <f t="shared" si="10"/>
        <v>260</v>
      </c>
      <c r="D373" s="27">
        <f t="shared" si="11"/>
        <v>238.33333333333334</v>
      </c>
      <c r="E373" s="63">
        <f>VLOOKUP(Table1[[#This Row],[Date]],Database!A:D,4,)</f>
        <v>3.4</v>
      </c>
      <c r="F373" s="63">
        <f>VLOOKUP(Table1[[#This Row],[Date]],Database!A:D,2,)</f>
        <v>60</v>
      </c>
      <c r="G373" s="57"/>
    </row>
    <row r="374" spans="1:7" x14ac:dyDescent="0.2">
      <c r="A374" s="56">
        <v>25263</v>
      </c>
      <c r="B374" s="26">
        <f>VLOOKUP(Table1[[#This Row],[Date]],Database!A:D,3,)</f>
        <v>69905</v>
      </c>
      <c r="C374" s="27">
        <f t="shared" si="10"/>
        <v>206</v>
      </c>
      <c r="D374" s="27">
        <f t="shared" si="11"/>
        <v>219</v>
      </c>
      <c r="E374" s="63">
        <f>VLOOKUP(Table1[[#This Row],[Date]],Database!A:D,4,)</f>
        <v>3.4</v>
      </c>
      <c r="F374" s="63">
        <f>VLOOKUP(Table1[[#This Row],[Date]],Database!A:D,2,)</f>
        <v>59.9</v>
      </c>
      <c r="G374" s="57"/>
    </row>
    <row r="375" spans="1:7" x14ac:dyDescent="0.2">
      <c r="A375" s="56">
        <v>25294</v>
      </c>
      <c r="B375" s="26">
        <f>VLOOKUP(Table1[[#This Row],[Date]],Database!A:D,3,)</f>
        <v>70072</v>
      </c>
      <c r="C375" s="27">
        <f t="shared" si="10"/>
        <v>167</v>
      </c>
      <c r="D375" s="27">
        <f t="shared" si="11"/>
        <v>211</v>
      </c>
      <c r="E375" s="63">
        <f>VLOOKUP(Table1[[#This Row],[Date]],Database!A:D,4,)</f>
        <v>3.4</v>
      </c>
      <c r="F375" s="63">
        <f>VLOOKUP(Table1[[#This Row],[Date]],Database!A:D,2,)</f>
        <v>60</v>
      </c>
      <c r="G375" s="57"/>
    </row>
    <row r="376" spans="1:7" x14ac:dyDescent="0.2">
      <c r="A376" s="56">
        <v>25324</v>
      </c>
      <c r="B376" s="26">
        <f>VLOOKUP(Table1[[#This Row],[Date]],Database!A:D,3,)</f>
        <v>70328</v>
      </c>
      <c r="C376" s="27">
        <f t="shared" si="10"/>
        <v>256</v>
      </c>
      <c r="D376" s="27">
        <f t="shared" si="11"/>
        <v>209.66666666666666</v>
      </c>
      <c r="E376" s="63">
        <f>VLOOKUP(Table1[[#This Row],[Date]],Database!A:D,4,)</f>
        <v>3.4</v>
      </c>
      <c r="F376" s="63">
        <f>VLOOKUP(Table1[[#This Row],[Date]],Database!A:D,2,)</f>
        <v>59.8</v>
      </c>
      <c r="G376" s="57"/>
    </row>
    <row r="377" spans="1:7" x14ac:dyDescent="0.2">
      <c r="A377" s="56">
        <v>25355</v>
      </c>
      <c r="B377" s="26">
        <f>VLOOKUP(Table1[[#This Row],[Date]],Database!A:D,3,)</f>
        <v>70636</v>
      </c>
      <c r="C377" s="27">
        <f t="shared" si="10"/>
        <v>308</v>
      </c>
      <c r="D377" s="27">
        <f t="shared" si="11"/>
        <v>243.66666666666666</v>
      </c>
      <c r="E377" s="63">
        <f>VLOOKUP(Table1[[#This Row],[Date]],Database!A:D,4,)</f>
        <v>3.5</v>
      </c>
      <c r="F377" s="63">
        <f>VLOOKUP(Table1[[#This Row],[Date]],Database!A:D,2,)</f>
        <v>60.1</v>
      </c>
      <c r="G377" s="57"/>
    </row>
    <row r="378" spans="1:7" x14ac:dyDescent="0.2">
      <c r="A378" s="56">
        <v>25385</v>
      </c>
      <c r="B378" s="26">
        <f>VLOOKUP(Table1[[#This Row],[Date]],Database!A:D,3,)</f>
        <v>70729</v>
      </c>
      <c r="C378" s="27">
        <f t="shared" si="10"/>
        <v>93</v>
      </c>
      <c r="D378" s="27">
        <f t="shared" si="11"/>
        <v>219</v>
      </c>
      <c r="E378" s="63">
        <f>VLOOKUP(Table1[[#This Row],[Date]],Database!A:D,4,)</f>
        <v>3.5</v>
      </c>
      <c r="F378" s="63">
        <f>VLOOKUP(Table1[[#This Row],[Date]],Database!A:D,2,)</f>
        <v>60.1</v>
      </c>
      <c r="G378" s="57"/>
    </row>
    <row r="379" spans="1:7" x14ac:dyDescent="0.2">
      <c r="A379" s="56">
        <v>25416</v>
      </c>
      <c r="B379" s="26">
        <f>VLOOKUP(Table1[[#This Row],[Date]],Database!A:D,3,)</f>
        <v>71008</v>
      </c>
      <c r="C379" s="27">
        <f t="shared" si="10"/>
        <v>279</v>
      </c>
      <c r="D379" s="27">
        <f t="shared" si="11"/>
        <v>226.66666666666666</v>
      </c>
      <c r="E379" s="63">
        <f>VLOOKUP(Table1[[#This Row],[Date]],Database!A:D,4,)</f>
        <v>3.5</v>
      </c>
      <c r="F379" s="63">
        <f>VLOOKUP(Table1[[#This Row],[Date]],Database!A:D,2,)</f>
        <v>60.3</v>
      </c>
      <c r="G379" s="57"/>
    </row>
    <row r="380" spans="1:7" x14ac:dyDescent="0.2">
      <c r="A380" s="56">
        <v>25447</v>
      </c>
      <c r="B380" s="26">
        <f>VLOOKUP(Table1[[#This Row],[Date]],Database!A:D,3,)</f>
        <v>70914</v>
      </c>
      <c r="C380" s="27">
        <f t="shared" si="10"/>
        <v>-94</v>
      </c>
      <c r="D380" s="27">
        <f t="shared" si="11"/>
        <v>92.666666666666671</v>
      </c>
      <c r="E380" s="63">
        <f>VLOOKUP(Table1[[#This Row],[Date]],Database!A:D,4,)</f>
        <v>3.7</v>
      </c>
      <c r="F380" s="63">
        <f>VLOOKUP(Table1[[#This Row],[Date]],Database!A:D,2,)</f>
        <v>60.3</v>
      </c>
      <c r="G380" s="57"/>
    </row>
    <row r="381" spans="1:7" x14ac:dyDescent="0.2">
      <c r="A381" s="56">
        <v>25477</v>
      </c>
      <c r="B381" s="26">
        <f>VLOOKUP(Table1[[#This Row],[Date]],Database!A:D,3,)</f>
        <v>71121</v>
      </c>
      <c r="C381" s="27">
        <f t="shared" si="10"/>
        <v>207</v>
      </c>
      <c r="D381" s="27">
        <f t="shared" si="11"/>
        <v>130.66666666666666</v>
      </c>
      <c r="E381" s="63">
        <f>VLOOKUP(Table1[[#This Row],[Date]],Database!A:D,4,)</f>
        <v>3.7</v>
      </c>
      <c r="F381" s="63">
        <f>VLOOKUP(Table1[[#This Row],[Date]],Database!A:D,2,)</f>
        <v>60.4</v>
      </c>
      <c r="G381" s="57"/>
    </row>
    <row r="382" spans="1:7" x14ac:dyDescent="0.2">
      <c r="A382" s="56">
        <v>25508</v>
      </c>
      <c r="B382" s="26">
        <f>VLOOKUP(Table1[[#This Row],[Date]],Database!A:D,3,)</f>
        <v>71086</v>
      </c>
      <c r="C382" s="27">
        <f t="shared" si="10"/>
        <v>-35</v>
      </c>
      <c r="D382" s="27">
        <f t="shared" si="11"/>
        <v>26</v>
      </c>
      <c r="E382" s="63">
        <f>VLOOKUP(Table1[[#This Row],[Date]],Database!A:D,4,)</f>
        <v>3.5</v>
      </c>
      <c r="F382" s="63">
        <f>VLOOKUP(Table1[[#This Row],[Date]],Database!A:D,2,)</f>
        <v>60.2</v>
      </c>
      <c r="G382" s="57"/>
    </row>
    <row r="383" spans="1:7" x14ac:dyDescent="0.2">
      <c r="A383" s="56">
        <v>25538</v>
      </c>
      <c r="B383" s="26">
        <f>VLOOKUP(Table1[[#This Row],[Date]],Database!A:D,3,)</f>
        <v>71241</v>
      </c>
      <c r="C383" s="27">
        <f t="shared" si="10"/>
        <v>155</v>
      </c>
      <c r="D383" s="27">
        <f t="shared" si="11"/>
        <v>109</v>
      </c>
      <c r="E383" s="63">
        <f>VLOOKUP(Table1[[#This Row],[Date]],Database!A:D,4,)</f>
        <v>3.5</v>
      </c>
      <c r="F383" s="63">
        <f>VLOOKUP(Table1[[#This Row],[Date]],Database!A:D,2,)</f>
        <v>60.2</v>
      </c>
      <c r="G383" s="57"/>
    </row>
    <row r="384" spans="1:7" x14ac:dyDescent="0.2">
      <c r="A384" s="56">
        <v>25569</v>
      </c>
      <c r="B384" s="26">
        <f>VLOOKUP(Table1[[#This Row],[Date]],Database!A:D,3,)</f>
        <v>71176</v>
      </c>
      <c r="C384" s="27">
        <f t="shared" si="10"/>
        <v>-65</v>
      </c>
      <c r="D384" s="27">
        <f t="shared" si="11"/>
        <v>18.333333333333332</v>
      </c>
      <c r="E384" s="63">
        <f>VLOOKUP(Table1[[#This Row],[Date]],Database!A:D,4,)</f>
        <v>3.9</v>
      </c>
      <c r="F384" s="63">
        <f>VLOOKUP(Table1[[#This Row],[Date]],Database!A:D,2,)</f>
        <v>60.4</v>
      </c>
      <c r="G384" s="57"/>
    </row>
    <row r="385" spans="1:7" x14ac:dyDescent="0.2">
      <c r="A385" s="56">
        <v>25600</v>
      </c>
      <c r="B385" s="26">
        <f>VLOOKUP(Table1[[#This Row],[Date]],Database!A:D,3,)</f>
        <v>71305</v>
      </c>
      <c r="C385" s="27">
        <f t="shared" si="10"/>
        <v>129</v>
      </c>
      <c r="D385" s="27">
        <f t="shared" si="11"/>
        <v>73</v>
      </c>
      <c r="E385" s="63">
        <f>VLOOKUP(Table1[[#This Row],[Date]],Database!A:D,4,)</f>
        <v>4.2</v>
      </c>
      <c r="F385" s="63">
        <f>VLOOKUP(Table1[[#This Row],[Date]],Database!A:D,2,)</f>
        <v>60.4</v>
      </c>
      <c r="G385" s="57"/>
    </row>
    <row r="386" spans="1:7" x14ac:dyDescent="0.2">
      <c r="A386" s="56">
        <v>25628</v>
      </c>
      <c r="B386" s="26">
        <f>VLOOKUP(Table1[[#This Row],[Date]],Database!A:D,3,)</f>
        <v>71451</v>
      </c>
      <c r="C386" s="27">
        <f t="shared" si="10"/>
        <v>146</v>
      </c>
      <c r="D386" s="27">
        <f t="shared" si="11"/>
        <v>70</v>
      </c>
      <c r="E386" s="63">
        <f>VLOOKUP(Table1[[#This Row],[Date]],Database!A:D,4,)</f>
        <v>4.4000000000000004</v>
      </c>
      <c r="F386" s="63">
        <f>VLOOKUP(Table1[[#This Row],[Date]],Database!A:D,2,)</f>
        <v>60.6</v>
      </c>
      <c r="G386" s="57"/>
    </row>
    <row r="387" spans="1:7" x14ac:dyDescent="0.2">
      <c r="A387" s="56">
        <v>25659</v>
      </c>
      <c r="B387" s="26">
        <f>VLOOKUP(Table1[[#This Row],[Date]],Database!A:D,3,)</f>
        <v>71348</v>
      </c>
      <c r="C387" s="27">
        <f t="shared" si="10"/>
        <v>-103</v>
      </c>
      <c r="D387" s="27">
        <f t="shared" si="11"/>
        <v>57.333333333333336</v>
      </c>
      <c r="E387" s="63">
        <f>VLOOKUP(Table1[[#This Row],[Date]],Database!A:D,4,)</f>
        <v>4.5999999999999996</v>
      </c>
      <c r="F387" s="63">
        <f>VLOOKUP(Table1[[#This Row],[Date]],Database!A:D,2,)</f>
        <v>60.6</v>
      </c>
      <c r="G387" s="57"/>
    </row>
    <row r="388" spans="1:7" x14ac:dyDescent="0.2">
      <c r="A388" s="56">
        <v>25689</v>
      </c>
      <c r="B388" s="26">
        <f>VLOOKUP(Table1[[#This Row],[Date]],Database!A:D,3,)</f>
        <v>71124</v>
      </c>
      <c r="C388" s="27">
        <f t="shared" si="10"/>
        <v>-224</v>
      </c>
      <c r="D388" s="27">
        <f t="shared" si="11"/>
        <v>-60.333333333333336</v>
      </c>
      <c r="E388" s="63">
        <f>VLOOKUP(Table1[[#This Row],[Date]],Database!A:D,4,)</f>
        <v>4.8</v>
      </c>
      <c r="F388" s="63">
        <f>VLOOKUP(Table1[[#This Row],[Date]],Database!A:D,2,)</f>
        <v>60.3</v>
      </c>
      <c r="G388" s="57"/>
    </row>
    <row r="389" spans="1:7" x14ac:dyDescent="0.2">
      <c r="A389" s="56">
        <v>25720</v>
      </c>
      <c r="B389" s="26">
        <f>VLOOKUP(Table1[[#This Row],[Date]],Database!A:D,3,)</f>
        <v>71029</v>
      </c>
      <c r="C389" s="27">
        <f t="shared" si="10"/>
        <v>-95</v>
      </c>
      <c r="D389" s="27">
        <f t="shared" si="11"/>
        <v>-140.66666666666666</v>
      </c>
      <c r="E389" s="63">
        <f>VLOOKUP(Table1[[#This Row],[Date]],Database!A:D,4,)</f>
        <v>4.9000000000000004</v>
      </c>
      <c r="F389" s="63">
        <f>VLOOKUP(Table1[[#This Row],[Date]],Database!A:D,2,)</f>
        <v>60.2</v>
      </c>
      <c r="G389" s="57"/>
    </row>
    <row r="390" spans="1:7" x14ac:dyDescent="0.2">
      <c r="A390" s="56">
        <v>25750</v>
      </c>
      <c r="B390" s="26">
        <f>VLOOKUP(Table1[[#This Row],[Date]],Database!A:D,3,)</f>
        <v>71053</v>
      </c>
      <c r="C390" s="27">
        <f t="shared" si="10"/>
        <v>24</v>
      </c>
      <c r="D390" s="27">
        <f t="shared" si="11"/>
        <v>-98.333333333333329</v>
      </c>
      <c r="E390" s="63">
        <f>VLOOKUP(Table1[[#This Row],[Date]],Database!A:D,4,)</f>
        <v>5</v>
      </c>
      <c r="F390" s="63">
        <f>VLOOKUP(Table1[[#This Row],[Date]],Database!A:D,2,)</f>
        <v>60.4</v>
      </c>
      <c r="G390" s="57"/>
    </row>
    <row r="391" spans="1:7" x14ac:dyDescent="0.2">
      <c r="A391" s="56">
        <v>25781</v>
      </c>
      <c r="B391" s="26">
        <f>VLOOKUP(Table1[[#This Row],[Date]],Database!A:D,3,)</f>
        <v>70937</v>
      </c>
      <c r="C391" s="27">
        <f t="shared" si="10"/>
        <v>-116</v>
      </c>
      <c r="D391" s="27">
        <f t="shared" si="11"/>
        <v>-62.333333333333336</v>
      </c>
      <c r="E391" s="63">
        <f>VLOOKUP(Table1[[#This Row],[Date]],Database!A:D,4,)</f>
        <v>5.0999999999999996</v>
      </c>
      <c r="F391" s="63">
        <f>VLOOKUP(Table1[[#This Row],[Date]],Database!A:D,2,)</f>
        <v>60.3</v>
      </c>
      <c r="G391" s="57"/>
    </row>
    <row r="392" spans="1:7" x14ac:dyDescent="0.2">
      <c r="A392" s="56">
        <v>25812</v>
      </c>
      <c r="B392" s="26">
        <f>VLOOKUP(Table1[[#This Row],[Date]],Database!A:D,3,)</f>
        <v>70944</v>
      </c>
      <c r="C392" s="27">
        <f t="shared" si="10"/>
        <v>7</v>
      </c>
      <c r="D392" s="27">
        <f t="shared" si="11"/>
        <v>-28.333333333333332</v>
      </c>
      <c r="E392" s="63">
        <f>VLOOKUP(Table1[[#This Row],[Date]],Database!A:D,4,)</f>
        <v>5.4</v>
      </c>
      <c r="F392" s="63">
        <f>VLOOKUP(Table1[[#This Row],[Date]],Database!A:D,2,)</f>
        <v>60.2</v>
      </c>
      <c r="G392" s="57"/>
    </row>
    <row r="393" spans="1:7" x14ac:dyDescent="0.2">
      <c r="A393" s="56">
        <v>25842</v>
      </c>
      <c r="B393" s="26">
        <f>VLOOKUP(Table1[[#This Row],[Date]],Database!A:D,3,)</f>
        <v>70521</v>
      </c>
      <c r="C393" s="27">
        <f t="shared" si="10"/>
        <v>-423</v>
      </c>
      <c r="D393" s="27">
        <f t="shared" si="11"/>
        <v>-177.33333333333334</v>
      </c>
      <c r="E393" s="63">
        <f>VLOOKUP(Table1[[#This Row],[Date]],Database!A:D,4,)</f>
        <v>5.5</v>
      </c>
      <c r="F393" s="63">
        <f>VLOOKUP(Table1[[#This Row],[Date]],Database!A:D,2,)</f>
        <v>60.4</v>
      </c>
      <c r="G393" s="57"/>
    </row>
    <row r="394" spans="1:7" x14ac:dyDescent="0.2">
      <c r="A394" s="56">
        <v>25873</v>
      </c>
      <c r="B394" s="26">
        <f>VLOOKUP(Table1[[#This Row],[Date]],Database!A:D,3,)</f>
        <v>70409</v>
      </c>
      <c r="C394" s="27">
        <f t="shared" si="10"/>
        <v>-112</v>
      </c>
      <c r="D394" s="27">
        <f t="shared" si="11"/>
        <v>-176</v>
      </c>
      <c r="E394" s="63">
        <f>VLOOKUP(Table1[[#This Row],[Date]],Database!A:D,4,)</f>
        <v>5.9</v>
      </c>
      <c r="F394" s="63">
        <f>VLOOKUP(Table1[[#This Row],[Date]],Database!A:D,2,)</f>
        <v>60.4</v>
      </c>
      <c r="G394" s="57"/>
    </row>
    <row r="395" spans="1:7" x14ac:dyDescent="0.2">
      <c r="A395" s="56">
        <v>25903</v>
      </c>
      <c r="B395" s="26">
        <f>VLOOKUP(Table1[[#This Row],[Date]],Database!A:D,3,)</f>
        <v>70792</v>
      </c>
      <c r="C395" s="27">
        <f t="shared" si="10"/>
        <v>383</v>
      </c>
      <c r="D395" s="27">
        <f t="shared" si="11"/>
        <v>-50.666666666666664</v>
      </c>
      <c r="E395" s="63">
        <f>VLOOKUP(Table1[[#This Row],[Date]],Database!A:D,4,)</f>
        <v>6.1</v>
      </c>
      <c r="F395" s="63">
        <f>VLOOKUP(Table1[[#This Row],[Date]],Database!A:D,2,)</f>
        <v>60.4</v>
      </c>
      <c r="G395" s="57"/>
    </row>
    <row r="396" spans="1:7" x14ac:dyDescent="0.2">
      <c r="A396" s="56">
        <v>25934</v>
      </c>
      <c r="B396" s="26">
        <f>VLOOKUP(Table1[[#This Row],[Date]],Database!A:D,3,)</f>
        <v>70865</v>
      </c>
      <c r="C396" s="27">
        <f t="shared" si="10"/>
        <v>73</v>
      </c>
      <c r="D396" s="27">
        <f t="shared" si="11"/>
        <v>114.66666666666667</v>
      </c>
      <c r="E396" s="63">
        <f>VLOOKUP(Table1[[#This Row],[Date]],Database!A:D,4,)</f>
        <v>5.9</v>
      </c>
      <c r="F396" s="63">
        <f>VLOOKUP(Table1[[#This Row],[Date]],Database!A:D,2,)</f>
        <v>60.4</v>
      </c>
      <c r="G396" s="57"/>
    </row>
    <row r="397" spans="1:7" x14ac:dyDescent="0.2">
      <c r="A397" s="56">
        <v>25965</v>
      </c>
      <c r="B397" s="26">
        <f>VLOOKUP(Table1[[#This Row],[Date]],Database!A:D,3,)</f>
        <v>70807</v>
      </c>
      <c r="C397" s="27">
        <f t="shared" ref="C397:C460" si="12">B397-B396</f>
        <v>-58</v>
      </c>
      <c r="D397" s="27">
        <f t="shared" si="11"/>
        <v>132.66666666666666</v>
      </c>
      <c r="E397" s="63">
        <f>VLOOKUP(Table1[[#This Row],[Date]],Database!A:D,4,)</f>
        <v>5.9</v>
      </c>
      <c r="F397" s="63">
        <f>VLOOKUP(Table1[[#This Row],[Date]],Database!A:D,2,)</f>
        <v>60.1</v>
      </c>
      <c r="G397" s="57"/>
    </row>
    <row r="398" spans="1:7" x14ac:dyDescent="0.2">
      <c r="A398" s="56">
        <v>25993</v>
      </c>
      <c r="B398" s="26">
        <f>VLOOKUP(Table1[[#This Row],[Date]],Database!A:D,3,)</f>
        <v>70860</v>
      </c>
      <c r="C398" s="27">
        <f t="shared" si="12"/>
        <v>53</v>
      </c>
      <c r="D398" s="27">
        <f t="shared" si="11"/>
        <v>22.666666666666668</v>
      </c>
      <c r="E398" s="63">
        <f>VLOOKUP(Table1[[#This Row],[Date]],Database!A:D,4,)</f>
        <v>6</v>
      </c>
      <c r="F398" s="63">
        <f>VLOOKUP(Table1[[#This Row],[Date]],Database!A:D,2,)</f>
        <v>60</v>
      </c>
      <c r="G398" s="57"/>
    </row>
    <row r="399" spans="1:7" x14ac:dyDescent="0.2">
      <c r="A399" s="56">
        <v>26024</v>
      </c>
      <c r="B399" s="26">
        <f>VLOOKUP(Table1[[#This Row],[Date]],Database!A:D,3,)</f>
        <v>71036</v>
      </c>
      <c r="C399" s="27">
        <f t="shared" si="12"/>
        <v>176</v>
      </c>
      <c r="D399" s="27">
        <f t="shared" ref="D399:D462" si="13">AVERAGE(C397:C399)</f>
        <v>57</v>
      </c>
      <c r="E399" s="63">
        <f>VLOOKUP(Table1[[#This Row],[Date]],Database!A:D,4,)</f>
        <v>5.9</v>
      </c>
      <c r="F399" s="63">
        <f>VLOOKUP(Table1[[#This Row],[Date]],Database!A:D,2,)</f>
        <v>60.1</v>
      </c>
      <c r="G399" s="57"/>
    </row>
    <row r="400" spans="1:7" x14ac:dyDescent="0.2">
      <c r="A400" s="56">
        <v>26054</v>
      </c>
      <c r="B400" s="26">
        <f>VLOOKUP(Table1[[#This Row],[Date]],Database!A:D,3,)</f>
        <v>71247</v>
      </c>
      <c r="C400" s="27">
        <f t="shared" si="12"/>
        <v>211</v>
      </c>
      <c r="D400" s="27">
        <f t="shared" si="13"/>
        <v>146.66666666666666</v>
      </c>
      <c r="E400" s="63">
        <f>VLOOKUP(Table1[[#This Row],[Date]],Database!A:D,4,)</f>
        <v>5.9</v>
      </c>
      <c r="F400" s="63">
        <f>VLOOKUP(Table1[[#This Row],[Date]],Database!A:D,2,)</f>
        <v>60.2</v>
      </c>
      <c r="G400" s="57"/>
    </row>
    <row r="401" spans="1:7" x14ac:dyDescent="0.2">
      <c r="A401" s="56">
        <v>26085</v>
      </c>
      <c r="B401" s="26">
        <f>VLOOKUP(Table1[[#This Row],[Date]],Database!A:D,3,)</f>
        <v>71254</v>
      </c>
      <c r="C401" s="27">
        <f t="shared" si="12"/>
        <v>7</v>
      </c>
      <c r="D401" s="27">
        <f t="shared" si="13"/>
        <v>131.33333333333334</v>
      </c>
      <c r="E401" s="63">
        <f>VLOOKUP(Table1[[#This Row],[Date]],Database!A:D,4,)</f>
        <v>5.9</v>
      </c>
      <c r="F401" s="63">
        <f>VLOOKUP(Table1[[#This Row],[Date]],Database!A:D,2,)</f>
        <v>59.8</v>
      </c>
      <c r="G401" s="57"/>
    </row>
    <row r="402" spans="1:7" x14ac:dyDescent="0.2">
      <c r="A402" s="56">
        <v>26115</v>
      </c>
      <c r="B402" s="26">
        <f>VLOOKUP(Table1[[#This Row],[Date]],Database!A:D,3,)</f>
        <v>71315</v>
      </c>
      <c r="C402" s="27">
        <f t="shared" si="12"/>
        <v>61</v>
      </c>
      <c r="D402" s="27">
        <f t="shared" si="13"/>
        <v>93</v>
      </c>
      <c r="E402" s="63">
        <f>VLOOKUP(Table1[[#This Row],[Date]],Database!A:D,4,)</f>
        <v>6</v>
      </c>
      <c r="F402" s="63">
        <f>VLOOKUP(Table1[[#This Row],[Date]],Database!A:D,2,)</f>
        <v>60.1</v>
      </c>
      <c r="G402" s="57"/>
    </row>
    <row r="403" spans="1:7" x14ac:dyDescent="0.2">
      <c r="A403" s="56">
        <v>26146</v>
      </c>
      <c r="B403" s="26">
        <f>VLOOKUP(Table1[[#This Row],[Date]],Database!A:D,3,)</f>
        <v>71373</v>
      </c>
      <c r="C403" s="27">
        <f t="shared" si="12"/>
        <v>58</v>
      </c>
      <c r="D403" s="27">
        <f t="shared" si="13"/>
        <v>42</v>
      </c>
      <c r="E403" s="63">
        <f>VLOOKUP(Table1[[#This Row],[Date]],Database!A:D,4,)</f>
        <v>6.1</v>
      </c>
      <c r="F403" s="63">
        <f>VLOOKUP(Table1[[#This Row],[Date]],Database!A:D,2,)</f>
        <v>60.2</v>
      </c>
      <c r="G403" s="57"/>
    </row>
    <row r="404" spans="1:7" x14ac:dyDescent="0.2">
      <c r="A404" s="56">
        <v>26177</v>
      </c>
      <c r="B404" s="26">
        <f>VLOOKUP(Table1[[#This Row],[Date]],Database!A:D,3,)</f>
        <v>71614</v>
      </c>
      <c r="C404" s="27">
        <f t="shared" si="12"/>
        <v>241</v>
      </c>
      <c r="D404" s="27">
        <f t="shared" si="13"/>
        <v>120</v>
      </c>
      <c r="E404" s="63">
        <f>VLOOKUP(Table1[[#This Row],[Date]],Database!A:D,4,)</f>
        <v>6</v>
      </c>
      <c r="F404" s="63">
        <f>VLOOKUP(Table1[[#This Row],[Date]],Database!A:D,2,)</f>
        <v>60.1</v>
      </c>
      <c r="G404" s="57"/>
    </row>
    <row r="405" spans="1:7" x14ac:dyDescent="0.2">
      <c r="A405" s="56">
        <v>26207</v>
      </c>
      <c r="B405" s="26">
        <f>VLOOKUP(Table1[[#This Row],[Date]],Database!A:D,3,)</f>
        <v>71642</v>
      </c>
      <c r="C405" s="27">
        <f t="shared" si="12"/>
        <v>28</v>
      </c>
      <c r="D405" s="27">
        <f t="shared" si="13"/>
        <v>109</v>
      </c>
      <c r="E405" s="63">
        <f>VLOOKUP(Table1[[#This Row],[Date]],Database!A:D,4,)</f>
        <v>5.8</v>
      </c>
      <c r="F405" s="63">
        <f>VLOOKUP(Table1[[#This Row],[Date]],Database!A:D,2,)</f>
        <v>60.1</v>
      </c>
      <c r="G405" s="57"/>
    </row>
    <row r="406" spans="1:7" x14ac:dyDescent="0.2">
      <c r="A406" s="56">
        <v>26238</v>
      </c>
      <c r="B406" s="26">
        <f>VLOOKUP(Table1[[#This Row],[Date]],Database!A:D,3,)</f>
        <v>71847</v>
      </c>
      <c r="C406" s="27">
        <f t="shared" si="12"/>
        <v>205</v>
      </c>
      <c r="D406" s="27">
        <f t="shared" si="13"/>
        <v>158</v>
      </c>
      <c r="E406" s="63">
        <f>VLOOKUP(Table1[[#This Row],[Date]],Database!A:D,4,)</f>
        <v>6</v>
      </c>
      <c r="F406" s="63">
        <f>VLOOKUP(Table1[[#This Row],[Date]],Database!A:D,2,)</f>
        <v>60.4</v>
      </c>
      <c r="G406" s="57"/>
    </row>
    <row r="407" spans="1:7" x14ac:dyDescent="0.2">
      <c r="A407" s="56">
        <v>26268</v>
      </c>
      <c r="B407" s="26">
        <f>VLOOKUP(Table1[[#This Row],[Date]],Database!A:D,3,)</f>
        <v>72109</v>
      </c>
      <c r="C407" s="27">
        <f t="shared" si="12"/>
        <v>262</v>
      </c>
      <c r="D407" s="27">
        <f t="shared" si="13"/>
        <v>165</v>
      </c>
      <c r="E407" s="63">
        <f>VLOOKUP(Table1[[#This Row],[Date]],Database!A:D,4,)</f>
        <v>6</v>
      </c>
      <c r="F407" s="63">
        <f>VLOOKUP(Table1[[#This Row],[Date]],Database!A:D,2,)</f>
        <v>60.4</v>
      </c>
      <c r="G407" s="57"/>
    </row>
    <row r="408" spans="1:7" x14ac:dyDescent="0.2">
      <c r="A408" s="56">
        <v>26299</v>
      </c>
      <c r="B408" s="26">
        <f>VLOOKUP(Table1[[#This Row],[Date]],Database!A:D,3,)</f>
        <v>72441</v>
      </c>
      <c r="C408" s="27">
        <f t="shared" si="12"/>
        <v>332</v>
      </c>
      <c r="D408" s="27">
        <f t="shared" si="13"/>
        <v>266.33333333333331</v>
      </c>
      <c r="E408" s="63">
        <f>VLOOKUP(Table1[[#This Row],[Date]],Database!A:D,4,)</f>
        <v>5.8</v>
      </c>
      <c r="F408" s="63">
        <f>VLOOKUP(Table1[[#This Row],[Date]],Database!A:D,2,)</f>
        <v>60.2</v>
      </c>
      <c r="G408" s="57"/>
    </row>
    <row r="409" spans="1:7" x14ac:dyDescent="0.2">
      <c r="A409" s="56">
        <v>26330</v>
      </c>
      <c r="B409" s="26">
        <f>VLOOKUP(Table1[[#This Row],[Date]],Database!A:D,3,)</f>
        <v>72648</v>
      </c>
      <c r="C409" s="27">
        <f t="shared" si="12"/>
        <v>207</v>
      </c>
      <c r="D409" s="27">
        <f t="shared" si="13"/>
        <v>267</v>
      </c>
      <c r="E409" s="63">
        <f>VLOOKUP(Table1[[#This Row],[Date]],Database!A:D,4,)</f>
        <v>5.7</v>
      </c>
      <c r="F409" s="63">
        <f>VLOOKUP(Table1[[#This Row],[Date]],Database!A:D,2,)</f>
        <v>60.2</v>
      </c>
      <c r="G409" s="57"/>
    </row>
    <row r="410" spans="1:7" x14ac:dyDescent="0.2">
      <c r="A410" s="56">
        <v>26359</v>
      </c>
      <c r="B410" s="26">
        <f>VLOOKUP(Table1[[#This Row],[Date]],Database!A:D,3,)</f>
        <v>72944</v>
      </c>
      <c r="C410" s="27">
        <f t="shared" si="12"/>
        <v>296</v>
      </c>
      <c r="D410" s="27">
        <f t="shared" si="13"/>
        <v>278.33333333333331</v>
      </c>
      <c r="E410" s="63">
        <f>VLOOKUP(Table1[[#This Row],[Date]],Database!A:D,4,)</f>
        <v>5.8</v>
      </c>
      <c r="F410" s="63">
        <f>VLOOKUP(Table1[[#This Row],[Date]],Database!A:D,2,)</f>
        <v>60.5</v>
      </c>
      <c r="G410" s="57"/>
    </row>
    <row r="411" spans="1:7" x14ac:dyDescent="0.2">
      <c r="A411" s="56">
        <v>26390</v>
      </c>
      <c r="B411" s="26">
        <f>VLOOKUP(Table1[[#This Row],[Date]],Database!A:D,3,)</f>
        <v>73162</v>
      </c>
      <c r="C411" s="27">
        <f t="shared" si="12"/>
        <v>218</v>
      </c>
      <c r="D411" s="27">
        <f t="shared" si="13"/>
        <v>240.33333333333334</v>
      </c>
      <c r="E411" s="63">
        <f>VLOOKUP(Table1[[#This Row],[Date]],Database!A:D,4,)</f>
        <v>5.7</v>
      </c>
      <c r="F411" s="63">
        <f>VLOOKUP(Table1[[#This Row],[Date]],Database!A:D,2,)</f>
        <v>60.4</v>
      </c>
      <c r="G411" s="57"/>
    </row>
    <row r="412" spans="1:7" x14ac:dyDescent="0.2">
      <c r="A412" s="56">
        <v>26420</v>
      </c>
      <c r="B412" s="26">
        <f>VLOOKUP(Table1[[#This Row],[Date]],Database!A:D,3,)</f>
        <v>73469</v>
      </c>
      <c r="C412" s="27">
        <f t="shared" si="12"/>
        <v>307</v>
      </c>
      <c r="D412" s="27">
        <f t="shared" si="13"/>
        <v>273.66666666666669</v>
      </c>
      <c r="E412" s="63">
        <f>VLOOKUP(Table1[[#This Row],[Date]],Database!A:D,4,)</f>
        <v>5.7</v>
      </c>
      <c r="F412" s="63">
        <f>VLOOKUP(Table1[[#This Row],[Date]],Database!A:D,2,)</f>
        <v>60.4</v>
      </c>
      <c r="G412" s="57"/>
    </row>
    <row r="413" spans="1:7" x14ac:dyDescent="0.2">
      <c r="A413" s="56">
        <v>26451</v>
      </c>
      <c r="B413" s="26">
        <f>VLOOKUP(Table1[[#This Row],[Date]],Database!A:D,3,)</f>
        <v>73758</v>
      </c>
      <c r="C413" s="27">
        <f t="shared" si="12"/>
        <v>289</v>
      </c>
      <c r="D413" s="27">
        <f t="shared" si="13"/>
        <v>271.33333333333331</v>
      </c>
      <c r="E413" s="63">
        <f>VLOOKUP(Table1[[#This Row],[Date]],Database!A:D,4,)</f>
        <v>5.7</v>
      </c>
      <c r="F413" s="63">
        <f>VLOOKUP(Table1[[#This Row],[Date]],Database!A:D,2,)</f>
        <v>60.4</v>
      </c>
      <c r="G413" s="57"/>
    </row>
    <row r="414" spans="1:7" x14ac:dyDescent="0.2">
      <c r="A414" s="56">
        <v>26481</v>
      </c>
      <c r="B414" s="26">
        <f>VLOOKUP(Table1[[#This Row],[Date]],Database!A:D,3,)</f>
        <v>73709</v>
      </c>
      <c r="C414" s="27">
        <f t="shared" si="12"/>
        <v>-49</v>
      </c>
      <c r="D414" s="27">
        <f t="shared" si="13"/>
        <v>182.33333333333334</v>
      </c>
      <c r="E414" s="63">
        <f>VLOOKUP(Table1[[#This Row],[Date]],Database!A:D,4,)</f>
        <v>5.6</v>
      </c>
      <c r="F414" s="63">
        <f>VLOOKUP(Table1[[#This Row],[Date]],Database!A:D,2,)</f>
        <v>60.4</v>
      </c>
      <c r="G414" s="57"/>
    </row>
    <row r="415" spans="1:7" x14ac:dyDescent="0.2">
      <c r="A415" s="56">
        <v>26512</v>
      </c>
      <c r="B415" s="26">
        <f>VLOOKUP(Table1[[#This Row],[Date]],Database!A:D,3,)</f>
        <v>74141</v>
      </c>
      <c r="C415" s="27">
        <f t="shared" si="12"/>
        <v>432</v>
      </c>
      <c r="D415" s="27">
        <f t="shared" si="13"/>
        <v>224</v>
      </c>
      <c r="E415" s="63">
        <f>VLOOKUP(Table1[[#This Row],[Date]],Database!A:D,4,)</f>
        <v>5.6</v>
      </c>
      <c r="F415" s="63">
        <f>VLOOKUP(Table1[[#This Row],[Date]],Database!A:D,2,)</f>
        <v>60.6</v>
      </c>
      <c r="G415" s="57"/>
    </row>
    <row r="416" spans="1:7" x14ac:dyDescent="0.2">
      <c r="A416" s="56">
        <v>26543</v>
      </c>
      <c r="B416" s="26">
        <f>VLOOKUP(Table1[[#This Row],[Date]],Database!A:D,3,)</f>
        <v>74264</v>
      </c>
      <c r="C416" s="27">
        <f t="shared" si="12"/>
        <v>123</v>
      </c>
      <c r="D416" s="27">
        <f t="shared" si="13"/>
        <v>168.66666666666666</v>
      </c>
      <c r="E416" s="63">
        <f>VLOOKUP(Table1[[#This Row],[Date]],Database!A:D,4,)</f>
        <v>5.5</v>
      </c>
      <c r="F416" s="63">
        <f>VLOOKUP(Table1[[#This Row],[Date]],Database!A:D,2,)</f>
        <v>60.4</v>
      </c>
      <c r="G416" s="57"/>
    </row>
    <row r="417" spans="1:7" x14ac:dyDescent="0.2">
      <c r="A417" s="56">
        <v>26573</v>
      </c>
      <c r="B417" s="26">
        <f>VLOOKUP(Table1[[#This Row],[Date]],Database!A:D,3,)</f>
        <v>74674</v>
      </c>
      <c r="C417" s="27">
        <f t="shared" si="12"/>
        <v>410</v>
      </c>
      <c r="D417" s="27">
        <f t="shared" si="13"/>
        <v>321.66666666666669</v>
      </c>
      <c r="E417" s="63">
        <f>VLOOKUP(Table1[[#This Row],[Date]],Database!A:D,4,)</f>
        <v>5.6</v>
      </c>
      <c r="F417" s="63">
        <f>VLOOKUP(Table1[[#This Row],[Date]],Database!A:D,2,)</f>
        <v>60.3</v>
      </c>
      <c r="G417" s="57"/>
    </row>
    <row r="418" spans="1:7" x14ac:dyDescent="0.2">
      <c r="A418" s="56">
        <v>26604</v>
      </c>
      <c r="B418" s="26">
        <f>VLOOKUP(Table1[[#This Row],[Date]],Database!A:D,3,)</f>
        <v>74973</v>
      </c>
      <c r="C418" s="27">
        <f t="shared" si="12"/>
        <v>299</v>
      </c>
      <c r="D418" s="27">
        <f t="shared" si="13"/>
        <v>277.33333333333331</v>
      </c>
      <c r="E418" s="63">
        <f>VLOOKUP(Table1[[#This Row],[Date]],Database!A:D,4,)</f>
        <v>5.3</v>
      </c>
      <c r="F418" s="63">
        <f>VLOOKUP(Table1[[#This Row],[Date]],Database!A:D,2,)</f>
        <v>60.3</v>
      </c>
      <c r="G418" s="57"/>
    </row>
    <row r="419" spans="1:7" x14ac:dyDescent="0.2">
      <c r="A419" s="56">
        <v>26634</v>
      </c>
      <c r="B419" s="26">
        <f>VLOOKUP(Table1[[#This Row],[Date]],Database!A:D,3,)</f>
        <v>75268</v>
      </c>
      <c r="C419" s="27">
        <f t="shared" si="12"/>
        <v>295</v>
      </c>
      <c r="D419" s="27">
        <f t="shared" si="13"/>
        <v>334.66666666666669</v>
      </c>
      <c r="E419" s="63">
        <f>VLOOKUP(Table1[[#This Row],[Date]],Database!A:D,4,)</f>
        <v>5.2</v>
      </c>
      <c r="F419" s="63">
        <f>VLOOKUP(Table1[[#This Row],[Date]],Database!A:D,2,)</f>
        <v>60.5</v>
      </c>
      <c r="G419" s="57"/>
    </row>
    <row r="420" spans="1:7" x14ac:dyDescent="0.2">
      <c r="A420" s="56">
        <v>26665</v>
      </c>
      <c r="B420" s="26">
        <f>VLOOKUP(Table1[[#This Row],[Date]],Database!A:D,3,)</f>
        <v>75617</v>
      </c>
      <c r="C420" s="27">
        <f t="shared" si="12"/>
        <v>349</v>
      </c>
      <c r="D420" s="27">
        <f t="shared" si="13"/>
        <v>314.33333333333331</v>
      </c>
      <c r="E420" s="63">
        <f>VLOOKUP(Table1[[#This Row],[Date]],Database!A:D,4,)</f>
        <v>4.9000000000000004</v>
      </c>
      <c r="F420" s="63">
        <f>VLOOKUP(Table1[[#This Row],[Date]],Database!A:D,2,)</f>
        <v>60</v>
      </c>
      <c r="G420" s="57"/>
    </row>
    <row r="421" spans="1:7" x14ac:dyDescent="0.2">
      <c r="A421" s="56">
        <v>26696</v>
      </c>
      <c r="B421" s="26">
        <f>VLOOKUP(Table1[[#This Row],[Date]],Database!A:D,3,)</f>
        <v>76014</v>
      </c>
      <c r="C421" s="27">
        <f t="shared" si="12"/>
        <v>397</v>
      </c>
      <c r="D421" s="27">
        <f t="shared" si="13"/>
        <v>347</v>
      </c>
      <c r="E421" s="63">
        <f>VLOOKUP(Table1[[#This Row],[Date]],Database!A:D,4,)</f>
        <v>5</v>
      </c>
      <c r="F421" s="63">
        <f>VLOOKUP(Table1[[#This Row],[Date]],Database!A:D,2,)</f>
        <v>60.5</v>
      </c>
      <c r="G421" s="57"/>
    </row>
    <row r="422" spans="1:7" x14ac:dyDescent="0.2">
      <c r="A422" s="56">
        <v>26724</v>
      </c>
      <c r="B422" s="26">
        <f>VLOOKUP(Table1[[#This Row],[Date]],Database!A:D,3,)</f>
        <v>76284</v>
      </c>
      <c r="C422" s="27">
        <f t="shared" si="12"/>
        <v>270</v>
      </c>
      <c r="D422" s="27">
        <f t="shared" si="13"/>
        <v>338.66666666666669</v>
      </c>
      <c r="E422" s="63">
        <f>VLOOKUP(Table1[[#This Row],[Date]],Database!A:D,4,)</f>
        <v>4.9000000000000004</v>
      </c>
      <c r="F422" s="63">
        <f>VLOOKUP(Table1[[#This Row],[Date]],Database!A:D,2,)</f>
        <v>60.8</v>
      </c>
      <c r="G422" s="57"/>
    </row>
    <row r="423" spans="1:7" x14ac:dyDescent="0.2">
      <c r="A423" s="56">
        <v>26755</v>
      </c>
      <c r="B423" s="26">
        <f>VLOOKUP(Table1[[#This Row],[Date]],Database!A:D,3,)</f>
        <v>76455</v>
      </c>
      <c r="C423" s="27">
        <f t="shared" si="12"/>
        <v>171</v>
      </c>
      <c r="D423" s="27">
        <f t="shared" si="13"/>
        <v>279.33333333333331</v>
      </c>
      <c r="E423" s="63">
        <f>VLOOKUP(Table1[[#This Row],[Date]],Database!A:D,4,)</f>
        <v>5</v>
      </c>
      <c r="F423" s="63">
        <f>VLOOKUP(Table1[[#This Row],[Date]],Database!A:D,2,)</f>
        <v>60.8</v>
      </c>
      <c r="G423" s="57"/>
    </row>
    <row r="424" spans="1:7" x14ac:dyDescent="0.2">
      <c r="A424" s="56">
        <v>26785</v>
      </c>
      <c r="B424" s="26">
        <f>VLOOKUP(Table1[[#This Row],[Date]],Database!A:D,3,)</f>
        <v>76648</v>
      </c>
      <c r="C424" s="27">
        <f t="shared" si="12"/>
        <v>193</v>
      </c>
      <c r="D424" s="27">
        <f t="shared" si="13"/>
        <v>211.33333333333334</v>
      </c>
      <c r="E424" s="63">
        <f>VLOOKUP(Table1[[#This Row],[Date]],Database!A:D,4,)</f>
        <v>4.9000000000000004</v>
      </c>
      <c r="F424" s="63">
        <f>VLOOKUP(Table1[[#This Row],[Date]],Database!A:D,2,)</f>
        <v>60.6</v>
      </c>
      <c r="G424" s="57"/>
    </row>
    <row r="425" spans="1:7" x14ac:dyDescent="0.2">
      <c r="A425" s="56">
        <v>26816</v>
      </c>
      <c r="B425" s="26">
        <f>VLOOKUP(Table1[[#This Row],[Date]],Database!A:D,3,)</f>
        <v>76887</v>
      </c>
      <c r="C425" s="27">
        <f t="shared" si="12"/>
        <v>239</v>
      </c>
      <c r="D425" s="27">
        <f t="shared" si="13"/>
        <v>201</v>
      </c>
      <c r="E425" s="63">
        <f>VLOOKUP(Table1[[#This Row],[Date]],Database!A:D,4,)</f>
        <v>4.9000000000000004</v>
      </c>
      <c r="F425" s="63">
        <f>VLOOKUP(Table1[[#This Row],[Date]],Database!A:D,2,)</f>
        <v>60.9</v>
      </c>
      <c r="G425" s="57"/>
    </row>
    <row r="426" spans="1:7" x14ac:dyDescent="0.2">
      <c r="A426" s="56">
        <v>26846</v>
      </c>
      <c r="B426" s="26">
        <f>VLOOKUP(Table1[[#This Row],[Date]],Database!A:D,3,)</f>
        <v>76913</v>
      </c>
      <c r="C426" s="27">
        <f t="shared" si="12"/>
        <v>26</v>
      </c>
      <c r="D426" s="27">
        <f t="shared" si="13"/>
        <v>152.66666666666666</v>
      </c>
      <c r="E426" s="63">
        <f>VLOOKUP(Table1[[#This Row],[Date]],Database!A:D,4,)</f>
        <v>4.8</v>
      </c>
      <c r="F426" s="63">
        <f>VLOOKUP(Table1[[#This Row],[Date]],Database!A:D,2,)</f>
        <v>60.9</v>
      </c>
      <c r="G426" s="57"/>
    </row>
    <row r="427" spans="1:7" x14ac:dyDescent="0.2">
      <c r="A427" s="56">
        <v>26877</v>
      </c>
      <c r="B427" s="26">
        <f>VLOOKUP(Table1[[#This Row],[Date]],Database!A:D,3,)</f>
        <v>77168</v>
      </c>
      <c r="C427" s="27">
        <f t="shared" si="12"/>
        <v>255</v>
      </c>
      <c r="D427" s="27">
        <f t="shared" si="13"/>
        <v>173.33333333333334</v>
      </c>
      <c r="E427" s="63">
        <f>VLOOKUP(Table1[[#This Row],[Date]],Database!A:D,4,)</f>
        <v>4.8</v>
      </c>
      <c r="F427" s="63">
        <f>VLOOKUP(Table1[[#This Row],[Date]],Database!A:D,2,)</f>
        <v>60.7</v>
      </c>
      <c r="G427" s="57"/>
    </row>
    <row r="428" spans="1:7" x14ac:dyDescent="0.2">
      <c r="A428" s="56">
        <v>26908</v>
      </c>
      <c r="B428" s="26">
        <f>VLOOKUP(Table1[[#This Row],[Date]],Database!A:D,3,)</f>
        <v>77276</v>
      </c>
      <c r="C428" s="27">
        <f t="shared" si="12"/>
        <v>108</v>
      </c>
      <c r="D428" s="27">
        <f t="shared" si="13"/>
        <v>129.66666666666666</v>
      </c>
      <c r="E428" s="63">
        <f>VLOOKUP(Table1[[#This Row],[Date]],Database!A:D,4,)</f>
        <v>4.8</v>
      </c>
      <c r="F428" s="63">
        <f>VLOOKUP(Table1[[#This Row],[Date]],Database!A:D,2,)</f>
        <v>60.8</v>
      </c>
      <c r="G428" s="57"/>
    </row>
    <row r="429" spans="1:7" x14ac:dyDescent="0.2">
      <c r="A429" s="56">
        <v>26938</v>
      </c>
      <c r="B429" s="26">
        <f>VLOOKUP(Table1[[#This Row],[Date]],Database!A:D,3,)</f>
        <v>77607</v>
      </c>
      <c r="C429" s="27">
        <f t="shared" si="12"/>
        <v>331</v>
      </c>
      <c r="D429" s="27">
        <f t="shared" si="13"/>
        <v>231.33333333333334</v>
      </c>
      <c r="E429" s="63">
        <f>VLOOKUP(Table1[[#This Row],[Date]],Database!A:D,4,)</f>
        <v>4.5999999999999996</v>
      </c>
      <c r="F429" s="63">
        <f>VLOOKUP(Table1[[#This Row],[Date]],Database!A:D,2,)</f>
        <v>60.9</v>
      </c>
      <c r="G429" s="57"/>
    </row>
    <row r="430" spans="1:7" x14ac:dyDescent="0.2">
      <c r="A430" s="56">
        <v>26969</v>
      </c>
      <c r="B430" s="26">
        <f>VLOOKUP(Table1[[#This Row],[Date]],Database!A:D,3,)</f>
        <v>77920</v>
      </c>
      <c r="C430" s="27">
        <f t="shared" si="12"/>
        <v>313</v>
      </c>
      <c r="D430" s="27">
        <f t="shared" si="13"/>
        <v>250.66666666666666</v>
      </c>
      <c r="E430" s="63">
        <f>VLOOKUP(Table1[[#This Row],[Date]],Database!A:D,4,)</f>
        <v>4.8</v>
      </c>
      <c r="F430" s="63">
        <f>VLOOKUP(Table1[[#This Row],[Date]],Database!A:D,2,)</f>
        <v>61.2</v>
      </c>
      <c r="G430" s="57"/>
    </row>
    <row r="431" spans="1:7" x14ac:dyDescent="0.2">
      <c r="A431" s="56">
        <v>26999</v>
      </c>
      <c r="B431" s="26">
        <f>VLOOKUP(Table1[[#This Row],[Date]],Database!A:D,3,)</f>
        <v>78031</v>
      </c>
      <c r="C431" s="27">
        <f t="shared" si="12"/>
        <v>111</v>
      </c>
      <c r="D431" s="27">
        <f t="shared" si="13"/>
        <v>251.66666666666666</v>
      </c>
      <c r="E431" s="63">
        <f>VLOOKUP(Table1[[#This Row],[Date]],Database!A:D,4,)</f>
        <v>4.9000000000000004</v>
      </c>
      <c r="F431" s="63">
        <f>VLOOKUP(Table1[[#This Row],[Date]],Database!A:D,2,)</f>
        <v>61.2</v>
      </c>
      <c r="G431" s="57"/>
    </row>
    <row r="432" spans="1:7" x14ac:dyDescent="0.2">
      <c r="A432" s="56">
        <v>27030</v>
      </c>
      <c r="B432" s="26">
        <f>VLOOKUP(Table1[[#This Row],[Date]],Database!A:D,3,)</f>
        <v>78100</v>
      </c>
      <c r="C432" s="27">
        <f t="shared" si="12"/>
        <v>69</v>
      </c>
      <c r="D432" s="27">
        <f t="shared" si="13"/>
        <v>164.33333333333334</v>
      </c>
      <c r="E432" s="63">
        <f>VLOOKUP(Table1[[#This Row],[Date]],Database!A:D,4,)</f>
        <v>5.0999999999999996</v>
      </c>
      <c r="F432" s="63">
        <f>VLOOKUP(Table1[[#This Row],[Date]],Database!A:D,2,)</f>
        <v>61.3</v>
      </c>
      <c r="G432" s="57"/>
    </row>
    <row r="433" spans="1:7" x14ac:dyDescent="0.2">
      <c r="A433" s="56">
        <v>27061</v>
      </c>
      <c r="B433" s="26">
        <f>VLOOKUP(Table1[[#This Row],[Date]],Database!A:D,3,)</f>
        <v>78254</v>
      </c>
      <c r="C433" s="27">
        <f t="shared" si="12"/>
        <v>154</v>
      </c>
      <c r="D433" s="27">
        <f t="shared" si="13"/>
        <v>111.33333333333333</v>
      </c>
      <c r="E433" s="63">
        <f>VLOOKUP(Table1[[#This Row],[Date]],Database!A:D,4,)</f>
        <v>5.2</v>
      </c>
      <c r="F433" s="63">
        <f>VLOOKUP(Table1[[#This Row],[Date]],Database!A:D,2,)</f>
        <v>61.4</v>
      </c>
      <c r="G433" s="57"/>
    </row>
    <row r="434" spans="1:7" x14ac:dyDescent="0.2">
      <c r="A434" s="56">
        <v>27089</v>
      </c>
      <c r="B434" s="26">
        <f>VLOOKUP(Table1[[#This Row],[Date]],Database!A:D,3,)</f>
        <v>78296</v>
      </c>
      <c r="C434" s="27">
        <f t="shared" si="12"/>
        <v>42</v>
      </c>
      <c r="D434" s="27">
        <f t="shared" si="13"/>
        <v>88.333333333333329</v>
      </c>
      <c r="E434" s="63">
        <f>VLOOKUP(Table1[[#This Row],[Date]],Database!A:D,4,)</f>
        <v>5.0999999999999996</v>
      </c>
      <c r="F434" s="63">
        <f>VLOOKUP(Table1[[#This Row],[Date]],Database!A:D,2,)</f>
        <v>61.3</v>
      </c>
      <c r="G434" s="57"/>
    </row>
    <row r="435" spans="1:7" x14ac:dyDescent="0.2">
      <c r="A435" s="56">
        <v>27120</v>
      </c>
      <c r="B435" s="26">
        <f>VLOOKUP(Table1[[#This Row],[Date]],Database!A:D,3,)</f>
        <v>78382</v>
      </c>
      <c r="C435" s="27">
        <f t="shared" si="12"/>
        <v>86</v>
      </c>
      <c r="D435" s="27">
        <f t="shared" si="13"/>
        <v>94</v>
      </c>
      <c r="E435" s="63">
        <f>VLOOKUP(Table1[[#This Row],[Date]],Database!A:D,4,)</f>
        <v>5.0999999999999996</v>
      </c>
      <c r="F435" s="63">
        <f>VLOOKUP(Table1[[#This Row],[Date]],Database!A:D,2,)</f>
        <v>61.1</v>
      </c>
      <c r="G435" s="57"/>
    </row>
    <row r="436" spans="1:7" x14ac:dyDescent="0.2">
      <c r="A436" s="56">
        <v>27150</v>
      </c>
      <c r="B436" s="26">
        <f>VLOOKUP(Table1[[#This Row],[Date]],Database!A:D,3,)</f>
        <v>78549</v>
      </c>
      <c r="C436" s="27">
        <f t="shared" si="12"/>
        <v>167</v>
      </c>
      <c r="D436" s="27">
        <f t="shared" si="13"/>
        <v>98.333333333333329</v>
      </c>
      <c r="E436" s="63">
        <f>VLOOKUP(Table1[[#This Row],[Date]],Database!A:D,4,)</f>
        <v>5.0999999999999996</v>
      </c>
      <c r="F436" s="63">
        <f>VLOOKUP(Table1[[#This Row],[Date]],Database!A:D,2,)</f>
        <v>61.2</v>
      </c>
      <c r="G436" s="57"/>
    </row>
    <row r="437" spans="1:7" x14ac:dyDescent="0.2">
      <c r="A437" s="56">
        <v>27181</v>
      </c>
      <c r="B437" s="26">
        <f>VLOOKUP(Table1[[#This Row],[Date]],Database!A:D,3,)</f>
        <v>78604</v>
      </c>
      <c r="C437" s="27">
        <f t="shared" si="12"/>
        <v>55</v>
      </c>
      <c r="D437" s="27">
        <f t="shared" si="13"/>
        <v>102.66666666666667</v>
      </c>
      <c r="E437" s="63">
        <f>VLOOKUP(Table1[[#This Row],[Date]],Database!A:D,4,)</f>
        <v>5.4</v>
      </c>
      <c r="F437" s="63">
        <f>VLOOKUP(Table1[[#This Row],[Date]],Database!A:D,2,)</f>
        <v>61.2</v>
      </c>
      <c r="G437" s="57"/>
    </row>
    <row r="438" spans="1:7" x14ac:dyDescent="0.2">
      <c r="A438" s="56">
        <v>27211</v>
      </c>
      <c r="B438" s="26">
        <f>VLOOKUP(Table1[[#This Row],[Date]],Database!A:D,3,)</f>
        <v>78636</v>
      </c>
      <c r="C438" s="27">
        <f t="shared" si="12"/>
        <v>32</v>
      </c>
      <c r="D438" s="27">
        <f t="shared" si="13"/>
        <v>84.666666666666671</v>
      </c>
      <c r="E438" s="63">
        <f>VLOOKUP(Table1[[#This Row],[Date]],Database!A:D,4,)</f>
        <v>5.5</v>
      </c>
      <c r="F438" s="63">
        <f>VLOOKUP(Table1[[#This Row],[Date]],Database!A:D,2,)</f>
        <v>61.4</v>
      </c>
      <c r="G438" s="57"/>
    </row>
    <row r="439" spans="1:7" x14ac:dyDescent="0.2">
      <c r="A439" s="56">
        <v>27242</v>
      </c>
      <c r="B439" s="26">
        <f>VLOOKUP(Table1[[#This Row],[Date]],Database!A:D,3,)</f>
        <v>78619</v>
      </c>
      <c r="C439" s="27">
        <f t="shared" si="12"/>
        <v>-17</v>
      </c>
      <c r="D439" s="27">
        <f t="shared" si="13"/>
        <v>23.333333333333332</v>
      </c>
      <c r="E439" s="63">
        <f>VLOOKUP(Table1[[#This Row],[Date]],Database!A:D,4,)</f>
        <v>5.5</v>
      </c>
      <c r="F439" s="63">
        <f>VLOOKUP(Table1[[#This Row],[Date]],Database!A:D,2,)</f>
        <v>61.2</v>
      </c>
      <c r="G439" s="57"/>
    </row>
    <row r="440" spans="1:7" x14ac:dyDescent="0.2">
      <c r="A440" s="56">
        <v>27273</v>
      </c>
      <c r="B440" s="26">
        <f>VLOOKUP(Table1[[#This Row],[Date]],Database!A:D,3,)</f>
        <v>78610</v>
      </c>
      <c r="C440" s="27">
        <f t="shared" si="12"/>
        <v>-9</v>
      </c>
      <c r="D440" s="27">
        <f t="shared" si="13"/>
        <v>2</v>
      </c>
      <c r="E440" s="63">
        <f>VLOOKUP(Table1[[#This Row],[Date]],Database!A:D,4,)</f>
        <v>5.9</v>
      </c>
      <c r="F440" s="63">
        <f>VLOOKUP(Table1[[#This Row],[Date]],Database!A:D,2,)</f>
        <v>61.4</v>
      </c>
      <c r="G440" s="57"/>
    </row>
    <row r="441" spans="1:7" x14ac:dyDescent="0.2">
      <c r="A441" s="56">
        <v>27303</v>
      </c>
      <c r="B441" s="26">
        <f>VLOOKUP(Table1[[#This Row],[Date]],Database!A:D,3,)</f>
        <v>78630</v>
      </c>
      <c r="C441" s="27">
        <f t="shared" si="12"/>
        <v>20</v>
      </c>
      <c r="D441" s="27">
        <f t="shared" si="13"/>
        <v>-2</v>
      </c>
      <c r="E441" s="63">
        <f>VLOOKUP(Table1[[#This Row],[Date]],Database!A:D,4,)</f>
        <v>6</v>
      </c>
      <c r="F441" s="63">
        <f>VLOOKUP(Table1[[#This Row],[Date]],Database!A:D,2,)</f>
        <v>61.3</v>
      </c>
      <c r="G441" s="57"/>
    </row>
    <row r="442" spans="1:7" x14ac:dyDescent="0.2">
      <c r="A442" s="56">
        <v>27334</v>
      </c>
      <c r="B442" s="26">
        <f>VLOOKUP(Table1[[#This Row],[Date]],Database!A:D,3,)</f>
        <v>78265</v>
      </c>
      <c r="C442" s="27">
        <f t="shared" si="12"/>
        <v>-365</v>
      </c>
      <c r="D442" s="27">
        <f t="shared" si="13"/>
        <v>-118</v>
      </c>
      <c r="E442" s="63">
        <f>VLOOKUP(Table1[[#This Row],[Date]],Database!A:D,4,)</f>
        <v>6.6</v>
      </c>
      <c r="F442" s="63">
        <f>VLOOKUP(Table1[[#This Row],[Date]],Database!A:D,2,)</f>
        <v>61.3</v>
      </c>
      <c r="G442" s="57"/>
    </row>
    <row r="443" spans="1:7" x14ac:dyDescent="0.2">
      <c r="A443" s="56">
        <v>27364</v>
      </c>
      <c r="B443" s="26">
        <f>VLOOKUP(Table1[[#This Row],[Date]],Database!A:D,3,)</f>
        <v>77652</v>
      </c>
      <c r="C443" s="27">
        <f t="shared" si="12"/>
        <v>-613</v>
      </c>
      <c r="D443" s="27">
        <f t="shared" si="13"/>
        <v>-319.33333333333331</v>
      </c>
      <c r="E443" s="63">
        <f>VLOOKUP(Table1[[#This Row],[Date]],Database!A:D,4,)</f>
        <v>7.2</v>
      </c>
      <c r="F443" s="63">
        <f>VLOOKUP(Table1[[#This Row],[Date]],Database!A:D,2,)</f>
        <v>61.2</v>
      </c>
      <c r="G443" s="57"/>
    </row>
    <row r="444" spans="1:7" x14ac:dyDescent="0.2">
      <c r="A444" s="56">
        <v>27395</v>
      </c>
      <c r="B444" s="26">
        <f>VLOOKUP(Table1[[#This Row],[Date]],Database!A:D,3,)</f>
        <v>77293</v>
      </c>
      <c r="C444" s="27">
        <f t="shared" si="12"/>
        <v>-359</v>
      </c>
      <c r="D444" s="27">
        <f t="shared" si="13"/>
        <v>-445.66666666666669</v>
      </c>
      <c r="E444" s="63">
        <f>VLOOKUP(Table1[[#This Row],[Date]],Database!A:D,4,)</f>
        <v>8.1</v>
      </c>
      <c r="F444" s="63">
        <f>VLOOKUP(Table1[[#This Row],[Date]],Database!A:D,2,)</f>
        <v>61.4</v>
      </c>
      <c r="G444" s="57"/>
    </row>
    <row r="445" spans="1:7" x14ac:dyDescent="0.2">
      <c r="A445" s="56">
        <v>27426</v>
      </c>
      <c r="B445" s="26">
        <f>VLOOKUP(Table1[[#This Row],[Date]],Database!A:D,3,)</f>
        <v>76918</v>
      </c>
      <c r="C445" s="27">
        <f t="shared" si="12"/>
        <v>-375</v>
      </c>
      <c r="D445" s="27">
        <f t="shared" si="13"/>
        <v>-449</v>
      </c>
      <c r="E445" s="63">
        <f>VLOOKUP(Table1[[#This Row],[Date]],Database!A:D,4,)</f>
        <v>8.1</v>
      </c>
      <c r="F445" s="63">
        <f>VLOOKUP(Table1[[#This Row],[Date]],Database!A:D,2,)</f>
        <v>61</v>
      </c>
      <c r="G445" s="57"/>
    </row>
    <row r="446" spans="1:7" x14ac:dyDescent="0.2">
      <c r="A446" s="56">
        <v>27454</v>
      </c>
      <c r="B446" s="26">
        <f>VLOOKUP(Table1[[#This Row],[Date]],Database!A:D,3,)</f>
        <v>76648</v>
      </c>
      <c r="C446" s="27">
        <f t="shared" si="12"/>
        <v>-270</v>
      </c>
      <c r="D446" s="27">
        <f t="shared" si="13"/>
        <v>-334.66666666666669</v>
      </c>
      <c r="E446" s="63">
        <f>VLOOKUP(Table1[[#This Row],[Date]],Database!A:D,4,)</f>
        <v>8.6</v>
      </c>
      <c r="F446" s="63">
        <f>VLOOKUP(Table1[[#This Row],[Date]],Database!A:D,2,)</f>
        <v>61.2</v>
      </c>
      <c r="G446" s="57"/>
    </row>
    <row r="447" spans="1:7" x14ac:dyDescent="0.2">
      <c r="A447" s="56">
        <v>27485</v>
      </c>
      <c r="B447" s="26">
        <f>VLOOKUP(Table1[[#This Row],[Date]],Database!A:D,3,)</f>
        <v>76460</v>
      </c>
      <c r="C447" s="27">
        <f t="shared" si="12"/>
        <v>-188</v>
      </c>
      <c r="D447" s="27">
        <f t="shared" si="13"/>
        <v>-277.66666666666669</v>
      </c>
      <c r="E447" s="63">
        <f>VLOOKUP(Table1[[#This Row],[Date]],Database!A:D,4,)</f>
        <v>8.8000000000000007</v>
      </c>
      <c r="F447" s="63">
        <f>VLOOKUP(Table1[[#This Row],[Date]],Database!A:D,2,)</f>
        <v>61.3</v>
      </c>
      <c r="G447" s="57"/>
    </row>
    <row r="448" spans="1:7" x14ac:dyDescent="0.2">
      <c r="A448" s="56">
        <v>27515</v>
      </c>
      <c r="B448" s="26">
        <f>VLOOKUP(Table1[[#This Row],[Date]],Database!A:D,3,)</f>
        <v>76624</v>
      </c>
      <c r="C448" s="27">
        <f t="shared" si="12"/>
        <v>164</v>
      </c>
      <c r="D448" s="27">
        <f t="shared" si="13"/>
        <v>-98</v>
      </c>
      <c r="E448" s="63">
        <f>VLOOKUP(Table1[[#This Row],[Date]],Database!A:D,4,)</f>
        <v>9</v>
      </c>
      <c r="F448" s="63">
        <f>VLOOKUP(Table1[[#This Row],[Date]],Database!A:D,2,)</f>
        <v>61.5</v>
      </c>
      <c r="G448" s="57"/>
    </row>
    <row r="449" spans="1:7" x14ac:dyDescent="0.2">
      <c r="A449" s="56">
        <v>27546</v>
      </c>
      <c r="B449" s="26">
        <f>VLOOKUP(Table1[[#This Row],[Date]],Database!A:D,3,)</f>
        <v>76521</v>
      </c>
      <c r="C449" s="27">
        <f t="shared" si="12"/>
        <v>-103</v>
      </c>
      <c r="D449" s="27">
        <f t="shared" si="13"/>
        <v>-42.333333333333336</v>
      </c>
      <c r="E449" s="63">
        <f>VLOOKUP(Table1[[#This Row],[Date]],Database!A:D,4,)</f>
        <v>8.8000000000000007</v>
      </c>
      <c r="F449" s="63">
        <f>VLOOKUP(Table1[[#This Row],[Date]],Database!A:D,2,)</f>
        <v>61.2</v>
      </c>
      <c r="G449" s="57"/>
    </row>
    <row r="450" spans="1:7" x14ac:dyDescent="0.2">
      <c r="A450" s="56">
        <v>27576</v>
      </c>
      <c r="B450" s="26">
        <f>VLOOKUP(Table1[[#This Row],[Date]],Database!A:D,3,)</f>
        <v>76770</v>
      </c>
      <c r="C450" s="27">
        <f t="shared" si="12"/>
        <v>249</v>
      </c>
      <c r="D450" s="27">
        <f t="shared" si="13"/>
        <v>103.33333333333333</v>
      </c>
      <c r="E450" s="63">
        <f>VLOOKUP(Table1[[#This Row],[Date]],Database!A:D,4,)</f>
        <v>8.6</v>
      </c>
      <c r="F450" s="63">
        <f>VLOOKUP(Table1[[#This Row],[Date]],Database!A:D,2,)</f>
        <v>61.3</v>
      </c>
      <c r="G450" s="57"/>
    </row>
    <row r="451" spans="1:7" x14ac:dyDescent="0.2">
      <c r="A451" s="56">
        <v>27607</v>
      </c>
      <c r="B451" s="26">
        <f>VLOOKUP(Table1[[#This Row],[Date]],Database!A:D,3,)</f>
        <v>77153</v>
      </c>
      <c r="C451" s="27">
        <f t="shared" si="12"/>
        <v>383</v>
      </c>
      <c r="D451" s="27">
        <f t="shared" si="13"/>
        <v>176.33333333333334</v>
      </c>
      <c r="E451" s="63">
        <f>VLOOKUP(Table1[[#This Row],[Date]],Database!A:D,4,)</f>
        <v>8.4</v>
      </c>
      <c r="F451" s="63">
        <f>VLOOKUP(Table1[[#This Row],[Date]],Database!A:D,2,)</f>
        <v>61.3</v>
      </c>
      <c r="G451" s="57"/>
    </row>
    <row r="452" spans="1:7" x14ac:dyDescent="0.2">
      <c r="A452" s="56">
        <v>27638</v>
      </c>
      <c r="B452" s="26">
        <f>VLOOKUP(Table1[[#This Row],[Date]],Database!A:D,3,)</f>
        <v>77228</v>
      </c>
      <c r="C452" s="27">
        <f t="shared" si="12"/>
        <v>75</v>
      </c>
      <c r="D452" s="27">
        <f t="shared" si="13"/>
        <v>235.66666666666666</v>
      </c>
      <c r="E452" s="63">
        <f>VLOOKUP(Table1[[#This Row],[Date]],Database!A:D,4,)</f>
        <v>8.4</v>
      </c>
      <c r="F452" s="63">
        <f>VLOOKUP(Table1[[#This Row],[Date]],Database!A:D,2,)</f>
        <v>61.2</v>
      </c>
      <c r="G452" s="57"/>
    </row>
    <row r="453" spans="1:7" x14ac:dyDescent="0.2">
      <c r="A453" s="56">
        <v>27668</v>
      </c>
      <c r="B453" s="26">
        <f>VLOOKUP(Table1[[#This Row],[Date]],Database!A:D,3,)</f>
        <v>77540</v>
      </c>
      <c r="C453" s="27">
        <f t="shared" si="12"/>
        <v>312</v>
      </c>
      <c r="D453" s="27">
        <f t="shared" si="13"/>
        <v>256.66666666666669</v>
      </c>
      <c r="E453" s="63">
        <f>VLOOKUP(Table1[[#This Row],[Date]],Database!A:D,4,)</f>
        <v>8.4</v>
      </c>
      <c r="F453" s="63">
        <f>VLOOKUP(Table1[[#This Row],[Date]],Database!A:D,2,)</f>
        <v>61.2</v>
      </c>
      <c r="G453" s="57"/>
    </row>
    <row r="454" spans="1:7" x14ac:dyDescent="0.2">
      <c r="A454" s="56">
        <v>27699</v>
      </c>
      <c r="B454" s="26">
        <f>VLOOKUP(Table1[[#This Row],[Date]],Database!A:D,3,)</f>
        <v>77685</v>
      </c>
      <c r="C454" s="27">
        <f t="shared" si="12"/>
        <v>145</v>
      </c>
      <c r="D454" s="27">
        <f t="shared" si="13"/>
        <v>177.33333333333334</v>
      </c>
      <c r="E454" s="63">
        <f>VLOOKUP(Table1[[#This Row],[Date]],Database!A:D,4,)</f>
        <v>8.3000000000000007</v>
      </c>
      <c r="F454" s="63">
        <f>VLOOKUP(Table1[[#This Row],[Date]],Database!A:D,2,)</f>
        <v>61.1</v>
      </c>
      <c r="G454" s="57"/>
    </row>
    <row r="455" spans="1:7" x14ac:dyDescent="0.2">
      <c r="A455" s="56">
        <v>27729</v>
      </c>
      <c r="B455" s="26">
        <f>VLOOKUP(Table1[[#This Row],[Date]],Database!A:D,3,)</f>
        <v>78017</v>
      </c>
      <c r="C455" s="27">
        <f t="shared" si="12"/>
        <v>332</v>
      </c>
      <c r="D455" s="27">
        <f t="shared" si="13"/>
        <v>263</v>
      </c>
      <c r="E455" s="63">
        <f>VLOOKUP(Table1[[#This Row],[Date]],Database!A:D,4,)</f>
        <v>8.1999999999999993</v>
      </c>
      <c r="F455" s="63">
        <f>VLOOKUP(Table1[[#This Row],[Date]],Database!A:D,2,)</f>
        <v>61.1</v>
      </c>
      <c r="G455" s="57"/>
    </row>
    <row r="456" spans="1:7" x14ac:dyDescent="0.2">
      <c r="A456" s="56">
        <v>27760</v>
      </c>
      <c r="B456" s="26">
        <f>VLOOKUP(Table1[[#This Row],[Date]],Database!A:D,3,)</f>
        <v>78503</v>
      </c>
      <c r="C456" s="27">
        <f t="shared" si="12"/>
        <v>486</v>
      </c>
      <c r="D456" s="27">
        <f t="shared" si="13"/>
        <v>321</v>
      </c>
      <c r="E456" s="63">
        <f>VLOOKUP(Table1[[#This Row],[Date]],Database!A:D,4,)</f>
        <v>7.9</v>
      </c>
      <c r="F456" s="63">
        <f>VLOOKUP(Table1[[#This Row],[Date]],Database!A:D,2,)</f>
        <v>61.3</v>
      </c>
      <c r="G456" s="57"/>
    </row>
    <row r="457" spans="1:7" x14ac:dyDescent="0.2">
      <c r="A457" s="56">
        <v>27791</v>
      </c>
      <c r="B457" s="26">
        <f>VLOOKUP(Table1[[#This Row],[Date]],Database!A:D,3,)</f>
        <v>78816</v>
      </c>
      <c r="C457" s="27">
        <f t="shared" si="12"/>
        <v>313</v>
      </c>
      <c r="D457" s="27">
        <f t="shared" si="13"/>
        <v>377</v>
      </c>
      <c r="E457" s="63">
        <f>VLOOKUP(Table1[[#This Row],[Date]],Database!A:D,4,)</f>
        <v>7.7</v>
      </c>
      <c r="F457" s="63">
        <f>VLOOKUP(Table1[[#This Row],[Date]],Database!A:D,2,)</f>
        <v>61.3</v>
      </c>
      <c r="G457" s="57"/>
    </row>
    <row r="458" spans="1:7" x14ac:dyDescent="0.2">
      <c r="A458" s="56">
        <v>27820</v>
      </c>
      <c r="B458" s="26">
        <f>VLOOKUP(Table1[[#This Row],[Date]],Database!A:D,3,)</f>
        <v>79048</v>
      </c>
      <c r="C458" s="27">
        <f t="shared" si="12"/>
        <v>232</v>
      </c>
      <c r="D458" s="27">
        <f t="shared" si="13"/>
        <v>343.66666666666669</v>
      </c>
      <c r="E458" s="63">
        <f>VLOOKUP(Table1[[#This Row],[Date]],Database!A:D,4,)</f>
        <v>7.6</v>
      </c>
      <c r="F458" s="63">
        <f>VLOOKUP(Table1[[#This Row],[Date]],Database!A:D,2,)</f>
        <v>61.3</v>
      </c>
      <c r="G458" s="57"/>
    </row>
    <row r="459" spans="1:7" x14ac:dyDescent="0.2">
      <c r="A459" s="56">
        <v>27851</v>
      </c>
      <c r="B459" s="26">
        <f>VLOOKUP(Table1[[#This Row],[Date]],Database!A:D,3,)</f>
        <v>79292</v>
      </c>
      <c r="C459" s="27">
        <f t="shared" si="12"/>
        <v>244</v>
      </c>
      <c r="D459" s="27">
        <f t="shared" si="13"/>
        <v>263</v>
      </c>
      <c r="E459" s="63">
        <f>VLOOKUP(Table1[[#This Row],[Date]],Database!A:D,4,)</f>
        <v>7.7</v>
      </c>
      <c r="F459" s="63">
        <f>VLOOKUP(Table1[[#This Row],[Date]],Database!A:D,2,)</f>
        <v>61.6</v>
      </c>
      <c r="G459" s="57"/>
    </row>
    <row r="460" spans="1:7" x14ac:dyDescent="0.2">
      <c r="A460" s="56">
        <v>27881</v>
      </c>
      <c r="B460" s="26">
        <f>VLOOKUP(Table1[[#This Row],[Date]],Database!A:D,3,)</f>
        <v>79312</v>
      </c>
      <c r="C460" s="27">
        <f t="shared" si="12"/>
        <v>20</v>
      </c>
      <c r="D460" s="27">
        <f t="shared" si="13"/>
        <v>165.33333333333334</v>
      </c>
      <c r="E460" s="63">
        <f>VLOOKUP(Table1[[#This Row],[Date]],Database!A:D,4,)</f>
        <v>7.4</v>
      </c>
      <c r="F460" s="63">
        <f>VLOOKUP(Table1[[#This Row],[Date]],Database!A:D,2,)</f>
        <v>61.5</v>
      </c>
      <c r="G460" s="57"/>
    </row>
    <row r="461" spans="1:7" x14ac:dyDescent="0.2">
      <c r="A461" s="56">
        <v>27912</v>
      </c>
      <c r="B461" s="26">
        <f>VLOOKUP(Table1[[#This Row],[Date]],Database!A:D,3,)</f>
        <v>79376</v>
      </c>
      <c r="C461" s="27">
        <f t="shared" ref="C461:C524" si="14">B461-B460</f>
        <v>64</v>
      </c>
      <c r="D461" s="27">
        <f t="shared" si="13"/>
        <v>109.33333333333333</v>
      </c>
      <c r="E461" s="63">
        <f>VLOOKUP(Table1[[#This Row],[Date]],Database!A:D,4,)</f>
        <v>7.6</v>
      </c>
      <c r="F461" s="63">
        <f>VLOOKUP(Table1[[#This Row],[Date]],Database!A:D,2,)</f>
        <v>61.5</v>
      </c>
      <c r="G461" s="57"/>
    </row>
    <row r="462" spans="1:7" x14ac:dyDescent="0.2">
      <c r="A462" s="56">
        <v>27942</v>
      </c>
      <c r="B462" s="26">
        <f>VLOOKUP(Table1[[#This Row],[Date]],Database!A:D,3,)</f>
        <v>79547</v>
      </c>
      <c r="C462" s="27">
        <f t="shared" si="14"/>
        <v>171</v>
      </c>
      <c r="D462" s="27">
        <f t="shared" si="13"/>
        <v>85</v>
      </c>
      <c r="E462" s="63">
        <f>VLOOKUP(Table1[[#This Row],[Date]],Database!A:D,4,)</f>
        <v>7.8</v>
      </c>
      <c r="F462" s="63">
        <f>VLOOKUP(Table1[[#This Row],[Date]],Database!A:D,2,)</f>
        <v>61.8</v>
      </c>
      <c r="G462" s="57"/>
    </row>
    <row r="463" spans="1:7" x14ac:dyDescent="0.2">
      <c r="A463" s="56">
        <v>27973</v>
      </c>
      <c r="B463" s="26">
        <f>VLOOKUP(Table1[[#This Row],[Date]],Database!A:D,3,)</f>
        <v>79704</v>
      </c>
      <c r="C463" s="27">
        <f t="shared" si="14"/>
        <v>157</v>
      </c>
      <c r="D463" s="27">
        <f t="shared" ref="D463:D526" si="15">AVERAGE(C461:C463)</f>
        <v>130.66666666666666</v>
      </c>
      <c r="E463" s="63">
        <f>VLOOKUP(Table1[[#This Row],[Date]],Database!A:D,4,)</f>
        <v>7.8</v>
      </c>
      <c r="F463" s="63">
        <f>VLOOKUP(Table1[[#This Row],[Date]],Database!A:D,2,)</f>
        <v>61.8</v>
      </c>
      <c r="G463" s="57"/>
    </row>
    <row r="464" spans="1:7" x14ac:dyDescent="0.2">
      <c r="A464" s="56">
        <v>28004</v>
      </c>
      <c r="B464" s="26">
        <f>VLOOKUP(Table1[[#This Row],[Date]],Database!A:D,3,)</f>
        <v>79892</v>
      </c>
      <c r="C464" s="27">
        <f t="shared" si="14"/>
        <v>188</v>
      </c>
      <c r="D464" s="27">
        <f t="shared" si="15"/>
        <v>172</v>
      </c>
      <c r="E464" s="63">
        <f>VLOOKUP(Table1[[#This Row],[Date]],Database!A:D,4,)</f>
        <v>7.6</v>
      </c>
      <c r="F464" s="63">
        <f>VLOOKUP(Table1[[#This Row],[Date]],Database!A:D,2,)</f>
        <v>61.6</v>
      </c>
      <c r="G464" s="57"/>
    </row>
    <row r="465" spans="1:7" x14ac:dyDescent="0.2">
      <c r="A465" s="56">
        <v>28034</v>
      </c>
      <c r="B465" s="26">
        <f>VLOOKUP(Table1[[#This Row],[Date]],Database!A:D,3,)</f>
        <v>79911</v>
      </c>
      <c r="C465" s="27">
        <f t="shared" si="14"/>
        <v>19</v>
      </c>
      <c r="D465" s="27">
        <f t="shared" si="15"/>
        <v>121.33333333333333</v>
      </c>
      <c r="E465" s="63">
        <f>VLOOKUP(Table1[[#This Row],[Date]],Database!A:D,4,)</f>
        <v>7.7</v>
      </c>
      <c r="F465" s="63">
        <f>VLOOKUP(Table1[[#This Row],[Date]],Database!A:D,2,)</f>
        <v>61.6</v>
      </c>
      <c r="G465" s="57"/>
    </row>
    <row r="466" spans="1:7" x14ac:dyDescent="0.2">
      <c r="A466" s="56">
        <v>28065</v>
      </c>
      <c r="B466" s="26">
        <f>VLOOKUP(Table1[[#This Row],[Date]],Database!A:D,3,)</f>
        <v>80240</v>
      </c>
      <c r="C466" s="27">
        <f t="shared" si="14"/>
        <v>329</v>
      </c>
      <c r="D466" s="27">
        <f t="shared" si="15"/>
        <v>178.66666666666666</v>
      </c>
      <c r="E466" s="63">
        <f>VLOOKUP(Table1[[#This Row],[Date]],Database!A:D,4,)</f>
        <v>7.8</v>
      </c>
      <c r="F466" s="63">
        <f>VLOOKUP(Table1[[#This Row],[Date]],Database!A:D,2,)</f>
        <v>61.9</v>
      </c>
      <c r="G466" s="57"/>
    </row>
    <row r="467" spans="1:7" x14ac:dyDescent="0.2">
      <c r="A467" s="56">
        <v>28095</v>
      </c>
      <c r="B467" s="26">
        <f>VLOOKUP(Table1[[#This Row],[Date]],Database!A:D,3,)</f>
        <v>80448</v>
      </c>
      <c r="C467" s="27">
        <f t="shared" si="14"/>
        <v>208</v>
      </c>
      <c r="D467" s="27">
        <f t="shared" si="15"/>
        <v>185.33333333333334</v>
      </c>
      <c r="E467" s="63">
        <f>VLOOKUP(Table1[[#This Row],[Date]],Database!A:D,4,)</f>
        <v>7.8</v>
      </c>
      <c r="F467" s="63">
        <f>VLOOKUP(Table1[[#This Row],[Date]],Database!A:D,2,)</f>
        <v>61.8</v>
      </c>
      <c r="G467" s="57"/>
    </row>
    <row r="468" spans="1:7" x14ac:dyDescent="0.2">
      <c r="A468" s="56">
        <v>28126</v>
      </c>
      <c r="B468" s="26">
        <f>VLOOKUP(Table1[[#This Row],[Date]],Database!A:D,3,)</f>
        <v>80690</v>
      </c>
      <c r="C468" s="27">
        <f t="shared" si="14"/>
        <v>242</v>
      </c>
      <c r="D468" s="27">
        <f t="shared" si="15"/>
        <v>259.66666666666669</v>
      </c>
      <c r="E468" s="63">
        <f>VLOOKUP(Table1[[#This Row],[Date]],Database!A:D,4,)</f>
        <v>7.5</v>
      </c>
      <c r="F468" s="63">
        <f>VLOOKUP(Table1[[#This Row],[Date]],Database!A:D,2,)</f>
        <v>61.6</v>
      </c>
      <c r="G468" s="57"/>
    </row>
    <row r="469" spans="1:7" x14ac:dyDescent="0.2">
      <c r="A469" s="56">
        <v>28157</v>
      </c>
      <c r="B469" s="26">
        <f>VLOOKUP(Table1[[#This Row],[Date]],Database!A:D,3,)</f>
        <v>80988</v>
      </c>
      <c r="C469" s="27">
        <f t="shared" si="14"/>
        <v>298</v>
      </c>
      <c r="D469" s="27">
        <f t="shared" si="15"/>
        <v>249.33333333333334</v>
      </c>
      <c r="E469" s="63">
        <f>VLOOKUP(Table1[[#This Row],[Date]],Database!A:D,4,)</f>
        <v>7.6</v>
      </c>
      <c r="F469" s="63">
        <f>VLOOKUP(Table1[[#This Row],[Date]],Database!A:D,2,)</f>
        <v>61.9</v>
      </c>
      <c r="G469" s="57"/>
    </row>
    <row r="470" spans="1:7" x14ac:dyDescent="0.2">
      <c r="A470" s="56">
        <v>28185</v>
      </c>
      <c r="B470" s="26">
        <f>VLOOKUP(Table1[[#This Row],[Date]],Database!A:D,3,)</f>
        <v>81391</v>
      </c>
      <c r="C470" s="27">
        <f t="shared" si="14"/>
        <v>403</v>
      </c>
      <c r="D470" s="27">
        <f t="shared" si="15"/>
        <v>314.33333333333331</v>
      </c>
      <c r="E470" s="63">
        <f>VLOOKUP(Table1[[#This Row],[Date]],Database!A:D,4,)</f>
        <v>7.4</v>
      </c>
      <c r="F470" s="63">
        <f>VLOOKUP(Table1[[#This Row],[Date]],Database!A:D,2,)</f>
        <v>62</v>
      </c>
      <c r="G470" s="57"/>
    </row>
    <row r="471" spans="1:7" x14ac:dyDescent="0.2">
      <c r="A471" s="56">
        <v>28216</v>
      </c>
      <c r="B471" s="26">
        <f>VLOOKUP(Table1[[#This Row],[Date]],Database!A:D,3,)</f>
        <v>81728</v>
      </c>
      <c r="C471" s="27">
        <f t="shared" si="14"/>
        <v>337</v>
      </c>
      <c r="D471" s="27">
        <f t="shared" si="15"/>
        <v>346</v>
      </c>
      <c r="E471" s="63">
        <f>VLOOKUP(Table1[[#This Row],[Date]],Database!A:D,4,)</f>
        <v>7.2</v>
      </c>
      <c r="F471" s="63">
        <f>VLOOKUP(Table1[[#This Row],[Date]],Database!A:D,2,)</f>
        <v>62.1</v>
      </c>
      <c r="G471" s="57"/>
    </row>
    <row r="472" spans="1:7" x14ac:dyDescent="0.2">
      <c r="A472" s="56">
        <v>28246</v>
      </c>
      <c r="B472" s="26">
        <f>VLOOKUP(Table1[[#This Row],[Date]],Database!A:D,3,)</f>
        <v>82088</v>
      </c>
      <c r="C472" s="27">
        <f t="shared" si="14"/>
        <v>360</v>
      </c>
      <c r="D472" s="27">
        <f t="shared" si="15"/>
        <v>366.66666666666669</v>
      </c>
      <c r="E472" s="63">
        <f>VLOOKUP(Table1[[#This Row],[Date]],Database!A:D,4,)</f>
        <v>7</v>
      </c>
      <c r="F472" s="63">
        <f>VLOOKUP(Table1[[#This Row],[Date]],Database!A:D,2,)</f>
        <v>62.2</v>
      </c>
      <c r="G472" s="57"/>
    </row>
    <row r="473" spans="1:7" x14ac:dyDescent="0.2">
      <c r="A473" s="56">
        <v>28277</v>
      </c>
      <c r="B473" s="26">
        <f>VLOOKUP(Table1[[#This Row],[Date]],Database!A:D,3,)</f>
        <v>82488</v>
      </c>
      <c r="C473" s="27">
        <f t="shared" si="14"/>
        <v>400</v>
      </c>
      <c r="D473" s="27">
        <f t="shared" si="15"/>
        <v>365.66666666666669</v>
      </c>
      <c r="E473" s="63">
        <f>VLOOKUP(Table1[[#This Row],[Date]],Database!A:D,4,)</f>
        <v>7.2</v>
      </c>
      <c r="F473" s="63">
        <f>VLOOKUP(Table1[[#This Row],[Date]],Database!A:D,2,)</f>
        <v>62.4</v>
      </c>
      <c r="G473" s="57"/>
    </row>
    <row r="474" spans="1:7" x14ac:dyDescent="0.2">
      <c r="A474" s="56">
        <v>28307</v>
      </c>
      <c r="B474" s="26">
        <f>VLOOKUP(Table1[[#This Row],[Date]],Database!A:D,3,)</f>
        <v>82834</v>
      </c>
      <c r="C474" s="27">
        <f t="shared" si="14"/>
        <v>346</v>
      </c>
      <c r="D474" s="27">
        <f t="shared" si="15"/>
        <v>368.66666666666669</v>
      </c>
      <c r="E474" s="63">
        <f>VLOOKUP(Table1[[#This Row],[Date]],Database!A:D,4,)</f>
        <v>6.9</v>
      </c>
      <c r="F474" s="63">
        <f>VLOOKUP(Table1[[#This Row],[Date]],Database!A:D,2,)</f>
        <v>62.1</v>
      </c>
      <c r="G474" s="57"/>
    </row>
    <row r="475" spans="1:7" x14ac:dyDescent="0.2">
      <c r="A475" s="56">
        <v>28338</v>
      </c>
      <c r="B475" s="26">
        <f>VLOOKUP(Table1[[#This Row],[Date]],Database!A:D,3,)</f>
        <v>83075</v>
      </c>
      <c r="C475" s="27">
        <f t="shared" si="14"/>
        <v>241</v>
      </c>
      <c r="D475" s="27">
        <f t="shared" si="15"/>
        <v>329</v>
      </c>
      <c r="E475" s="63">
        <f>VLOOKUP(Table1[[#This Row],[Date]],Database!A:D,4,)</f>
        <v>7</v>
      </c>
      <c r="F475" s="63">
        <f>VLOOKUP(Table1[[#This Row],[Date]],Database!A:D,2,)</f>
        <v>62.3</v>
      </c>
      <c r="G475" s="57"/>
    </row>
    <row r="476" spans="1:7" x14ac:dyDescent="0.2">
      <c r="A476" s="56">
        <v>28369</v>
      </c>
      <c r="B476" s="26">
        <f>VLOOKUP(Table1[[#This Row],[Date]],Database!A:D,3,)</f>
        <v>83532</v>
      </c>
      <c r="C476" s="27">
        <f t="shared" si="14"/>
        <v>457</v>
      </c>
      <c r="D476" s="27">
        <f t="shared" si="15"/>
        <v>348</v>
      </c>
      <c r="E476" s="63">
        <f>VLOOKUP(Table1[[#This Row],[Date]],Database!A:D,4,)</f>
        <v>6.8</v>
      </c>
      <c r="F476" s="63">
        <f>VLOOKUP(Table1[[#This Row],[Date]],Database!A:D,2,)</f>
        <v>62.3</v>
      </c>
      <c r="G476" s="57"/>
    </row>
    <row r="477" spans="1:7" x14ac:dyDescent="0.2">
      <c r="A477" s="56">
        <v>28399</v>
      </c>
      <c r="B477" s="26">
        <f>VLOOKUP(Table1[[#This Row],[Date]],Database!A:D,3,)</f>
        <v>83800</v>
      </c>
      <c r="C477" s="27">
        <f t="shared" si="14"/>
        <v>268</v>
      </c>
      <c r="D477" s="27">
        <f t="shared" si="15"/>
        <v>322</v>
      </c>
      <c r="E477" s="63">
        <f>VLOOKUP(Table1[[#This Row],[Date]],Database!A:D,4,)</f>
        <v>6.8</v>
      </c>
      <c r="F477" s="63">
        <f>VLOOKUP(Table1[[#This Row],[Date]],Database!A:D,2,)</f>
        <v>62.4</v>
      </c>
      <c r="G477" s="57"/>
    </row>
    <row r="478" spans="1:7" x14ac:dyDescent="0.2">
      <c r="A478" s="56">
        <v>28430</v>
      </c>
      <c r="B478" s="26">
        <f>VLOOKUP(Table1[[#This Row],[Date]],Database!A:D,3,)</f>
        <v>84173</v>
      </c>
      <c r="C478" s="27">
        <f t="shared" si="14"/>
        <v>373</v>
      </c>
      <c r="D478" s="27">
        <f t="shared" si="15"/>
        <v>366</v>
      </c>
      <c r="E478" s="63">
        <f>VLOOKUP(Table1[[#This Row],[Date]],Database!A:D,4,)</f>
        <v>6.8</v>
      </c>
      <c r="F478" s="63">
        <f>VLOOKUP(Table1[[#This Row],[Date]],Database!A:D,2,)</f>
        <v>62.8</v>
      </c>
      <c r="G478" s="57"/>
    </row>
    <row r="479" spans="1:7" x14ac:dyDescent="0.2">
      <c r="A479" s="56">
        <v>28460</v>
      </c>
      <c r="B479" s="26">
        <f>VLOOKUP(Table1[[#This Row],[Date]],Database!A:D,3,)</f>
        <v>84410</v>
      </c>
      <c r="C479" s="27">
        <f t="shared" si="14"/>
        <v>237</v>
      </c>
      <c r="D479" s="27">
        <f t="shared" si="15"/>
        <v>292.66666666666669</v>
      </c>
      <c r="E479" s="63">
        <f>VLOOKUP(Table1[[#This Row],[Date]],Database!A:D,4,)</f>
        <v>6.4</v>
      </c>
      <c r="F479" s="63">
        <f>VLOOKUP(Table1[[#This Row],[Date]],Database!A:D,2,)</f>
        <v>62.7</v>
      </c>
      <c r="G479" s="57"/>
    </row>
    <row r="480" spans="1:7" x14ac:dyDescent="0.2">
      <c r="A480" s="56">
        <v>28491</v>
      </c>
      <c r="B480" s="26">
        <f>VLOOKUP(Table1[[#This Row],[Date]],Database!A:D,3,)</f>
        <v>84594</v>
      </c>
      <c r="C480" s="27">
        <f t="shared" si="14"/>
        <v>184</v>
      </c>
      <c r="D480" s="27">
        <f t="shared" si="15"/>
        <v>264.66666666666669</v>
      </c>
      <c r="E480" s="63">
        <f>VLOOKUP(Table1[[#This Row],[Date]],Database!A:D,4,)</f>
        <v>6.4</v>
      </c>
      <c r="F480" s="63">
        <f>VLOOKUP(Table1[[#This Row],[Date]],Database!A:D,2,)</f>
        <v>62.8</v>
      </c>
      <c r="G480" s="57"/>
    </row>
    <row r="481" spans="1:7" x14ac:dyDescent="0.2">
      <c r="A481" s="56">
        <v>28522</v>
      </c>
      <c r="B481" s="26">
        <f>VLOOKUP(Table1[[#This Row],[Date]],Database!A:D,3,)</f>
        <v>84948</v>
      </c>
      <c r="C481" s="27">
        <f t="shared" si="14"/>
        <v>354</v>
      </c>
      <c r="D481" s="27">
        <f t="shared" si="15"/>
        <v>258.33333333333331</v>
      </c>
      <c r="E481" s="63">
        <f>VLOOKUP(Table1[[#This Row],[Date]],Database!A:D,4,)</f>
        <v>6.3</v>
      </c>
      <c r="F481" s="63">
        <f>VLOOKUP(Table1[[#This Row],[Date]],Database!A:D,2,)</f>
        <v>62.7</v>
      </c>
      <c r="G481" s="57"/>
    </row>
    <row r="482" spans="1:7" x14ac:dyDescent="0.2">
      <c r="A482" s="56">
        <v>28550</v>
      </c>
      <c r="B482" s="26">
        <f>VLOOKUP(Table1[[#This Row],[Date]],Database!A:D,3,)</f>
        <v>85460</v>
      </c>
      <c r="C482" s="27">
        <f t="shared" si="14"/>
        <v>512</v>
      </c>
      <c r="D482" s="27">
        <f t="shared" si="15"/>
        <v>350</v>
      </c>
      <c r="E482" s="63">
        <f>VLOOKUP(Table1[[#This Row],[Date]],Database!A:D,4,)</f>
        <v>6.3</v>
      </c>
      <c r="F482" s="63">
        <f>VLOOKUP(Table1[[#This Row],[Date]],Database!A:D,2,)</f>
        <v>62.8</v>
      </c>
      <c r="G482" s="57"/>
    </row>
    <row r="483" spans="1:7" x14ac:dyDescent="0.2">
      <c r="A483" s="56">
        <v>28581</v>
      </c>
      <c r="B483" s="26">
        <f>VLOOKUP(Table1[[#This Row],[Date]],Database!A:D,3,)</f>
        <v>86162</v>
      </c>
      <c r="C483" s="27">
        <f t="shared" si="14"/>
        <v>702</v>
      </c>
      <c r="D483" s="27">
        <f t="shared" si="15"/>
        <v>522.66666666666663</v>
      </c>
      <c r="E483" s="63">
        <f>VLOOKUP(Table1[[#This Row],[Date]],Database!A:D,4,)</f>
        <v>6.1</v>
      </c>
      <c r="F483" s="63">
        <f>VLOOKUP(Table1[[#This Row],[Date]],Database!A:D,2,)</f>
        <v>63</v>
      </c>
      <c r="G483" s="57"/>
    </row>
    <row r="484" spans="1:7" x14ac:dyDescent="0.2">
      <c r="A484" s="56">
        <v>28611</v>
      </c>
      <c r="B484" s="26">
        <f>VLOOKUP(Table1[[#This Row],[Date]],Database!A:D,3,)</f>
        <v>86509</v>
      </c>
      <c r="C484" s="27">
        <f t="shared" si="14"/>
        <v>347</v>
      </c>
      <c r="D484" s="27">
        <f t="shared" si="15"/>
        <v>520.33333333333337</v>
      </c>
      <c r="E484" s="63">
        <f>VLOOKUP(Table1[[#This Row],[Date]],Database!A:D,4,)</f>
        <v>6</v>
      </c>
      <c r="F484" s="63">
        <f>VLOOKUP(Table1[[#This Row],[Date]],Database!A:D,2,)</f>
        <v>63.1</v>
      </c>
      <c r="G484" s="57"/>
    </row>
    <row r="485" spans="1:7" x14ac:dyDescent="0.2">
      <c r="A485" s="56">
        <v>28642</v>
      </c>
      <c r="B485" s="26">
        <f>VLOOKUP(Table1[[#This Row],[Date]],Database!A:D,3,)</f>
        <v>86950</v>
      </c>
      <c r="C485" s="27">
        <f t="shared" si="14"/>
        <v>441</v>
      </c>
      <c r="D485" s="27">
        <f t="shared" si="15"/>
        <v>496.66666666666669</v>
      </c>
      <c r="E485" s="63">
        <f>VLOOKUP(Table1[[#This Row],[Date]],Database!A:D,4,)</f>
        <v>5.9</v>
      </c>
      <c r="F485" s="63">
        <f>VLOOKUP(Table1[[#This Row],[Date]],Database!A:D,2,)</f>
        <v>63.3</v>
      </c>
      <c r="G485" s="57"/>
    </row>
    <row r="486" spans="1:7" x14ac:dyDescent="0.2">
      <c r="A486" s="56">
        <v>28672</v>
      </c>
      <c r="B486" s="26">
        <f>VLOOKUP(Table1[[#This Row],[Date]],Database!A:D,3,)</f>
        <v>87204</v>
      </c>
      <c r="C486" s="27">
        <f t="shared" si="14"/>
        <v>254</v>
      </c>
      <c r="D486" s="27">
        <f t="shared" si="15"/>
        <v>347.33333333333331</v>
      </c>
      <c r="E486" s="63">
        <f>VLOOKUP(Table1[[#This Row],[Date]],Database!A:D,4,)</f>
        <v>6.2</v>
      </c>
      <c r="F486" s="63">
        <f>VLOOKUP(Table1[[#This Row],[Date]],Database!A:D,2,)</f>
        <v>63.2</v>
      </c>
      <c r="G486" s="57"/>
    </row>
    <row r="487" spans="1:7" x14ac:dyDescent="0.2">
      <c r="A487" s="56">
        <v>28703</v>
      </c>
      <c r="B487" s="26">
        <f>VLOOKUP(Table1[[#This Row],[Date]],Database!A:D,3,)</f>
        <v>87483</v>
      </c>
      <c r="C487" s="27">
        <f t="shared" si="14"/>
        <v>279</v>
      </c>
      <c r="D487" s="27">
        <f t="shared" si="15"/>
        <v>324.66666666666669</v>
      </c>
      <c r="E487" s="63">
        <f>VLOOKUP(Table1[[#This Row],[Date]],Database!A:D,4,)</f>
        <v>5.9</v>
      </c>
      <c r="F487" s="63">
        <f>VLOOKUP(Table1[[#This Row],[Date]],Database!A:D,2,)</f>
        <v>63.2</v>
      </c>
      <c r="G487" s="57"/>
    </row>
    <row r="488" spans="1:7" x14ac:dyDescent="0.2">
      <c r="A488" s="56">
        <v>28734</v>
      </c>
      <c r="B488" s="26">
        <f>VLOOKUP(Table1[[#This Row],[Date]],Database!A:D,3,)</f>
        <v>87621</v>
      </c>
      <c r="C488" s="27">
        <f t="shared" si="14"/>
        <v>138</v>
      </c>
      <c r="D488" s="27">
        <f t="shared" si="15"/>
        <v>223.66666666666666</v>
      </c>
      <c r="E488" s="63">
        <f>VLOOKUP(Table1[[#This Row],[Date]],Database!A:D,4,)</f>
        <v>6</v>
      </c>
      <c r="F488" s="63">
        <f>VLOOKUP(Table1[[#This Row],[Date]],Database!A:D,2,)</f>
        <v>63.3</v>
      </c>
      <c r="G488" s="57"/>
    </row>
    <row r="489" spans="1:7" x14ac:dyDescent="0.2">
      <c r="A489" s="56">
        <v>28764</v>
      </c>
      <c r="B489" s="26">
        <f>VLOOKUP(Table1[[#This Row],[Date]],Database!A:D,3,)</f>
        <v>87956</v>
      </c>
      <c r="C489" s="27">
        <f t="shared" si="14"/>
        <v>335</v>
      </c>
      <c r="D489" s="27">
        <f t="shared" si="15"/>
        <v>250.66666666666666</v>
      </c>
      <c r="E489" s="63">
        <f>VLOOKUP(Table1[[#This Row],[Date]],Database!A:D,4,)</f>
        <v>5.8</v>
      </c>
      <c r="F489" s="63">
        <f>VLOOKUP(Table1[[#This Row],[Date]],Database!A:D,2,)</f>
        <v>63.3</v>
      </c>
      <c r="G489" s="57"/>
    </row>
    <row r="490" spans="1:7" x14ac:dyDescent="0.2">
      <c r="A490" s="56">
        <v>28795</v>
      </c>
      <c r="B490" s="26">
        <f>VLOOKUP(Table1[[#This Row],[Date]],Database!A:D,3,)</f>
        <v>88391</v>
      </c>
      <c r="C490" s="27">
        <f t="shared" si="14"/>
        <v>435</v>
      </c>
      <c r="D490" s="27">
        <f t="shared" si="15"/>
        <v>302.66666666666669</v>
      </c>
      <c r="E490" s="63">
        <f>VLOOKUP(Table1[[#This Row],[Date]],Database!A:D,4,)</f>
        <v>5.9</v>
      </c>
      <c r="F490" s="63">
        <f>VLOOKUP(Table1[[#This Row],[Date]],Database!A:D,2,)</f>
        <v>63.5</v>
      </c>
      <c r="G490" s="57"/>
    </row>
    <row r="491" spans="1:7" x14ac:dyDescent="0.2">
      <c r="A491" s="56">
        <v>28825</v>
      </c>
      <c r="B491" s="26">
        <f>VLOOKUP(Table1[[#This Row],[Date]],Database!A:D,3,)</f>
        <v>88671</v>
      </c>
      <c r="C491" s="27">
        <f t="shared" si="14"/>
        <v>280</v>
      </c>
      <c r="D491" s="27">
        <f t="shared" si="15"/>
        <v>350</v>
      </c>
      <c r="E491" s="63">
        <f>VLOOKUP(Table1[[#This Row],[Date]],Database!A:D,4,)</f>
        <v>6</v>
      </c>
      <c r="F491" s="63">
        <f>VLOOKUP(Table1[[#This Row],[Date]],Database!A:D,2,)</f>
        <v>63.6</v>
      </c>
      <c r="G491" s="57"/>
    </row>
    <row r="492" spans="1:7" x14ac:dyDescent="0.2">
      <c r="A492" s="56">
        <v>28856</v>
      </c>
      <c r="B492" s="26">
        <f>VLOOKUP(Table1[[#This Row],[Date]],Database!A:D,3,)</f>
        <v>88808</v>
      </c>
      <c r="C492" s="27">
        <f t="shared" si="14"/>
        <v>137</v>
      </c>
      <c r="D492" s="27">
        <f t="shared" si="15"/>
        <v>284</v>
      </c>
      <c r="E492" s="63">
        <f>VLOOKUP(Table1[[#This Row],[Date]],Database!A:D,4,)</f>
        <v>5.9</v>
      </c>
      <c r="F492" s="63">
        <f>VLOOKUP(Table1[[#This Row],[Date]],Database!A:D,2,)</f>
        <v>63.6</v>
      </c>
      <c r="G492" s="57"/>
    </row>
    <row r="493" spans="1:7" x14ac:dyDescent="0.2">
      <c r="A493" s="56">
        <v>28887</v>
      </c>
      <c r="B493" s="26">
        <f>VLOOKUP(Table1[[#This Row],[Date]],Database!A:D,3,)</f>
        <v>89055</v>
      </c>
      <c r="C493" s="27">
        <f t="shared" si="14"/>
        <v>247</v>
      </c>
      <c r="D493" s="27">
        <f t="shared" si="15"/>
        <v>221.33333333333334</v>
      </c>
      <c r="E493" s="63">
        <f>VLOOKUP(Table1[[#This Row],[Date]],Database!A:D,4,)</f>
        <v>5.9</v>
      </c>
      <c r="F493" s="63">
        <f>VLOOKUP(Table1[[#This Row],[Date]],Database!A:D,2,)</f>
        <v>63.8</v>
      </c>
      <c r="G493" s="57"/>
    </row>
    <row r="494" spans="1:7" x14ac:dyDescent="0.2">
      <c r="A494" s="56">
        <v>28915</v>
      </c>
      <c r="B494" s="26">
        <f>VLOOKUP(Table1[[#This Row],[Date]],Database!A:D,3,)</f>
        <v>89479</v>
      </c>
      <c r="C494" s="27">
        <f t="shared" si="14"/>
        <v>424</v>
      </c>
      <c r="D494" s="27">
        <f t="shared" si="15"/>
        <v>269.33333333333331</v>
      </c>
      <c r="E494" s="63">
        <f>VLOOKUP(Table1[[#This Row],[Date]],Database!A:D,4,)</f>
        <v>5.8</v>
      </c>
      <c r="F494" s="63">
        <f>VLOOKUP(Table1[[#This Row],[Date]],Database!A:D,2,)</f>
        <v>63.8</v>
      </c>
      <c r="G494" s="57"/>
    </row>
    <row r="495" spans="1:7" x14ac:dyDescent="0.2">
      <c r="A495" s="56">
        <v>28946</v>
      </c>
      <c r="B495" s="26">
        <f>VLOOKUP(Table1[[#This Row],[Date]],Database!A:D,3,)</f>
        <v>89417</v>
      </c>
      <c r="C495" s="27">
        <f t="shared" si="14"/>
        <v>-62</v>
      </c>
      <c r="D495" s="27">
        <f t="shared" si="15"/>
        <v>203</v>
      </c>
      <c r="E495" s="63">
        <f>VLOOKUP(Table1[[#This Row],[Date]],Database!A:D,4,)</f>
        <v>5.8</v>
      </c>
      <c r="F495" s="63">
        <f>VLOOKUP(Table1[[#This Row],[Date]],Database!A:D,2,)</f>
        <v>63.5</v>
      </c>
      <c r="G495" s="57"/>
    </row>
    <row r="496" spans="1:7" x14ac:dyDescent="0.2">
      <c r="A496" s="56">
        <v>28976</v>
      </c>
      <c r="B496" s="26">
        <f>VLOOKUP(Table1[[#This Row],[Date]],Database!A:D,3,)</f>
        <v>89789</v>
      </c>
      <c r="C496" s="27">
        <f t="shared" si="14"/>
        <v>372</v>
      </c>
      <c r="D496" s="27">
        <f t="shared" si="15"/>
        <v>244.66666666666666</v>
      </c>
      <c r="E496" s="63">
        <f>VLOOKUP(Table1[[#This Row],[Date]],Database!A:D,4,)</f>
        <v>5.6</v>
      </c>
      <c r="F496" s="63">
        <f>VLOOKUP(Table1[[#This Row],[Date]],Database!A:D,2,)</f>
        <v>63.3</v>
      </c>
      <c r="G496" s="57"/>
    </row>
    <row r="497" spans="1:7" x14ac:dyDescent="0.2">
      <c r="A497" s="56">
        <v>29007</v>
      </c>
      <c r="B497" s="26">
        <f>VLOOKUP(Table1[[#This Row],[Date]],Database!A:D,3,)</f>
        <v>90108</v>
      </c>
      <c r="C497" s="27">
        <f t="shared" si="14"/>
        <v>319</v>
      </c>
      <c r="D497" s="27">
        <f t="shared" si="15"/>
        <v>209.66666666666666</v>
      </c>
      <c r="E497" s="63">
        <f>VLOOKUP(Table1[[#This Row],[Date]],Database!A:D,4,)</f>
        <v>5.7</v>
      </c>
      <c r="F497" s="63">
        <f>VLOOKUP(Table1[[#This Row],[Date]],Database!A:D,2,)</f>
        <v>63.5</v>
      </c>
      <c r="G497" s="57"/>
    </row>
    <row r="498" spans="1:7" x14ac:dyDescent="0.2">
      <c r="A498" s="56">
        <v>29037</v>
      </c>
      <c r="B498" s="26">
        <f>VLOOKUP(Table1[[#This Row],[Date]],Database!A:D,3,)</f>
        <v>90217</v>
      </c>
      <c r="C498" s="27">
        <f t="shared" si="14"/>
        <v>109</v>
      </c>
      <c r="D498" s="27">
        <f t="shared" si="15"/>
        <v>266.66666666666669</v>
      </c>
      <c r="E498" s="63">
        <f>VLOOKUP(Table1[[#This Row],[Date]],Database!A:D,4,)</f>
        <v>5.7</v>
      </c>
      <c r="F498" s="63">
        <f>VLOOKUP(Table1[[#This Row],[Date]],Database!A:D,2,)</f>
        <v>63.6</v>
      </c>
      <c r="G498" s="57"/>
    </row>
    <row r="499" spans="1:7" x14ac:dyDescent="0.2">
      <c r="A499" s="56">
        <v>29068</v>
      </c>
      <c r="B499" s="26">
        <f>VLOOKUP(Table1[[#This Row],[Date]],Database!A:D,3,)</f>
        <v>90300</v>
      </c>
      <c r="C499" s="27">
        <f t="shared" si="14"/>
        <v>83</v>
      </c>
      <c r="D499" s="27">
        <f t="shared" si="15"/>
        <v>170.33333333333334</v>
      </c>
      <c r="E499" s="63">
        <f>VLOOKUP(Table1[[#This Row],[Date]],Database!A:D,4,)</f>
        <v>6</v>
      </c>
      <c r="F499" s="63">
        <f>VLOOKUP(Table1[[#This Row],[Date]],Database!A:D,2,)</f>
        <v>63.6</v>
      </c>
      <c r="G499" s="57"/>
    </row>
    <row r="500" spans="1:7" x14ac:dyDescent="0.2">
      <c r="A500" s="56">
        <v>29099</v>
      </c>
      <c r="B500" s="26">
        <f>VLOOKUP(Table1[[#This Row],[Date]],Database!A:D,3,)</f>
        <v>90327</v>
      </c>
      <c r="C500" s="27">
        <f t="shared" si="14"/>
        <v>27</v>
      </c>
      <c r="D500" s="27">
        <f t="shared" si="15"/>
        <v>73</v>
      </c>
      <c r="E500" s="63">
        <f>VLOOKUP(Table1[[#This Row],[Date]],Database!A:D,4,)</f>
        <v>5.9</v>
      </c>
      <c r="F500" s="63">
        <f>VLOOKUP(Table1[[#This Row],[Date]],Database!A:D,2,)</f>
        <v>63.8</v>
      </c>
      <c r="G500" s="57"/>
    </row>
    <row r="501" spans="1:7" x14ac:dyDescent="0.2">
      <c r="A501" s="56">
        <v>29129</v>
      </c>
      <c r="B501" s="26">
        <f>VLOOKUP(Table1[[#This Row],[Date]],Database!A:D,3,)</f>
        <v>90481</v>
      </c>
      <c r="C501" s="27">
        <f t="shared" si="14"/>
        <v>154</v>
      </c>
      <c r="D501" s="27">
        <f t="shared" si="15"/>
        <v>88</v>
      </c>
      <c r="E501" s="63">
        <f>VLOOKUP(Table1[[#This Row],[Date]],Database!A:D,4,)</f>
        <v>6</v>
      </c>
      <c r="F501" s="63">
        <f>VLOOKUP(Table1[[#This Row],[Date]],Database!A:D,2,)</f>
        <v>63.7</v>
      </c>
      <c r="G501" s="57"/>
    </row>
    <row r="502" spans="1:7" x14ac:dyDescent="0.2">
      <c r="A502" s="56">
        <v>29160</v>
      </c>
      <c r="B502" s="26">
        <f>VLOOKUP(Table1[[#This Row],[Date]],Database!A:D,3,)</f>
        <v>90573</v>
      </c>
      <c r="C502" s="27">
        <f t="shared" si="14"/>
        <v>92</v>
      </c>
      <c r="D502" s="27">
        <f t="shared" si="15"/>
        <v>91</v>
      </c>
      <c r="E502" s="63">
        <f>VLOOKUP(Table1[[#This Row],[Date]],Database!A:D,4,)</f>
        <v>5.9</v>
      </c>
      <c r="F502" s="63">
        <f>VLOOKUP(Table1[[#This Row],[Date]],Database!A:D,2,)</f>
        <v>63.7</v>
      </c>
      <c r="G502" s="57"/>
    </row>
    <row r="503" spans="1:7" x14ac:dyDescent="0.2">
      <c r="A503" s="56">
        <v>29190</v>
      </c>
      <c r="B503" s="26">
        <f>VLOOKUP(Table1[[#This Row],[Date]],Database!A:D,3,)</f>
        <v>90672</v>
      </c>
      <c r="C503" s="27">
        <f t="shared" si="14"/>
        <v>99</v>
      </c>
      <c r="D503" s="27">
        <f t="shared" si="15"/>
        <v>115</v>
      </c>
      <c r="E503" s="63">
        <f>VLOOKUP(Table1[[#This Row],[Date]],Database!A:D,4,)</f>
        <v>6</v>
      </c>
      <c r="F503" s="63">
        <f>VLOOKUP(Table1[[#This Row],[Date]],Database!A:D,2,)</f>
        <v>63.9</v>
      </c>
      <c r="G503" s="57"/>
    </row>
    <row r="504" spans="1:7" x14ac:dyDescent="0.2">
      <c r="A504" s="56">
        <v>29221</v>
      </c>
      <c r="B504" s="26">
        <f>VLOOKUP(Table1[[#This Row],[Date]],Database!A:D,3,)</f>
        <v>90800</v>
      </c>
      <c r="C504" s="27">
        <f t="shared" si="14"/>
        <v>128</v>
      </c>
      <c r="D504" s="27">
        <f t="shared" si="15"/>
        <v>106.33333333333333</v>
      </c>
      <c r="E504" s="63">
        <f>VLOOKUP(Table1[[#This Row],[Date]],Database!A:D,4,)</f>
        <v>6.3</v>
      </c>
      <c r="F504" s="63">
        <f>VLOOKUP(Table1[[#This Row],[Date]],Database!A:D,2,)</f>
        <v>64</v>
      </c>
      <c r="G504" s="57"/>
    </row>
    <row r="505" spans="1:7" x14ac:dyDescent="0.2">
      <c r="A505" s="56">
        <v>29252</v>
      </c>
      <c r="B505" s="26">
        <f>VLOOKUP(Table1[[#This Row],[Date]],Database!A:D,3,)</f>
        <v>90883</v>
      </c>
      <c r="C505" s="27">
        <f t="shared" si="14"/>
        <v>83</v>
      </c>
      <c r="D505" s="27">
        <f t="shared" si="15"/>
        <v>103.33333333333333</v>
      </c>
      <c r="E505" s="63">
        <f>VLOOKUP(Table1[[#This Row],[Date]],Database!A:D,4,)</f>
        <v>6.3</v>
      </c>
      <c r="F505" s="63">
        <f>VLOOKUP(Table1[[#This Row],[Date]],Database!A:D,2,)</f>
        <v>64</v>
      </c>
      <c r="G505" s="57"/>
    </row>
    <row r="506" spans="1:7" x14ac:dyDescent="0.2">
      <c r="A506" s="56">
        <v>29281</v>
      </c>
      <c r="B506" s="26">
        <f>VLOOKUP(Table1[[#This Row],[Date]],Database!A:D,3,)</f>
        <v>90994</v>
      </c>
      <c r="C506" s="27">
        <f t="shared" si="14"/>
        <v>111</v>
      </c>
      <c r="D506" s="27">
        <f t="shared" si="15"/>
        <v>107.33333333333333</v>
      </c>
      <c r="E506" s="63">
        <f>VLOOKUP(Table1[[#This Row],[Date]],Database!A:D,4,)</f>
        <v>6.3</v>
      </c>
      <c r="F506" s="63">
        <f>VLOOKUP(Table1[[#This Row],[Date]],Database!A:D,2,)</f>
        <v>63.7</v>
      </c>
      <c r="G506" s="57"/>
    </row>
    <row r="507" spans="1:7" x14ac:dyDescent="0.2">
      <c r="A507" s="56">
        <v>29312</v>
      </c>
      <c r="B507" s="26">
        <f>VLOOKUP(Table1[[#This Row],[Date]],Database!A:D,3,)</f>
        <v>90849</v>
      </c>
      <c r="C507" s="27">
        <f t="shared" si="14"/>
        <v>-145</v>
      </c>
      <c r="D507" s="27">
        <f t="shared" si="15"/>
        <v>16.333333333333332</v>
      </c>
      <c r="E507" s="63">
        <f>VLOOKUP(Table1[[#This Row],[Date]],Database!A:D,4,)</f>
        <v>6.9</v>
      </c>
      <c r="F507" s="63">
        <f>VLOOKUP(Table1[[#This Row],[Date]],Database!A:D,2,)</f>
        <v>63.8</v>
      </c>
      <c r="G507" s="57"/>
    </row>
    <row r="508" spans="1:7" x14ac:dyDescent="0.2">
      <c r="A508" s="56">
        <v>29342</v>
      </c>
      <c r="B508" s="26">
        <f>VLOOKUP(Table1[[#This Row],[Date]],Database!A:D,3,)</f>
        <v>90420</v>
      </c>
      <c r="C508" s="27">
        <f t="shared" si="14"/>
        <v>-429</v>
      </c>
      <c r="D508" s="27">
        <f t="shared" si="15"/>
        <v>-154.33333333333334</v>
      </c>
      <c r="E508" s="63">
        <f>VLOOKUP(Table1[[#This Row],[Date]],Database!A:D,4,)</f>
        <v>7.5</v>
      </c>
      <c r="F508" s="63">
        <f>VLOOKUP(Table1[[#This Row],[Date]],Database!A:D,2,)</f>
        <v>63.9</v>
      </c>
      <c r="G508" s="57"/>
    </row>
    <row r="509" spans="1:7" x14ac:dyDescent="0.2">
      <c r="A509" s="56">
        <v>29373</v>
      </c>
      <c r="B509" s="26">
        <f>VLOOKUP(Table1[[#This Row],[Date]],Database!A:D,3,)</f>
        <v>90101</v>
      </c>
      <c r="C509" s="27">
        <f t="shared" si="14"/>
        <v>-319</v>
      </c>
      <c r="D509" s="27">
        <f t="shared" si="15"/>
        <v>-297.66666666666669</v>
      </c>
      <c r="E509" s="63">
        <f>VLOOKUP(Table1[[#This Row],[Date]],Database!A:D,4,)</f>
        <v>7.6</v>
      </c>
      <c r="F509" s="63">
        <f>VLOOKUP(Table1[[#This Row],[Date]],Database!A:D,2,)</f>
        <v>63.7</v>
      </c>
      <c r="G509" s="57"/>
    </row>
    <row r="510" spans="1:7" x14ac:dyDescent="0.2">
      <c r="A510" s="56">
        <v>29403</v>
      </c>
      <c r="B510" s="26">
        <f>VLOOKUP(Table1[[#This Row],[Date]],Database!A:D,3,)</f>
        <v>89840</v>
      </c>
      <c r="C510" s="27">
        <f t="shared" si="14"/>
        <v>-261</v>
      </c>
      <c r="D510" s="27">
        <f t="shared" si="15"/>
        <v>-336.33333333333331</v>
      </c>
      <c r="E510" s="63">
        <f>VLOOKUP(Table1[[#This Row],[Date]],Database!A:D,4,)</f>
        <v>7.8</v>
      </c>
      <c r="F510" s="63">
        <f>VLOOKUP(Table1[[#This Row],[Date]],Database!A:D,2,)</f>
        <v>63.8</v>
      </c>
      <c r="G510" s="57"/>
    </row>
    <row r="511" spans="1:7" x14ac:dyDescent="0.2">
      <c r="A511" s="56">
        <v>29434</v>
      </c>
      <c r="B511" s="26">
        <f>VLOOKUP(Table1[[#This Row],[Date]],Database!A:D,3,)</f>
        <v>90099</v>
      </c>
      <c r="C511" s="27">
        <f t="shared" si="14"/>
        <v>259</v>
      </c>
      <c r="D511" s="27">
        <f t="shared" si="15"/>
        <v>-107</v>
      </c>
      <c r="E511" s="63">
        <f>VLOOKUP(Table1[[#This Row],[Date]],Database!A:D,4,)</f>
        <v>7.7</v>
      </c>
      <c r="F511" s="63">
        <f>VLOOKUP(Table1[[#This Row],[Date]],Database!A:D,2,)</f>
        <v>63.7</v>
      </c>
      <c r="G511" s="57"/>
    </row>
    <row r="512" spans="1:7" x14ac:dyDescent="0.2">
      <c r="A512" s="56">
        <v>29465</v>
      </c>
      <c r="B512" s="26">
        <f>VLOOKUP(Table1[[#This Row],[Date]],Database!A:D,3,)</f>
        <v>90213</v>
      </c>
      <c r="C512" s="27">
        <f t="shared" si="14"/>
        <v>114</v>
      </c>
      <c r="D512" s="27">
        <f t="shared" si="15"/>
        <v>37.333333333333336</v>
      </c>
      <c r="E512" s="63">
        <f>VLOOKUP(Table1[[#This Row],[Date]],Database!A:D,4,)</f>
        <v>7.5</v>
      </c>
      <c r="F512" s="63">
        <f>VLOOKUP(Table1[[#This Row],[Date]],Database!A:D,2,)</f>
        <v>63.6</v>
      </c>
      <c r="G512" s="57"/>
    </row>
    <row r="513" spans="1:7" x14ac:dyDescent="0.2">
      <c r="A513" s="56">
        <v>29495</v>
      </c>
      <c r="B513" s="26">
        <f>VLOOKUP(Table1[[#This Row],[Date]],Database!A:D,3,)</f>
        <v>90490</v>
      </c>
      <c r="C513" s="27">
        <f t="shared" si="14"/>
        <v>277</v>
      </c>
      <c r="D513" s="27">
        <f t="shared" si="15"/>
        <v>216.66666666666666</v>
      </c>
      <c r="E513" s="63">
        <f>VLOOKUP(Table1[[#This Row],[Date]],Database!A:D,4,)</f>
        <v>7.5</v>
      </c>
      <c r="F513" s="63">
        <f>VLOOKUP(Table1[[#This Row],[Date]],Database!A:D,2,)</f>
        <v>63.7</v>
      </c>
      <c r="G513" s="57"/>
    </row>
    <row r="514" spans="1:7" x14ac:dyDescent="0.2">
      <c r="A514" s="56">
        <v>29526</v>
      </c>
      <c r="B514" s="26">
        <f>VLOOKUP(Table1[[#This Row],[Date]],Database!A:D,3,)</f>
        <v>90747</v>
      </c>
      <c r="C514" s="27">
        <f t="shared" si="14"/>
        <v>257</v>
      </c>
      <c r="D514" s="27">
        <f t="shared" si="15"/>
        <v>216</v>
      </c>
      <c r="E514" s="63">
        <f>VLOOKUP(Table1[[#This Row],[Date]],Database!A:D,4,)</f>
        <v>7.5</v>
      </c>
      <c r="F514" s="63">
        <f>VLOOKUP(Table1[[#This Row],[Date]],Database!A:D,2,)</f>
        <v>63.8</v>
      </c>
      <c r="G514" s="57"/>
    </row>
    <row r="515" spans="1:7" x14ac:dyDescent="0.2">
      <c r="A515" s="56">
        <v>29556</v>
      </c>
      <c r="B515" s="26">
        <f>VLOOKUP(Table1[[#This Row],[Date]],Database!A:D,3,)</f>
        <v>90943</v>
      </c>
      <c r="C515" s="27">
        <f t="shared" si="14"/>
        <v>196</v>
      </c>
      <c r="D515" s="27">
        <f t="shared" si="15"/>
        <v>243.33333333333334</v>
      </c>
      <c r="E515" s="63">
        <f>VLOOKUP(Table1[[#This Row],[Date]],Database!A:D,4,)</f>
        <v>7.2</v>
      </c>
      <c r="F515" s="63">
        <f>VLOOKUP(Table1[[#This Row],[Date]],Database!A:D,2,)</f>
        <v>63.6</v>
      </c>
      <c r="G515" s="57"/>
    </row>
    <row r="516" spans="1:7" x14ac:dyDescent="0.2">
      <c r="A516" s="56">
        <v>29587</v>
      </c>
      <c r="B516" s="26">
        <f>VLOOKUP(Table1[[#This Row],[Date]],Database!A:D,3,)</f>
        <v>91033</v>
      </c>
      <c r="C516" s="27">
        <f t="shared" si="14"/>
        <v>90</v>
      </c>
      <c r="D516" s="27">
        <f t="shared" si="15"/>
        <v>181</v>
      </c>
      <c r="E516" s="63">
        <f>VLOOKUP(Table1[[#This Row],[Date]],Database!A:D,4,)</f>
        <v>7.5</v>
      </c>
      <c r="F516" s="63">
        <f>VLOOKUP(Table1[[#This Row],[Date]],Database!A:D,2,)</f>
        <v>63.9</v>
      </c>
      <c r="G516" s="57"/>
    </row>
    <row r="517" spans="1:7" x14ac:dyDescent="0.2">
      <c r="A517" s="56">
        <v>29618</v>
      </c>
      <c r="B517" s="26">
        <f>VLOOKUP(Table1[[#This Row],[Date]],Database!A:D,3,)</f>
        <v>91105</v>
      </c>
      <c r="C517" s="27">
        <f t="shared" si="14"/>
        <v>72</v>
      </c>
      <c r="D517" s="27">
        <f t="shared" si="15"/>
        <v>119.33333333333333</v>
      </c>
      <c r="E517" s="63">
        <f>VLOOKUP(Table1[[#This Row],[Date]],Database!A:D,4,)</f>
        <v>7.4</v>
      </c>
      <c r="F517" s="63">
        <f>VLOOKUP(Table1[[#This Row],[Date]],Database!A:D,2,)</f>
        <v>63.9</v>
      </c>
      <c r="G517" s="57"/>
    </row>
    <row r="518" spans="1:7" x14ac:dyDescent="0.2">
      <c r="A518" s="56">
        <v>29646</v>
      </c>
      <c r="B518" s="26">
        <f>VLOOKUP(Table1[[#This Row],[Date]],Database!A:D,3,)</f>
        <v>91210</v>
      </c>
      <c r="C518" s="27">
        <f t="shared" si="14"/>
        <v>105</v>
      </c>
      <c r="D518" s="27">
        <f t="shared" si="15"/>
        <v>89</v>
      </c>
      <c r="E518" s="63">
        <f>VLOOKUP(Table1[[#This Row],[Date]],Database!A:D,4,)</f>
        <v>7.4</v>
      </c>
      <c r="F518" s="63">
        <f>VLOOKUP(Table1[[#This Row],[Date]],Database!A:D,2,)</f>
        <v>64.099999999999994</v>
      </c>
      <c r="G518" s="57"/>
    </row>
    <row r="519" spans="1:7" x14ac:dyDescent="0.2">
      <c r="A519" s="56">
        <v>29677</v>
      </c>
      <c r="B519" s="26">
        <f>VLOOKUP(Table1[[#This Row],[Date]],Database!A:D,3,)</f>
        <v>91283</v>
      </c>
      <c r="C519" s="27">
        <f t="shared" si="14"/>
        <v>73</v>
      </c>
      <c r="D519" s="27">
        <f t="shared" si="15"/>
        <v>83.333333333333329</v>
      </c>
      <c r="E519" s="63">
        <f>VLOOKUP(Table1[[#This Row],[Date]],Database!A:D,4,)</f>
        <v>7.2</v>
      </c>
      <c r="F519" s="63">
        <f>VLOOKUP(Table1[[#This Row],[Date]],Database!A:D,2,)</f>
        <v>64.2</v>
      </c>
      <c r="G519" s="57"/>
    </row>
    <row r="520" spans="1:7" x14ac:dyDescent="0.2">
      <c r="A520" s="56">
        <v>29707</v>
      </c>
      <c r="B520" s="26">
        <f>VLOOKUP(Table1[[#This Row],[Date]],Database!A:D,3,)</f>
        <v>91296</v>
      </c>
      <c r="C520" s="27">
        <f t="shared" si="14"/>
        <v>13</v>
      </c>
      <c r="D520" s="27">
        <f t="shared" si="15"/>
        <v>63.666666666666664</v>
      </c>
      <c r="E520" s="63">
        <f>VLOOKUP(Table1[[#This Row],[Date]],Database!A:D,4,)</f>
        <v>7.5</v>
      </c>
      <c r="F520" s="63">
        <f>VLOOKUP(Table1[[#This Row],[Date]],Database!A:D,2,)</f>
        <v>64.3</v>
      </c>
      <c r="G520" s="57"/>
    </row>
    <row r="521" spans="1:7" x14ac:dyDescent="0.2">
      <c r="A521" s="56">
        <v>29738</v>
      </c>
      <c r="B521" s="26">
        <f>VLOOKUP(Table1[[#This Row],[Date]],Database!A:D,3,)</f>
        <v>91490</v>
      </c>
      <c r="C521" s="27">
        <f t="shared" si="14"/>
        <v>194</v>
      </c>
      <c r="D521" s="27">
        <f t="shared" si="15"/>
        <v>93.333333333333329</v>
      </c>
      <c r="E521" s="63">
        <f>VLOOKUP(Table1[[#This Row],[Date]],Database!A:D,4,)</f>
        <v>7.5</v>
      </c>
      <c r="F521" s="63">
        <f>VLOOKUP(Table1[[#This Row],[Date]],Database!A:D,2,)</f>
        <v>63.7</v>
      </c>
      <c r="G521" s="57"/>
    </row>
    <row r="522" spans="1:7" x14ac:dyDescent="0.2">
      <c r="A522" s="56">
        <v>29768</v>
      </c>
      <c r="B522" s="26">
        <f>VLOOKUP(Table1[[#This Row],[Date]],Database!A:D,3,)</f>
        <v>91601</v>
      </c>
      <c r="C522" s="27">
        <f t="shared" si="14"/>
        <v>111</v>
      </c>
      <c r="D522" s="27">
        <f t="shared" si="15"/>
        <v>106</v>
      </c>
      <c r="E522" s="63">
        <f>VLOOKUP(Table1[[#This Row],[Date]],Database!A:D,4,)</f>
        <v>7.2</v>
      </c>
      <c r="F522" s="63">
        <f>VLOOKUP(Table1[[#This Row],[Date]],Database!A:D,2,)</f>
        <v>63.8</v>
      </c>
      <c r="G522" s="57"/>
    </row>
    <row r="523" spans="1:7" x14ac:dyDescent="0.2">
      <c r="A523" s="56">
        <v>29799</v>
      </c>
      <c r="B523" s="26">
        <f>VLOOKUP(Table1[[#This Row],[Date]],Database!A:D,3,)</f>
        <v>91565</v>
      </c>
      <c r="C523" s="27">
        <f t="shared" si="14"/>
        <v>-36</v>
      </c>
      <c r="D523" s="27">
        <f t="shared" si="15"/>
        <v>89.666666666666671</v>
      </c>
      <c r="E523" s="63">
        <f>VLOOKUP(Table1[[#This Row],[Date]],Database!A:D,4,)</f>
        <v>7.4</v>
      </c>
      <c r="F523" s="63">
        <f>VLOOKUP(Table1[[#This Row],[Date]],Database!A:D,2,)</f>
        <v>63.8</v>
      </c>
      <c r="G523" s="57"/>
    </row>
    <row r="524" spans="1:7" x14ac:dyDescent="0.2">
      <c r="A524" s="56">
        <v>29830</v>
      </c>
      <c r="B524" s="26">
        <f>VLOOKUP(Table1[[#This Row],[Date]],Database!A:D,3,)</f>
        <v>91477</v>
      </c>
      <c r="C524" s="27">
        <f t="shared" si="14"/>
        <v>-88</v>
      </c>
      <c r="D524" s="27">
        <f t="shared" si="15"/>
        <v>-4.333333333333333</v>
      </c>
      <c r="E524" s="63">
        <f>VLOOKUP(Table1[[#This Row],[Date]],Database!A:D,4,)</f>
        <v>7.6</v>
      </c>
      <c r="F524" s="63">
        <f>VLOOKUP(Table1[[#This Row],[Date]],Database!A:D,2,)</f>
        <v>63.5</v>
      </c>
      <c r="G524" s="57"/>
    </row>
    <row r="525" spans="1:7" x14ac:dyDescent="0.2">
      <c r="A525" s="56">
        <v>29860</v>
      </c>
      <c r="B525" s="26">
        <f>VLOOKUP(Table1[[#This Row],[Date]],Database!A:D,3,)</f>
        <v>91380</v>
      </c>
      <c r="C525" s="27">
        <f t="shared" ref="C525:C588" si="16">B525-B524</f>
        <v>-97</v>
      </c>
      <c r="D525" s="27">
        <f t="shared" si="15"/>
        <v>-73.666666666666671</v>
      </c>
      <c r="E525" s="63">
        <f>VLOOKUP(Table1[[#This Row],[Date]],Database!A:D,4,)</f>
        <v>7.9</v>
      </c>
      <c r="F525" s="63">
        <f>VLOOKUP(Table1[[#This Row],[Date]],Database!A:D,2,)</f>
        <v>63.8</v>
      </c>
      <c r="G525" s="57"/>
    </row>
    <row r="526" spans="1:7" x14ac:dyDescent="0.2">
      <c r="A526" s="56">
        <v>29891</v>
      </c>
      <c r="B526" s="26">
        <f>VLOOKUP(Table1[[#This Row],[Date]],Database!A:D,3,)</f>
        <v>91171</v>
      </c>
      <c r="C526" s="27">
        <f t="shared" si="16"/>
        <v>-209</v>
      </c>
      <c r="D526" s="27">
        <f t="shared" si="15"/>
        <v>-131.33333333333334</v>
      </c>
      <c r="E526" s="63">
        <f>VLOOKUP(Table1[[#This Row],[Date]],Database!A:D,4,)</f>
        <v>8.3000000000000007</v>
      </c>
      <c r="F526" s="63">
        <f>VLOOKUP(Table1[[#This Row],[Date]],Database!A:D,2,)</f>
        <v>63.9</v>
      </c>
      <c r="G526" s="57"/>
    </row>
    <row r="527" spans="1:7" x14ac:dyDescent="0.2">
      <c r="A527" s="56">
        <v>29921</v>
      </c>
      <c r="B527" s="26">
        <f>VLOOKUP(Table1[[#This Row],[Date]],Database!A:D,3,)</f>
        <v>90895</v>
      </c>
      <c r="C527" s="27">
        <f t="shared" si="16"/>
        <v>-276</v>
      </c>
      <c r="D527" s="27">
        <f t="shared" ref="D527:D590" si="17">AVERAGE(C525:C527)</f>
        <v>-194</v>
      </c>
      <c r="E527" s="63">
        <f>VLOOKUP(Table1[[#This Row],[Date]],Database!A:D,4,)</f>
        <v>8.5</v>
      </c>
      <c r="F527" s="63">
        <f>VLOOKUP(Table1[[#This Row],[Date]],Database!A:D,2,)</f>
        <v>63.6</v>
      </c>
      <c r="G527" s="57"/>
    </row>
    <row r="528" spans="1:7" x14ac:dyDescent="0.2">
      <c r="A528" s="56">
        <v>29952</v>
      </c>
      <c r="B528" s="26">
        <f>VLOOKUP(Table1[[#This Row],[Date]],Database!A:D,3,)</f>
        <v>90565</v>
      </c>
      <c r="C528" s="27">
        <f t="shared" si="16"/>
        <v>-330</v>
      </c>
      <c r="D528" s="27">
        <f t="shared" si="17"/>
        <v>-271.66666666666669</v>
      </c>
      <c r="E528" s="63">
        <f>VLOOKUP(Table1[[#This Row],[Date]],Database!A:D,4,)</f>
        <v>8.6</v>
      </c>
      <c r="F528" s="63">
        <f>VLOOKUP(Table1[[#This Row],[Date]],Database!A:D,2,)</f>
        <v>63.7</v>
      </c>
      <c r="G528" s="57"/>
    </row>
    <row r="529" spans="1:7" x14ac:dyDescent="0.2">
      <c r="A529" s="56">
        <v>29983</v>
      </c>
      <c r="B529" s="26">
        <f>VLOOKUP(Table1[[#This Row],[Date]],Database!A:D,3,)</f>
        <v>90563</v>
      </c>
      <c r="C529" s="27">
        <f t="shared" si="16"/>
        <v>-2</v>
      </c>
      <c r="D529" s="27">
        <f t="shared" si="17"/>
        <v>-202.66666666666666</v>
      </c>
      <c r="E529" s="63">
        <f>VLOOKUP(Table1[[#This Row],[Date]],Database!A:D,4,)</f>
        <v>8.9</v>
      </c>
      <c r="F529" s="63">
        <f>VLOOKUP(Table1[[#This Row],[Date]],Database!A:D,2,)</f>
        <v>63.8</v>
      </c>
      <c r="G529" s="57"/>
    </row>
    <row r="530" spans="1:7" x14ac:dyDescent="0.2">
      <c r="A530" s="56">
        <v>30011</v>
      </c>
      <c r="B530" s="26">
        <f>VLOOKUP(Table1[[#This Row],[Date]],Database!A:D,3,)</f>
        <v>90434</v>
      </c>
      <c r="C530" s="27">
        <f t="shared" si="16"/>
        <v>-129</v>
      </c>
      <c r="D530" s="27">
        <f t="shared" si="17"/>
        <v>-153.66666666666666</v>
      </c>
      <c r="E530" s="63">
        <f>VLOOKUP(Table1[[#This Row],[Date]],Database!A:D,4,)</f>
        <v>9</v>
      </c>
      <c r="F530" s="63">
        <f>VLOOKUP(Table1[[#This Row],[Date]],Database!A:D,2,)</f>
        <v>63.8</v>
      </c>
      <c r="G530" s="57"/>
    </row>
    <row r="531" spans="1:7" x14ac:dyDescent="0.2">
      <c r="A531" s="56">
        <v>30042</v>
      </c>
      <c r="B531" s="26">
        <f>VLOOKUP(Table1[[#This Row],[Date]],Database!A:D,3,)</f>
        <v>90150</v>
      </c>
      <c r="C531" s="27">
        <f t="shared" si="16"/>
        <v>-284</v>
      </c>
      <c r="D531" s="27">
        <f t="shared" si="17"/>
        <v>-138.33333333333334</v>
      </c>
      <c r="E531" s="63">
        <f>VLOOKUP(Table1[[#This Row],[Date]],Database!A:D,4,)</f>
        <v>9.3000000000000007</v>
      </c>
      <c r="F531" s="63">
        <f>VLOOKUP(Table1[[#This Row],[Date]],Database!A:D,2,)</f>
        <v>63.9</v>
      </c>
      <c r="G531" s="57"/>
    </row>
    <row r="532" spans="1:7" x14ac:dyDescent="0.2">
      <c r="A532" s="56">
        <v>30072</v>
      </c>
      <c r="B532" s="26">
        <f>VLOOKUP(Table1[[#This Row],[Date]],Database!A:D,3,)</f>
        <v>90107</v>
      </c>
      <c r="C532" s="27">
        <f t="shared" si="16"/>
        <v>-43</v>
      </c>
      <c r="D532" s="27">
        <f t="shared" si="17"/>
        <v>-152</v>
      </c>
      <c r="E532" s="63">
        <f>VLOOKUP(Table1[[#This Row],[Date]],Database!A:D,4,)</f>
        <v>9.4</v>
      </c>
      <c r="F532" s="63">
        <f>VLOOKUP(Table1[[#This Row],[Date]],Database!A:D,2,)</f>
        <v>64.2</v>
      </c>
      <c r="G532" s="57"/>
    </row>
    <row r="533" spans="1:7" x14ac:dyDescent="0.2">
      <c r="A533" s="56">
        <v>30103</v>
      </c>
      <c r="B533" s="26">
        <f>VLOOKUP(Table1[[#This Row],[Date]],Database!A:D,3,)</f>
        <v>89865</v>
      </c>
      <c r="C533" s="27">
        <f t="shared" si="16"/>
        <v>-242</v>
      </c>
      <c r="D533" s="27">
        <f t="shared" si="17"/>
        <v>-189.66666666666666</v>
      </c>
      <c r="E533" s="63">
        <f>VLOOKUP(Table1[[#This Row],[Date]],Database!A:D,4,)</f>
        <v>9.6</v>
      </c>
      <c r="F533" s="63">
        <f>VLOOKUP(Table1[[#This Row],[Date]],Database!A:D,2,)</f>
        <v>63.9</v>
      </c>
      <c r="G533" s="57"/>
    </row>
    <row r="534" spans="1:7" x14ac:dyDescent="0.2">
      <c r="A534" s="56">
        <v>30133</v>
      </c>
      <c r="B534" s="26">
        <f>VLOOKUP(Table1[[#This Row],[Date]],Database!A:D,3,)</f>
        <v>89521</v>
      </c>
      <c r="C534" s="27">
        <f t="shared" si="16"/>
        <v>-344</v>
      </c>
      <c r="D534" s="27">
        <f t="shared" si="17"/>
        <v>-209.66666666666666</v>
      </c>
      <c r="E534" s="63">
        <f>VLOOKUP(Table1[[#This Row],[Date]],Database!A:D,4,)</f>
        <v>9.8000000000000007</v>
      </c>
      <c r="F534" s="63">
        <f>VLOOKUP(Table1[[#This Row],[Date]],Database!A:D,2,)</f>
        <v>64</v>
      </c>
      <c r="G534" s="57"/>
    </row>
    <row r="535" spans="1:7" x14ac:dyDescent="0.2">
      <c r="A535" s="56">
        <v>30164</v>
      </c>
      <c r="B535" s="26">
        <f>VLOOKUP(Table1[[#This Row],[Date]],Database!A:D,3,)</f>
        <v>89363</v>
      </c>
      <c r="C535" s="27">
        <f t="shared" si="16"/>
        <v>-158</v>
      </c>
      <c r="D535" s="27">
        <f t="shared" si="17"/>
        <v>-248</v>
      </c>
      <c r="E535" s="63">
        <f>VLOOKUP(Table1[[#This Row],[Date]],Database!A:D,4,)</f>
        <v>9.8000000000000007</v>
      </c>
      <c r="F535" s="63">
        <f>VLOOKUP(Table1[[#This Row],[Date]],Database!A:D,2,)</f>
        <v>64.099999999999994</v>
      </c>
      <c r="G535" s="57"/>
    </row>
    <row r="536" spans="1:7" x14ac:dyDescent="0.2">
      <c r="A536" s="56">
        <v>30195</v>
      </c>
      <c r="B536" s="26">
        <f>VLOOKUP(Table1[[#This Row],[Date]],Database!A:D,3,)</f>
        <v>89183</v>
      </c>
      <c r="C536" s="27">
        <f t="shared" si="16"/>
        <v>-180</v>
      </c>
      <c r="D536" s="27">
        <f t="shared" si="17"/>
        <v>-227.33333333333334</v>
      </c>
      <c r="E536" s="63">
        <f>VLOOKUP(Table1[[#This Row],[Date]],Database!A:D,4,)</f>
        <v>10.1</v>
      </c>
      <c r="F536" s="63">
        <f>VLOOKUP(Table1[[#This Row],[Date]],Database!A:D,2,)</f>
        <v>64.099999999999994</v>
      </c>
      <c r="G536" s="57"/>
    </row>
    <row r="537" spans="1:7" x14ac:dyDescent="0.2">
      <c r="A537" s="56">
        <v>30225</v>
      </c>
      <c r="B537" s="26">
        <f>VLOOKUP(Table1[[#This Row],[Date]],Database!A:D,3,)</f>
        <v>88907</v>
      </c>
      <c r="C537" s="27">
        <f t="shared" si="16"/>
        <v>-276</v>
      </c>
      <c r="D537" s="27">
        <f t="shared" si="17"/>
        <v>-204.66666666666666</v>
      </c>
      <c r="E537" s="63">
        <f>VLOOKUP(Table1[[#This Row],[Date]],Database!A:D,4,)</f>
        <v>10.4</v>
      </c>
      <c r="F537" s="63">
        <f>VLOOKUP(Table1[[#This Row],[Date]],Database!A:D,2,)</f>
        <v>64.099999999999994</v>
      </c>
      <c r="G537" s="57"/>
    </row>
    <row r="538" spans="1:7" x14ac:dyDescent="0.2">
      <c r="A538" s="56">
        <v>30256</v>
      </c>
      <c r="B538" s="26">
        <f>VLOOKUP(Table1[[#This Row],[Date]],Database!A:D,3,)</f>
        <v>88786</v>
      </c>
      <c r="C538" s="27">
        <f t="shared" si="16"/>
        <v>-121</v>
      </c>
      <c r="D538" s="27">
        <f t="shared" si="17"/>
        <v>-192.33333333333334</v>
      </c>
      <c r="E538" s="63">
        <f>VLOOKUP(Table1[[#This Row],[Date]],Database!A:D,4,)</f>
        <v>10.8</v>
      </c>
      <c r="F538" s="63">
        <f>VLOOKUP(Table1[[#This Row],[Date]],Database!A:D,2,)</f>
        <v>64.2</v>
      </c>
      <c r="G538" s="57"/>
    </row>
    <row r="539" spans="1:7" x14ac:dyDescent="0.2">
      <c r="A539" s="56">
        <v>30286</v>
      </c>
      <c r="B539" s="26">
        <f>VLOOKUP(Table1[[#This Row],[Date]],Database!A:D,3,)</f>
        <v>88771</v>
      </c>
      <c r="C539" s="27">
        <f t="shared" si="16"/>
        <v>-15</v>
      </c>
      <c r="D539" s="27">
        <f t="shared" si="17"/>
        <v>-137.33333333333334</v>
      </c>
      <c r="E539" s="63">
        <f>VLOOKUP(Table1[[#This Row],[Date]],Database!A:D,4,)</f>
        <v>10.8</v>
      </c>
      <c r="F539" s="63">
        <f>VLOOKUP(Table1[[#This Row],[Date]],Database!A:D,2,)</f>
        <v>64.099999999999994</v>
      </c>
      <c r="G539" s="57"/>
    </row>
    <row r="540" spans="1:7" x14ac:dyDescent="0.2">
      <c r="A540" s="56">
        <v>30317</v>
      </c>
      <c r="B540" s="26">
        <f>VLOOKUP(Table1[[#This Row],[Date]],Database!A:D,3,)</f>
        <v>88990</v>
      </c>
      <c r="C540" s="27">
        <f t="shared" si="16"/>
        <v>219</v>
      </c>
      <c r="D540" s="27">
        <f t="shared" si="17"/>
        <v>27.666666666666668</v>
      </c>
      <c r="E540" s="63">
        <f>VLOOKUP(Table1[[#This Row],[Date]],Database!A:D,4,)</f>
        <v>10.4</v>
      </c>
      <c r="F540" s="63">
        <f>VLOOKUP(Table1[[#This Row],[Date]],Database!A:D,2,)</f>
        <v>63.9</v>
      </c>
      <c r="G540" s="57"/>
    </row>
    <row r="541" spans="1:7" x14ac:dyDescent="0.2">
      <c r="A541" s="56">
        <v>30348</v>
      </c>
      <c r="B541" s="26">
        <f>VLOOKUP(Table1[[#This Row],[Date]],Database!A:D,3,)</f>
        <v>88917</v>
      </c>
      <c r="C541" s="27">
        <f t="shared" si="16"/>
        <v>-73</v>
      </c>
      <c r="D541" s="27">
        <f t="shared" si="17"/>
        <v>43.666666666666664</v>
      </c>
      <c r="E541" s="63">
        <f>VLOOKUP(Table1[[#This Row],[Date]],Database!A:D,4,)</f>
        <v>10.4</v>
      </c>
      <c r="F541" s="63">
        <f>VLOOKUP(Table1[[#This Row],[Date]],Database!A:D,2,)</f>
        <v>63.8</v>
      </c>
      <c r="G541" s="57"/>
    </row>
    <row r="542" spans="1:7" x14ac:dyDescent="0.2">
      <c r="A542" s="56">
        <v>30376</v>
      </c>
      <c r="B542" s="26">
        <f>VLOOKUP(Table1[[#This Row],[Date]],Database!A:D,3,)</f>
        <v>89090</v>
      </c>
      <c r="C542" s="27">
        <f t="shared" si="16"/>
        <v>173</v>
      </c>
      <c r="D542" s="27">
        <f t="shared" si="17"/>
        <v>106.33333333333333</v>
      </c>
      <c r="E542" s="63">
        <f>VLOOKUP(Table1[[#This Row],[Date]],Database!A:D,4,)</f>
        <v>10.3</v>
      </c>
      <c r="F542" s="63">
        <f>VLOOKUP(Table1[[#This Row],[Date]],Database!A:D,2,)</f>
        <v>63.7</v>
      </c>
      <c r="G542" s="57"/>
    </row>
    <row r="543" spans="1:7" x14ac:dyDescent="0.2">
      <c r="A543" s="56">
        <v>30407</v>
      </c>
      <c r="B543" s="26">
        <f>VLOOKUP(Table1[[#This Row],[Date]],Database!A:D,3,)</f>
        <v>89364</v>
      </c>
      <c r="C543" s="27">
        <f t="shared" si="16"/>
        <v>274</v>
      </c>
      <c r="D543" s="27">
        <f t="shared" si="17"/>
        <v>124.66666666666667</v>
      </c>
      <c r="E543" s="63">
        <f>VLOOKUP(Table1[[#This Row],[Date]],Database!A:D,4,)</f>
        <v>10.199999999999999</v>
      </c>
      <c r="F543" s="63">
        <f>VLOOKUP(Table1[[#This Row],[Date]],Database!A:D,2,)</f>
        <v>63.8</v>
      </c>
      <c r="G543" s="57"/>
    </row>
    <row r="544" spans="1:7" x14ac:dyDescent="0.2">
      <c r="A544" s="56">
        <v>30437</v>
      </c>
      <c r="B544" s="26">
        <f>VLOOKUP(Table1[[#This Row],[Date]],Database!A:D,3,)</f>
        <v>89644</v>
      </c>
      <c r="C544" s="27">
        <f t="shared" si="16"/>
        <v>280</v>
      </c>
      <c r="D544" s="27">
        <f t="shared" si="17"/>
        <v>242.33333333333334</v>
      </c>
      <c r="E544" s="63">
        <f>VLOOKUP(Table1[[#This Row],[Date]],Database!A:D,4,)</f>
        <v>10.1</v>
      </c>
      <c r="F544" s="63">
        <f>VLOOKUP(Table1[[#This Row],[Date]],Database!A:D,2,)</f>
        <v>63.7</v>
      </c>
      <c r="G544" s="57"/>
    </row>
    <row r="545" spans="1:7" x14ac:dyDescent="0.2">
      <c r="A545" s="56">
        <v>30468</v>
      </c>
      <c r="B545" s="26">
        <f>VLOOKUP(Table1[[#This Row],[Date]],Database!A:D,3,)</f>
        <v>90021</v>
      </c>
      <c r="C545" s="27">
        <f t="shared" si="16"/>
        <v>377</v>
      </c>
      <c r="D545" s="27">
        <f t="shared" si="17"/>
        <v>310.33333333333331</v>
      </c>
      <c r="E545" s="63">
        <f>VLOOKUP(Table1[[#This Row],[Date]],Database!A:D,4,)</f>
        <v>10.1</v>
      </c>
      <c r="F545" s="63">
        <f>VLOOKUP(Table1[[#This Row],[Date]],Database!A:D,2,)</f>
        <v>64.3</v>
      </c>
      <c r="G545" s="57"/>
    </row>
    <row r="546" spans="1:7" x14ac:dyDescent="0.2">
      <c r="A546" s="56">
        <v>30498</v>
      </c>
      <c r="B546" s="26">
        <f>VLOOKUP(Table1[[#This Row],[Date]],Database!A:D,3,)</f>
        <v>90437</v>
      </c>
      <c r="C546" s="27">
        <f t="shared" si="16"/>
        <v>416</v>
      </c>
      <c r="D546" s="27">
        <f t="shared" si="17"/>
        <v>357.66666666666669</v>
      </c>
      <c r="E546" s="63">
        <f>VLOOKUP(Table1[[#This Row],[Date]],Database!A:D,4,)</f>
        <v>9.4</v>
      </c>
      <c r="F546" s="63">
        <f>VLOOKUP(Table1[[#This Row],[Date]],Database!A:D,2,)</f>
        <v>64.099999999999994</v>
      </c>
      <c r="G546" s="57"/>
    </row>
    <row r="547" spans="1:7" x14ac:dyDescent="0.2">
      <c r="A547" s="56">
        <v>30529</v>
      </c>
      <c r="B547" s="26">
        <f>VLOOKUP(Table1[[#This Row],[Date]],Database!A:D,3,)</f>
        <v>90129</v>
      </c>
      <c r="C547" s="27">
        <f t="shared" si="16"/>
        <v>-308</v>
      </c>
      <c r="D547" s="27">
        <f t="shared" si="17"/>
        <v>161.66666666666666</v>
      </c>
      <c r="E547" s="63">
        <f>VLOOKUP(Table1[[#This Row],[Date]],Database!A:D,4,)</f>
        <v>9.5</v>
      </c>
      <c r="F547" s="63">
        <f>VLOOKUP(Table1[[#This Row],[Date]],Database!A:D,2,)</f>
        <v>64.3</v>
      </c>
      <c r="G547" s="57"/>
    </row>
    <row r="548" spans="1:7" x14ac:dyDescent="0.2">
      <c r="A548" s="56">
        <v>30560</v>
      </c>
      <c r="B548" s="26">
        <f>VLOOKUP(Table1[[#This Row],[Date]],Database!A:D,3,)</f>
        <v>91247</v>
      </c>
      <c r="C548" s="27">
        <f t="shared" si="16"/>
        <v>1118</v>
      </c>
      <c r="D548" s="27">
        <f t="shared" si="17"/>
        <v>408.66666666666669</v>
      </c>
      <c r="E548" s="63">
        <f>VLOOKUP(Table1[[#This Row],[Date]],Database!A:D,4,)</f>
        <v>9.1999999999999993</v>
      </c>
      <c r="F548" s="63">
        <f>VLOOKUP(Table1[[#This Row],[Date]],Database!A:D,2,)</f>
        <v>64.3</v>
      </c>
      <c r="G548" s="57"/>
    </row>
    <row r="549" spans="1:7" x14ac:dyDescent="0.2">
      <c r="A549" s="56">
        <v>30590</v>
      </c>
      <c r="B549" s="26">
        <f>VLOOKUP(Table1[[#This Row],[Date]],Database!A:D,3,)</f>
        <v>91520</v>
      </c>
      <c r="C549" s="27">
        <f t="shared" si="16"/>
        <v>273</v>
      </c>
      <c r="D549" s="27">
        <f t="shared" si="17"/>
        <v>361</v>
      </c>
      <c r="E549" s="63">
        <f>VLOOKUP(Table1[[#This Row],[Date]],Database!A:D,4,)</f>
        <v>8.8000000000000007</v>
      </c>
      <c r="F549" s="63">
        <f>VLOOKUP(Table1[[#This Row],[Date]],Database!A:D,2,)</f>
        <v>64</v>
      </c>
      <c r="G549" s="57"/>
    </row>
    <row r="550" spans="1:7" x14ac:dyDescent="0.2">
      <c r="A550" s="56">
        <v>30621</v>
      </c>
      <c r="B550" s="26">
        <f>VLOOKUP(Table1[[#This Row],[Date]],Database!A:D,3,)</f>
        <v>91875</v>
      </c>
      <c r="C550" s="27">
        <f t="shared" si="16"/>
        <v>355</v>
      </c>
      <c r="D550" s="27">
        <f t="shared" si="17"/>
        <v>582</v>
      </c>
      <c r="E550" s="63">
        <f>VLOOKUP(Table1[[#This Row],[Date]],Database!A:D,4,)</f>
        <v>8.5</v>
      </c>
      <c r="F550" s="63">
        <f>VLOOKUP(Table1[[#This Row],[Date]],Database!A:D,2,)</f>
        <v>64.099999999999994</v>
      </c>
      <c r="G550" s="57"/>
    </row>
    <row r="551" spans="1:7" x14ac:dyDescent="0.2">
      <c r="A551" s="56">
        <v>30651</v>
      </c>
      <c r="B551" s="26">
        <f>VLOOKUP(Table1[[#This Row],[Date]],Database!A:D,3,)</f>
        <v>92230</v>
      </c>
      <c r="C551" s="27">
        <f t="shared" si="16"/>
        <v>355</v>
      </c>
      <c r="D551" s="27">
        <f t="shared" si="17"/>
        <v>327.66666666666669</v>
      </c>
      <c r="E551" s="63">
        <f>VLOOKUP(Table1[[#This Row],[Date]],Database!A:D,4,)</f>
        <v>8.3000000000000007</v>
      </c>
      <c r="F551" s="63">
        <f>VLOOKUP(Table1[[#This Row],[Date]],Database!A:D,2,)</f>
        <v>64.099999999999994</v>
      </c>
      <c r="G551" s="57"/>
    </row>
    <row r="552" spans="1:7" x14ac:dyDescent="0.2">
      <c r="A552" s="56">
        <v>30682</v>
      </c>
      <c r="B552" s="26">
        <f>VLOOKUP(Table1[[#This Row],[Date]],Database!A:D,3,)</f>
        <v>92673</v>
      </c>
      <c r="C552" s="27">
        <f t="shared" si="16"/>
        <v>443</v>
      </c>
      <c r="D552" s="27">
        <f t="shared" si="17"/>
        <v>384.33333333333331</v>
      </c>
      <c r="E552" s="63">
        <f>VLOOKUP(Table1[[#This Row],[Date]],Database!A:D,4,)</f>
        <v>8</v>
      </c>
      <c r="F552" s="63">
        <f>VLOOKUP(Table1[[#This Row],[Date]],Database!A:D,2,)</f>
        <v>63.9</v>
      </c>
      <c r="G552" s="57"/>
    </row>
    <row r="553" spans="1:7" x14ac:dyDescent="0.2">
      <c r="A553" s="56">
        <v>30713</v>
      </c>
      <c r="B553" s="26">
        <f>VLOOKUP(Table1[[#This Row],[Date]],Database!A:D,3,)</f>
        <v>93157</v>
      </c>
      <c r="C553" s="27">
        <f t="shared" si="16"/>
        <v>484</v>
      </c>
      <c r="D553" s="27">
        <f t="shared" si="17"/>
        <v>427.33333333333331</v>
      </c>
      <c r="E553" s="63">
        <f>VLOOKUP(Table1[[#This Row],[Date]],Database!A:D,4,)</f>
        <v>7.8</v>
      </c>
      <c r="F553" s="63">
        <f>VLOOKUP(Table1[[#This Row],[Date]],Database!A:D,2,)</f>
        <v>64.099999999999994</v>
      </c>
      <c r="G553" s="57"/>
    </row>
    <row r="554" spans="1:7" x14ac:dyDescent="0.2">
      <c r="A554" s="56">
        <v>30742</v>
      </c>
      <c r="B554" s="26">
        <f>VLOOKUP(Table1[[#This Row],[Date]],Database!A:D,3,)</f>
        <v>93429</v>
      </c>
      <c r="C554" s="27">
        <f t="shared" si="16"/>
        <v>272</v>
      </c>
      <c r="D554" s="27">
        <f t="shared" si="17"/>
        <v>399.66666666666669</v>
      </c>
      <c r="E554" s="63">
        <f>VLOOKUP(Table1[[#This Row],[Date]],Database!A:D,4,)</f>
        <v>7.8</v>
      </c>
      <c r="F554" s="63">
        <f>VLOOKUP(Table1[[#This Row],[Date]],Database!A:D,2,)</f>
        <v>64.099999999999994</v>
      </c>
      <c r="G554" s="57"/>
    </row>
    <row r="555" spans="1:7" x14ac:dyDescent="0.2">
      <c r="A555" s="56">
        <v>30773</v>
      </c>
      <c r="B555" s="26">
        <f>VLOOKUP(Table1[[#This Row],[Date]],Database!A:D,3,)</f>
        <v>93792</v>
      </c>
      <c r="C555" s="27">
        <f t="shared" si="16"/>
        <v>363</v>
      </c>
      <c r="D555" s="27">
        <f t="shared" si="17"/>
        <v>373</v>
      </c>
      <c r="E555" s="63">
        <f>VLOOKUP(Table1[[#This Row],[Date]],Database!A:D,4,)</f>
        <v>7.7</v>
      </c>
      <c r="F555" s="63">
        <f>VLOOKUP(Table1[[#This Row],[Date]],Database!A:D,2,)</f>
        <v>64.3</v>
      </c>
      <c r="G555" s="57"/>
    </row>
    <row r="556" spans="1:7" x14ac:dyDescent="0.2">
      <c r="A556" s="56">
        <v>30803</v>
      </c>
      <c r="B556" s="26">
        <f>VLOOKUP(Table1[[#This Row],[Date]],Database!A:D,3,)</f>
        <v>94098</v>
      </c>
      <c r="C556" s="27">
        <f t="shared" si="16"/>
        <v>306</v>
      </c>
      <c r="D556" s="27">
        <f t="shared" si="17"/>
        <v>313.66666666666669</v>
      </c>
      <c r="E556" s="63">
        <f>VLOOKUP(Table1[[#This Row],[Date]],Database!A:D,4,)</f>
        <v>7.4</v>
      </c>
      <c r="F556" s="63">
        <f>VLOOKUP(Table1[[#This Row],[Date]],Database!A:D,2,)</f>
        <v>64.5</v>
      </c>
      <c r="G556" s="57"/>
    </row>
    <row r="557" spans="1:7" x14ac:dyDescent="0.2">
      <c r="A557" s="56">
        <v>30834</v>
      </c>
      <c r="B557" s="26">
        <f>VLOOKUP(Table1[[#This Row],[Date]],Database!A:D,3,)</f>
        <v>94479</v>
      </c>
      <c r="C557" s="27">
        <f t="shared" si="16"/>
        <v>381</v>
      </c>
      <c r="D557" s="27">
        <f t="shared" si="17"/>
        <v>350</v>
      </c>
      <c r="E557" s="63">
        <f>VLOOKUP(Table1[[#This Row],[Date]],Database!A:D,4,)</f>
        <v>7.2</v>
      </c>
      <c r="F557" s="63">
        <f>VLOOKUP(Table1[[#This Row],[Date]],Database!A:D,2,)</f>
        <v>64.599999999999994</v>
      </c>
      <c r="G557" s="57"/>
    </row>
    <row r="558" spans="1:7" x14ac:dyDescent="0.2">
      <c r="A558" s="56">
        <v>30864</v>
      </c>
      <c r="B558" s="26">
        <f>VLOOKUP(Table1[[#This Row],[Date]],Database!A:D,3,)</f>
        <v>94789</v>
      </c>
      <c r="C558" s="27">
        <f t="shared" si="16"/>
        <v>310</v>
      </c>
      <c r="D558" s="27">
        <f t="shared" si="17"/>
        <v>332.33333333333331</v>
      </c>
      <c r="E558" s="63">
        <f>VLOOKUP(Table1[[#This Row],[Date]],Database!A:D,4,)</f>
        <v>7.5</v>
      </c>
      <c r="F558" s="63">
        <f>VLOOKUP(Table1[[#This Row],[Date]],Database!A:D,2,)</f>
        <v>64.599999999999994</v>
      </c>
      <c r="G558" s="57"/>
    </row>
    <row r="559" spans="1:7" x14ac:dyDescent="0.2">
      <c r="A559" s="56">
        <v>30895</v>
      </c>
      <c r="B559" s="26">
        <f>VLOOKUP(Table1[[#This Row],[Date]],Database!A:D,3,)</f>
        <v>95032</v>
      </c>
      <c r="C559" s="27">
        <f t="shared" si="16"/>
        <v>243</v>
      </c>
      <c r="D559" s="27">
        <f t="shared" si="17"/>
        <v>311.33333333333331</v>
      </c>
      <c r="E559" s="63">
        <f>VLOOKUP(Table1[[#This Row],[Date]],Database!A:D,4,)</f>
        <v>7.5</v>
      </c>
      <c r="F559" s="63">
        <f>VLOOKUP(Table1[[#This Row],[Date]],Database!A:D,2,)</f>
        <v>64.400000000000006</v>
      </c>
      <c r="G559" s="57"/>
    </row>
    <row r="560" spans="1:7" x14ac:dyDescent="0.2">
      <c r="A560" s="56">
        <v>30926</v>
      </c>
      <c r="B560" s="26">
        <f>VLOOKUP(Table1[[#This Row],[Date]],Database!A:D,3,)</f>
        <v>95344</v>
      </c>
      <c r="C560" s="27">
        <f t="shared" si="16"/>
        <v>312</v>
      </c>
      <c r="D560" s="27">
        <f t="shared" si="17"/>
        <v>288.33333333333331</v>
      </c>
      <c r="E560" s="63">
        <f>VLOOKUP(Table1[[#This Row],[Date]],Database!A:D,4,)</f>
        <v>7.3</v>
      </c>
      <c r="F560" s="63">
        <f>VLOOKUP(Table1[[#This Row],[Date]],Database!A:D,2,)</f>
        <v>64.400000000000006</v>
      </c>
      <c r="G560" s="57"/>
    </row>
    <row r="561" spans="1:7" x14ac:dyDescent="0.2">
      <c r="A561" s="56">
        <v>30956</v>
      </c>
      <c r="B561" s="26">
        <f>VLOOKUP(Table1[[#This Row],[Date]],Database!A:D,3,)</f>
        <v>95629</v>
      </c>
      <c r="C561" s="27">
        <f t="shared" si="16"/>
        <v>285</v>
      </c>
      <c r="D561" s="27">
        <f t="shared" si="17"/>
        <v>280</v>
      </c>
      <c r="E561" s="63">
        <f>VLOOKUP(Table1[[#This Row],[Date]],Database!A:D,4,)</f>
        <v>7.4</v>
      </c>
      <c r="F561" s="63">
        <f>VLOOKUP(Table1[[#This Row],[Date]],Database!A:D,2,)</f>
        <v>64.400000000000006</v>
      </c>
      <c r="G561" s="57"/>
    </row>
    <row r="562" spans="1:7" x14ac:dyDescent="0.2">
      <c r="A562" s="56">
        <v>30987</v>
      </c>
      <c r="B562" s="26">
        <f>VLOOKUP(Table1[[#This Row],[Date]],Database!A:D,3,)</f>
        <v>95982</v>
      </c>
      <c r="C562" s="27">
        <f t="shared" si="16"/>
        <v>353</v>
      </c>
      <c r="D562" s="27">
        <f t="shared" si="17"/>
        <v>316.66666666666669</v>
      </c>
      <c r="E562" s="63">
        <f>VLOOKUP(Table1[[#This Row],[Date]],Database!A:D,4,)</f>
        <v>7.2</v>
      </c>
      <c r="F562" s="63">
        <f>VLOOKUP(Table1[[#This Row],[Date]],Database!A:D,2,)</f>
        <v>64.5</v>
      </c>
      <c r="G562" s="57"/>
    </row>
    <row r="563" spans="1:7" x14ac:dyDescent="0.2">
      <c r="A563" s="56">
        <v>31017</v>
      </c>
      <c r="B563" s="26">
        <f>VLOOKUP(Table1[[#This Row],[Date]],Database!A:D,3,)</f>
        <v>96107</v>
      </c>
      <c r="C563" s="27">
        <f t="shared" si="16"/>
        <v>125</v>
      </c>
      <c r="D563" s="27">
        <f t="shared" si="17"/>
        <v>254.33333333333334</v>
      </c>
      <c r="E563" s="63">
        <f>VLOOKUP(Table1[[#This Row],[Date]],Database!A:D,4,)</f>
        <v>7.3</v>
      </c>
      <c r="F563" s="63">
        <f>VLOOKUP(Table1[[#This Row],[Date]],Database!A:D,2,)</f>
        <v>64.599999999999994</v>
      </c>
      <c r="G563" s="57"/>
    </row>
    <row r="564" spans="1:7" x14ac:dyDescent="0.2">
      <c r="A564" s="56">
        <v>31048</v>
      </c>
      <c r="B564" s="26">
        <f>VLOOKUP(Table1[[#This Row],[Date]],Database!A:D,3,)</f>
        <v>96372</v>
      </c>
      <c r="C564" s="27">
        <f t="shared" si="16"/>
        <v>265</v>
      </c>
      <c r="D564" s="27">
        <f t="shared" si="17"/>
        <v>247.66666666666666</v>
      </c>
      <c r="E564" s="63">
        <f>VLOOKUP(Table1[[#This Row],[Date]],Database!A:D,4,)</f>
        <v>7.3</v>
      </c>
      <c r="F564" s="63">
        <f>VLOOKUP(Table1[[#This Row],[Date]],Database!A:D,2,)</f>
        <v>64.7</v>
      </c>
      <c r="G564" s="57"/>
    </row>
    <row r="565" spans="1:7" x14ac:dyDescent="0.2">
      <c r="A565" s="56">
        <v>31079</v>
      </c>
      <c r="B565" s="26">
        <f>VLOOKUP(Table1[[#This Row],[Date]],Database!A:D,3,)</f>
        <v>96503</v>
      </c>
      <c r="C565" s="27">
        <f t="shared" si="16"/>
        <v>131</v>
      </c>
      <c r="D565" s="27">
        <f t="shared" si="17"/>
        <v>173.66666666666666</v>
      </c>
      <c r="E565" s="63">
        <f>VLOOKUP(Table1[[#This Row],[Date]],Database!A:D,4,)</f>
        <v>7.2</v>
      </c>
      <c r="F565" s="63">
        <f>VLOOKUP(Table1[[#This Row],[Date]],Database!A:D,2,)</f>
        <v>64.7</v>
      </c>
      <c r="G565" s="57"/>
    </row>
    <row r="566" spans="1:7" x14ac:dyDescent="0.2">
      <c r="A566" s="56">
        <v>31107</v>
      </c>
      <c r="B566" s="26">
        <f>VLOOKUP(Table1[[#This Row],[Date]],Database!A:D,3,)</f>
        <v>96842</v>
      </c>
      <c r="C566" s="27">
        <f t="shared" si="16"/>
        <v>339</v>
      </c>
      <c r="D566" s="27">
        <f t="shared" si="17"/>
        <v>245</v>
      </c>
      <c r="E566" s="63">
        <f>VLOOKUP(Table1[[#This Row],[Date]],Database!A:D,4,)</f>
        <v>7.2</v>
      </c>
      <c r="F566" s="63">
        <f>VLOOKUP(Table1[[#This Row],[Date]],Database!A:D,2,)</f>
        <v>64.900000000000006</v>
      </c>
      <c r="G566" s="57"/>
    </row>
    <row r="567" spans="1:7" x14ac:dyDescent="0.2">
      <c r="A567" s="56">
        <v>31138</v>
      </c>
      <c r="B567" s="26">
        <f>VLOOKUP(Table1[[#This Row],[Date]],Database!A:D,3,)</f>
        <v>97038</v>
      </c>
      <c r="C567" s="27">
        <f t="shared" si="16"/>
        <v>196</v>
      </c>
      <c r="D567" s="27">
        <f t="shared" si="17"/>
        <v>222</v>
      </c>
      <c r="E567" s="63">
        <f>VLOOKUP(Table1[[#This Row],[Date]],Database!A:D,4,)</f>
        <v>7.3</v>
      </c>
      <c r="F567" s="63">
        <f>VLOOKUP(Table1[[#This Row],[Date]],Database!A:D,2,)</f>
        <v>64.900000000000006</v>
      </c>
      <c r="G567" s="57"/>
    </row>
    <row r="568" spans="1:7" x14ac:dyDescent="0.2">
      <c r="A568" s="56">
        <v>31168</v>
      </c>
      <c r="B568" s="26">
        <f>VLOOKUP(Table1[[#This Row],[Date]],Database!A:D,3,)</f>
        <v>97312</v>
      </c>
      <c r="C568" s="27">
        <f t="shared" si="16"/>
        <v>274</v>
      </c>
      <c r="D568" s="27">
        <f t="shared" si="17"/>
        <v>269.66666666666669</v>
      </c>
      <c r="E568" s="63">
        <f>VLOOKUP(Table1[[#This Row],[Date]],Database!A:D,4,)</f>
        <v>7.2</v>
      </c>
      <c r="F568" s="63">
        <f>VLOOKUP(Table1[[#This Row],[Date]],Database!A:D,2,)</f>
        <v>64.8</v>
      </c>
      <c r="G568" s="57"/>
    </row>
    <row r="569" spans="1:7" x14ac:dyDescent="0.2">
      <c r="A569" s="56">
        <v>31199</v>
      </c>
      <c r="B569" s="26">
        <f>VLOOKUP(Table1[[#This Row],[Date]],Database!A:D,3,)</f>
        <v>97459</v>
      </c>
      <c r="C569" s="27">
        <f t="shared" si="16"/>
        <v>147</v>
      </c>
      <c r="D569" s="27">
        <f t="shared" si="17"/>
        <v>205.66666666666666</v>
      </c>
      <c r="E569" s="63">
        <f>VLOOKUP(Table1[[#This Row],[Date]],Database!A:D,4,)</f>
        <v>7.4</v>
      </c>
      <c r="F569" s="63">
        <f>VLOOKUP(Table1[[#This Row],[Date]],Database!A:D,2,)</f>
        <v>64.599999999999994</v>
      </c>
      <c r="G569" s="57"/>
    </row>
    <row r="570" spans="1:7" x14ac:dyDescent="0.2">
      <c r="A570" s="56">
        <v>31229</v>
      </c>
      <c r="B570" s="26">
        <f>VLOOKUP(Table1[[#This Row],[Date]],Database!A:D,3,)</f>
        <v>97648</v>
      </c>
      <c r="C570" s="27">
        <f t="shared" si="16"/>
        <v>189</v>
      </c>
      <c r="D570" s="27">
        <f t="shared" si="17"/>
        <v>203.33333333333334</v>
      </c>
      <c r="E570" s="63">
        <f>VLOOKUP(Table1[[#This Row],[Date]],Database!A:D,4,)</f>
        <v>7.4</v>
      </c>
      <c r="F570" s="63">
        <f>VLOOKUP(Table1[[#This Row],[Date]],Database!A:D,2,)</f>
        <v>64.7</v>
      </c>
      <c r="G570" s="57"/>
    </row>
    <row r="571" spans="1:7" x14ac:dyDescent="0.2">
      <c r="A571" s="56">
        <v>31260</v>
      </c>
      <c r="B571" s="26">
        <f>VLOOKUP(Table1[[#This Row],[Date]],Database!A:D,3,)</f>
        <v>97840</v>
      </c>
      <c r="C571" s="27">
        <f t="shared" si="16"/>
        <v>192</v>
      </c>
      <c r="D571" s="27">
        <f t="shared" si="17"/>
        <v>176</v>
      </c>
      <c r="E571" s="63">
        <f>VLOOKUP(Table1[[#This Row],[Date]],Database!A:D,4,)</f>
        <v>7.1</v>
      </c>
      <c r="F571" s="63">
        <f>VLOOKUP(Table1[[#This Row],[Date]],Database!A:D,2,)</f>
        <v>64.599999999999994</v>
      </c>
      <c r="G571" s="57"/>
    </row>
    <row r="572" spans="1:7" x14ac:dyDescent="0.2">
      <c r="A572" s="56">
        <v>31291</v>
      </c>
      <c r="B572" s="26">
        <f>VLOOKUP(Table1[[#This Row],[Date]],Database!A:D,3,)</f>
        <v>98045</v>
      </c>
      <c r="C572" s="27">
        <f t="shared" si="16"/>
        <v>205</v>
      </c>
      <c r="D572" s="27">
        <f t="shared" si="17"/>
        <v>195.33333333333334</v>
      </c>
      <c r="E572" s="63">
        <f>VLOOKUP(Table1[[#This Row],[Date]],Database!A:D,4,)</f>
        <v>7.1</v>
      </c>
      <c r="F572" s="63">
        <f>VLOOKUP(Table1[[#This Row],[Date]],Database!A:D,2,)</f>
        <v>64.900000000000006</v>
      </c>
      <c r="G572" s="57"/>
    </row>
    <row r="573" spans="1:7" x14ac:dyDescent="0.2">
      <c r="A573" s="56">
        <v>31321</v>
      </c>
      <c r="B573" s="26">
        <f>VLOOKUP(Table1[[#This Row],[Date]],Database!A:D,3,)</f>
        <v>98233</v>
      </c>
      <c r="C573" s="27">
        <f t="shared" si="16"/>
        <v>188</v>
      </c>
      <c r="D573" s="27">
        <f t="shared" si="17"/>
        <v>195</v>
      </c>
      <c r="E573" s="63">
        <f>VLOOKUP(Table1[[#This Row],[Date]],Database!A:D,4,)</f>
        <v>7.1</v>
      </c>
      <c r="F573" s="63">
        <f>VLOOKUP(Table1[[#This Row],[Date]],Database!A:D,2,)</f>
        <v>65</v>
      </c>
      <c r="G573" s="57"/>
    </row>
    <row r="574" spans="1:7" x14ac:dyDescent="0.2">
      <c r="A574" s="56">
        <v>31352</v>
      </c>
      <c r="B574" s="26">
        <f>VLOOKUP(Table1[[#This Row],[Date]],Database!A:D,3,)</f>
        <v>98443</v>
      </c>
      <c r="C574" s="27">
        <f t="shared" si="16"/>
        <v>210</v>
      </c>
      <c r="D574" s="27">
        <f t="shared" si="17"/>
        <v>201</v>
      </c>
      <c r="E574" s="63">
        <f>VLOOKUP(Table1[[#This Row],[Date]],Database!A:D,4,)</f>
        <v>7</v>
      </c>
      <c r="F574" s="63">
        <f>VLOOKUP(Table1[[#This Row],[Date]],Database!A:D,2,)</f>
        <v>64.900000000000006</v>
      </c>
      <c r="G574" s="57"/>
    </row>
    <row r="575" spans="1:7" x14ac:dyDescent="0.2">
      <c r="A575" s="56">
        <v>31382</v>
      </c>
      <c r="B575" s="26">
        <f>VLOOKUP(Table1[[#This Row],[Date]],Database!A:D,3,)</f>
        <v>98609</v>
      </c>
      <c r="C575" s="27">
        <f t="shared" si="16"/>
        <v>166</v>
      </c>
      <c r="D575" s="27">
        <f t="shared" si="17"/>
        <v>188</v>
      </c>
      <c r="E575" s="63">
        <f>VLOOKUP(Table1[[#This Row],[Date]],Database!A:D,4,)</f>
        <v>7</v>
      </c>
      <c r="F575" s="63">
        <f>VLOOKUP(Table1[[#This Row],[Date]],Database!A:D,2,)</f>
        <v>65</v>
      </c>
      <c r="G575" s="57"/>
    </row>
    <row r="576" spans="1:7" x14ac:dyDescent="0.2">
      <c r="A576" s="56">
        <v>31413</v>
      </c>
      <c r="B576" s="26">
        <f>VLOOKUP(Table1[[#This Row],[Date]],Database!A:D,3,)</f>
        <v>98732</v>
      </c>
      <c r="C576" s="27">
        <f t="shared" si="16"/>
        <v>123</v>
      </c>
      <c r="D576" s="27">
        <f t="shared" si="17"/>
        <v>166.33333333333334</v>
      </c>
      <c r="E576" s="63">
        <f>VLOOKUP(Table1[[#This Row],[Date]],Database!A:D,4,)</f>
        <v>6.7</v>
      </c>
      <c r="F576" s="63">
        <f>VLOOKUP(Table1[[#This Row],[Date]],Database!A:D,2,)</f>
        <v>64.900000000000006</v>
      </c>
      <c r="G576" s="57"/>
    </row>
    <row r="577" spans="1:7" x14ac:dyDescent="0.2">
      <c r="A577" s="56">
        <v>31444</v>
      </c>
      <c r="B577" s="26">
        <f>VLOOKUP(Table1[[#This Row],[Date]],Database!A:D,3,)</f>
        <v>98847</v>
      </c>
      <c r="C577" s="27">
        <f t="shared" si="16"/>
        <v>115</v>
      </c>
      <c r="D577" s="27">
        <f t="shared" si="17"/>
        <v>134.66666666666666</v>
      </c>
      <c r="E577" s="63">
        <f>VLOOKUP(Table1[[#This Row],[Date]],Database!A:D,4,)</f>
        <v>7.2</v>
      </c>
      <c r="F577" s="63">
        <f>VLOOKUP(Table1[[#This Row],[Date]],Database!A:D,2,)</f>
        <v>65</v>
      </c>
      <c r="G577" s="57"/>
    </row>
    <row r="578" spans="1:7" x14ac:dyDescent="0.2">
      <c r="A578" s="56">
        <v>31472</v>
      </c>
      <c r="B578" s="26">
        <f>VLOOKUP(Table1[[#This Row],[Date]],Database!A:D,3,)</f>
        <v>98934</v>
      </c>
      <c r="C578" s="27">
        <f t="shared" si="16"/>
        <v>87</v>
      </c>
      <c r="D578" s="27">
        <f t="shared" si="17"/>
        <v>108.33333333333333</v>
      </c>
      <c r="E578" s="63">
        <f>VLOOKUP(Table1[[#This Row],[Date]],Database!A:D,4,)</f>
        <v>7.2</v>
      </c>
      <c r="F578" s="63">
        <f>VLOOKUP(Table1[[#This Row],[Date]],Database!A:D,2,)</f>
        <v>65.099999999999994</v>
      </c>
      <c r="G578" s="57"/>
    </row>
    <row r="579" spans="1:7" x14ac:dyDescent="0.2">
      <c r="A579" s="56">
        <v>31503</v>
      </c>
      <c r="B579" s="26">
        <f>VLOOKUP(Table1[[#This Row],[Date]],Database!A:D,3,)</f>
        <v>99121</v>
      </c>
      <c r="C579" s="27">
        <f t="shared" si="16"/>
        <v>187</v>
      </c>
      <c r="D579" s="27">
        <f t="shared" si="17"/>
        <v>129.66666666666666</v>
      </c>
      <c r="E579" s="63">
        <f>VLOOKUP(Table1[[#This Row],[Date]],Database!A:D,4,)</f>
        <v>7.1</v>
      </c>
      <c r="F579" s="63">
        <f>VLOOKUP(Table1[[#This Row],[Date]],Database!A:D,2,)</f>
        <v>65.099999999999994</v>
      </c>
      <c r="G579" s="57"/>
    </row>
    <row r="580" spans="1:7" x14ac:dyDescent="0.2">
      <c r="A580" s="56">
        <v>31533</v>
      </c>
      <c r="B580" s="26">
        <f>VLOOKUP(Table1[[#This Row],[Date]],Database!A:D,3,)</f>
        <v>99248</v>
      </c>
      <c r="C580" s="27">
        <f t="shared" si="16"/>
        <v>127</v>
      </c>
      <c r="D580" s="27">
        <f t="shared" si="17"/>
        <v>133.66666666666666</v>
      </c>
      <c r="E580" s="63">
        <f>VLOOKUP(Table1[[#This Row],[Date]],Database!A:D,4,)</f>
        <v>7.2</v>
      </c>
      <c r="F580" s="63">
        <f>VLOOKUP(Table1[[#This Row],[Date]],Database!A:D,2,)</f>
        <v>65.2</v>
      </c>
      <c r="G580" s="57"/>
    </row>
    <row r="581" spans="1:7" x14ac:dyDescent="0.2">
      <c r="A581" s="56">
        <v>31564</v>
      </c>
      <c r="B581" s="26">
        <f>VLOOKUP(Table1[[#This Row],[Date]],Database!A:D,3,)</f>
        <v>99155</v>
      </c>
      <c r="C581" s="27">
        <f t="shared" si="16"/>
        <v>-93</v>
      </c>
      <c r="D581" s="27">
        <f t="shared" si="17"/>
        <v>73.666666666666671</v>
      </c>
      <c r="E581" s="63">
        <f>VLOOKUP(Table1[[#This Row],[Date]],Database!A:D,4,)</f>
        <v>7.2</v>
      </c>
      <c r="F581" s="63">
        <f>VLOOKUP(Table1[[#This Row],[Date]],Database!A:D,2,)</f>
        <v>65.400000000000006</v>
      </c>
      <c r="G581" s="57"/>
    </row>
    <row r="582" spans="1:7" x14ac:dyDescent="0.2">
      <c r="A582" s="56">
        <v>31594</v>
      </c>
      <c r="B582" s="26">
        <f>VLOOKUP(Table1[[#This Row],[Date]],Database!A:D,3,)</f>
        <v>99473</v>
      </c>
      <c r="C582" s="27">
        <f t="shared" si="16"/>
        <v>318</v>
      </c>
      <c r="D582" s="27">
        <f t="shared" si="17"/>
        <v>117.33333333333333</v>
      </c>
      <c r="E582" s="63">
        <f>VLOOKUP(Table1[[#This Row],[Date]],Database!A:D,4,)</f>
        <v>7</v>
      </c>
      <c r="F582" s="63">
        <f>VLOOKUP(Table1[[#This Row],[Date]],Database!A:D,2,)</f>
        <v>65.400000000000006</v>
      </c>
      <c r="G582" s="57"/>
    </row>
    <row r="583" spans="1:7" x14ac:dyDescent="0.2">
      <c r="A583" s="56">
        <v>31625</v>
      </c>
      <c r="B583" s="26">
        <f>VLOOKUP(Table1[[#This Row],[Date]],Database!A:D,3,)</f>
        <v>99588</v>
      </c>
      <c r="C583" s="27">
        <f t="shared" si="16"/>
        <v>115</v>
      </c>
      <c r="D583" s="27">
        <f t="shared" si="17"/>
        <v>113.33333333333333</v>
      </c>
      <c r="E583" s="63">
        <f>VLOOKUP(Table1[[#This Row],[Date]],Database!A:D,4,)</f>
        <v>6.9</v>
      </c>
      <c r="F583" s="63">
        <f>VLOOKUP(Table1[[#This Row],[Date]],Database!A:D,2,)</f>
        <v>65.3</v>
      </c>
      <c r="G583" s="57"/>
    </row>
    <row r="584" spans="1:7" x14ac:dyDescent="0.2">
      <c r="A584" s="56">
        <v>31656</v>
      </c>
      <c r="B584" s="26">
        <f>VLOOKUP(Table1[[#This Row],[Date]],Database!A:D,3,)</f>
        <v>99934</v>
      </c>
      <c r="C584" s="27">
        <f t="shared" si="16"/>
        <v>346</v>
      </c>
      <c r="D584" s="27">
        <f t="shared" si="17"/>
        <v>259.66666666666669</v>
      </c>
      <c r="E584" s="63">
        <f>VLOOKUP(Table1[[#This Row],[Date]],Database!A:D,4,)</f>
        <v>7</v>
      </c>
      <c r="F584" s="63">
        <f>VLOOKUP(Table1[[#This Row],[Date]],Database!A:D,2,)</f>
        <v>65.400000000000006</v>
      </c>
      <c r="G584" s="57"/>
    </row>
    <row r="585" spans="1:7" x14ac:dyDescent="0.2">
      <c r="A585" s="56">
        <v>31686</v>
      </c>
      <c r="B585" s="26">
        <f>VLOOKUP(Table1[[#This Row],[Date]],Database!A:D,3,)</f>
        <v>100121</v>
      </c>
      <c r="C585" s="27">
        <f t="shared" si="16"/>
        <v>187</v>
      </c>
      <c r="D585" s="27">
        <f t="shared" si="17"/>
        <v>216</v>
      </c>
      <c r="E585" s="63">
        <f>VLOOKUP(Table1[[#This Row],[Date]],Database!A:D,4,)</f>
        <v>7</v>
      </c>
      <c r="F585" s="63">
        <f>VLOOKUP(Table1[[#This Row],[Date]],Database!A:D,2,)</f>
        <v>65.400000000000006</v>
      </c>
      <c r="G585" s="57"/>
    </row>
    <row r="586" spans="1:7" x14ac:dyDescent="0.2">
      <c r="A586" s="56">
        <v>31717</v>
      </c>
      <c r="B586" s="26">
        <f>VLOOKUP(Table1[[#This Row],[Date]],Database!A:D,3,)</f>
        <v>100308</v>
      </c>
      <c r="C586" s="27">
        <f t="shared" si="16"/>
        <v>187</v>
      </c>
      <c r="D586" s="27">
        <f t="shared" si="17"/>
        <v>240</v>
      </c>
      <c r="E586" s="63">
        <f>VLOOKUP(Table1[[#This Row],[Date]],Database!A:D,4,)</f>
        <v>6.9</v>
      </c>
      <c r="F586" s="63">
        <f>VLOOKUP(Table1[[#This Row],[Date]],Database!A:D,2,)</f>
        <v>65.400000000000006</v>
      </c>
      <c r="G586" s="57"/>
    </row>
    <row r="587" spans="1:7" x14ac:dyDescent="0.2">
      <c r="A587" s="56">
        <v>31747</v>
      </c>
      <c r="B587" s="26">
        <f>VLOOKUP(Table1[[#This Row],[Date]],Database!A:D,3,)</f>
        <v>100509</v>
      </c>
      <c r="C587" s="27">
        <f t="shared" si="16"/>
        <v>201</v>
      </c>
      <c r="D587" s="27">
        <f t="shared" si="17"/>
        <v>191.66666666666666</v>
      </c>
      <c r="E587" s="63">
        <f>VLOOKUP(Table1[[#This Row],[Date]],Database!A:D,4,)</f>
        <v>6.6</v>
      </c>
      <c r="F587" s="63">
        <f>VLOOKUP(Table1[[#This Row],[Date]],Database!A:D,2,)</f>
        <v>65.3</v>
      </c>
      <c r="G587" s="57"/>
    </row>
    <row r="588" spans="1:7" x14ac:dyDescent="0.2">
      <c r="A588" s="56">
        <v>31778</v>
      </c>
      <c r="B588" s="26">
        <f>VLOOKUP(Table1[[#This Row],[Date]],Database!A:D,3,)</f>
        <v>100678</v>
      </c>
      <c r="C588" s="27">
        <f t="shared" si="16"/>
        <v>169</v>
      </c>
      <c r="D588" s="27">
        <f t="shared" si="17"/>
        <v>185.66666666666666</v>
      </c>
      <c r="E588" s="63">
        <f>VLOOKUP(Table1[[#This Row],[Date]],Database!A:D,4,)</f>
        <v>6.6</v>
      </c>
      <c r="F588" s="63">
        <f>VLOOKUP(Table1[[#This Row],[Date]],Database!A:D,2,)</f>
        <v>65.400000000000006</v>
      </c>
      <c r="G588" s="57"/>
    </row>
    <row r="589" spans="1:7" x14ac:dyDescent="0.2">
      <c r="A589" s="56">
        <v>31809</v>
      </c>
      <c r="B589" s="26">
        <f>VLOOKUP(Table1[[#This Row],[Date]],Database!A:D,3,)</f>
        <v>100919</v>
      </c>
      <c r="C589" s="27">
        <f t="shared" ref="C589:C652" si="18">B589-B588</f>
        <v>241</v>
      </c>
      <c r="D589" s="27">
        <f t="shared" si="17"/>
        <v>203.66666666666666</v>
      </c>
      <c r="E589" s="63">
        <f>VLOOKUP(Table1[[#This Row],[Date]],Database!A:D,4,)</f>
        <v>6.6</v>
      </c>
      <c r="F589" s="63">
        <f>VLOOKUP(Table1[[#This Row],[Date]],Database!A:D,2,)</f>
        <v>65.5</v>
      </c>
      <c r="G589" s="57"/>
    </row>
    <row r="590" spans="1:7" x14ac:dyDescent="0.2">
      <c r="A590" s="56">
        <v>31837</v>
      </c>
      <c r="B590" s="26">
        <f>VLOOKUP(Table1[[#This Row],[Date]],Database!A:D,3,)</f>
        <v>101164</v>
      </c>
      <c r="C590" s="27">
        <f t="shared" si="18"/>
        <v>245</v>
      </c>
      <c r="D590" s="27">
        <f t="shared" si="17"/>
        <v>218.33333333333334</v>
      </c>
      <c r="E590" s="63">
        <f>VLOOKUP(Table1[[#This Row],[Date]],Database!A:D,4,)</f>
        <v>6.6</v>
      </c>
      <c r="F590" s="63">
        <f>VLOOKUP(Table1[[#This Row],[Date]],Database!A:D,2,)</f>
        <v>65.5</v>
      </c>
      <c r="G590" s="57"/>
    </row>
    <row r="591" spans="1:7" x14ac:dyDescent="0.2">
      <c r="A591" s="56">
        <v>31868</v>
      </c>
      <c r="B591" s="26">
        <f>VLOOKUP(Table1[[#This Row],[Date]],Database!A:D,3,)</f>
        <v>101499</v>
      </c>
      <c r="C591" s="27">
        <f t="shared" si="18"/>
        <v>335</v>
      </c>
      <c r="D591" s="27">
        <f t="shared" ref="D591:D654" si="19">AVERAGE(C589:C591)</f>
        <v>273.66666666666669</v>
      </c>
      <c r="E591" s="63">
        <f>VLOOKUP(Table1[[#This Row],[Date]],Database!A:D,4,)</f>
        <v>6.3</v>
      </c>
      <c r="F591" s="63">
        <f>VLOOKUP(Table1[[#This Row],[Date]],Database!A:D,2,)</f>
        <v>65.400000000000006</v>
      </c>
      <c r="G591" s="57"/>
    </row>
    <row r="592" spans="1:7" x14ac:dyDescent="0.2">
      <c r="A592" s="56">
        <v>31898</v>
      </c>
      <c r="B592" s="26">
        <f>VLOOKUP(Table1[[#This Row],[Date]],Database!A:D,3,)</f>
        <v>101728</v>
      </c>
      <c r="C592" s="27">
        <f t="shared" si="18"/>
        <v>229</v>
      </c>
      <c r="D592" s="27">
        <f t="shared" si="19"/>
        <v>269.66666666666669</v>
      </c>
      <c r="E592" s="63">
        <f>VLOOKUP(Table1[[#This Row],[Date]],Database!A:D,4,)</f>
        <v>6.3</v>
      </c>
      <c r="F592" s="63">
        <f>VLOOKUP(Table1[[#This Row],[Date]],Database!A:D,2,)</f>
        <v>65.7</v>
      </c>
      <c r="G592" s="57"/>
    </row>
    <row r="593" spans="1:7" x14ac:dyDescent="0.2">
      <c r="A593" s="56">
        <v>31929</v>
      </c>
      <c r="B593" s="26">
        <f>VLOOKUP(Table1[[#This Row],[Date]],Database!A:D,3,)</f>
        <v>101900</v>
      </c>
      <c r="C593" s="27">
        <f t="shared" si="18"/>
        <v>172</v>
      </c>
      <c r="D593" s="27">
        <f t="shared" si="19"/>
        <v>245.33333333333334</v>
      </c>
      <c r="E593" s="63">
        <f>VLOOKUP(Table1[[#This Row],[Date]],Database!A:D,4,)</f>
        <v>6.2</v>
      </c>
      <c r="F593" s="63">
        <f>VLOOKUP(Table1[[#This Row],[Date]],Database!A:D,2,)</f>
        <v>65.5</v>
      </c>
      <c r="G593" s="57"/>
    </row>
    <row r="594" spans="1:7" x14ac:dyDescent="0.2">
      <c r="A594" s="56">
        <v>31959</v>
      </c>
      <c r="B594" s="26">
        <f>VLOOKUP(Table1[[#This Row],[Date]],Database!A:D,3,)</f>
        <v>102247</v>
      </c>
      <c r="C594" s="27">
        <f t="shared" si="18"/>
        <v>347</v>
      </c>
      <c r="D594" s="27">
        <f t="shared" si="19"/>
        <v>249.33333333333334</v>
      </c>
      <c r="E594" s="63">
        <f>VLOOKUP(Table1[[#This Row],[Date]],Database!A:D,4,)</f>
        <v>6.1</v>
      </c>
      <c r="F594" s="63">
        <f>VLOOKUP(Table1[[#This Row],[Date]],Database!A:D,2,)</f>
        <v>65.599999999999994</v>
      </c>
      <c r="G594" s="57"/>
    </row>
    <row r="595" spans="1:7" x14ac:dyDescent="0.2">
      <c r="A595" s="56">
        <v>31990</v>
      </c>
      <c r="B595" s="26">
        <f>VLOOKUP(Table1[[#This Row],[Date]],Database!A:D,3,)</f>
        <v>102420</v>
      </c>
      <c r="C595" s="27">
        <f t="shared" si="18"/>
        <v>173</v>
      </c>
      <c r="D595" s="27">
        <f t="shared" si="19"/>
        <v>230.66666666666666</v>
      </c>
      <c r="E595" s="63">
        <f>VLOOKUP(Table1[[#This Row],[Date]],Database!A:D,4,)</f>
        <v>6</v>
      </c>
      <c r="F595" s="63">
        <f>VLOOKUP(Table1[[#This Row],[Date]],Database!A:D,2,)</f>
        <v>65.7</v>
      </c>
      <c r="G595" s="57"/>
    </row>
    <row r="596" spans="1:7" x14ac:dyDescent="0.2">
      <c r="A596" s="56">
        <v>32021</v>
      </c>
      <c r="B596" s="26">
        <f>VLOOKUP(Table1[[#This Row],[Date]],Database!A:D,3,)</f>
        <v>102647</v>
      </c>
      <c r="C596" s="27">
        <f t="shared" si="18"/>
        <v>227</v>
      </c>
      <c r="D596" s="27">
        <f t="shared" si="19"/>
        <v>249</v>
      </c>
      <c r="E596" s="63">
        <f>VLOOKUP(Table1[[#This Row],[Date]],Database!A:D,4,)</f>
        <v>5.9</v>
      </c>
      <c r="F596" s="63">
        <f>VLOOKUP(Table1[[#This Row],[Date]],Database!A:D,2,)</f>
        <v>65.5</v>
      </c>
      <c r="G596" s="57"/>
    </row>
    <row r="597" spans="1:7" x14ac:dyDescent="0.2">
      <c r="A597" s="56">
        <v>32051</v>
      </c>
      <c r="B597" s="26">
        <f>VLOOKUP(Table1[[#This Row],[Date]],Database!A:D,3,)</f>
        <v>103138</v>
      </c>
      <c r="C597" s="27">
        <f t="shared" si="18"/>
        <v>491</v>
      </c>
      <c r="D597" s="27">
        <f t="shared" si="19"/>
        <v>297</v>
      </c>
      <c r="E597" s="63">
        <f>VLOOKUP(Table1[[#This Row],[Date]],Database!A:D,4,)</f>
        <v>6</v>
      </c>
      <c r="F597" s="63">
        <f>VLOOKUP(Table1[[#This Row],[Date]],Database!A:D,2,)</f>
        <v>65.7</v>
      </c>
      <c r="G597" s="57"/>
    </row>
    <row r="598" spans="1:7" x14ac:dyDescent="0.2">
      <c r="A598" s="56">
        <v>32082</v>
      </c>
      <c r="B598" s="26">
        <f>VLOOKUP(Table1[[#This Row],[Date]],Database!A:D,3,)</f>
        <v>103372</v>
      </c>
      <c r="C598" s="27">
        <f t="shared" si="18"/>
        <v>234</v>
      </c>
      <c r="D598" s="27">
        <f t="shared" si="19"/>
        <v>317.33333333333331</v>
      </c>
      <c r="E598" s="63">
        <f>VLOOKUP(Table1[[#This Row],[Date]],Database!A:D,4,)</f>
        <v>5.8</v>
      </c>
      <c r="F598" s="63">
        <f>VLOOKUP(Table1[[#This Row],[Date]],Database!A:D,2,)</f>
        <v>65.7</v>
      </c>
      <c r="G598" s="57"/>
    </row>
    <row r="599" spans="1:7" x14ac:dyDescent="0.2">
      <c r="A599" s="56">
        <v>32112</v>
      </c>
      <c r="B599" s="26">
        <f>VLOOKUP(Table1[[#This Row],[Date]],Database!A:D,3,)</f>
        <v>103661</v>
      </c>
      <c r="C599" s="27">
        <f t="shared" si="18"/>
        <v>289</v>
      </c>
      <c r="D599" s="27">
        <f t="shared" si="19"/>
        <v>338</v>
      </c>
      <c r="E599" s="63">
        <f>VLOOKUP(Table1[[#This Row],[Date]],Database!A:D,4,)</f>
        <v>5.7</v>
      </c>
      <c r="F599" s="63">
        <f>VLOOKUP(Table1[[#This Row],[Date]],Database!A:D,2,)</f>
        <v>65.7</v>
      </c>
      <c r="G599" s="57"/>
    </row>
    <row r="600" spans="1:7" x14ac:dyDescent="0.2">
      <c r="A600" s="56">
        <v>32143</v>
      </c>
      <c r="B600" s="26">
        <f>VLOOKUP(Table1[[#This Row],[Date]],Database!A:D,3,)</f>
        <v>103753</v>
      </c>
      <c r="C600" s="27">
        <f t="shared" si="18"/>
        <v>92</v>
      </c>
      <c r="D600" s="27">
        <f t="shared" si="19"/>
        <v>205</v>
      </c>
      <c r="E600" s="63">
        <f>VLOOKUP(Table1[[#This Row],[Date]],Database!A:D,4,)</f>
        <v>5.7</v>
      </c>
      <c r="F600" s="63">
        <f>VLOOKUP(Table1[[#This Row],[Date]],Database!A:D,2,)</f>
        <v>65.8</v>
      </c>
      <c r="G600" s="57"/>
    </row>
    <row r="601" spans="1:7" x14ac:dyDescent="0.2">
      <c r="A601" s="56">
        <v>32174</v>
      </c>
      <c r="B601" s="26">
        <f>VLOOKUP(Table1[[#This Row],[Date]],Database!A:D,3,)</f>
        <v>104214</v>
      </c>
      <c r="C601" s="27">
        <f t="shared" si="18"/>
        <v>461</v>
      </c>
      <c r="D601" s="27">
        <f t="shared" si="19"/>
        <v>280.66666666666669</v>
      </c>
      <c r="E601" s="63">
        <f>VLOOKUP(Table1[[#This Row],[Date]],Database!A:D,4,)</f>
        <v>5.7</v>
      </c>
      <c r="F601" s="63">
        <f>VLOOKUP(Table1[[#This Row],[Date]],Database!A:D,2,)</f>
        <v>65.900000000000006</v>
      </c>
      <c r="G601" s="57"/>
    </row>
    <row r="602" spans="1:7" x14ac:dyDescent="0.2">
      <c r="A602" s="56">
        <v>32203</v>
      </c>
      <c r="B602" s="26">
        <f>VLOOKUP(Table1[[#This Row],[Date]],Database!A:D,3,)</f>
        <v>104489</v>
      </c>
      <c r="C602" s="27">
        <f t="shared" si="18"/>
        <v>275</v>
      </c>
      <c r="D602" s="27">
        <f t="shared" si="19"/>
        <v>276</v>
      </c>
      <c r="E602" s="63">
        <f>VLOOKUP(Table1[[#This Row],[Date]],Database!A:D,4,)</f>
        <v>5.7</v>
      </c>
      <c r="F602" s="63">
        <f>VLOOKUP(Table1[[#This Row],[Date]],Database!A:D,2,)</f>
        <v>65.7</v>
      </c>
      <c r="G602" s="57"/>
    </row>
    <row r="603" spans="1:7" x14ac:dyDescent="0.2">
      <c r="A603" s="56">
        <v>32234</v>
      </c>
      <c r="B603" s="26">
        <f>VLOOKUP(Table1[[#This Row],[Date]],Database!A:D,3,)</f>
        <v>104732</v>
      </c>
      <c r="C603" s="27">
        <f t="shared" si="18"/>
        <v>243</v>
      </c>
      <c r="D603" s="27">
        <f t="shared" si="19"/>
        <v>326.33333333333331</v>
      </c>
      <c r="E603" s="63">
        <f>VLOOKUP(Table1[[#This Row],[Date]],Database!A:D,4,)</f>
        <v>5.4</v>
      </c>
      <c r="F603" s="63">
        <f>VLOOKUP(Table1[[#This Row],[Date]],Database!A:D,2,)</f>
        <v>65.8</v>
      </c>
      <c r="G603" s="57"/>
    </row>
    <row r="604" spans="1:7" x14ac:dyDescent="0.2">
      <c r="A604" s="56">
        <v>32264</v>
      </c>
      <c r="B604" s="26">
        <f>VLOOKUP(Table1[[#This Row],[Date]],Database!A:D,3,)</f>
        <v>104962</v>
      </c>
      <c r="C604" s="27">
        <f t="shared" si="18"/>
        <v>230</v>
      </c>
      <c r="D604" s="27">
        <f t="shared" si="19"/>
        <v>249.33333333333334</v>
      </c>
      <c r="E604" s="63">
        <f>VLOOKUP(Table1[[#This Row],[Date]],Database!A:D,4,)</f>
        <v>5.6</v>
      </c>
      <c r="F604" s="63">
        <f>VLOOKUP(Table1[[#This Row],[Date]],Database!A:D,2,)</f>
        <v>65.7</v>
      </c>
      <c r="G604" s="57"/>
    </row>
    <row r="605" spans="1:7" x14ac:dyDescent="0.2">
      <c r="A605" s="56">
        <v>32295</v>
      </c>
      <c r="B605" s="26">
        <f>VLOOKUP(Table1[[#This Row],[Date]],Database!A:D,3,)</f>
        <v>105326</v>
      </c>
      <c r="C605" s="27">
        <f t="shared" si="18"/>
        <v>364</v>
      </c>
      <c r="D605" s="27">
        <f t="shared" si="19"/>
        <v>279</v>
      </c>
      <c r="E605" s="63">
        <f>VLOOKUP(Table1[[#This Row],[Date]],Database!A:D,4,)</f>
        <v>5.4</v>
      </c>
      <c r="F605" s="63">
        <f>VLOOKUP(Table1[[#This Row],[Date]],Database!A:D,2,)</f>
        <v>65.8</v>
      </c>
      <c r="G605" s="57"/>
    </row>
    <row r="606" spans="1:7" x14ac:dyDescent="0.2">
      <c r="A606" s="56">
        <v>32325</v>
      </c>
      <c r="B606" s="26">
        <f>VLOOKUP(Table1[[#This Row],[Date]],Database!A:D,3,)</f>
        <v>105550</v>
      </c>
      <c r="C606" s="27">
        <f t="shared" si="18"/>
        <v>224</v>
      </c>
      <c r="D606" s="27">
        <f t="shared" si="19"/>
        <v>272.66666666666669</v>
      </c>
      <c r="E606" s="63">
        <f>VLOOKUP(Table1[[#This Row],[Date]],Database!A:D,4,)</f>
        <v>5.4</v>
      </c>
      <c r="F606" s="63">
        <f>VLOOKUP(Table1[[#This Row],[Date]],Database!A:D,2,)</f>
        <v>65.900000000000006</v>
      </c>
      <c r="G606" s="57"/>
    </row>
    <row r="607" spans="1:7" x14ac:dyDescent="0.2">
      <c r="A607" s="56">
        <v>32356</v>
      </c>
      <c r="B607" s="26">
        <f>VLOOKUP(Table1[[#This Row],[Date]],Database!A:D,3,)</f>
        <v>105674</v>
      </c>
      <c r="C607" s="27">
        <f t="shared" si="18"/>
        <v>124</v>
      </c>
      <c r="D607" s="27">
        <f t="shared" si="19"/>
        <v>237.33333333333334</v>
      </c>
      <c r="E607" s="63">
        <f>VLOOKUP(Table1[[#This Row],[Date]],Database!A:D,4,)</f>
        <v>5.6</v>
      </c>
      <c r="F607" s="63">
        <f>VLOOKUP(Table1[[#This Row],[Date]],Database!A:D,2,)</f>
        <v>66.099999999999994</v>
      </c>
      <c r="G607" s="57"/>
    </row>
    <row r="608" spans="1:7" x14ac:dyDescent="0.2">
      <c r="A608" s="56">
        <v>32387</v>
      </c>
      <c r="B608" s="26">
        <f>VLOOKUP(Table1[[#This Row],[Date]],Database!A:D,3,)</f>
        <v>106013</v>
      </c>
      <c r="C608" s="27">
        <f t="shared" si="18"/>
        <v>339</v>
      </c>
      <c r="D608" s="27">
        <f t="shared" si="19"/>
        <v>229</v>
      </c>
      <c r="E608" s="63">
        <f>VLOOKUP(Table1[[#This Row],[Date]],Database!A:D,4,)</f>
        <v>5.4</v>
      </c>
      <c r="F608" s="63">
        <f>VLOOKUP(Table1[[#This Row],[Date]],Database!A:D,2,)</f>
        <v>65.900000000000006</v>
      </c>
      <c r="G608" s="57"/>
    </row>
    <row r="609" spans="1:7" x14ac:dyDescent="0.2">
      <c r="A609" s="56">
        <v>32417</v>
      </c>
      <c r="B609" s="26">
        <f>VLOOKUP(Table1[[#This Row],[Date]],Database!A:D,3,)</f>
        <v>106276</v>
      </c>
      <c r="C609" s="27">
        <f t="shared" si="18"/>
        <v>263</v>
      </c>
      <c r="D609" s="27">
        <f t="shared" si="19"/>
        <v>242</v>
      </c>
      <c r="E609" s="63">
        <f>VLOOKUP(Table1[[#This Row],[Date]],Database!A:D,4,)</f>
        <v>5.4</v>
      </c>
      <c r="F609" s="63">
        <f>VLOOKUP(Table1[[#This Row],[Date]],Database!A:D,2,)</f>
        <v>66</v>
      </c>
      <c r="G609" s="57"/>
    </row>
    <row r="610" spans="1:7" x14ac:dyDescent="0.2">
      <c r="A610" s="56">
        <v>32448</v>
      </c>
      <c r="B610" s="26">
        <f>VLOOKUP(Table1[[#This Row],[Date]],Database!A:D,3,)</f>
        <v>106617</v>
      </c>
      <c r="C610" s="27">
        <f t="shared" si="18"/>
        <v>341</v>
      </c>
      <c r="D610" s="27">
        <f t="shared" si="19"/>
        <v>314.33333333333331</v>
      </c>
      <c r="E610" s="63">
        <f>VLOOKUP(Table1[[#This Row],[Date]],Database!A:D,4,)</f>
        <v>5.3</v>
      </c>
      <c r="F610" s="63">
        <f>VLOOKUP(Table1[[#This Row],[Date]],Database!A:D,2,)</f>
        <v>66.2</v>
      </c>
      <c r="G610" s="57"/>
    </row>
    <row r="611" spans="1:7" x14ac:dyDescent="0.2">
      <c r="A611" s="56">
        <v>32478</v>
      </c>
      <c r="B611" s="26">
        <f>VLOOKUP(Table1[[#This Row],[Date]],Database!A:D,3,)</f>
        <v>106898</v>
      </c>
      <c r="C611" s="27">
        <f t="shared" si="18"/>
        <v>281</v>
      </c>
      <c r="D611" s="27">
        <f t="shared" si="19"/>
        <v>295</v>
      </c>
      <c r="E611" s="63">
        <f>VLOOKUP(Table1[[#This Row],[Date]],Database!A:D,4,)</f>
        <v>5.3</v>
      </c>
      <c r="F611" s="63">
        <f>VLOOKUP(Table1[[#This Row],[Date]],Database!A:D,2,)</f>
        <v>66.099999999999994</v>
      </c>
      <c r="G611" s="57"/>
    </row>
    <row r="612" spans="1:7" x14ac:dyDescent="0.2">
      <c r="A612" s="56">
        <v>32509</v>
      </c>
      <c r="B612" s="26">
        <f>VLOOKUP(Table1[[#This Row],[Date]],Database!A:D,3,)</f>
        <v>107161</v>
      </c>
      <c r="C612" s="27">
        <f t="shared" si="18"/>
        <v>263</v>
      </c>
      <c r="D612" s="27">
        <f t="shared" si="19"/>
        <v>295</v>
      </c>
      <c r="E612" s="63">
        <f>VLOOKUP(Table1[[#This Row],[Date]],Database!A:D,4,)</f>
        <v>5.4</v>
      </c>
      <c r="F612" s="63">
        <f>VLOOKUP(Table1[[#This Row],[Date]],Database!A:D,2,)</f>
        <v>66.5</v>
      </c>
      <c r="G612" s="57"/>
    </row>
    <row r="613" spans="1:7" x14ac:dyDescent="0.2">
      <c r="A613" s="56">
        <v>32540</v>
      </c>
      <c r="B613" s="26">
        <f>VLOOKUP(Table1[[#This Row],[Date]],Database!A:D,3,)</f>
        <v>107427</v>
      </c>
      <c r="C613" s="27">
        <f t="shared" si="18"/>
        <v>266</v>
      </c>
      <c r="D613" s="27">
        <f t="shared" si="19"/>
        <v>270</v>
      </c>
      <c r="E613" s="63">
        <f>VLOOKUP(Table1[[#This Row],[Date]],Database!A:D,4,)</f>
        <v>5.2</v>
      </c>
      <c r="F613" s="63">
        <f>VLOOKUP(Table1[[#This Row],[Date]],Database!A:D,2,)</f>
        <v>66.3</v>
      </c>
      <c r="G613" s="57"/>
    </row>
    <row r="614" spans="1:7" x14ac:dyDescent="0.2">
      <c r="A614" s="56">
        <v>32568</v>
      </c>
      <c r="B614" s="26">
        <f>VLOOKUP(Table1[[#This Row],[Date]],Database!A:D,3,)</f>
        <v>107621</v>
      </c>
      <c r="C614" s="27">
        <f t="shared" si="18"/>
        <v>194</v>
      </c>
      <c r="D614" s="27">
        <f t="shared" si="19"/>
        <v>241</v>
      </c>
      <c r="E614" s="63">
        <f>VLOOKUP(Table1[[#This Row],[Date]],Database!A:D,4,)</f>
        <v>5</v>
      </c>
      <c r="F614" s="63">
        <f>VLOOKUP(Table1[[#This Row],[Date]],Database!A:D,2,)</f>
        <v>66.3</v>
      </c>
      <c r="G614" s="57"/>
    </row>
    <row r="615" spans="1:7" x14ac:dyDescent="0.2">
      <c r="A615" s="56">
        <v>32599</v>
      </c>
      <c r="B615" s="26">
        <f>VLOOKUP(Table1[[#This Row],[Date]],Database!A:D,3,)</f>
        <v>107791</v>
      </c>
      <c r="C615" s="27">
        <f t="shared" si="18"/>
        <v>170</v>
      </c>
      <c r="D615" s="27">
        <f t="shared" si="19"/>
        <v>210</v>
      </c>
      <c r="E615" s="63">
        <f>VLOOKUP(Table1[[#This Row],[Date]],Database!A:D,4,)</f>
        <v>5.2</v>
      </c>
      <c r="F615" s="63">
        <f>VLOOKUP(Table1[[#This Row],[Date]],Database!A:D,2,)</f>
        <v>66.400000000000006</v>
      </c>
      <c r="G615" s="57"/>
    </row>
    <row r="616" spans="1:7" x14ac:dyDescent="0.2">
      <c r="A616" s="56">
        <v>32629</v>
      </c>
      <c r="B616" s="26">
        <f>VLOOKUP(Table1[[#This Row],[Date]],Database!A:D,3,)</f>
        <v>107913</v>
      </c>
      <c r="C616" s="27">
        <f t="shared" si="18"/>
        <v>122</v>
      </c>
      <c r="D616" s="27">
        <f t="shared" si="19"/>
        <v>162</v>
      </c>
      <c r="E616" s="63">
        <f>VLOOKUP(Table1[[#This Row],[Date]],Database!A:D,4,)</f>
        <v>5.2</v>
      </c>
      <c r="F616" s="63">
        <f>VLOOKUP(Table1[[#This Row],[Date]],Database!A:D,2,)</f>
        <v>66.3</v>
      </c>
      <c r="G616" s="57"/>
    </row>
    <row r="617" spans="1:7" x14ac:dyDescent="0.2">
      <c r="A617" s="56">
        <v>32660</v>
      </c>
      <c r="B617" s="26">
        <f>VLOOKUP(Table1[[#This Row],[Date]],Database!A:D,3,)</f>
        <v>108027</v>
      </c>
      <c r="C617" s="27">
        <f t="shared" si="18"/>
        <v>114</v>
      </c>
      <c r="D617" s="27">
        <f t="shared" si="19"/>
        <v>135.33333333333334</v>
      </c>
      <c r="E617" s="63">
        <f>VLOOKUP(Table1[[#This Row],[Date]],Database!A:D,4,)</f>
        <v>5.3</v>
      </c>
      <c r="F617" s="63">
        <f>VLOOKUP(Table1[[#This Row],[Date]],Database!A:D,2,)</f>
        <v>66.5</v>
      </c>
      <c r="G617" s="57"/>
    </row>
    <row r="618" spans="1:7" x14ac:dyDescent="0.2">
      <c r="A618" s="56">
        <v>32690</v>
      </c>
      <c r="B618" s="26">
        <f>VLOOKUP(Table1[[#This Row],[Date]],Database!A:D,3,)</f>
        <v>108069</v>
      </c>
      <c r="C618" s="27">
        <f t="shared" si="18"/>
        <v>42</v>
      </c>
      <c r="D618" s="27">
        <f t="shared" si="19"/>
        <v>92.666666666666671</v>
      </c>
      <c r="E618" s="63">
        <f>VLOOKUP(Table1[[#This Row],[Date]],Database!A:D,4,)</f>
        <v>5.2</v>
      </c>
      <c r="F618" s="63">
        <f>VLOOKUP(Table1[[#This Row],[Date]],Database!A:D,2,)</f>
        <v>66.5</v>
      </c>
      <c r="G618" s="57"/>
    </row>
    <row r="619" spans="1:7" x14ac:dyDescent="0.2">
      <c r="A619" s="56">
        <v>32721</v>
      </c>
      <c r="B619" s="26">
        <f>VLOOKUP(Table1[[#This Row],[Date]],Database!A:D,3,)</f>
        <v>108120</v>
      </c>
      <c r="C619" s="27">
        <f t="shared" si="18"/>
        <v>51</v>
      </c>
      <c r="D619" s="27">
        <f t="shared" si="19"/>
        <v>69</v>
      </c>
      <c r="E619" s="63">
        <f>VLOOKUP(Table1[[#This Row],[Date]],Database!A:D,4,)</f>
        <v>5.2</v>
      </c>
      <c r="F619" s="63">
        <f>VLOOKUP(Table1[[#This Row],[Date]],Database!A:D,2,)</f>
        <v>66.5</v>
      </c>
      <c r="G619" s="57"/>
    </row>
    <row r="620" spans="1:7" x14ac:dyDescent="0.2">
      <c r="A620" s="56">
        <v>32752</v>
      </c>
      <c r="B620" s="26">
        <f>VLOOKUP(Table1[[#This Row],[Date]],Database!A:D,3,)</f>
        <v>108369</v>
      </c>
      <c r="C620" s="27">
        <f t="shared" si="18"/>
        <v>249</v>
      </c>
      <c r="D620" s="27">
        <f t="shared" si="19"/>
        <v>114</v>
      </c>
      <c r="E620" s="63">
        <f>VLOOKUP(Table1[[#This Row],[Date]],Database!A:D,4,)</f>
        <v>5.3</v>
      </c>
      <c r="F620" s="63">
        <f>VLOOKUP(Table1[[#This Row],[Date]],Database!A:D,2,)</f>
        <v>66.400000000000006</v>
      </c>
      <c r="G620" s="57"/>
    </row>
    <row r="621" spans="1:7" x14ac:dyDescent="0.2">
      <c r="A621" s="56">
        <v>32782</v>
      </c>
      <c r="B621" s="26">
        <f>VLOOKUP(Table1[[#This Row],[Date]],Database!A:D,3,)</f>
        <v>108476</v>
      </c>
      <c r="C621" s="27">
        <f t="shared" si="18"/>
        <v>107</v>
      </c>
      <c r="D621" s="27">
        <f t="shared" si="19"/>
        <v>135.66666666666666</v>
      </c>
      <c r="E621" s="63">
        <f>VLOOKUP(Table1[[#This Row],[Date]],Database!A:D,4,)</f>
        <v>5.3</v>
      </c>
      <c r="F621" s="63">
        <f>VLOOKUP(Table1[[#This Row],[Date]],Database!A:D,2,)</f>
        <v>66.5</v>
      </c>
      <c r="G621" s="57"/>
    </row>
    <row r="622" spans="1:7" x14ac:dyDescent="0.2">
      <c r="A622" s="56">
        <v>32813</v>
      </c>
      <c r="B622" s="26">
        <f>VLOOKUP(Table1[[#This Row],[Date]],Database!A:D,3,)</f>
        <v>108752</v>
      </c>
      <c r="C622" s="27">
        <f t="shared" si="18"/>
        <v>276</v>
      </c>
      <c r="D622" s="27">
        <f t="shared" si="19"/>
        <v>210.66666666666666</v>
      </c>
      <c r="E622" s="63">
        <f>VLOOKUP(Table1[[#This Row],[Date]],Database!A:D,4,)</f>
        <v>5.4</v>
      </c>
      <c r="F622" s="63">
        <f>VLOOKUP(Table1[[#This Row],[Date]],Database!A:D,2,)</f>
        <v>66.599999999999994</v>
      </c>
      <c r="G622" s="57"/>
    </row>
    <row r="623" spans="1:7" x14ac:dyDescent="0.2">
      <c r="A623" s="56">
        <v>32843</v>
      </c>
      <c r="B623" s="26">
        <f>VLOOKUP(Table1[[#This Row],[Date]],Database!A:D,3,)</f>
        <v>108836</v>
      </c>
      <c r="C623" s="27">
        <f t="shared" si="18"/>
        <v>84</v>
      </c>
      <c r="D623" s="27">
        <f t="shared" si="19"/>
        <v>155.66666666666666</v>
      </c>
      <c r="E623" s="63">
        <f>VLOOKUP(Table1[[#This Row],[Date]],Database!A:D,4,)</f>
        <v>5.4</v>
      </c>
      <c r="F623" s="63">
        <f>VLOOKUP(Table1[[#This Row],[Date]],Database!A:D,2,)</f>
        <v>66.5</v>
      </c>
      <c r="G623" s="57"/>
    </row>
    <row r="624" spans="1:7" x14ac:dyDescent="0.2">
      <c r="A624" s="56">
        <v>32874</v>
      </c>
      <c r="B624" s="26">
        <f>VLOOKUP(Table1[[#This Row],[Date]],Database!A:D,3,)</f>
        <v>109199</v>
      </c>
      <c r="C624" s="27">
        <f t="shared" si="18"/>
        <v>363</v>
      </c>
      <c r="D624" s="27">
        <f t="shared" si="19"/>
        <v>241</v>
      </c>
      <c r="E624" s="63">
        <f>VLOOKUP(Table1[[#This Row],[Date]],Database!A:D,4,)</f>
        <v>5.4</v>
      </c>
      <c r="F624" s="63">
        <f>VLOOKUP(Table1[[#This Row],[Date]],Database!A:D,2,)</f>
        <v>66.8</v>
      </c>
      <c r="G624" s="57"/>
    </row>
    <row r="625" spans="1:7" x14ac:dyDescent="0.2">
      <c r="A625" s="56">
        <v>32905</v>
      </c>
      <c r="B625" s="26">
        <f>VLOOKUP(Table1[[#This Row],[Date]],Database!A:D,3,)</f>
        <v>109435</v>
      </c>
      <c r="C625" s="27">
        <f t="shared" si="18"/>
        <v>236</v>
      </c>
      <c r="D625" s="27">
        <f t="shared" si="19"/>
        <v>227.66666666666666</v>
      </c>
      <c r="E625" s="63">
        <f>VLOOKUP(Table1[[#This Row],[Date]],Database!A:D,4,)</f>
        <v>5.3</v>
      </c>
      <c r="F625" s="63">
        <f>VLOOKUP(Table1[[#This Row],[Date]],Database!A:D,2,)</f>
        <v>66.7</v>
      </c>
      <c r="G625" s="57"/>
    </row>
    <row r="626" spans="1:7" x14ac:dyDescent="0.2">
      <c r="A626" s="56">
        <v>32933</v>
      </c>
      <c r="B626" s="26">
        <f>VLOOKUP(Table1[[#This Row],[Date]],Database!A:D,3,)</f>
        <v>109644</v>
      </c>
      <c r="C626" s="27">
        <f t="shared" si="18"/>
        <v>209</v>
      </c>
      <c r="D626" s="27">
        <f t="shared" si="19"/>
        <v>269.33333333333331</v>
      </c>
      <c r="E626" s="63">
        <f>VLOOKUP(Table1[[#This Row],[Date]],Database!A:D,4,)</f>
        <v>5.2</v>
      </c>
      <c r="F626" s="63">
        <f>VLOOKUP(Table1[[#This Row],[Date]],Database!A:D,2,)</f>
        <v>66.7</v>
      </c>
      <c r="G626" s="57"/>
    </row>
    <row r="627" spans="1:7" x14ac:dyDescent="0.2">
      <c r="A627" s="56">
        <v>32964</v>
      </c>
      <c r="B627" s="26">
        <f>VLOOKUP(Table1[[#This Row],[Date]],Database!A:D,3,)</f>
        <v>109686</v>
      </c>
      <c r="C627" s="27">
        <f t="shared" si="18"/>
        <v>42</v>
      </c>
      <c r="D627" s="27">
        <f t="shared" si="19"/>
        <v>162.33333333333334</v>
      </c>
      <c r="E627" s="63">
        <f>VLOOKUP(Table1[[#This Row],[Date]],Database!A:D,4,)</f>
        <v>5.4</v>
      </c>
      <c r="F627" s="63">
        <f>VLOOKUP(Table1[[#This Row],[Date]],Database!A:D,2,)</f>
        <v>66.599999999999994</v>
      </c>
      <c r="G627" s="57"/>
    </row>
    <row r="628" spans="1:7" x14ac:dyDescent="0.2">
      <c r="A628" s="56">
        <v>32994</v>
      </c>
      <c r="B628" s="26">
        <f>VLOOKUP(Table1[[#This Row],[Date]],Database!A:D,3,)</f>
        <v>109839</v>
      </c>
      <c r="C628" s="27">
        <f t="shared" si="18"/>
        <v>153</v>
      </c>
      <c r="D628" s="27">
        <f t="shared" si="19"/>
        <v>134.66666666666666</v>
      </c>
      <c r="E628" s="63">
        <f>VLOOKUP(Table1[[#This Row],[Date]],Database!A:D,4,)</f>
        <v>5.4</v>
      </c>
      <c r="F628" s="63">
        <f>VLOOKUP(Table1[[#This Row],[Date]],Database!A:D,2,)</f>
        <v>66.599999999999994</v>
      </c>
      <c r="G628" s="57"/>
    </row>
    <row r="629" spans="1:7" x14ac:dyDescent="0.2">
      <c r="A629" s="56">
        <v>33025</v>
      </c>
      <c r="B629" s="26">
        <f>VLOOKUP(Table1[[#This Row],[Date]],Database!A:D,3,)</f>
        <v>109856</v>
      </c>
      <c r="C629" s="27">
        <f t="shared" si="18"/>
        <v>17</v>
      </c>
      <c r="D629" s="27">
        <f t="shared" si="19"/>
        <v>70.666666666666671</v>
      </c>
      <c r="E629" s="63">
        <f>VLOOKUP(Table1[[#This Row],[Date]],Database!A:D,4,)</f>
        <v>5.2</v>
      </c>
      <c r="F629" s="63">
        <f>VLOOKUP(Table1[[#This Row],[Date]],Database!A:D,2,)</f>
        <v>66.400000000000006</v>
      </c>
      <c r="G629" s="57"/>
    </row>
    <row r="630" spans="1:7" x14ac:dyDescent="0.2">
      <c r="A630" s="56">
        <v>33055</v>
      </c>
      <c r="B630" s="26">
        <f>VLOOKUP(Table1[[#This Row],[Date]],Database!A:D,3,)</f>
        <v>109824</v>
      </c>
      <c r="C630" s="27">
        <f t="shared" si="18"/>
        <v>-32</v>
      </c>
      <c r="D630" s="27">
        <f t="shared" si="19"/>
        <v>46</v>
      </c>
      <c r="E630" s="63">
        <f>VLOOKUP(Table1[[#This Row],[Date]],Database!A:D,4,)</f>
        <v>5.5</v>
      </c>
      <c r="F630" s="63">
        <f>VLOOKUP(Table1[[#This Row],[Date]],Database!A:D,2,)</f>
        <v>66.5</v>
      </c>
      <c r="G630" s="57"/>
    </row>
    <row r="631" spans="1:7" x14ac:dyDescent="0.2">
      <c r="A631" s="56">
        <v>33086</v>
      </c>
      <c r="B631" s="26">
        <f>VLOOKUP(Table1[[#This Row],[Date]],Database!A:D,3,)</f>
        <v>109616</v>
      </c>
      <c r="C631" s="27">
        <f t="shared" si="18"/>
        <v>-208</v>
      </c>
      <c r="D631" s="27">
        <f t="shared" si="19"/>
        <v>-74.333333333333329</v>
      </c>
      <c r="E631" s="63">
        <f>VLOOKUP(Table1[[#This Row],[Date]],Database!A:D,4,)</f>
        <v>5.7</v>
      </c>
      <c r="F631" s="63">
        <f>VLOOKUP(Table1[[#This Row],[Date]],Database!A:D,2,)</f>
        <v>66.5</v>
      </c>
      <c r="G631" s="57"/>
    </row>
    <row r="632" spans="1:7" x14ac:dyDescent="0.2">
      <c r="A632" s="56">
        <v>33117</v>
      </c>
      <c r="B632" s="26">
        <f>VLOOKUP(Table1[[#This Row],[Date]],Database!A:D,3,)</f>
        <v>109518</v>
      </c>
      <c r="C632" s="27">
        <f t="shared" si="18"/>
        <v>-98</v>
      </c>
      <c r="D632" s="27">
        <f t="shared" si="19"/>
        <v>-112.66666666666667</v>
      </c>
      <c r="E632" s="63">
        <f>VLOOKUP(Table1[[#This Row],[Date]],Database!A:D,4,)</f>
        <v>5.9</v>
      </c>
      <c r="F632" s="63">
        <f>VLOOKUP(Table1[[#This Row],[Date]],Database!A:D,2,)</f>
        <v>66.400000000000006</v>
      </c>
      <c r="G632" s="57"/>
    </row>
    <row r="633" spans="1:7" x14ac:dyDescent="0.2">
      <c r="A633" s="56">
        <v>33147</v>
      </c>
      <c r="B633" s="26">
        <f>VLOOKUP(Table1[[#This Row],[Date]],Database!A:D,3,)</f>
        <v>109367</v>
      </c>
      <c r="C633" s="27">
        <f t="shared" si="18"/>
        <v>-151</v>
      </c>
      <c r="D633" s="27">
        <f t="shared" si="19"/>
        <v>-152.33333333333334</v>
      </c>
      <c r="E633" s="63">
        <f>VLOOKUP(Table1[[#This Row],[Date]],Database!A:D,4,)</f>
        <v>5.9</v>
      </c>
      <c r="F633" s="63">
        <f>VLOOKUP(Table1[[#This Row],[Date]],Database!A:D,2,)</f>
        <v>66.400000000000006</v>
      </c>
      <c r="G633" s="57"/>
    </row>
    <row r="634" spans="1:7" x14ac:dyDescent="0.2">
      <c r="A634" s="56">
        <v>33178</v>
      </c>
      <c r="B634" s="26">
        <f>VLOOKUP(Table1[[#This Row],[Date]],Database!A:D,3,)</f>
        <v>109214</v>
      </c>
      <c r="C634" s="27">
        <f t="shared" si="18"/>
        <v>-153</v>
      </c>
      <c r="D634" s="27">
        <f t="shared" si="19"/>
        <v>-134</v>
      </c>
      <c r="E634" s="63">
        <f>VLOOKUP(Table1[[#This Row],[Date]],Database!A:D,4,)</f>
        <v>6.2</v>
      </c>
      <c r="F634" s="63">
        <f>VLOOKUP(Table1[[#This Row],[Date]],Database!A:D,2,)</f>
        <v>66.400000000000006</v>
      </c>
      <c r="G634" s="57"/>
    </row>
    <row r="635" spans="1:7" x14ac:dyDescent="0.2">
      <c r="A635" s="56">
        <v>33208</v>
      </c>
      <c r="B635" s="26">
        <f>VLOOKUP(Table1[[#This Row],[Date]],Database!A:D,3,)</f>
        <v>109166</v>
      </c>
      <c r="C635" s="27">
        <f t="shared" si="18"/>
        <v>-48</v>
      </c>
      <c r="D635" s="27">
        <f t="shared" si="19"/>
        <v>-117.33333333333333</v>
      </c>
      <c r="E635" s="63">
        <f>VLOOKUP(Table1[[#This Row],[Date]],Database!A:D,4,)</f>
        <v>6.3</v>
      </c>
      <c r="F635" s="63">
        <f>VLOOKUP(Table1[[#This Row],[Date]],Database!A:D,2,)</f>
        <v>66.400000000000006</v>
      </c>
      <c r="G635" s="57"/>
    </row>
    <row r="636" spans="1:7" x14ac:dyDescent="0.2">
      <c r="A636" s="56">
        <v>33239</v>
      </c>
      <c r="B636" s="26">
        <f>VLOOKUP(Table1[[#This Row],[Date]],Database!A:D,3,)</f>
        <v>109055</v>
      </c>
      <c r="C636" s="27">
        <f t="shared" si="18"/>
        <v>-111</v>
      </c>
      <c r="D636" s="27">
        <f t="shared" si="19"/>
        <v>-104</v>
      </c>
      <c r="E636" s="63">
        <f>VLOOKUP(Table1[[#This Row],[Date]],Database!A:D,4,)</f>
        <v>6.4</v>
      </c>
      <c r="F636" s="63">
        <f>VLOOKUP(Table1[[#This Row],[Date]],Database!A:D,2,)</f>
        <v>66.2</v>
      </c>
      <c r="G636" s="57"/>
    </row>
    <row r="637" spans="1:7" x14ac:dyDescent="0.2">
      <c r="A637" s="56">
        <v>33270</v>
      </c>
      <c r="B637" s="26">
        <f>VLOOKUP(Table1[[#This Row],[Date]],Database!A:D,3,)</f>
        <v>108734</v>
      </c>
      <c r="C637" s="27">
        <f t="shared" si="18"/>
        <v>-321</v>
      </c>
      <c r="D637" s="27">
        <f t="shared" si="19"/>
        <v>-160</v>
      </c>
      <c r="E637" s="63">
        <f>VLOOKUP(Table1[[#This Row],[Date]],Database!A:D,4,)</f>
        <v>6.6</v>
      </c>
      <c r="F637" s="63">
        <f>VLOOKUP(Table1[[#This Row],[Date]],Database!A:D,2,)</f>
        <v>66.2</v>
      </c>
      <c r="G637" s="57"/>
    </row>
    <row r="638" spans="1:7" x14ac:dyDescent="0.2">
      <c r="A638" s="56">
        <v>33298</v>
      </c>
      <c r="B638" s="26">
        <f>VLOOKUP(Table1[[#This Row],[Date]],Database!A:D,3,)</f>
        <v>108574</v>
      </c>
      <c r="C638" s="27">
        <f t="shared" si="18"/>
        <v>-160</v>
      </c>
      <c r="D638" s="27">
        <f t="shared" si="19"/>
        <v>-197.33333333333334</v>
      </c>
      <c r="E638" s="63">
        <f>VLOOKUP(Table1[[#This Row],[Date]],Database!A:D,4,)</f>
        <v>6.8</v>
      </c>
      <c r="F638" s="63">
        <f>VLOOKUP(Table1[[#This Row],[Date]],Database!A:D,2,)</f>
        <v>66.3</v>
      </c>
      <c r="G638" s="57"/>
    </row>
    <row r="639" spans="1:7" x14ac:dyDescent="0.2">
      <c r="A639" s="56">
        <v>33329</v>
      </c>
      <c r="B639" s="26">
        <f>VLOOKUP(Table1[[#This Row],[Date]],Database!A:D,3,)</f>
        <v>108364</v>
      </c>
      <c r="C639" s="27">
        <f t="shared" si="18"/>
        <v>-210</v>
      </c>
      <c r="D639" s="27">
        <f t="shared" si="19"/>
        <v>-230.33333333333334</v>
      </c>
      <c r="E639" s="63">
        <f>VLOOKUP(Table1[[#This Row],[Date]],Database!A:D,4,)</f>
        <v>6.7</v>
      </c>
      <c r="F639" s="63">
        <f>VLOOKUP(Table1[[#This Row],[Date]],Database!A:D,2,)</f>
        <v>66.400000000000006</v>
      </c>
      <c r="G639" s="57"/>
    </row>
    <row r="640" spans="1:7" x14ac:dyDescent="0.2">
      <c r="A640" s="56">
        <v>33359</v>
      </c>
      <c r="B640" s="26">
        <f>VLOOKUP(Table1[[#This Row],[Date]],Database!A:D,3,)</f>
        <v>108249</v>
      </c>
      <c r="C640" s="27">
        <f t="shared" si="18"/>
        <v>-115</v>
      </c>
      <c r="D640" s="27">
        <f t="shared" si="19"/>
        <v>-161.66666666666666</v>
      </c>
      <c r="E640" s="63">
        <f>VLOOKUP(Table1[[#This Row],[Date]],Database!A:D,4,)</f>
        <v>6.9</v>
      </c>
      <c r="F640" s="63">
        <f>VLOOKUP(Table1[[#This Row],[Date]],Database!A:D,2,)</f>
        <v>66.2</v>
      </c>
      <c r="G640" s="57"/>
    </row>
    <row r="641" spans="1:7" x14ac:dyDescent="0.2">
      <c r="A641" s="56">
        <v>33390</v>
      </c>
      <c r="B641" s="26">
        <f>VLOOKUP(Table1[[#This Row],[Date]],Database!A:D,3,)</f>
        <v>108334</v>
      </c>
      <c r="C641" s="27">
        <f t="shared" si="18"/>
        <v>85</v>
      </c>
      <c r="D641" s="27">
        <f t="shared" si="19"/>
        <v>-80</v>
      </c>
      <c r="E641" s="63">
        <f>VLOOKUP(Table1[[#This Row],[Date]],Database!A:D,4,)</f>
        <v>6.9</v>
      </c>
      <c r="F641" s="63">
        <f>VLOOKUP(Table1[[#This Row],[Date]],Database!A:D,2,)</f>
        <v>66.2</v>
      </c>
      <c r="G641" s="57"/>
    </row>
    <row r="642" spans="1:7" x14ac:dyDescent="0.2">
      <c r="A642" s="56">
        <v>33420</v>
      </c>
      <c r="B642" s="26">
        <f>VLOOKUP(Table1[[#This Row],[Date]],Database!A:D,3,)</f>
        <v>108292</v>
      </c>
      <c r="C642" s="27">
        <f t="shared" si="18"/>
        <v>-42</v>
      </c>
      <c r="D642" s="27">
        <f t="shared" si="19"/>
        <v>-24</v>
      </c>
      <c r="E642" s="63">
        <f>VLOOKUP(Table1[[#This Row],[Date]],Database!A:D,4,)</f>
        <v>6.8</v>
      </c>
      <c r="F642" s="63">
        <f>VLOOKUP(Table1[[#This Row],[Date]],Database!A:D,2,)</f>
        <v>66.099999999999994</v>
      </c>
      <c r="G642" s="57"/>
    </row>
    <row r="643" spans="1:7" x14ac:dyDescent="0.2">
      <c r="A643" s="56">
        <v>33451</v>
      </c>
      <c r="B643" s="26">
        <f>VLOOKUP(Table1[[#This Row],[Date]],Database!A:D,3,)</f>
        <v>108310</v>
      </c>
      <c r="C643" s="27">
        <f t="shared" si="18"/>
        <v>18</v>
      </c>
      <c r="D643" s="27">
        <f t="shared" si="19"/>
        <v>20.333333333333332</v>
      </c>
      <c r="E643" s="63">
        <f>VLOOKUP(Table1[[#This Row],[Date]],Database!A:D,4,)</f>
        <v>6.9</v>
      </c>
      <c r="F643" s="63">
        <f>VLOOKUP(Table1[[#This Row],[Date]],Database!A:D,2,)</f>
        <v>66</v>
      </c>
      <c r="G643" s="57"/>
    </row>
    <row r="644" spans="1:7" x14ac:dyDescent="0.2">
      <c r="A644" s="56">
        <v>33482</v>
      </c>
      <c r="B644" s="26">
        <f>VLOOKUP(Table1[[#This Row],[Date]],Database!A:D,3,)</f>
        <v>108336</v>
      </c>
      <c r="C644" s="27">
        <f t="shared" si="18"/>
        <v>26</v>
      </c>
      <c r="D644" s="27">
        <f t="shared" si="19"/>
        <v>0.66666666666666663</v>
      </c>
      <c r="E644" s="63">
        <f>VLOOKUP(Table1[[#This Row],[Date]],Database!A:D,4,)</f>
        <v>6.9</v>
      </c>
      <c r="F644" s="63">
        <f>VLOOKUP(Table1[[#This Row],[Date]],Database!A:D,2,)</f>
        <v>66.2</v>
      </c>
      <c r="G644" s="57"/>
    </row>
    <row r="645" spans="1:7" x14ac:dyDescent="0.2">
      <c r="A645" s="56">
        <v>33512</v>
      </c>
      <c r="B645" s="26">
        <f>VLOOKUP(Table1[[#This Row],[Date]],Database!A:D,3,)</f>
        <v>108357</v>
      </c>
      <c r="C645" s="27">
        <f t="shared" si="18"/>
        <v>21</v>
      </c>
      <c r="D645" s="27">
        <f t="shared" si="19"/>
        <v>21.666666666666668</v>
      </c>
      <c r="E645" s="63">
        <f>VLOOKUP(Table1[[#This Row],[Date]],Database!A:D,4,)</f>
        <v>7</v>
      </c>
      <c r="F645" s="63">
        <f>VLOOKUP(Table1[[#This Row],[Date]],Database!A:D,2,)</f>
        <v>66.099999999999994</v>
      </c>
      <c r="G645" s="57"/>
    </row>
    <row r="646" spans="1:7" x14ac:dyDescent="0.2">
      <c r="A646" s="56">
        <v>33543</v>
      </c>
      <c r="B646" s="26">
        <f>VLOOKUP(Table1[[#This Row],[Date]],Database!A:D,3,)</f>
        <v>108296</v>
      </c>
      <c r="C646" s="27">
        <f t="shared" si="18"/>
        <v>-61</v>
      </c>
      <c r="D646" s="27">
        <f t="shared" si="19"/>
        <v>-4.666666666666667</v>
      </c>
      <c r="E646" s="63">
        <f>VLOOKUP(Table1[[#This Row],[Date]],Database!A:D,4,)</f>
        <v>7</v>
      </c>
      <c r="F646" s="63">
        <f>VLOOKUP(Table1[[#This Row],[Date]],Database!A:D,2,)</f>
        <v>66.099999999999994</v>
      </c>
      <c r="G646" s="57"/>
    </row>
    <row r="647" spans="1:7" x14ac:dyDescent="0.2">
      <c r="A647" s="56">
        <v>33573</v>
      </c>
      <c r="B647" s="26">
        <f>VLOOKUP(Table1[[#This Row],[Date]],Database!A:D,3,)</f>
        <v>108328</v>
      </c>
      <c r="C647" s="27">
        <f t="shared" si="18"/>
        <v>32</v>
      </c>
      <c r="D647" s="27">
        <f t="shared" si="19"/>
        <v>-2.6666666666666665</v>
      </c>
      <c r="E647" s="63">
        <f>VLOOKUP(Table1[[#This Row],[Date]],Database!A:D,4,)</f>
        <v>7.3</v>
      </c>
      <c r="F647" s="63">
        <f>VLOOKUP(Table1[[#This Row],[Date]],Database!A:D,2,)</f>
        <v>66</v>
      </c>
      <c r="G647" s="57"/>
    </row>
    <row r="648" spans="1:7" x14ac:dyDescent="0.2">
      <c r="A648" s="56">
        <v>33604</v>
      </c>
      <c r="B648" s="26">
        <f>VLOOKUP(Table1[[#This Row],[Date]],Database!A:D,3,)</f>
        <v>108369</v>
      </c>
      <c r="C648" s="27">
        <f t="shared" si="18"/>
        <v>41</v>
      </c>
      <c r="D648" s="27">
        <f t="shared" si="19"/>
        <v>4</v>
      </c>
      <c r="E648" s="63">
        <f>VLOOKUP(Table1[[#This Row],[Date]],Database!A:D,4,)</f>
        <v>7.3</v>
      </c>
      <c r="F648" s="63">
        <f>VLOOKUP(Table1[[#This Row],[Date]],Database!A:D,2,)</f>
        <v>66.3</v>
      </c>
      <c r="G648" s="57"/>
    </row>
    <row r="649" spans="1:7" x14ac:dyDescent="0.2">
      <c r="A649" s="56">
        <v>33635</v>
      </c>
      <c r="B649" s="26">
        <f>VLOOKUP(Table1[[#This Row],[Date]],Database!A:D,3,)</f>
        <v>108311</v>
      </c>
      <c r="C649" s="27">
        <f t="shared" si="18"/>
        <v>-58</v>
      </c>
      <c r="D649" s="27">
        <f t="shared" si="19"/>
        <v>5</v>
      </c>
      <c r="E649" s="63">
        <f>VLOOKUP(Table1[[#This Row],[Date]],Database!A:D,4,)</f>
        <v>7.4</v>
      </c>
      <c r="F649" s="63">
        <f>VLOOKUP(Table1[[#This Row],[Date]],Database!A:D,2,)</f>
        <v>66.2</v>
      </c>
      <c r="G649" s="57"/>
    </row>
    <row r="650" spans="1:7" x14ac:dyDescent="0.2">
      <c r="A650" s="56">
        <v>33664</v>
      </c>
      <c r="B650" s="26">
        <f>VLOOKUP(Table1[[#This Row],[Date]],Database!A:D,3,)</f>
        <v>108365</v>
      </c>
      <c r="C650" s="27">
        <f t="shared" si="18"/>
        <v>54</v>
      </c>
      <c r="D650" s="27">
        <f t="shared" si="19"/>
        <v>12.333333333333334</v>
      </c>
      <c r="E650" s="63">
        <f>VLOOKUP(Table1[[#This Row],[Date]],Database!A:D,4,)</f>
        <v>7.4</v>
      </c>
      <c r="F650" s="63">
        <f>VLOOKUP(Table1[[#This Row],[Date]],Database!A:D,2,)</f>
        <v>66.400000000000006</v>
      </c>
      <c r="G650" s="57"/>
    </row>
    <row r="651" spans="1:7" x14ac:dyDescent="0.2">
      <c r="A651" s="56">
        <v>33695</v>
      </c>
      <c r="B651" s="26">
        <f>VLOOKUP(Table1[[#This Row],[Date]],Database!A:D,3,)</f>
        <v>108519</v>
      </c>
      <c r="C651" s="27">
        <f t="shared" si="18"/>
        <v>154</v>
      </c>
      <c r="D651" s="27">
        <f t="shared" si="19"/>
        <v>50</v>
      </c>
      <c r="E651" s="63">
        <f>VLOOKUP(Table1[[#This Row],[Date]],Database!A:D,4,)</f>
        <v>7.4</v>
      </c>
      <c r="F651" s="63">
        <f>VLOOKUP(Table1[[#This Row],[Date]],Database!A:D,2,)</f>
        <v>66.5</v>
      </c>
      <c r="G651" s="57"/>
    </row>
    <row r="652" spans="1:7" x14ac:dyDescent="0.2">
      <c r="A652" s="56">
        <v>33725</v>
      </c>
      <c r="B652" s="26">
        <f>VLOOKUP(Table1[[#This Row],[Date]],Database!A:D,3,)</f>
        <v>108649</v>
      </c>
      <c r="C652" s="27">
        <f t="shared" si="18"/>
        <v>130</v>
      </c>
      <c r="D652" s="27">
        <f t="shared" si="19"/>
        <v>112.66666666666667</v>
      </c>
      <c r="E652" s="63">
        <f>VLOOKUP(Table1[[#This Row],[Date]],Database!A:D,4,)</f>
        <v>7.6</v>
      </c>
      <c r="F652" s="63">
        <f>VLOOKUP(Table1[[#This Row],[Date]],Database!A:D,2,)</f>
        <v>66.599999999999994</v>
      </c>
      <c r="G652" s="57"/>
    </row>
    <row r="653" spans="1:7" x14ac:dyDescent="0.2">
      <c r="A653" s="56">
        <v>33756</v>
      </c>
      <c r="B653" s="26">
        <f>VLOOKUP(Table1[[#This Row],[Date]],Database!A:D,3,)</f>
        <v>108715</v>
      </c>
      <c r="C653" s="27">
        <f t="shared" ref="C653:C716" si="20">B653-B652</f>
        <v>66</v>
      </c>
      <c r="D653" s="27">
        <f t="shared" si="19"/>
        <v>116.66666666666667</v>
      </c>
      <c r="E653" s="63">
        <f>VLOOKUP(Table1[[#This Row],[Date]],Database!A:D,4,)</f>
        <v>7.8</v>
      </c>
      <c r="F653" s="63">
        <f>VLOOKUP(Table1[[#This Row],[Date]],Database!A:D,2,)</f>
        <v>66.7</v>
      </c>
      <c r="G653" s="57"/>
    </row>
    <row r="654" spans="1:7" x14ac:dyDescent="0.2">
      <c r="A654" s="56">
        <v>33786</v>
      </c>
      <c r="B654" s="26">
        <f>VLOOKUP(Table1[[#This Row],[Date]],Database!A:D,3,)</f>
        <v>108793</v>
      </c>
      <c r="C654" s="27">
        <f t="shared" si="20"/>
        <v>78</v>
      </c>
      <c r="D654" s="27">
        <f t="shared" si="19"/>
        <v>91.333333333333329</v>
      </c>
      <c r="E654" s="63">
        <f>VLOOKUP(Table1[[#This Row],[Date]],Database!A:D,4,)</f>
        <v>7.7</v>
      </c>
      <c r="F654" s="63">
        <f>VLOOKUP(Table1[[#This Row],[Date]],Database!A:D,2,)</f>
        <v>66.7</v>
      </c>
      <c r="G654" s="57"/>
    </row>
    <row r="655" spans="1:7" x14ac:dyDescent="0.2">
      <c r="A655" s="56">
        <v>33817</v>
      </c>
      <c r="B655" s="26">
        <f>VLOOKUP(Table1[[#This Row],[Date]],Database!A:D,3,)</f>
        <v>108925</v>
      </c>
      <c r="C655" s="27">
        <f t="shared" si="20"/>
        <v>132</v>
      </c>
      <c r="D655" s="27">
        <f t="shared" ref="D655:D718" si="21">AVERAGE(C653:C655)</f>
        <v>92</v>
      </c>
      <c r="E655" s="63">
        <f>VLOOKUP(Table1[[#This Row],[Date]],Database!A:D,4,)</f>
        <v>7.6</v>
      </c>
      <c r="F655" s="63">
        <f>VLOOKUP(Table1[[#This Row],[Date]],Database!A:D,2,)</f>
        <v>66.599999999999994</v>
      </c>
      <c r="G655" s="57"/>
    </row>
    <row r="656" spans="1:7" x14ac:dyDescent="0.2">
      <c r="A656" s="56">
        <v>33848</v>
      </c>
      <c r="B656" s="26">
        <f>VLOOKUP(Table1[[#This Row],[Date]],Database!A:D,3,)</f>
        <v>108959</v>
      </c>
      <c r="C656" s="27">
        <f t="shared" si="20"/>
        <v>34</v>
      </c>
      <c r="D656" s="27">
        <f t="shared" si="21"/>
        <v>81.333333333333329</v>
      </c>
      <c r="E656" s="63">
        <f>VLOOKUP(Table1[[#This Row],[Date]],Database!A:D,4,)</f>
        <v>7.6</v>
      </c>
      <c r="F656" s="63">
        <f>VLOOKUP(Table1[[#This Row],[Date]],Database!A:D,2,)</f>
        <v>66.5</v>
      </c>
      <c r="G656" s="57"/>
    </row>
    <row r="657" spans="1:7" x14ac:dyDescent="0.2">
      <c r="A657" s="56">
        <v>33878</v>
      </c>
      <c r="B657" s="26">
        <f>VLOOKUP(Table1[[#This Row],[Date]],Database!A:D,3,)</f>
        <v>109139</v>
      </c>
      <c r="C657" s="27">
        <f t="shared" si="20"/>
        <v>180</v>
      </c>
      <c r="D657" s="27">
        <f t="shared" si="21"/>
        <v>115.33333333333333</v>
      </c>
      <c r="E657" s="63">
        <f>VLOOKUP(Table1[[#This Row],[Date]],Database!A:D,4,)</f>
        <v>7.3</v>
      </c>
      <c r="F657" s="63">
        <f>VLOOKUP(Table1[[#This Row],[Date]],Database!A:D,2,)</f>
        <v>66.2</v>
      </c>
      <c r="G657" s="57"/>
    </row>
    <row r="658" spans="1:7" x14ac:dyDescent="0.2">
      <c r="A658" s="56">
        <v>33909</v>
      </c>
      <c r="B658" s="26">
        <f>VLOOKUP(Table1[[#This Row],[Date]],Database!A:D,3,)</f>
        <v>109272</v>
      </c>
      <c r="C658" s="27">
        <f t="shared" si="20"/>
        <v>133</v>
      </c>
      <c r="D658" s="27">
        <f t="shared" si="21"/>
        <v>115.66666666666667</v>
      </c>
      <c r="E658" s="63">
        <f>VLOOKUP(Table1[[#This Row],[Date]],Database!A:D,4,)</f>
        <v>7.4</v>
      </c>
      <c r="F658" s="63">
        <f>VLOOKUP(Table1[[#This Row],[Date]],Database!A:D,2,)</f>
        <v>66.3</v>
      </c>
      <c r="G658" s="57"/>
    </row>
    <row r="659" spans="1:7" x14ac:dyDescent="0.2">
      <c r="A659" s="56">
        <v>33939</v>
      </c>
      <c r="B659" s="26">
        <f>VLOOKUP(Table1[[#This Row],[Date]],Database!A:D,3,)</f>
        <v>109495</v>
      </c>
      <c r="C659" s="27">
        <f t="shared" si="20"/>
        <v>223</v>
      </c>
      <c r="D659" s="27">
        <f t="shared" si="21"/>
        <v>178.66666666666666</v>
      </c>
      <c r="E659" s="63">
        <f>VLOOKUP(Table1[[#This Row],[Date]],Database!A:D,4,)</f>
        <v>7.4</v>
      </c>
      <c r="F659" s="63">
        <f>VLOOKUP(Table1[[#This Row],[Date]],Database!A:D,2,)</f>
        <v>66.3</v>
      </c>
      <c r="G659" s="57"/>
    </row>
    <row r="660" spans="1:7" x14ac:dyDescent="0.2">
      <c r="A660" s="56">
        <v>33970</v>
      </c>
      <c r="B660" s="26">
        <f>VLOOKUP(Table1[[#This Row],[Date]],Database!A:D,3,)</f>
        <v>109794</v>
      </c>
      <c r="C660" s="27">
        <f t="shared" si="20"/>
        <v>299</v>
      </c>
      <c r="D660" s="27">
        <f t="shared" si="21"/>
        <v>218.33333333333334</v>
      </c>
      <c r="E660" s="63">
        <f>VLOOKUP(Table1[[#This Row],[Date]],Database!A:D,4,)</f>
        <v>7.3</v>
      </c>
      <c r="F660" s="63">
        <f>VLOOKUP(Table1[[#This Row],[Date]],Database!A:D,2,)</f>
        <v>66.2</v>
      </c>
      <c r="G660" s="57"/>
    </row>
    <row r="661" spans="1:7" x14ac:dyDescent="0.2">
      <c r="A661" s="56">
        <v>34001</v>
      </c>
      <c r="B661" s="26">
        <f>VLOOKUP(Table1[[#This Row],[Date]],Database!A:D,3,)</f>
        <v>110044</v>
      </c>
      <c r="C661" s="27">
        <f t="shared" si="20"/>
        <v>250</v>
      </c>
      <c r="D661" s="27">
        <f t="shared" si="21"/>
        <v>257.33333333333331</v>
      </c>
      <c r="E661" s="63">
        <f>VLOOKUP(Table1[[#This Row],[Date]],Database!A:D,4,)</f>
        <v>7.1</v>
      </c>
      <c r="F661" s="63">
        <f>VLOOKUP(Table1[[#This Row],[Date]],Database!A:D,2,)</f>
        <v>66.2</v>
      </c>
      <c r="G661" s="57"/>
    </row>
    <row r="662" spans="1:7" x14ac:dyDescent="0.2">
      <c r="A662" s="56">
        <v>34029</v>
      </c>
      <c r="B662" s="26">
        <f>VLOOKUP(Table1[[#This Row],[Date]],Database!A:D,3,)</f>
        <v>109994</v>
      </c>
      <c r="C662" s="27">
        <f t="shared" si="20"/>
        <v>-50</v>
      </c>
      <c r="D662" s="27">
        <f t="shared" si="21"/>
        <v>166.33333333333334</v>
      </c>
      <c r="E662" s="63">
        <f>VLOOKUP(Table1[[#This Row],[Date]],Database!A:D,4,)</f>
        <v>7</v>
      </c>
      <c r="F662" s="63">
        <f>VLOOKUP(Table1[[#This Row],[Date]],Database!A:D,2,)</f>
        <v>66.2</v>
      </c>
      <c r="G662" s="57"/>
    </row>
    <row r="663" spans="1:7" x14ac:dyDescent="0.2">
      <c r="A663" s="56">
        <v>34060</v>
      </c>
      <c r="B663" s="26">
        <f>VLOOKUP(Table1[[#This Row],[Date]],Database!A:D,3,)</f>
        <v>110296</v>
      </c>
      <c r="C663" s="27">
        <f t="shared" si="20"/>
        <v>302</v>
      </c>
      <c r="D663" s="27">
        <f t="shared" si="21"/>
        <v>167.33333333333334</v>
      </c>
      <c r="E663" s="63">
        <f>VLOOKUP(Table1[[#This Row],[Date]],Database!A:D,4,)</f>
        <v>7.1</v>
      </c>
      <c r="F663" s="63">
        <f>VLOOKUP(Table1[[#This Row],[Date]],Database!A:D,2,)</f>
        <v>66.099999999999994</v>
      </c>
      <c r="G663" s="57"/>
    </row>
    <row r="664" spans="1:7" x14ac:dyDescent="0.2">
      <c r="A664" s="56">
        <v>34090</v>
      </c>
      <c r="B664" s="26">
        <f>VLOOKUP(Table1[[#This Row],[Date]],Database!A:D,3,)</f>
        <v>110568</v>
      </c>
      <c r="C664" s="27">
        <f t="shared" si="20"/>
        <v>272</v>
      </c>
      <c r="D664" s="27">
        <f t="shared" si="21"/>
        <v>174.66666666666666</v>
      </c>
      <c r="E664" s="63">
        <f>VLOOKUP(Table1[[#This Row],[Date]],Database!A:D,4,)</f>
        <v>7.1</v>
      </c>
      <c r="F664" s="63">
        <f>VLOOKUP(Table1[[#This Row],[Date]],Database!A:D,2,)</f>
        <v>66.400000000000006</v>
      </c>
      <c r="G664" s="57"/>
    </row>
    <row r="665" spans="1:7" x14ac:dyDescent="0.2">
      <c r="A665" s="56">
        <v>34121</v>
      </c>
      <c r="B665" s="26">
        <f>VLOOKUP(Table1[[#This Row],[Date]],Database!A:D,3,)</f>
        <v>110749</v>
      </c>
      <c r="C665" s="27">
        <f t="shared" si="20"/>
        <v>181</v>
      </c>
      <c r="D665" s="27">
        <f t="shared" si="21"/>
        <v>251.66666666666666</v>
      </c>
      <c r="E665" s="63">
        <f>VLOOKUP(Table1[[#This Row],[Date]],Database!A:D,4,)</f>
        <v>7</v>
      </c>
      <c r="F665" s="63">
        <f>VLOOKUP(Table1[[#This Row],[Date]],Database!A:D,2,)</f>
        <v>66.5</v>
      </c>
      <c r="G665" s="57"/>
    </row>
    <row r="666" spans="1:7" x14ac:dyDescent="0.2">
      <c r="A666" s="56">
        <v>34151</v>
      </c>
      <c r="B666" s="26">
        <f>VLOOKUP(Table1[[#This Row],[Date]],Database!A:D,3,)</f>
        <v>111055</v>
      </c>
      <c r="C666" s="27">
        <f t="shared" si="20"/>
        <v>306</v>
      </c>
      <c r="D666" s="27">
        <f t="shared" si="21"/>
        <v>253</v>
      </c>
      <c r="E666" s="63">
        <f>VLOOKUP(Table1[[#This Row],[Date]],Database!A:D,4,)</f>
        <v>6.9</v>
      </c>
      <c r="F666" s="63">
        <f>VLOOKUP(Table1[[#This Row],[Date]],Database!A:D,2,)</f>
        <v>66.400000000000006</v>
      </c>
      <c r="G666" s="57"/>
    </row>
    <row r="667" spans="1:7" x14ac:dyDescent="0.2">
      <c r="A667" s="56">
        <v>34182</v>
      </c>
      <c r="B667" s="26">
        <f>VLOOKUP(Table1[[#This Row],[Date]],Database!A:D,3,)</f>
        <v>111206</v>
      </c>
      <c r="C667" s="27">
        <f t="shared" si="20"/>
        <v>151</v>
      </c>
      <c r="D667" s="27">
        <f t="shared" si="21"/>
        <v>212.66666666666666</v>
      </c>
      <c r="E667" s="63">
        <f>VLOOKUP(Table1[[#This Row],[Date]],Database!A:D,4,)</f>
        <v>6.8</v>
      </c>
      <c r="F667" s="63">
        <f>VLOOKUP(Table1[[#This Row],[Date]],Database!A:D,2,)</f>
        <v>66.400000000000006</v>
      </c>
      <c r="G667" s="57"/>
    </row>
    <row r="668" spans="1:7" x14ac:dyDescent="0.2">
      <c r="A668" s="56">
        <v>34213</v>
      </c>
      <c r="B668" s="26">
        <f>VLOOKUP(Table1[[#This Row],[Date]],Database!A:D,3,)</f>
        <v>111448</v>
      </c>
      <c r="C668" s="27">
        <f t="shared" si="20"/>
        <v>242</v>
      </c>
      <c r="D668" s="27">
        <f t="shared" si="21"/>
        <v>233</v>
      </c>
      <c r="E668" s="63">
        <f>VLOOKUP(Table1[[#This Row],[Date]],Database!A:D,4,)</f>
        <v>6.7</v>
      </c>
      <c r="F668" s="63">
        <f>VLOOKUP(Table1[[#This Row],[Date]],Database!A:D,2,)</f>
        <v>66.2</v>
      </c>
      <c r="G668" s="57"/>
    </row>
    <row r="669" spans="1:7" x14ac:dyDescent="0.2">
      <c r="A669" s="56">
        <v>34243</v>
      </c>
      <c r="B669" s="26">
        <f>VLOOKUP(Table1[[#This Row],[Date]],Database!A:D,3,)</f>
        <v>111733</v>
      </c>
      <c r="C669" s="27">
        <f t="shared" si="20"/>
        <v>285</v>
      </c>
      <c r="D669" s="27">
        <f t="shared" si="21"/>
        <v>226</v>
      </c>
      <c r="E669" s="63">
        <f>VLOOKUP(Table1[[#This Row],[Date]],Database!A:D,4,)</f>
        <v>6.8</v>
      </c>
      <c r="F669" s="63">
        <f>VLOOKUP(Table1[[#This Row],[Date]],Database!A:D,2,)</f>
        <v>66.3</v>
      </c>
      <c r="G669" s="57"/>
    </row>
    <row r="670" spans="1:7" x14ac:dyDescent="0.2">
      <c r="A670" s="56">
        <v>34274</v>
      </c>
      <c r="B670" s="26">
        <f>VLOOKUP(Table1[[#This Row],[Date]],Database!A:D,3,)</f>
        <v>111984</v>
      </c>
      <c r="C670" s="27">
        <f t="shared" si="20"/>
        <v>251</v>
      </c>
      <c r="D670" s="27">
        <f t="shared" si="21"/>
        <v>259.33333333333331</v>
      </c>
      <c r="E670" s="63">
        <f>VLOOKUP(Table1[[#This Row],[Date]],Database!A:D,4,)</f>
        <v>6.6</v>
      </c>
      <c r="F670" s="63">
        <f>VLOOKUP(Table1[[#This Row],[Date]],Database!A:D,2,)</f>
        <v>66.3</v>
      </c>
      <c r="G670" s="57"/>
    </row>
    <row r="671" spans="1:7" x14ac:dyDescent="0.2">
      <c r="A671" s="56">
        <v>34304</v>
      </c>
      <c r="B671" s="26">
        <f>VLOOKUP(Table1[[#This Row],[Date]],Database!A:D,3,)</f>
        <v>112314</v>
      </c>
      <c r="C671" s="27">
        <f t="shared" si="20"/>
        <v>330</v>
      </c>
      <c r="D671" s="27">
        <f t="shared" si="21"/>
        <v>288.66666666666669</v>
      </c>
      <c r="E671" s="63">
        <f>VLOOKUP(Table1[[#This Row],[Date]],Database!A:D,4,)</f>
        <v>6.5</v>
      </c>
      <c r="F671" s="63">
        <f>VLOOKUP(Table1[[#This Row],[Date]],Database!A:D,2,)</f>
        <v>66.400000000000006</v>
      </c>
      <c r="G671" s="57"/>
    </row>
    <row r="672" spans="1:7" x14ac:dyDescent="0.2">
      <c r="A672" s="56">
        <v>34335</v>
      </c>
      <c r="B672" s="26">
        <f>VLOOKUP(Table1[[#This Row],[Date]],Database!A:D,3,)</f>
        <v>112595</v>
      </c>
      <c r="C672" s="27">
        <f t="shared" si="20"/>
        <v>281</v>
      </c>
      <c r="D672" s="27">
        <f t="shared" si="21"/>
        <v>287.33333333333331</v>
      </c>
      <c r="E672" s="63">
        <f>VLOOKUP(Table1[[#This Row],[Date]],Database!A:D,4,)</f>
        <v>6.6</v>
      </c>
      <c r="F672" s="63">
        <f>VLOOKUP(Table1[[#This Row],[Date]],Database!A:D,2,)</f>
        <v>66.599999999999994</v>
      </c>
      <c r="G672" s="57"/>
    </row>
    <row r="673" spans="1:7" x14ac:dyDescent="0.2">
      <c r="A673" s="56">
        <v>34366</v>
      </c>
      <c r="B673" s="26">
        <f>VLOOKUP(Table1[[#This Row],[Date]],Database!A:D,3,)</f>
        <v>112781</v>
      </c>
      <c r="C673" s="27">
        <f t="shared" si="20"/>
        <v>186</v>
      </c>
      <c r="D673" s="27">
        <f t="shared" si="21"/>
        <v>265.66666666666669</v>
      </c>
      <c r="E673" s="63">
        <f>VLOOKUP(Table1[[#This Row],[Date]],Database!A:D,4,)</f>
        <v>6.6</v>
      </c>
      <c r="F673" s="63">
        <f>VLOOKUP(Table1[[#This Row],[Date]],Database!A:D,2,)</f>
        <v>66.599999999999994</v>
      </c>
      <c r="G673" s="57"/>
    </row>
    <row r="674" spans="1:7" x14ac:dyDescent="0.2">
      <c r="A674" s="56">
        <v>34394</v>
      </c>
      <c r="B674" s="26">
        <f>VLOOKUP(Table1[[#This Row],[Date]],Database!A:D,3,)</f>
        <v>113242</v>
      </c>
      <c r="C674" s="27">
        <f t="shared" si="20"/>
        <v>461</v>
      </c>
      <c r="D674" s="27">
        <f t="shared" si="21"/>
        <v>309.33333333333331</v>
      </c>
      <c r="E674" s="63">
        <f>VLOOKUP(Table1[[#This Row],[Date]],Database!A:D,4,)</f>
        <v>6.5</v>
      </c>
      <c r="F674" s="63">
        <f>VLOOKUP(Table1[[#This Row],[Date]],Database!A:D,2,)</f>
        <v>66.5</v>
      </c>
      <c r="G674" s="57"/>
    </row>
    <row r="675" spans="1:7" x14ac:dyDescent="0.2">
      <c r="A675" s="56">
        <v>34425</v>
      </c>
      <c r="B675" s="26">
        <f>VLOOKUP(Table1[[#This Row],[Date]],Database!A:D,3,)</f>
        <v>113586</v>
      </c>
      <c r="C675" s="27">
        <f t="shared" si="20"/>
        <v>344</v>
      </c>
      <c r="D675" s="27">
        <f t="shared" si="21"/>
        <v>330.33333333333331</v>
      </c>
      <c r="E675" s="63">
        <f>VLOOKUP(Table1[[#This Row],[Date]],Database!A:D,4,)</f>
        <v>6.4</v>
      </c>
      <c r="F675" s="63">
        <f>VLOOKUP(Table1[[#This Row],[Date]],Database!A:D,2,)</f>
        <v>66.5</v>
      </c>
      <c r="G675" s="57"/>
    </row>
    <row r="676" spans="1:7" x14ac:dyDescent="0.2">
      <c r="A676" s="56">
        <v>34455</v>
      </c>
      <c r="B676" s="26">
        <f>VLOOKUP(Table1[[#This Row],[Date]],Database!A:D,3,)</f>
        <v>113921</v>
      </c>
      <c r="C676" s="27">
        <f t="shared" si="20"/>
        <v>335</v>
      </c>
      <c r="D676" s="27">
        <f t="shared" si="21"/>
        <v>380</v>
      </c>
      <c r="E676" s="63">
        <f>VLOOKUP(Table1[[#This Row],[Date]],Database!A:D,4,)</f>
        <v>6.1</v>
      </c>
      <c r="F676" s="63">
        <f>VLOOKUP(Table1[[#This Row],[Date]],Database!A:D,2,)</f>
        <v>66.599999999999994</v>
      </c>
      <c r="G676" s="57"/>
    </row>
    <row r="677" spans="1:7" x14ac:dyDescent="0.2">
      <c r="A677" s="56">
        <v>34486</v>
      </c>
      <c r="B677" s="26">
        <f>VLOOKUP(Table1[[#This Row],[Date]],Database!A:D,3,)</f>
        <v>114238</v>
      </c>
      <c r="C677" s="27">
        <f t="shared" si="20"/>
        <v>317</v>
      </c>
      <c r="D677" s="27">
        <f t="shared" si="21"/>
        <v>332</v>
      </c>
      <c r="E677" s="63">
        <f>VLOOKUP(Table1[[#This Row],[Date]],Database!A:D,4,)</f>
        <v>6.1</v>
      </c>
      <c r="F677" s="63">
        <f>VLOOKUP(Table1[[#This Row],[Date]],Database!A:D,2,)</f>
        <v>66.400000000000006</v>
      </c>
      <c r="G677" s="57"/>
    </row>
    <row r="678" spans="1:7" x14ac:dyDescent="0.2">
      <c r="A678" s="56">
        <v>34516</v>
      </c>
      <c r="B678" s="26">
        <f>VLOOKUP(Table1[[#This Row],[Date]],Database!A:D,3,)</f>
        <v>114610</v>
      </c>
      <c r="C678" s="27">
        <f t="shared" si="20"/>
        <v>372</v>
      </c>
      <c r="D678" s="27">
        <f t="shared" si="21"/>
        <v>341.33333333333331</v>
      </c>
      <c r="E678" s="63">
        <f>VLOOKUP(Table1[[#This Row],[Date]],Database!A:D,4,)</f>
        <v>6.1</v>
      </c>
      <c r="F678" s="63">
        <f>VLOOKUP(Table1[[#This Row],[Date]],Database!A:D,2,)</f>
        <v>66.400000000000006</v>
      </c>
      <c r="G678" s="57"/>
    </row>
    <row r="679" spans="1:7" x14ac:dyDescent="0.2">
      <c r="A679" s="56">
        <v>34547</v>
      </c>
      <c r="B679" s="26">
        <f>VLOOKUP(Table1[[#This Row],[Date]],Database!A:D,3,)</f>
        <v>114896</v>
      </c>
      <c r="C679" s="27">
        <f t="shared" si="20"/>
        <v>286</v>
      </c>
      <c r="D679" s="27">
        <f t="shared" si="21"/>
        <v>325</v>
      </c>
      <c r="E679" s="63">
        <f>VLOOKUP(Table1[[#This Row],[Date]],Database!A:D,4,)</f>
        <v>6</v>
      </c>
      <c r="F679" s="63">
        <f>VLOOKUP(Table1[[#This Row],[Date]],Database!A:D,2,)</f>
        <v>66.599999999999994</v>
      </c>
      <c r="G679" s="57"/>
    </row>
    <row r="680" spans="1:7" x14ac:dyDescent="0.2">
      <c r="A680" s="56">
        <v>34578</v>
      </c>
      <c r="B680" s="26">
        <f>VLOOKUP(Table1[[#This Row],[Date]],Database!A:D,3,)</f>
        <v>115247</v>
      </c>
      <c r="C680" s="27">
        <f t="shared" si="20"/>
        <v>351</v>
      </c>
      <c r="D680" s="27">
        <f t="shared" si="21"/>
        <v>336.33333333333331</v>
      </c>
      <c r="E680" s="63">
        <f>VLOOKUP(Table1[[#This Row],[Date]],Database!A:D,4,)</f>
        <v>5.9</v>
      </c>
      <c r="F680" s="63">
        <f>VLOOKUP(Table1[[#This Row],[Date]],Database!A:D,2,)</f>
        <v>66.599999999999994</v>
      </c>
      <c r="G680" s="57"/>
    </row>
    <row r="681" spans="1:7" x14ac:dyDescent="0.2">
      <c r="A681" s="56">
        <v>34608</v>
      </c>
      <c r="B681" s="26">
        <f>VLOOKUP(Table1[[#This Row],[Date]],Database!A:D,3,)</f>
        <v>115458</v>
      </c>
      <c r="C681" s="27">
        <f t="shared" si="20"/>
        <v>211</v>
      </c>
      <c r="D681" s="27">
        <f t="shared" si="21"/>
        <v>282.66666666666669</v>
      </c>
      <c r="E681" s="63">
        <f>VLOOKUP(Table1[[#This Row],[Date]],Database!A:D,4,)</f>
        <v>5.8</v>
      </c>
      <c r="F681" s="63">
        <f>VLOOKUP(Table1[[#This Row],[Date]],Database!A:D,2,)</f>
        <v>66.7</v>
      </c>
      <c r="G681" s="57"/>
    </row>
    <row r="682" spans="1:7" x14ac:dyDescent="0.2">
      <c r="A682" s="56">
        <v>34639</v>
      </c>
      <c r="B682" s="26">
        <f>VLOOKUP(Table1[[#This Row],[Date]],Database!A:D,3,)</f>
        <v>115869</v>
      </c>
      <c r="C682" s="27">
        <f t="shared" si="20"/>
        <v>411</v>
      </c>
      <c r="D682" s="27">
        <f t="shared" si="21"/>
        <v>324.33333333333331</v>
      </c>
      <c r="E682" s="63">
        <f>VLOOKUP(Table1[[#This Row],[Date]],Database!A:D,4,)</f>
        <v>5.6</v>
      </c>
      <c r="F682" s="63">
        <f>VLOOKUP(Table1[[#This Row],[Date]],Database!A:D,2,)</f>
        <v>66.7</v>
      </c>
      <c r="G682" s="57"/>
    </row>
    <row r="683" spans="1:7" x14ac:dyDescent="0.2">
      <c r="A683" s="56">
        <v>34669</v>
      </c>
      <c r="B683" s="26">
        <f>VLOOKUP(Table1[[#This Row],[Date]],Database!A:D,3,)</f>
        <v>116165</v>
      </c>
      <c r="C683" s="27">
        <f t="shared" si="20"/>
        <v>296</v>
      </c>
      <c r="D683" s="27">
        <f t="shared" si="21"/>
        <v>306</v>
      </c>
      <c r="E683" s="63">
        <f>VLOOKUP(Table1[[#This Row],[Date]],Database!A:D,4,)</f>
        <v>5.5</v>
      </c>
      <c r="F683" s="63">
        <f>VLOOKUP(Table1[[#This Row],[Date]],Database!A:D,2,)</f>
        <v>66.7</v>
      </c>
      <c r="G683" s="57"/>
    </row>
    <row r="684" spans="1:7" x14ac:dyDescent="0.2">
      <c r="A684" s="56">
        <v>34700</v>
      </c>
      <c r="B684" s="26">
        <f>VLOOKUP(Table1[[#This Row],[Date]],Database!A:D,3,)</f>
        <v>116501</v>
      </c>
      <c r="C684" s="27">
        <f t="shared" si="20"/>
        <v>336</v>
      </c>
      <c r="D684" s="27">
        <f t="shared" si="21"/>
        <v>347.66666666666669</v>
      </c>
      <c r="E684" s="63">
        <f>VLOOKUP(Table1[[#This Row],[Date]],Database!A:D,4,)</f>
        <v>5.6</v>
      </c>
      <c r="F684" s="63">
        <f>VLOOKUP(Table1[[#This Row],[Date]],Database!A:D,2,)</f>
        <v>66.8</v>
      </c>
      <c r="G684" s="57"/>
    </row>
    <row r="685" spans="1:7" x14ac:dyDescent="0.2">
      <c r="A685" s="56">
        <v>34731</v>
      </c>
      <c r="B685" s="26">
        <f>VLOOKUP(Table1[[#This Row],[Date]],Database!A:D,3,)</f>
        <v>116697</v>
      </c>
      <c r="C685" s="27">
        <f t="shared" si="20"/>
        <v>196</v>
      </c>
      <c r="D685" s="27">
        <f t="shared" si="21"/>
        <v>276</v>
      </c>
      <c r="E685" s="63">
        <f>VLOOKUP(Table1[[#This Row],[Date]],Database!A:D,4,)</f>
        <v>5.4</v>
      </c>
      <c r="F685" s="63">
        <f>VLOOKUP(Table1[[#This Row],[Date]],Database!A:D,2,)</f>
        <v>66.8</v>
      </c>
      <c r="G685" s="57"/>
    </row>
    <row r="686" spans="1:7" x14ac:dyDescent="0.2">
      <c r="A686" s="56">
        <v>34759</v>
      </c>
      <c r="B686" s="26">
        <f>VLOOKUP(Table1[[#This Row],[Date]],Database!A:D,3,)</f>
        <v>116907</v>
      </c>
      <c r="C686" s="27">
        <f t="shared" si="20"/>
        <v>210</v>
      </c>
      <c r="D686" s="27">
        <f t="shared" si="21"/>
        <v>247.33333333333334</v>
      </c>
      <c r="E686" s="63">
        <f>VLOOKUP(Table1[[#This Row],[Date]],Database!A:D,4,)</f>
        <v>5.4</v>
      </c>
      <c r="F686" s="63">
        <f>VLOOKUP(Table1[[#This Row],[Date]],Database!A:D,2,)</f>
        <v>66.7</v>
      </c>
      <c r="G686" s="57"/>
    </row>
    <row r="687" spans="1:7" x14ac:dyDescent="0.2">
      <c r="A687" s="56">
        <v>34790</v>
      </c>
      <c r="B687" s="26">
        <f>VLOOKUP(Table1[[#This Row],[Date]],Database!A:D,3,)</f>
        <v>117069</v>
      </c>
      <c r="C687" s="27">
        <f t="shared" si="20"/>
        <v>162</v>
      </c>
      <c r="D687" s="27">
        <f t="shared" si="21"/>
        <v>189.33333333333334</v>
      </c>
      <c r="E687" s="63">
        <f>VLOOKUP(Table1[[#This Row],[Date]],Database!A:D,4,)</f>
        <v>5.8</v>
      </c>
      <c r="F687" s="63">
        <f>VLOOKUP(Table1[[#This Row],[Date]],Database!A:D,2,)</f>
        <v>66.900000000000006</v>
      </c>
      <c r="G687" s="57"/>
    </row>
    <row r="688" spans="1:7" x14ac:dyDescent="0.2">
      <c r="A688" s="56">
        <v>34820</v>
      </c>
      <c r="B688" s="26">
        <f>VLOOKUP(Table1[[#This Row],[Date]],Database!A:D,3,)</f>
        <v>117049</v>
      </c>
      <c r="C688" s="27">
        <f t="shared" si="20"/>
        <v>-20</v>
      </c>
      <c r="D688" s="27">
        <f t="shared" si="21"/>
        <v>117.33333333333333</v>
      </c>
      <c r="E688" s="63">
        <f>VLOOKUP(Table1[[#This Row],[Date]],Database!A:D,4,)</f>
        <v>5.6</v>
      </c>
      <c r="F688" s="63">
        <f>VLOOKUP(Table1[[#This Row],[Date]],Database!A:D,2,)</f>
        <v>66.5</v>
      </c>
      <c r="G688" s="57"/>
    </row>
    <row r="689" spans="1:7" x14ac:dyDescent="0.2">
      <c r="A689" s="56">
        <v>34851</v>
      </c>
      <c r="B689" s="26">
        <f>VLOOKUP(Table1[[#This Row],[Date]],Database!A:D,3,)</f>
        <v>117286</v>
      </c>
      <c r="C689" s="27">
        <f t="shared" si="20"/>
        <v>237</v>
      </c>
      <c r="D689" s="27">
        <f t="shared" si="21"/>
        <v>126.33333333333333</v>
      </c>
      <c r="E689" s="63">
        <f>VLOOKUP(Table1[[#This Row],[Date]],Database!A:D,4,)</f>
        <v>5.6</v>
      </c>
      <c r="F689" s="63">
        <f>VLOOKUP(Table1[[#This Row],[Date]],Database!A:D,2,)</f>
        <v>66.5</v>
      </c>
      <c r="G689" s="57"/>
    </row>
    <row r="690" spans="1:7" x14ac:dyDescent="0.2">
      <c r="A690" s="56">
        <v>34881</v>
      </c>
      <c r="B690" s="26">
        <f>VLOOKUP(Table1[[#This Row],[Date]],Database!A:D,3,)</f>
        <v>117380</v>
      </c>
      <c r="C690" s="27">
        <f t="shared" si="20"/>
        <v>94</v>
      </c>
      <c r="D690" s="27">
        <f t="shared" si="21"/>
        <v>103.66666666666667</v>
      </c>
      <c r="E690" s="63">
        <f>VLOOKUP(Table1[[#This Row],[Date]],Database!A:D,4,)</f>
        <v>5.7</v>
      </c>
      <c r="F690" s="63">
        <f>VLOOKUP(Table1[[#This Row],[Date]],Database!A:D,2,)</f>
        <v>66.599999999999994</v>
      </c>
      <c r="G690" s="57"/>
    </row>
    <row r="691" spans="1:7" x14ac:dyDescent="0.2">
      <c r="A691" s="56">
        <v>34912</v>
      </c>
      <c r="B691" s="26">
        <f>VLOOKUP(Table1[[#This Row],[Date]],Database!A:D,3,)</f>
        <v>117634</v>
      </c>
      <c r="C691" s="27">
        <f t="shared" si="20"/>
        <v>254</v>
      </c>
      <c r="D691" s="27">
        <f t="shared" si="21"/>
        <v>195</v>
      </c>
      <c r="E691" s="63">
        <f>VLOOKUP(Table1[[#This Row],[Date]],Database!A:D,4,)</f>
        <v>5.7</v>
      </c>
      <c r="F691" s="63">
        <f>VLOOKUP(Table1[[#This Row],[Date]],Database!A:D,2,)</f>
        <v>66.599999999999994</v>
      </c>
      <c r="G691" s="57"/>
    </row>
    <row r="692" spans="1:7" x14ac:dyDescent="0.2">
      <c r="A692" s="56">
        <v>34943</v>
      </c>
      <c r="B692" s="26">
        <f>VLOOKUP(Table1[[#This Row],[Date]],Database!A:D,3,)</f>
        <v>117875</v>
      </c>
      <c r="C692" s="27">
        <f t="shared" si="20"/>
        <v>241</v>
      </c>
      <c r="D692" s="27">
        <f t="shared" si="21"/>
        <v>196.33333333333334</v>
      </c>
      <c r="E692" s="63">
        <f>VLOOKUP(Table1[[#This Row],[Date]],Database!A:D,4,)</f>
        <v>5.6</v>
      </c>
      <c r="F692" s="63">
        <f>VLOOKUP(Table1[[#This Row],[Date]],Database!A:D,2,)</f>
        <v>66.599999999999994</v>
      </c>
      <c r="G692" s="57"/>
    </row>
    <row r="693" spans="1:7" x14ac:dyDescent="0.2">
      <c r="A693" s="56">
        <v>34973</v>
      </c>
      <c r="B693" s="26">
        <f>VLOOKUP(Table1[[#This Row],[Date]],Database!A:D,3,)</f>
        <v>118031</v>
      </c>
      <c r="C693" s="27">
        <f t="shared" si="20"/>
        <v>156</v>
      </c>
      <c r="D693" s="27">
        <f t="shared" si="21"/>
        <v>217</v>
      </c>
      <c r="E693" s="63">
        <f>VLOOKUP(Table1[[#This Row],[Date]],Database!A:D,4,)</f>
        <v>5.5</v>
      </c>
      <c r="F693" s="63">
        <f>VLOOKUP(Table1[[#This Row],[Date]],Database!A:D,2,)</f>
        <v>66.599999999999994</v>
      </c>
      <c r="G693" s="57"/>
    </row>
    <row r="694" spans="1:7" x14ac:dyDescent="0.2">
      <c r="A694" s="56">
        <v>35004</v>
      </c>
      <c r="B694" s="26">
        <f>VLOOKUP(Table1[[#This Row],[Date]],Database!A:D,3,)</f>
        <v>118175</v>
      </c>
      <c r="C694" s="27">
        <f t="shared" si="20"/>
        <v>144</v>
      </c>
      <c r="D694" s="27">
        <f t="shared" si="21"/>
        <v>180.33333333333334</v>
      </c>
      <c r="E694" s="63">
        <f>VLOOKUP(Table1[[#This Row],[Date]],Database!A:D,4,)</f>
        <v>5.6</v>
      </c>
      <c r="F694" s="63">
        <f>VLOOKUP(Table1[[#This Row],[Date]],Database!A:D,2,)</f>
        <v>66.5</v>
      </c>
      <c r="G694" s="57"/>
    </row>
    <row r="695" spans="1:7" x14ac:dyDescent="0.2">
      <c r="A695" s="56">
        <v>35034</v>
      </c>
      <c r="B695" s="26">
        <f>VLOOKUP(Table1[[#This Row],[Date]],Database!A:D,3,)</f>
        <v>118320</v>
      </c>
      <c r="C695" s="27">
        <f t="shared" si="20"/>
        <v>145</v>
      </c>
      <c r="D695" s="27">
        <f t="shared" si="21"/>
        <v>148.33333333333334</v>
      </c>
      <c r="E695" s="63">
        <f>VLOOKUP(Table1[[#This Row],[Date]],Database!A:D,4,)</f>
        <v>5.6</v>
      </c>
      <c r="F695" s="63">
        <f>VLOOKUP(Table1[[#This Row],[Date]],Database!A:D,2,)</f>
        <v>66.400000000000006</v>
      </c>
      <c r="G695" s="57"/>
    </row>
    <row r="696" spans="1:7" x14ac:dyDescent="0.2">
      <c r="A696" s="56">
        <v>35065</v>
      </c>
      <c r="B696" s="26">
        <f>VLOOKUP(Table1[[#This Row],[Date]],Database!A:D,3,)</f>
        <v>118316</v>
      </c>
      <c r="C696" s="27">
        <f t="shared" si="20"/>
        <v>-4</v>
      </c>
      <c r="D696" s="27">
        <f t="shared" si="21"/>
        <v>95</v>
      </c>
      <c r="E696" s="63">
        <f>VLOOKUP(Table1[[#This Row],[Date]],Database!A:D,4,)</f>
        <v>5.6</v>
      </c>
      <c r="F696" s="63">
        <f>VLOOKUP(Table1[[#This Row],[Date]],Database!A:D,2,)</f>
        <v>66.400000000000006</v>
      </c>
      <c r="G696" s="57"/>
    </row>
    <row r="697" spans="1:7" x14ac:dyDescent="0.2">
      <c r="A697" s="56">
        <v>35096</v>
      </c>
      <c r="B697" s="26">
        <f>VLOOKUP(Table1[[#This Row],[Date]],Database!A:D,3,)</f>
        <v>118739</v>
      </c>
      <c r="C697" s="27">
        <f t="shared" si="20"/>
        <v>423</v>
      </c>
      <c r="D697" s="27">
        <f t="shared" si="21"/>
        <v>188</v>
      </c>
      <c r="E697" s="63">
        <f>VLOOKUP(Table1[[#This Row],[Date]],Database!A:D,4,)</f>
        <v>5.5</v>
      </c>
      <c r="F697" s="63">
        <f>VLOOKUP(Table1[[#This Row],[Date]],Database!A:D,2,)</f>
        <v>66.599999999999994</v>
      </c>
      <c r="G697" s="57"/>
    </row>
    <row r="698" spans="1:7" x14ac:dyDescent="0.2">
      <c r="A698" s="56">
        <v>35125</v>
      </c>
      <c r="B698" s="26">
        <f>VLOOKUP(Table1[[#This Row],[Date]],Database!A:D,3,)</f>
        <v>118993</v>
      </c>
      <c r="C698" s="27">
        <f t="shared" si="20"/>
        <v>254</v>
      </c>
      <c r="D698" s="27">
        <f t="shared" si="21"/>
        <v>224.33333333333334</v>
      </c>
      <c r="E698" s="63">
        <f>VLOOKUP(Table1[[#This Row],[Date]],Database!A:D,4,)</f>
        <v>5.5</v>
      </c>
      <c r="F698" s="63">
        <f>VLOOKUP(Table1[[#This Row],[Date]],Database!A:D,2,)</f>
        <v>66.599999999999994</v>
      </c>
      <c r="G698" s="57"/>
    </row>
    <row r="699" spans="1:7" x14ac:dyDescent="0.2">
      <c r="A699" s="56">
        <v>35156</v>
      </c>
      <c r="B699" s="26">
        <f>VLOOKUP(Table1[[#This Row],[Date]],Database!A:D,3,)</f>
        <v>119158</v>
      </c>
      <c r="C699" s="27">
        <f t="shared" si="20"/>
        <v>165</v>
      </c>
      <c r="D699" s="27">
        <f t="shared" si="21"/>
        <v>280.66666666666669</v>
      </c>
      <c r="E699" s="63">
        <f>VLOOKUP(Table1[[#This Row],[Date]],Database!A:D,4,)</f>
        <v>5.6</v>
      </c>
      <c r="F699" s="63">
        <f>VLOOKUP(Table1[[#This Row],[Date]],Database!A:D,2,)</f>
        <v>66.7</v>
      </c>
      <c r="G699" s="57"/>
    </row>
    <row r="700" spans="1:7" x14ac:dyDescent="0.2">
      <c r="A700" s="56">
        <v>35186</v>
      </c>
      <c r="B700" s="26">
        <f>VLOOKUP(Table1[[#This Row],[Date]],Database!A:D,3,)</f>
        <v>119486</v>
      </c>
      <c r="C700" s="27">
        <f t="shared" si="20"/>
        <v>328</v>
      </c>
      <c r="D700" s="27">
        <f t="shared" si="21"/>
        <v>249</v>
      </c>
      <c r="E700" s="63">
        <f>VLOOKUP(Table1[[#This Row],[Date]],Database!A:D,4,)</f>
        <v>5.6</v>
      </c>
      <c r="F700" s="63">
        <f>VLOOKUP(Table1[[#This Row],[Date]],Database!A:D,2,)</f>
        <v>66.7</v>
      </c>
      <c r="G700" s="57"/>
    </row>
    <row r="701" spans="1:7" x14ac:dyDescent="0.2">
      <c r="A701" s="56">
        <v>35217</v>
      </c>
      <c r="B701" s="26">
        <f>VLOOKUP(Table1[[#This Row],[Date]],Database!A:D,3,)</f>
        <v>119769</v>
      </c>
      <c r="C701" s="27">
        <f t="shared" si="20"/>
        <v>283</v>
      </c>
      <c r="D701" s="27">
        <f t="shared" si="21"/>
        <v>258.66666666666669</v>
      </c>
      <c r="E701" s="63">
        <f>VLOOKUP(Table1[[#This Row],[Date]],Database!A:D,4,)</f>
        <v>5.3</v>
      </c>
      <c r="F701" s="63">
        <f>VLOOKUP(Table1[[#This Row],[Date]],Database!A:D,2,)</f>
        <v>66.7</v>
      </c>
      <c r="G701" s="57"/>
    </row>
    <row r="702" spans="1:7" x14ac:dyDescent="0.2">
      <c r="A702" s="56">
        <v>35247</v>
      </c>
      <c r="B702" s="26">
        <f>VLOOKUP(Table1[[#This Row],[Date]],Database!A:D,3,)</f>
        <v>120015</v>
      </c>
      <c r="C702" s="27">
        <f t="shared" si="20"/>
        <v>246</v>
      </c>
      <c r="D702" s="27">
        <f t="shared" si="21"/>
        <v>285.66666666666669</v>
      </c>
      <c r="E702" s="63">
        <f>VLOOKUP(Table1[[#This Row],[Date]],Database!A:D,4,)</f>
        <v>5.5</v>
      </c>
      <c r="F702" s="63">
        <f>VLOOKUP(Table1[[#This Row],[Date]],Database!A:D,2,)</f>
        <v>66.900000000000006</v>
      </c>
      <c r="G702" s="57"/>
    </row>
    <row r="703" spans="1:7" x14ac:dyDescent="0.2">
      <c r="A703" s="56">
        <v>35278</v>
      </c>
      <c r="B703" s="26">
        <f>VLOOKUP(Table1[[#This Row],[Date]],Database!A:D,3,)</f>
        <v>120199</v>
      </c>
      <c r="C703" s="27">
        <f t="shared" si="20"/>
        <v>184</v>
      </c>
      <c r="D703" s="27">
        <f t="shared" si="21"/>
        <v>237.66666666666666</v>
      </c>
      <c r="E703" s="63">
        <f>VLOOKUP(Table1[[#This Row],[Date]],Database!A:D,4,)</f>
        <v>5.0999999999999996</v>
      </c>
      <c r="F703" s="63">
        <f>VLOOKUP(Table1[[#This Row],[Date]],Database!A:D,2,)</f>
        <v>66.7</v>
      </c>
      <c r="G703" s="57"/>
    </row>
    <row r="704" spans="1:7" x14ac:dyDescent="0.2">
      <c r="A704" s="56">
        <v>35309</v>
      </c>
      <c r="B704" s="26">
        <f>VLOOKUP(Table1[[#This Row],[Date]],Database!A:D,3,)</f>
        <v>120410</v>
      </c>
      <c r="C704" s="27">
        <f t="shared" si="20"/>
        <v>211</v>
      </c>
      <c r="D704" s="27">
        <f t="shared" si="21"/>
        <v>213.66666666666666</v>
      </c>
      <c r="E704" s="63">
        <f>VLOOKUP(Table1[[#This Row],[Date]],Database!A:D,4,)</f>
        <v>5.2</v>
      </c>
      <c r="F704" s="63">
        <f>VLOOKUP(Table1[[#This Row],[Date]],Database!A:D,2,)</f>
        <v>66.900000000000006</v>
      </c>
      <c r="G704" s="57"/>
    </row>
    <row r="705" spans="1:7" x14ac:dyDescent="0.2">
      <c r="A705" s="56">
        <v>35339</v>
      </c>
      <c r="B705" s="26">
        <f>VLOOKUP(Table1[[#This Row],[Date]],Database!A:D,3,)</f>
        <v>120665</v>
      </c>
      <c r="C705" s="27">
        <f t="shared" si="20"/>
        <v>255</v>
      </c>
      <c r="D705" s="27">
        <f t="shared" si="21"/>
        <v>216.66666666666666</v>
      </c>
      <c r="E705" s="63">
        <f>VLOOKUP(Table1[[#This Row],[Date]],Database!A:D,4,)</f>
        <v>5.2</v>
      </c>
      <c r="F705" s="63">
        <f>VLOOKUP(Table1[[#This Row],[Date]],Database!A:D,2,)</f>
        <v>67</v>
      </c>
      <c r="G705" s="57"/>
    </row>
    <row r="706" spans="1:7" x14ac:dyDescent="0.2">
      <c r="A706" s="56">
        <v>35370</v>
      </c>
      <c r="B706" s="26">
        <f>VLOOKUP(Table1[[#This Row],[Date]],Database!A:D,3,)</f>
        <v>120961</v>
      </c>
      <c r="C706" s="27">
        <f t="shared" si="20"/>
        <v>296</v>
      </c>
      <c r="D706" s="27">
        <f t="shared" si="21"/>
        <v>254</v>
      </c>
      <c r="E706" s="63">
        <f>VLOOKUP(Table1[[#This Row],[Date]],Database!A:D,4,)</f>
        <v>5.4</v>
      </c>
      <c r="F706" s="63">
        <f>VLOOKUP(Table1[[#This Row],[Date]],Database!A:D,2,)</f>
        <v>67</v>
      </c>
      <c r="G706" s="57"/>
    </row>
    <row r="707" spans="1:7" x14ac:dyDescent="0.2">
      <c r="A707" s="56">
        <v>35400</v>
      </c>
      <c r="B707" s="26">
        <f>VLOOKUP(Table1[[#This Row],[Date]],Database!A:D,3,)</f>
        <v>121143</v>
      </c>
      <c r="C707" s="27">
        <f t="shared" si="20"/>
        <v>182</v>
      </c>
      <c r="D707" s="27">
        <f t="shared" si="21"/>
        <v>244.33333333333334</v>
      </c>
      <c r="E707" s="63">
        <f>VLOOKUP(Table1[[#This Row],[Date]],Database!A:D,4,)</f>
        <v>5.4</v>
      </c>
      <c r="F707" s="63">
        <f>VLOOKUP(Table1[[#This Row],[Date]],Database!A:D,2,)</f>
        <v>67</v>
      </c>
      <c r="G707" s="57"/>
    </row>
    <row r="708" spans="1:7" x14ac:dyDescent="0.2">
      <c r="A708" s="56">
        <v>35431</v>
      </c>
      <c r="B708" s="26">
        <f>VLOOKUP(Table1[[#This Row],[Date]],Database!A:D,3,)</f>
        <v>121363</v>
      </c>
      <c r="C708" s="27">
        <f t="shared" si="20"/>
        <v>220</v>
      </c>
      <c r="D708" s="27">
        <f t="shared" si="21"/>
        <v>232.66666666666666</v>
      </c>
      <c r="E708" s="63">
        <f>VLOOKUP(Table1[[#This Row],[Date]],Database!A:D,4,)</f>
        <v>5.3</v>
      </c>
      <c r="F708" s="63">
        <f>VLOOKUP(Table1[[#This Row],[Date]],Database!A:D,2,)</f>
        <v>67</v>
      </c>
      <c r="G708" s="57"/>
    </row>
    <row r="709" spans="1:7" x14ac:dyDescent="0.2">
      <c r="A709" s="56">
        <v>35462</v>
      </c>
      <c r="B709" s="26">
        <f>VLOOKUP(Table1[[#This Row],[Date]],Database!A:D,3,)</f>
        <v>121675</v>
      </c>
      <c r="C709" s="27">
        <f t="shared" si="20"/>
        <v>312</v>
      </c>
      <c r="D709" s="27">
        <f t="shared" si="21"/>
        <v>238</v>
      </c>
      <c r="E709" s="63">
        <f>VLOOKUP(Table1[[#This Row],[Date]],Database!A:D,4,)</f>
        <v>5.2</v>
      </c>
      <c r="F709" s="63">
        <f>VLOOKUP(Table1[[#This Row],[Date]],Database!A:D,2,)</f>
        <v>66.900000000000006</v>
      </c>
      <c r="G709" s="57"/>
    </row>
    <row r="710" spans="1:7" x14ac:dyDescent="0.2">
      <c r="A710" s="56">
        <v>35490</v>
      </c>
      <c r="B710" s="26">
        <f>VLOOKUP(Table1[[#This Row],[Date]],Database!A:D,3,)</f>
        <v>121990</v>
      </c>
      <c r="C710" s="27">
        <f t="shared" si="20"/>
        <v>315</v>
      </c>
      <c r="D710" s="27">
        <f t="shared" si="21"/>
        <v>282.33333333333331</v>
      </c>
      <c r="E710" s="63">
        <f>VLOOKUP(Table1[[#This Row],[Date]],Database!A:D,4,)</f>
        <v>5.2</v>
      </c>
      <c r="F710" s="63">
        <f>VLOOKUP(Table1[[#This Row],[Date]],Database!A:D,2,)</f>
        <v>67.099999999999994</v>
      </c>
      <c r="G710" s="57"/>
    </row>
    <row r="711" spans="1:7" x14ac:dyDescent="0.2">
      <c r="A711" s="56">
        <v>35521</v>
      </c>
      <c r="B711" s="26">
        <f>VLOOKUP(Table1[[#This Row],[Date]],Database!A:D,3,)</f>
        <v>122286</v>
      </c>
      <c r="C711" s="27">
        <f t="shared" si="20"/>
        <v>296</v>
      </c>
      <c r="D711" s="27">
        <f t="shared" si="21"/>
        <v>307.66666666666669</v>
      </c>
      <c r="E711" s="63">
        <f>VLOOKUP(Table1[[#This Row],[Date]],Database!A:D,4,)</f>
        <v>5.0999999999999996</v>
      </c>
      <c r="F711" s="63">
        <f>VLOOKUP(Table1[[#This Row],[Date]],Database!A:D,2,)</f>
        <v>67.099999999999994</v>
      </c>
      <c r="G711" s="57"/>
    </row>
    <row r="712" spans="1:7" x14ac:dyDescent="0.2">
      <c r="A712" s="56">
        <v>35551</v>
      </c>
      <c r="B712" s="26">
        <f>VLOOKUP(Table1[[#This Row],[Date]],Database!A:D,3,)</f>
        <v>122546</v>
      </c>
      <c r="C712" s="27">
        <f t="shared" si="20"/>
        <v>260</v>
      </c>
      <c r="D712" s="27">
        <f t="shared" si="21"/>
        <v>290.33333333333331</v>
      </c>
      <c r="E712" s="63">
        <f>VLOOKUP(Table1[[#This Row],[Date]],Database!A:D,4,)</f>
        <v>4.9000000000000004</v>
      </c>
      <c r="F712" s="63">
        <f>VLOOKUP(Table1[[#This Row],[Date]],Database!A:D,2,)</f>
        <v>67.099999999999994</v>
      </c>
      <c r="G712" s="57"/>
    </row>
    <row r="713" spans="1:7" x14ac:dyDescent="0.2">
      <c r="A713" s="56">
        <v>35582</v>
      </c>
      <c r="B713" s="26">
        <f>VLOOKUP(Table1[[#This Row],[Date]],Database!A:D,3,)</f>
        <v>122814</v>
      </c>
      <c r="C713" s="27">
        <f t="shared" si="20"/>
        <v>268</v>
      </c>
      <c r="D713" s="27">
        <f t="shared" si="21"/>
        <v>274.66666666666669</v>
      </c>
      <c r="E713" s="63">
        <f>VLOOKUP(Table1[[#This Row],[Date]],Database!A:D,4,)</f>
        <v>5</v>
      </c>
      <c r="F713" s="63">
        <f>VLOOKUP(Table1[[#This Row],[Date]],Database!A:D,2,)</f>
        <v>67.099999999999994</v>
      </c>
      <c r="G713" s="57"/>
    </row>
    <row r="714" spans="1:7" x14ac:dyDescent="0.2">
      <c r="A714" s="56">
        <v>35612</v>
      </c>
      <c r="B714" s="26">
        <f>VLOOKUP(Table1[[#This Row],[Date]],Database!A:D,3,)</f>
        <v>123111</v>
      </c>
      <c r="C714" s="27">
        <f t="shared" si="20"/>
        <v>297</v>
      </c>
      <c r="D714" s="27">
        <f t="shared" si="21"/>
        <v>275</v>
      </c>
      <c r="E714" s="63">
        <f>VLOOKUP(Table1[[#This Row],[Date]],Database!A:D,4,)</f>
        <v>4.9000000000000004</v>
      </c>
      <c r="F714" s="63">
        <f>VLOOKUP(Table1[[#This Row],[Date]],Database!A:D,2,)</f>
        <v>67.2</v>
      </c>
      <c r="G714" s="57"/>
    </row>
    <row r="715" spans="1:7" x14ac:dyDescent="0.2">
      <c r="A715" s="56">
        <v>35643</v>
      </c>
      <c r="B715" s="26">
        <f>VLOOKUP(Table1[[#This Row],[Date]],Database!A:D,3,)</f>
        <v>123093</v>
      </c>
      <c r="C715" s="27">
        <f t="shared" si="20"/>
        <v>-18</v>
      </c>
      <c r="D715" s="27">
        <f t="shared" si="21"/>
        <v>182.33333333333334</v>
      </c>
      <c r="E715" s="63">
        <f>VLOOKUP(Table1[[#This Row],[Date]],Database!A:D,4,)</f>
        <v>4.8</v>
      </c>
      <c r="F715" s="63">
        <f>VLOOKUP(Table1[[#This Row],[Date]],Database!A:D,2,)</f>
        <v>67.2</v>
      </c>
      <c r="G715" s="57"/>
    </row>
    <row r="716" spans="1:7" x14ac:dyDescent="0.2">
      <c r="A716" s="56">
        <v>35674</v>
      </c>
      <c r="B716" s="26">
        <f>VLOOKUP(Table1[[#This Row],[Date]],Database!A:D,3,)</f>
        <v>123585</v>
      </c>
      <c r="C716" s="27">
        <f t="shared" si="20"/>
        <v>492</v>
      </c>
      <c r="D716" s="27">
        <f t="shared" si="21"/>
        <v>257</v>
      </c>
      <c r="E716" s="63">
        <f>VLOOKUP(Table1[[#This Row],[Date]],Database!A:D,4,)</f>
        <v>4.9000000000000004</v>
      </c>
      <c r="F716" s="63">
        <f>VLOOKUP(Table1[[#This Row],[Date]],Database!A:D,2,)</f>
        <v>67.099999999999994</v>
      </c>
      <c r="G716" s="57"/>
    </row>
    <row r="717" spans="1:7" x14ac:dyDescent="0.2">
      <c r="A717" s="56">
        <v>35704</v>
      </c>
      <c r="B717" s="26">
        <f>VLOOKUP(Table1[[#This Row],[Date]],Database!A:D,3,)</f>
        <v>123929</v>
      </c>
      <c r="C717" s="27">
        <f t="shared" ref="C717:C780" si="22">B717-B716</f>
        <v>344</v>
      </c>
      <c r="D717" s="27">
        <f t="shared" si="21"/>
        <v>272.66666666666669</v>
      </c>
      <c r="E717" s="63">
        <f>VLOOKUP(Table1[[#This Row],[Date]],Database!A:D,4,)</f>
        <v>4.7</v>
      </c>
      <c r="F717" s="63">
        <f>VLOOKUP(Table1[[#This Row],[Date]],Database!A:D,2,)</f>
        <v>67.099999999999994</v>
      </c>
      <c r="G717" s="57"/>
    </row>
    <row r="718" spans="1:7" x14ac:dyDescent="0.2">
      <c r="A718" s="56">
        <v>35735</v>
      </c>
      <c r="B718" s="26">
        <f>VLOOKUP(Table1[[#This Row],[Date]],Database!A:D,3,)</f>
        <v>124235</v>
      </c>
      <c r="C718" s="27">
        <f t="shared" si="22"/>
        <v>306</v>
      </c>
      <c r="D718" s="27">
        <f t="shared" si="21"/>
        <v>380.66666666666669</v>
      </c>
      <c r="E718" s="63">
        <f>VLOOKUP(Table1[[#This Row],[Date]],Database!A:D,4,)</f>
        <v>4.5999999999999996</v>
      </c>
      <c r="F718" s="63">
        <f>VLOOKUP(Table1[[#This Row],[Date]],Database!A:D,2,)</f>
        <v>67.2</v>
      </c>
      <c r="G718" s="57"/>
    </row>
    <row r="719" spans="1:7" x14ac:dyDescent="0.2">
      <c r="A719" s="56">
        <v>35765</v>
      </c>
      <c r="B719" s="26">
        <f>VLOOKUP(Table1[[#This Row],[Date]],Database!A:D,3,)</f>
        <v>124549</v>
      </c>
      <c r="C719" s="27">
        <f t="shared" si="22"/>
        <v>314</v>
      </c>
      <c r="D719" s="27">
        <f t="shared" ref="D719:D782" si="23">AVERAGE(C717:C719)</f>
        <v>321.33333333333331</v>
      </c>
      <c r="E719" s="63">
        <f>VLOOKUP(Table1[[#This Row],[Date]],Database!A:D,4,)</f>
        <v>4.7</v>
      </c>
      <c r="F719" s="63">
        <f>VLOOKUP(Table1[[#This Row],[Date]],Database!A:D,2,)</f>
        <v>67.2</v>
      </c>
      <c r="G719" s="57"/>
    </row>
    <row r="720" spans="1:7" x14ac:dyDescent="0.2">
      <c r="A720" s="56">
        <v>35796</v>
      </c>
      <c r="B720" s="26">
        <f>VLOOKUP(Table1[[#This Row],[Date]],Database!A:D,3,)</f>
        <v>124812</v>
      </c>
      <c r="C720" s="27">
        <f t="shared" si="22"/>
        <v>263</v>
      </c>
      <c r="D720" s="27">
        <f t="shared" si="23"/>
        <v>294.33333333333331</v>
      </c>
      <c r="E720" s="63">
        <f>VLOOKUP(Table1[[#This Row],[Date]],Database!A:D,4,)</f>
        <v>4.5999999999999996</v>
      </c>
      <c r="F720" s="63">
        <f>VLOOKUP(Table1[[#This Row],[Date]],Database!A:D,2,)</f>
        <v>67.099999999999994</v>
      </c>
      <c r="G720" s="57"/>
    </row>
    <row r="721" spans="1:7" x14ac:dyDescent="0.2">
      <c r="A721" s="56">
        <v>35827</v>
      </c>
      <c r="B721" s="26">
        <f>VLOOKUP(Table1[[#This Row],[Date]],Database!A:D,3,)</f>
        <v>125016</v>
      </c>
      <c r="C721" s="27">
        <f t="shared" si="22"/>
        <v>204</v>
      </c>
      <c r="D721" s="27">
        <f t="shared" si="23"/>
        <v>260.33333333333331</v>
      </c>
      <c r="E721" s="63">
        <f>VLOOKUP(Table1[[#This Row],[Date]],Database!A:D,4,)</f>
        <v>4.5999999999999996</v>
      </c>
      <c r="F721" s="63">
        <f>VLOOKUP(Table1[[#This Row],[Date]],Database!A:D,2,)</f>
        <v>67.099999999999994</v>
      </c>
      <c r="G721" s="57"/>
    </row>
    <row r="722" spans="1:7" x14ac:dyDescent="0.2">
      <c r="A722" s="56">
        <v>35855</v>
      </c>
      <c r="B722" s="26">
        <f>VLOOKUP(Table1[[#This Row],[Date]],Database!A:D,3,)</f>
        <v>125164</v>
      </c>
      <c r="C722" s="27">
        <f t="shared" si="22"/>
        <v>148</v>
      </c>
      <c r="D722" s="27">
        <f t="shared" si="23"/>
        <v>205</v>
      </c>
      <c r="E722" s="63">
        <f>VLOOKUP(Table1[[#This Row],[Date]],Database!A:D,4,)</f>
        <v>4.7</v>
      </c>
      <c r="F722" s="63">
        <f>VLOOKUP(Table1[[#This Row],[Date]],Database!A:D,2,)</f>
        <v>67.099999999999994</v>
      </c>
      <c r="G722" s="57"/>
    </row>
    <row r="723" spans="1:7" x14ac:dyDescent="0.2">
      <c r="A723" s="56">
        <v>35886</v>
      </c>
      <c r="B723" s="26">
        <f>VLOOKUP(Table1[[#This Row],[Date]],Database!A:D,3,)</f>
        <v>125442</v>
      </c>
      <c r="C723" s="27">
        <f t="shared" si="22"/>
        <v>278</v>
      </c>
      <c r="D723" s="27">
        <f t="shared" si="23"/>
        <v>210</v>
      </c>
      <c r="E723" s="63">
        <f>VLOOKUP(Table1[[#This Row],[Date]],Database!A:D,4,)</f>
        <v>4.3</v>
      </c>
      <c r="F723" s="63">
        <f>VLOOKUP(Table1[[#This Row],[Date]],Database!A:D,2,)</f>
        <v>67</v>
      </c>
      <c r="G723" s="57"/>
    </row>
    <row r="724" spans="1:7" x14ac:dyDescent="0.2">
      <c r="A724" s="56">
        <v>35916</v>
      </c>
      <c r="B724" s="26">
        <f>VLOOKUP(Table1[[#This Row],[Date]],Database!A:D,3,)</f>
        <v>125844</v>
      </c>
      <c r="C724" s="27">
        <f t="shared" si="22"/>
        <v>402</v>
      </c>
      <c r="D724" s="27">
        <f t="shared" si="23"/>
        <v>276</v>
      </c>
      <c r="E724" s="63">
        <f>VLOOKUP(Table1[[#This Row],[Date]],Database!A:D,4,)</f>
        <v>4.4000000000000004</v>
      </c>
      <c r="F724" s="63">
        <f>VLOOKUP(Table1[[#This Row],[Date]],Database!A:D,2,)</f>
        <v>67</v>
      </c>
      <c r="G724" s="57"/>
    </row>
    <row r="725" spans="1:7" x14ac:dyDescent="0.2">
      <c r="A725" s="56">
        <v>35947</v>
      </c>
      <c r="B725" s="26">
        <f>VLOOKUP(Table1[[#This Row],[Date]],Database!A:D,3,)</f>
        <v>126076</v>
      </c>
      <c r="C725" s="27">
        <f t="shared" si="22"/>
        <v>232</v>
      </c>
      <c r="D725" s="27">
        <f t="shared" si="23"/>
        <v>304</v>
      </c>
      <c r="E725" s="63">
        <f>VLOOKUP(Table1[[#This Row],[Date]],Database!A:D,4,)</f>
        <v>4.5</v>
      </c>
      <c r="F725" s="63">
        <f>VLOOKUP(Table1[[#This Row],[Date]],Database!A:D,2,)</f>
        <v>67</v>
      </c>
      <c r="G725" s="57"/>
    </row>
    <row r="726" spans="1:7" x14ac:dyDescent="0.2">
      <c r="A726" s="56">
        <v>35977</v>
      </c>
      <c r="B726" s="26">
        <f>VLOOKUP(Table1[[#This Row],[Date]],Database!A:D,3,)</f>
        <v>126205</v>
      </c>
      <c r="C726" s="27">
        <f t="shared" si="22"/>
        <v>129</v>
      </c>
      <c r="D726" s="27">
        <f t="shared" si="23"/>
        <v>254.33333333333334</v>
      </c>
      <c r="E726" s="63">
        <f>VLOOKUP(Table1[[#This Row],[Date]],Database!A:D,4,)</f>
        <v>4.5</v>
      </c>
      <c r="F726" s="63">
        <f>VLOOKUP(Table1[[#This Row],[Date]],Database!A:D,2,)</f>
        <v>67</v>
      </c>
      <c r="G726" s="57"/>
    </row>
    <row r="727" spans="1:7" x14ac:dyDescent="0.2">
      <c r="A727" s="56">
        <v>36008</v>
      </c>
      <c r="B727" s="26">
        <f>VLOOKUP(Table1[[#This Row],[Date]],Database!A:D,3,)</f>
        <v>126544</v>
      </c>
      <c r="C727" s="27">
        <f t="shared" si="22"/>
        <v>339</v>
      </c>
      <c r="D727" s="27">
        <f t="shared" si="23"/>
        <v>233.33333333333334</v>
      </c>
      <c r="E727" s="63">
        <f>VLOOKUP(Table1[[#This Row],[Date]],Database!A:D,4,)</f>
        <v>4.5</v>
      </c>
      <c r="F727" s="63">
        <f>VLOOKUP(Table1[[#This Row],[Date]],Database!A:D,2,)</f>
        <v>67</v>
      </c>
      <c r="G727" s="57"/>
    </row>
    <row r="728" spans="1:7" x14ac:dyDescent="0.2">
      <c r="A728" s="56">
        <v>36039</v>
      </c>
      <c r="B728" s="26">
        <f>VLOOKUP(Table1[[#This Row],[Date]],Database!A:D,3,)</f>
        <v>126752</v>
      </c>
      <c r="C728" s="27">
        <f t="shared" si="22"/>
        <v>208</v>
      </c>
      <c r="D728" s="27">
        <f t="shared" si="23"/>
        <v>225.33333333333334</v>
      </c>
      <c r="E728" s="63">
        <f>VLOOKUP(Table1[[#This Row],[Date]],Database!A:D,4,)</f>
        <v>4.5999999999999996</v>
      </c>
      <c r="F728" s="63">
        <f>VLOOKUP(Table1[[#This Row],[Date]],Database!A:D,2,)</f>
        <v>67.2</v>
      </c>
      <c r="G728" s="57"/>
    </row>
    <row r="729" spans="1:7" x14ac:dyDescent="0.2">
      <c r="A729" s="56">
        <v>36069</v>
      </c>
      <c r="B729" s="26">
        <f>VLOOKUP(Table1[[#This Row],[Date]],Database!A:D,3,)</f>
        <v>126954</v>
      </c>
      <c r="C729" s="27">
        <f t="shared" si="22"/>
        <v>202</v>
      </c>
      <c r="D729" s="27">
        <f t="shared" si="23"/>
        <v>249.66666666666666</v>
      </c>
      <c r="E729" s="63">
        <f>VLOOKUP(Table1[[#This Row],[Date]],Database!A:D,4,)</f>
        <v>4.5</v>
      </c>
      <c r="F729" s="63">
        <f>VLOOKUP(Table1[[#This Row],[Date]],Database!A:D,2,)</f>
        <v>67.2</v>
      </c>
      <c r="G729" s="57"/>
    </row>
    <row r="730" spans="1:7" x14ac:dyDescent="0.2">
      <c r="A730" s="56">
        <v>36100</v>
      </c>
      <c r="B730" s="26">
        <f>VLOOKUP(Table1[[#This Row],[Date]],Database!A:D,3,)</f>
        <v>127231</v>
      </c>
      <c r="C730" s="27">
        <f t="shared" si="22"/>
        <v>277</v>
      </c>
      <c r="D730" s="27">
        <f t="shared" si="23"/>
        <v>229</v>
      </c>
      <c r="E730" s="63">
        <f>VLOOKUP(Table1[[#This Row],[Date]],Database!A:D,4,)</f>
        <v>4.4000000000000004</v>
      </c>
      <c r="F730" s="63">
        <f>VLOOKUP(Table1[[#This Row],[Date]],Database!A:D,2,)</f>
        <v>67.099999999999994</v>
      </c>
      <c r="G730" s="57"/>
    </row>
    <row r="731" spans="1:7" x14ac:dyDescent="0.2">
      <c r="A731" s="56">
        <v>36130</v>
      </c>
      <c r="B731" s="26">
        <f>VLOOKUP(Table1[[#This Row],[Date]],Database!A:D,3,)</f>
        <v>127596</v>
      </c>
      <c r="C731" s="27">
        <f t="shared" si="22"/>
        <v>365</v>
      </c>
      <c r="D731" s="27">
        <f t="shared" si="23"/>
        <v>281.33333333333331</v>
      </c>
      <c r="E731" s="63">
        <f>VLOOKUP(Table1[[#This Row],[Date]],Database!A:D,4,)</f>
        <v>4.4000000000000004</v>
      </c>
      <c r="F731" s="63">
        <f>VLOOKUP(Table1[[#This Row],[Date]],Database!A:D,2,)</f>
        <v>67.2</v>
      </c>
      <c r="G731" s="57"/>
    </row>
    <row r="732" spans="1:7" x14ac:dyDescent="0.2">
      <c r="A732" s="56">
        <v>36161</v>
      </c>
      <c r="B732" s="26">
        <f>VLOOKUP(Table1[[#This Row],[Date]],Database!A:D,3,)</f>
        <v>127702</v>
      </c>
      <c r="C732" s="27">
        <f t="shared" si="22"/>
        <v>106</v>
      </c>
      <c r="D732" s="27">
        <f t="shared" si="23"/>
        <v>249.33333333333334</v>
      </c>
      <c r="E732" s="63">
        <f>VLOOKUP(Table1[[#This Row],[Date]],Database!A:D,4,)</f>
        <v>4.3</v>
      </c>
      <c r="F732" s="63">
        <f>VLOOKUP(Table1[[#This Row],[Date]],Database!A:D,2,)</f>
        <v>67.2</v>
      </c>
      <c r="G732" s="57"/>
    </row>
    <row r="733" spans="1:7" x14ac:dyDescent="0.2">
      <c r="A733" s="56">
        <v>36192</v>
      </c>
      <c r="B733" s="26">
        <f>VLOOKUP(Table1[[#This Row],[Date]],Database!A:D,3,)</f>
        <v>128120</v>
      </c>
      <c r="C733" s="27">
        <f t="shared" si="22"/>
        <v>418</v>
      </c>
      <c r="D733" s="27">
        <f t="shared" si="23"/>
        <v>296.33333333333331</v>
      </c>
      <c r="E733" s="63">
        <f>VLOOKUP(Table1[[#This Row],[Date]],Database!A:D,4,)</f>
        <v>4.4000000000000004</v>
      </c>
      <c r="F733" s="63">
        <f>VLOOKUP(Table1[[#This Row],[Date]],Database!A:D,2,)</f>
        <v>67.2</v>
      </c>
      <c r="G733" s="57"/>
    </row>
    <row r="734" spans="1:7" x14ac:dyDescent="0.2">
      <c r="A734" s="56">
        <v>36220</v>
      </c>
      <c r="B734" s="26">
        <f>VLOOKUP(Table1[[#This Row],[Date]],Database!A:D,3,)</f>
        <v>128227</v>
      </c>
      <c r="C734" s="27">
        <f t="shared" si="22"/>
        <v>107</v>
      </c>
      <c r="D734" s="27">
        <f t="shared" si="23"/>
        <v>210.33333333333334</v>
      </c>
      <c r="E734" s="63">
        <f>VLOOKUP(Table1[[#This Row],[Date]],Database!A:D,4,)</f>
        <v>4.2</v>
      </c>
      <c r="F734" s="63">
        <f>VLOOKUP(Table1[[#This Row],[Date]],Database!A:D,2,)</f>
        <v>67</v>
      </c>
      <c r="G734" s="57"/>
    </row>
    <row r="735" spans="1:7" x14ac:dyDescent="0.2">
      <c r="A735" s="56">
        <v>36251</v>
      </c>
      <c r="B735" s="26">
        <f>VLOOKUP(Table1[[#This Row],[Date]],Database!A:D,3,)</f>
        <v>128597</v>
      </c>
      <c r="C735" s="27">
        <f t="shared" si="22"/>
        <v>370</v>
      </c>
      <c r="D735" s="27">
        <f t="shared" si="23"/>
        <v>298.33333333333331</v>
      </c>
      <c r="E735" s="63">
        <f>VLOOKUP(Table1[[#This Row],[Date]],Database!A:D,4,)</f>
        <v>4.3</v>
      </c>
      <c r="F735" s="63">
        <f>VLOOKUP(Table1[[#This Row],[Date]],Database!A:D,2,)</f>
        <v>67.099999999999994</v>
      </c>
      <c r="G735" s="57"/>
    </row>
    <row r="736" spans="1:7" x14ac:dyDescent="0.2">
      <c r="A736" s="56">
        <v>36281</v>
      </c>
      <c r="B736" s="26">
        <f>VLOOKUP(Table1[[#This Row],[Date]],Database!A:D,3,)</f>
        <v>128808</v>
      </c>
      <c r="C736" s="27">
        <f t="shared" si="22"/>
        <v>211</v>
      </c>
      <c r="D736" s="27">
        <f t="shared" si="23"/>
        <v>229.33333333333334</v>
      </c>
      <c r="E736" s="63">
        <f>VLOOKUP(Table1[[#This Row],[Date]],Database!A:D,4,)</f>
        <v>4.2</v>
      </c>
      <c r="F736" s="63">
        <f>VLOOKUP(Table1[[#This Row],[Date]],Database!A:D,2,)</f>
        <v>67.099999999999994</v>
      </c>
      <c r="G736" s="57"/>
    </row>
    <row r="737" spans="1:7" x14ac:dyDescent="0.2">
      <c r="A737" s="56">
        <v>36312</v>
      </c>
      <c r="B737" s="26">
        <f>VLOOKUP(Table1[[#This Row],[Date]],Database!A:D,3,)</f>
        <v>129089</v>
      </c>
      <c r="C737" s="27">
        <f t="shared" si="22"/>
        <v>281</v>
      </c>
      <c r="D737" s="27">
        <f t="shared" si="23"/>
        <v>287.33333333333331</v>
      </c>
      <c r="E737" s="63">
        <f>VLOOKUP(Table1[[#This Row],[Date]],Database!A:D,4,)</f>
        <v>4.3</v>
      </c>
      <c r="F737" s="63">
        <f>VLOOKUP(Table1[[#This Row],[Date]],Database!A:D,2,)</f>
        <v>67.099999999999994</v>
      </c>
      <c r="G737" s="57"/>
    </row>
    <row r="738" spans="1:7" x14ac:dyDescent="0.2">
      <c r="A738" s="56">
        <v>36342</v>
      </c>
      <c r="B738" s="26">
        <f>VLOOKUP(Table1[[#This Row],[Date]],Database!A:D,3,)</f>
        <v>129414</v>
      </c>
      <c r="C738" s="27">
        <f t="shared" si="22"/>
        <v>325</v>
      </c>
      <c r="D738" s="27">
        <f t="shared" si="23"/>
        <v>272.33333333333331</v>
      </c>
      <c r="E738" s="63">
        <f>VLOOKUP(Table1[[#This Row],[Date]],Database!A:D,4,)</f>
        <v>4.3</v>
      </c>
      <c r="F738" s="63">
        <f>VLOOKUP(Table1[[#This Row],[Date]],Database!A:D,2,)</f>
        <v>67.099999999999994</v>
      </c>
      <c r="G738" s="57"/>
    </row>
    <row r="739" spans="1:7" x14ac:dyDescent="0.2">
      <c r="A739" s="56">
        <v>36373</v>
      </c>
      <c r="B739" s="26">
        <f>VLOOKUP(Table1[[#This Row],[Date]],Database!A:D,3,)</f>
        <v>129569</v>
      </c>
      <c r="C739" s="27">
        <f t="shared" si="22"/>
        <v>155</v>
      </c>
      <c r="D739" s="27">
        <f t="shared" si="23"/>
        <v>253.66666666666666</v>
      </c>
      <c r="E739" s="63">
        <f>VLOOKUP(Table1[[#This Row],[Date]],Database!A:D,4,)</f>
        <v>4.2</v>
      </c>
      <c r="F739" s="63">
        <f>VLOOKUP(Table1[[#This Row],[Date]],Database!A:D,2,)</f>
        <v>67</v>
      </c>
      <c r="G739" s="57"/>
    </row>
    <row r="740" spans="1:7" x14ac:dyDescent="0.2">
      <c r="A740" s="56">
        <v>36404</v>
      </c>
      <c r="B740" s="26">
        <f>VLOOKUP(Table1[[#This Row],[Date]],Database!A:D,3,)</f>
        <v>129772</v>
      </c>
      <c r="C740" s="27">
        <f t="shared" si="22"/>
        <v>203</v>
      </c>
      <c r="D740" s="27">
        <f t="shared" si="23"/>
        <v>227.66666666666666</v>
      </c>
      <c r="E740" s="63">
        <f>VLOOKUP(Table1[[#This Row],[Date]],Database!A:D,4,)</f>
        <v>4.2</v>
      </c>
      <c r="F740" s="63">
        <f>VLOOKUP(Table1[[#This Row],[Date]],Database!A:D,2,)</f>
        <v>67</v>
      </c>
      <c r="G740" s="57"/>
    </row>
    <row r="741" spans="1:7" x14ac:dyDescent="0.2">
      <c r="A741" s="56">
        <v>36434</v>
      </c>
      <c r="B741" s="26">
        <f>VLOOKUP(Table1[[#This Row],[Date]],Database!A:D,3,)</f>
        <v>130177</v>
      </c>
      <c r="C741" s="27">
        <f t="shared" si="22"/>
        <v>405</v>
      </c>
      <c r="D741" s="27">
        <f t="shared" si="23"/>
        <v>254.33333333333334</v>
      </c>
      <c r="E741" s="63">
        <f>VLOOKUP(Table1[[#This Row],[Date]],Database!A:D,4,)</f>
        <v>4.0999999999999996</v>
      </c>
      <c r="F741" s="63">
        <f>VLOOKUP(Table1[[#This Row],[Date]],Database!A:D,2,)</f>
        <v>67</v>
      </c>
      <c r="G741" s="57"/>
    </row>
    <row r="742" spans="1:7" x14ac:dyDescent="0.2">
      <c r="A742" s="56">
        <v>36465</v>
      </c>
      <c r="B742" s="26">
        <f>VLOOKUP(Table1[[#This Row],[Date]],Database!A:D,3,)</f>
        <v>130466</v>
      </c>
      <c r="C742" s="27">
        <f t="shared" si="22"/>
        <v>289</v>
      </c>
      <c r="D742" s="27">
        <f t="shared" si="23"/>
        <v>299</v>
      </c>
      <c r="E742" s="63">
        <f>VLOOKUP(Table1[[#This Row],[Date]],Database!A:D,4,)</f>
        <v>4.0999999999999996</v>
      </c>
      <c r="F742" s="63">
        <f>VLOOKUP(Table1[[#This Row],[Date]],Database!A:D,2,)</f>
        <v>67.099999999999994</v>
      </c>
      <c r="G742" s="57"/>
    </row>
    <row r="743" spans="1:7" x14ac:dyDescent="0.2">
      <c r="A743" s="56">
        <v>36495</v>
      </c>
      <c r="B743" s="26">
        <f>VLOOKUP(Table1[[#This Row],[Date]],Database!A:D,3,)</f>
        <v>130772</v>
      </c>
      <c r="C743" s="27">
        <f t="shared" si="22"/>
        <v>306</v>
      </c>
      <c r="D743" s="27">
        <f t="shared" si="23"/>
        <v>333.33333333333331</v>
      </c>
      <c r="E743" s="63">
        <f>VLOOKUP(Table1[[#This Row],[Date]],Database!A:D,4,)</f>
        <v>4</v>
      </c>
      <c r="F743" s="63">
        <f>VLOOKUP(Table1[[#This Row],[Date]],Database!A:D,2,)</f>
        <v>67.099999999999994</v>
      </c>
      <c r="G743" s="57"/>
    </row>
    <row r="744" spans="1:7" x14ac:dyDescent="0.2">
      <c r="A744" s="56">
        <v>36526</v>
      </c>
      <c r="B744" s="26">
        <f>VLOOKUP(Table1[[#This Row],[Date]],Database!A:D,3,)</f>
        <v>131005</v>
      </c>
      <c r="C744" s="27">
        <f t="shared" si="22"/>
        <v>233</v>
      </c>
      <c r="D744" s="27">
        <f t="shared" si="23"/>
        <v>276</v>
      </c>
      <c r="E744" s="63">
        <f>VLOOKUP(Table1[[#This Row],[Date]],Database!A:D,4,)</f>
        <v>4</v>
      </c>
      <c r="F744" s="63">
        <f>VLOOKUP(Table1[[#This Row],[Date]],Database!A:D,2,)</f>
        <v>67.3</v>
      </c>
      <c r="G744" s="57"/>
    </row>
    <row r="745" spans="1:7" x14ac:dyDescent="0.2">
      <c r="A745" s="56">
        <v>36557</v>
      </c>
      <c r="B745" s="26">
        <f>VLOOKUP(Table1[[#This Row],[Date]],Database!A:D,3,)</f>
        <v>131124</v>
      </c>
      <c r="C745" s="27">
        <f t="shared" si="22"/>
        <v>119</v>
      </c>
      <c r="D745" s="27">
        <f t="shared" si="23"/>
        <v>219.33333333333334</v>
      </c>
      <c r="E745" s="63">
        <f>VLOOKUP(Table1[[#This Row],[Date]],Database!A:D,4,)</f>
        <v>4.0999999999999996</v>
      </c>
      <c r="F745" s="63">
        <f>VLOOKUP(Table1[[#This Row],[Date]],Database!A:D,2,)</f>
        <v>67.3</v>
      </c>
      <c r="G745" s="57"/>
    </row>
    <row r="746" spans="1:7" x14ac:dyDescent="0.2">
      <c r="A746" s="56">
        <v>36586</v>
      </c>
      <c r="B746" s="26">
        <f>VLOOKUP(Table1[[#This Row],[Date]],Database!A:D,3,)</f>
        <v>131596</v>
      </c>
      <c r="C746" s="27">
        <f t="shared" si="22"/>
        <v>472</v>
      </c>
      <c r="D746" s="27">
        <f t="shared" si="23"/>
        <v>274.66666666666669</v>
      </c>
      <c r="E746" s="63">
        <f>VLOOKUP(Table1[[#This Row],[Date]],Database!A:D,4,)</f>
        <v>4</v>
      </c>
      <c r="F746" s="63">
        <f>VLOOKUP(Table1[[#This Row],[Date]],Database!A:D,2,)</f>
        <v>67.3</v>
      </c>
      <c r="G746" s="57"/>
    </row>
    <row r="747" spans="1:7" x14ac:dyDescent="0.2">
      <c r="A747" s="56">
        <v>36617</v>
      </c>
      <c r="B747" s="26">
        <f>VLOOKUP(Table1[[#This Row],[Date]],Database!A:D,3,)</f>
        <v>131888</v>
      </c>
      <c r="C747" s="27">
        <f t="shared" si="22"/>
        <v>292</v>
      </c>
      <c r="D747" s="27">
        <f t="shared" si="23"/>
        <v>294.33333333333331</v>
      </c>
      <c r="E747" s="63">
        <f>VLOOKUP(Table1[[#This Row],[Date]],Database!A:D,4,)</f>
        <v>3.8</v>
      </c>
      <c r="F747" s="63">
        <f>VLOOKUP(Table1[[#This Row],[Date]],Database!A:D,2,)</f>
        <v>67.3</v>
      </c>
      <c r="G747" s="57"/>
    </row>
    <row r="748" spans="1:7" x14ac:dyDescent="0.2">
      <c r="A748" s="56">
        <v>36647</v>
      </c>
      <c r="B748" s="26">
        <f>VLOOKUP(Table1[[#This Row],[Date]],Database!A:D,3,)</f>
        <v>132105</v>
      </c>
      <c r="C748" s="27">
        <f t="shared" si="22"/>
        <v>217</v>
      </c>
      <c r="D748" s="27">
        <f t="shared" si="23"/>
        <v>327</v>
      </c>
      <c r="E748" s="63">
        <f>VLOOKUP(Table1[[#This Row],[Date]],Database!A:D,4,)</f>
        <v>4</v>
      </c>
      <c r="F748" s="63">
        <f>VLOOKUP(Table1[[#This Row],[Date]],Database!A:D,2,)</f>
        <v>67.099999999999994</v>
      </c>
      <c r="G748" s="57"/>
    </row>
    <row r="749" spans="1:7" x14ac:dyDescent="0.2">
      <c r="A749" s="56">
        <v>36678</v>
      </c>
      <c r="B749" s="26">
        <f>VLOOKUP(Table1[[#This Row],[Date]],Database!A:D,3,)</f>
        <v>132061</v>
      </c>
      <c r="C749" s="27">
        <f t="shared" si="22"/>
        <v>-44</v>
      </c>
      <c r="D749" s="27">
        <f t="shared" si="23"/>
        <v>155</v>
      </c>
      <c r="E749" s="63">
        <f>VLOOKUP(Table1[[#This Row],[Date]],Database!A:D,4,)</f>
        <v>4</v>
      </c>
      <c r="F749" s="63">
        <f>VLOOKUP(Table1[[#This Row],[Date]],Database!A:D,2,)</f>
        <v>67.099999999999994</v>
      </c>
      <c r="G749" s="57"/>
    </row>
    <row r="750" spans="1:7" x14ac:dyDescent="0.2">
      <c r="A750" s="56">
        <v>36708</v>
      </c>
      <c r="B750" s="26">
        <f>VLOOKUP(Table1[[#This Row],[Date]],Database!A:D,3,)</f>
        <v>132236</v>
      </c>
      <c r="C750" s="27">
        <f t="shared" si="22"/>
        <v>175</v>
      </c>
      <c r="D750" s="27">
        <f t="shared" si="23"/>
        <v>116</v>
      </c>
      <c r="E750" s="63">
        <f>VLOOKUP(Table1[[#This Row],[Date]],Database!A:D,4,)</f>
        <v>4</v>
      </c>
      <c r="F750" s="63">
        <f>VLOOKUP(Table1[[#This Row],[Date]],Database!A:D,2,)</f>
        <v>66.900000000000006</v>
      </c>
      <c r="G750" s="57"/>
    </row>
    <row r="751" spans="1:7" x14ac:dyDescent="0.2">
      <c r="A751" s="56">
        <v>36739</v>
      </c>
      <c r="B751" s="26">
        <f>VLOOKUP(Table1[[#This Row],[Date]],Database!A:D,3,)</f>
        <v>132230</v>
      </c>
      <c r="C751" s="27">
        <f t="shared" si="22"/>
        <v>-6</v>
      </c>
      <c r="D751" s="27">
        <f t="shared" si="23"/>
        <v>41.666666666666664</v>
      </c>
      <c r="E751" s="63">
        <f>VLOOKUP(Table1[[#This Row],[Date]],Database!A:D,4,)</f>
        <v>4.0999999999999996</v>
      </c>
      <c r="F751" s="63">
        <f>VLOOKUP(Table1[[#This Row],[Date]],Database!A:D,2,)</f>
        <v>66.900000000000006</v>
      </c>
      <c r="G751" s="57"/>
    </row>
    <row r="752" spans="1:7" x14ac:dyDescent="0.2">
      <c r="A752" s="56">
        <v>36770</v>
      </c>
      <c r="B752" s="26">
        <f>VLOOKUP(Table1[[#This Row],[Date]],Database!A:D,3,)</f>
        <v>132353</v>
      </c>
      <c r="C752" s="27">
        <f t="shared" si="22"/>
        <v>123</v>
      </c>
      <c r="D752" s="27">
        <f t="shared" si="23"/>
        <v>97.333333333333329</v>
      </c>
      <c r="E752" s="63">
        <f>VLOOKUP(Table1[[#This Row],[Date]],Database!A:D,4,)</f>
        <v>3.9</v>
      </c>
      <c r="F752" s="63">
        <f>VLOOKUP(Table1[[#This Row],[Date]],Database!A:D,2,)</f>
        <v>66.900000000000006</v>
      </c>
      <c r="G752" s="57"/>
    </row>
    <row r="753" spans="1:7" x14ac:dyDescent="0.2">
      <c r="A753" s="56">
        <v>36800</v>
      </c>
      <c r="B753" s="26">
        <f>VLOOKUP(Table1[[#This Row],[Date]],Database!A:D,3,)</f>
        <v>132351</v>
      </c>
      <c r="C753" s="27">
        <f t="shared" si="22"/>
        <v>-2</v>
      </c>
      <c r="D753" s="27">
        <f t="shared" si="23"/>
        <v>38.333333333333336</v>
      </c>
      <c r="E753" s="63">
        <f>VLOOKUP(Table1[[#This Row],[Date]],Database!A:D,4,)</f>
        <v>3.9</v>
      </c>
      <c r="F753" s="63">
        <f>VLOOKUP(Table1[[#This Row],[Date]],Database!A:D,2,)</f>
        <v>66.8</v>
      </c>
      <c r="G753" s="57"/>
    </row>
    <row r="754" spans="1:7" x14ac:dyDescent="0.2">
      <c r="A754" s="56">
        <v>36831</v>
      </c>
      <c r="B754" s="26">
        <f>VLOOKUP(Table1[[#This Row],[Date]],Database!A:D,3,)</f>
        <v>132556</v>
      </c>
      <c r="C754" s="27">
        <f t="shared" si="22"/>
        <v>205</v>
      </c>
      <c r="D754" s="27">
        <f t="shared" si="23"/>
        <v>108.66666666666667</v>
      </c>
      <c r="E754" s="63">
        <f>VLOOKUP(Table1[[#This Row],[Date]],Database!A:D,4,)</f>
        <v>3.9</v>
      </c>
      <c r="F754" s="63">
        <f>VLOOKUP(Table1[[#This Row],[Date]],Database!A:D,2,)</f>
        <v>66.900000000000006</v>
      </c>
      <c r="G754" s="57"/>
    </row>
    <row r="755" spans="1:7" x14ac:dyDescent="0.2">
      <c r="A755" s="56">
        <v>36861</v>
      </c>
      <c r="B755" s="26">
        <f>VLOOKUP(Table1[[#This Row],[Date]],Database!A:D,3,)</f>
        <v>132709</v>
      </c>
      <c r="C755" s="27">
        <f t="shared" si="22"/>
        <v>153</v>
      </c>
      <c r="D755" s="27">
        <f t="shared" si="23"/>
        <v>118.66666666666667</v>
      </c>
      <c r="E755" s="63">
        <f>VLOOKUP(Table1[[#This Row],[Date]],Database!A:D,4,)</f>
        <v>3.9</v>
      </c>
      <c r="F755" s="63">
        <f>VLOOKUP(Table1[[#This Row],[Date]],Database!A:D,2,)</f>
        <v>67</v>
      </c>
      <c r="G755" s="57"/>
    </row>
    <row r="756" spans="1:7" x14ac:dyDescent="0.2">
      <c r="A756" s="56">
        <v>36892</v>
      </c>
      <c r="B756" s="26">
        <f>VLOOKUP(Table1[[#This Row],[Date]],Database!A:D,3,)</f>
        <v>132698</v>
      </c>
      <c r="C756" s="27">
        <f t="shared" si="22"/>
        <v>-11</v>
      </c>
      <c r="D756" s="27">
        <f t="shared" si="23"/>
        <v>115.66666666666667</v>
      </c>
      <c r="E756" s="63">
        <f>VLOOKUP(Table1[[#This Row],[Date]],Database!A:D,4,)</f>
        <v>4.2</v>
      </c>
      <c r="F756" s="63">
        <f>VLOOKUP(Table1[[#This Row],[Date]],Database!A:D,2,)</f>
        <v>67.2</v>
      </c>
      <c r="G756" s="57"/>
    </row>
    <row r="757" spans="1:7" x14ac:dyDescent="0.2">
      <c r="A757" s="56">
        <v>36923</v>
      </c>
      <c r="B757" s="26">
        <f>VLOOKUP(Table1[[#This Row],[Date]],Database!A:D,3,)</f>
        <v>132789</v>
      </c>
      <c r="C757" s="27">
        <f t="shared" si="22"/>
        <v>91</v>
      </c>
      <c r="D757" s="27">
        <f t="shared" si="23"/>
        <v>77.666666666666671</v>
      </c>
      <c r="E757" s="63">
        <f>VLOOKUP(Table1[[#This Row],[Date]],Database!A:D,4,)</f>
        <v>4.2</v>
      </c>
      <c r="F757" s="63">
        <f>VLOOKUP(Table1[[#This Row],[Date]],Database!A:D,2,)</f>
        <v>67.099999999999994</v>
      </c>
      <c r="G757" s="57"/>
    </row>
    <row r="758" spans="1:7" x14ac:dyDescent="0.2">
      <c r="A758" s="56">
        <v>36951</v>
      </c>
      <c r="B758" s="26">
        <f>VLOOKUP(Table1[[#This Row],[Date]],Database!A:D,3,)</f>
        <v>132747</v>
      </c>
      <c r="C758" s="27">
        <f t="shared" si="22"/>
        <v>-42</v>
      </c>
      <c r="D758" s="27">
        <f t="shared" si="23"/>
        <v>12.666666666666666</v>
      </c>
      <c r="E758" s="63">
        <f>VLOOKUP(Table1[[#This Row],[Date]],Database!A:D,4,)</f>
        <v>4.3</v>
      </c>
      <c r="F758" s="63">
        <f>VLOOKUP(Table1[[#This Row],[Date]],Database!A:D,2,)</f>
        <v>67.2</v>
      </c>
      <c r="G758" s="57"/>
    </row>
    <row r="759" spans="1:7" x14ac:dyDescent="0.2">
      <c r="A759" s="56">
        <v>36982</v>
      </c>
      <c r="B759" s="26">
        <f>VLOOKUP(Table1[[#This Row],[Date]],Database!A:D,3,)</f>
        <v>132463</v>
      </c>
      <c r="C759" s="27">
        <f t="shared" si="22"/>
        <v>-284</v>
      </c>
      <c r="D759" s="27">
        <f t="shared" si="23"/>
        <v>-78.333333333333329</v>
      </c>
      <c r="E759" s="63">
        <f>VLOOKUP(Table1[[#This Row],[Date]],Database!A:D,4,)</f>
        <v>4.4000000000000004</v>
      </c>
      <c r="F759" s="63">
        <f>VLOOKUP(Table1[[#This Row],[Date]],Database!A:D,2,)</f>
        <v>66.900000000000006</v>
      </c>
      <c r="G759" s="57"/>
    </row>
    <row r="760" spans="1:7" x14ac:dyDescent="0.2">
      <c r="A760" s="56">
        <v>37012</v>
      </c>
      <c r="B760" s="26">
        <f>VLOOKUP(Table1[[#This Row],[Date]],Database!A:D,3,)</f>
        <v>132410</v>
      </c>
      <c r="C760" s="27">
        <f t="shared" si="22"/>
        <v>-53</v>
      </c>
      <c r="D760" s="27">
        <f t="shared" si="23"/>
        <v>-126.33333333333333</v>
      </c>
      <c r="E760" s="63">
        <f>VLOOKUP(Table1[[#This Row],[Date]],Database!A:D,4,)</f>
        <v>4.3</v>
      </c>
      <c r="F760" s="63">
        <f>VLOOKUP(Table1[[#This Row],[Date]],Database!A:D,2,)</f>
        <v>66.7</v>
      </c>
      <c r="G760" s="57"/>
    </row>
    <row r="761" spans="1:7" x14ac:dyDescent="0.2">
      <c r="A761" s="56">
        <v>37043</v>
      </c>
      <c r="B761" s="26">
        <f>VLOOKUP(Table1[[#This Row],[Date]],Database!A:D,3,)</f>
        <v>132299</v>
      </c>
      <c r="C761" s="27">
        <f t="shared" si="22"/>
        <v>-111</v>
      </c>
      <c r="D761" s="27">
        <f t="shared" si="23"/>
        <v>-149.33333333333334</v>
      </c>
      <c r="E761" s="63">
        <f>VLOOKUP(Table1[[#This Row],[Date]],Database!A:D,4,)</f>
        <v>4.5</v>
      </c>
      <c r="F761" s="63">
        <f>VLOOKUP(Table1[[#This Row],[Date]],Database!A:D,2,)</f>
        <v>66.7</v>
      </c>
      <c r="G761" s="57"/>
    </row>
    <row r="762" spans="1:7" x14ac:dyDescent="0.2">
      <c r="A762" s="56">
        <v>37073</v>
      </c>
      <c r="B762" s="26">
        <f>VLOOKUP(Table1[[#This Row],[Date]],Database!A:D,3,)</f>
        <v>132177</v>
      </c>
      <c r="C762" s="27">
        <f t="shared" si="22"/>
        <v>-122</v>
      </c>
      <c r="D762" s="27">
        <f t="shared" si="23"/>
        <v>-95.333333333333329</v>
      </c>
      <c r="E762" s="63">
        <f>VLOOKUP(Table1[[#This Row],[Date]],Database!A:D,4,)</f>
        <v>4.5999999999999996</v>
      </c>
      <c r="F762" s="63">
        <f>VLOOKUP(Table1[[#This Row],[Date]],Database!A:D,2,)</f>
        <v>66.8</v>
      </c>
      <c r="G762" s="57"/>
    </row>
    <row r="763" spans="1:7" x14ac:dyDescent="0.2">
      <c r="A763" s="56">
        <v>37104</v>
      </c>
      <c r="B763" s="26">
        <f>VLOOKUP(Table1[[#This Row],[Date]],Database!A:D,3,)</f>
        <v>132028</v>
      </c>
      <c r="C763" s="27">
        <f t="shared" si="22"/>
        <v>-149</v>
      </c>
      <c r="D763" s="27">
        <f t="shared" si="23"/>
        <v>-127.33333333333333</v>
      </c>
      <c r="E763" s="63">
        <f>VLOOKUP(Table1[[#This Row],[Date]],Database!A:D,4,)</f>
        <v>4.9000000000000004</v>
      </c>
      <c r="F763" s="63">
        <f>VLOOKUP(Table1[[#This Row],[Date]],Database!A:D,2,)</f>
        <v>66.5</v>
      </c>
      <c r="G763" s="57"/>
    </row>
    <row r="764" spans="1:7" x14ac:dyDescent="0.2">
      <c r="A764" s="56">
        <v>37135</v>
      </c>
      <c r="B764" s="26">
        <f>VLOOKUP(Table1[[#This Row],[Date]],Database!A:D,3,)</f>
        <v>131771</v>
      </c>
      <c r="C764" s="27">
        <f t="shared" si="22"/>
        <v>-257</v>
      </c>
      <c r="D764" s="27">
        <f t="shared" si="23"/>
        <v>-176</v>
      </c>
      <c r="E764" s="63">
        <f>VLOOKUP(Table1[[#This Row],[Date]],Database!A:D,4,)</f>
        <v>5</v>
      </c>
      <c r="F764" s="63">
        <f>VLOOKUP(Table1[[#This Row],[Date]],Database!A:D,2,)</f>
        <v>66.8</v>
      </c>
      <c r="G764" s="57"/>
    </row>
    <row r="765" spans="1:7" x14ac:dyDescent="0.2">
      <c r="A765" s="56">
        <v>37165</v>
      </c>
      <c r="B765" s="26">
        <f>VLOOKUP(Table1[[#This Row],[Date]],Database!A:D,3,)</f>
        <v>131454</v>
      </c>
      <c r="C765" s="27">
        <f t="shared" si="22"/>
        <v>-317</v>
      </c>
      <c r="D765" s="27">
        <f t="shared" si="23"/>
        <v>-241</v>
      </c>
      <c r="E765" s="63">
        <f>VLOOKUP(Table1[[#This Row],[Date]],Database!A:D,4,)</f>
        <v>5.3</v>
      </c>
      <c r="F765" s="63">
        <f>VLOOKUP(Table1[[#This Row],[Date]],Database!A:D,2,)</f>
        <v>66.7</v>
      </c>
      <c r="G765" s="57"/>
    </row>
    <row r="766" spans="1:7" x14ac:dyDescent="0.2">
      <c r="A766" s="56">
        <v>37196</v>
      </c>
      <c r="B766" s="26">
        <f>VLOOKUP(Table1[[#This Row],[Date]],Database!A:D,3,)</f>
        <v>131142</v>
      </c>
      <c r="C766" s="27">
        <f t="shared" si="22"/>
        <v>-312</v>
      </c>
      <c r="D766" s="27">
        <f t="shared" si="23"/>
        <v>-295.33333333333331</v>
      </c>
      <c r="E766" s="63">
        <f>VLOOKUP(Table1[[#This Row],[Date]],Database!A:D,4,)</f>
        <v>5.5</v>
      </c>
      <c r="F766" s="63">
        <f>VLOOKUP(Table1[[#This Row],[Date]],Database!A:D,2,)</f>
        <v>66.7</v>
      </c>
      <c r="G766" s="57"/>
    </row>
    <row r="767" spans="1:7" x14ac:dyDescent="0.2">
      <c r="A767" s="56">
        <v>37226</v>
      </c>
      <c r="B767" s="26">
        <f>VLOOKUP(Table1[[#This Row],[Date]],Database!A:D,3,)</f>
        <v>130982</v>
      </c>
      <c r="C767" s="27">
        <f t="shared" si="22"/>
        <v>-160</v>
      </c>
      <c r="D767" s="27">
        <f t="shared" si="23"/>
        <v>-263</v>
      </c>
      <c r="E767" s="63">
        <f>VLOOKUP(Table1[[#This Row],[Date]],Database!A:D,4,)</f>
        <v>5.7</v>
      </c>
      <c r="F767" s="63">
        <f>VLOOKUP(Table1[[#This Row],[Date]],Database!A:D,2,)</f>
        <v>66.7</v>
      </c>
      <c r="G767" s="57"/>
    </row>
    <row r="768" spans="1:7" x14ac:dyDescent="0.2">
      <c r="A768" s="56">
        <v>37257</v>
      </c>
      <c r="B768" s="26">
        <f>VLOOKUP(Table1[[#This Row],[Date]],Database!A:D,3,)</f>
        <v>130852</v>
      </c>
      <c r="C768" s="27">
        <f t="shared" si="22"/>
        <v>-130</v>
      </c>
      <c r="D768" s="27">
        <f t="shared" si="23"/>
        <v>-200.66666666666666</v>
      </c>
      <c r="E768" s="63">
        <f>VLOOKUP(Table1[[#This Row],[Date]],Database!A:D,4,)</f>
        <v>5.7</v>
      </c>
      <c r="F768" s="63">
        <f>VLOOKUP(Table1[[#This Row],[Date]],Database!A:D,2,)</f>
        <v>66.5</v>
      </c>
      <c r="G768" s="57"/>
    </row>
    <row r="769" spans="1:7" x14ac:dyDescent="0.2">
      <c r="A769" s="56">
        <v>37288</v>
      </c>
      <c r="B769" s="26">
        <f>VLOOKUP(Table1[[#This Row],[Date]],Database!A:D,3,)</f>
        <v>130736</v>
      </c>
      <c r="C769" s="27">
        <f t="shared" si="22"/>
        <v>-116</v>
      </c>
      <c r="D769" s="27">
        <f t="shared" si="23"/>
        <v>-135.33333333333334</v>
      </c>
      <c r="E769" s="63">
        <f>VLOOKUP(Table1[[#This Row],[Date]],Database!A:D,4,)</f>
        <v>5.7</v>
      </c>
      <c r="F769" s="63">
        <f>VLOOKUP(Table1[[#This Row],[Date]],Database!A:D,2,)</f>
        <v>66.8</v>
      </c>
      <c r="G769" s="57"/>
    </row>
    <row r="770" spans="1:7" x14ac:dyDescent="0.2">
      <c r="A770" s="56">
        <v>37316</v>
      </c>
      <c r="B770" s="26">
        <f>VLOOKUP(Table1[[#This Row],[Date]],Database!A:D,3,)</f>
        <v>130717</v>
      </c>
      <c r="C770" s="27">
        <f t="shared" si="22"/>
        <v>-19</v>
      </c>
      <c r="D770" s="27">
        <f t="shared" si="23"/>
        <v>-88.333333333333329</v>
      </c>
      <c r="E770" s="63">
        <f>VLOOKUP(Table1[[#This Row],[Date]],Database!A:D,4,)</f>
        <v>5.7</v>
      </c>
      <c r="F770" s="63">
        <f>VLOOKUP(Table1[[#This Row],[Date]],Database!A:D,2,)</f>
        <v>66.599999999999994</v>
      </c>
      <c r="G770" s="57"/>
    </row>
    <row r="771" spans="1:7" x14ac:dyDescent="0.2">
      <c r="A771" s="56">
        <v>37347</v>
      </c>
      <c r="B771" s="26">
        <f>VLOOKUP(Table1[[#This Row],[Date]],Database!A:D,3,)</f>
        <v>130623</v>
      </c>
      <c r="C771" s="27">
        <f t="shared" si="22"/>
        <v>-94</v>
      </c>
      <c r="D771" s="27">
        <f t="shared" si="23"/>
        <v>-76.333333333333329</v>
      </c>
      <c r="E771" s="63">
        <f>VLOOKUP(Table1[[#This Row],[Date]],Database!A:D,4,)</f>
        <v>5.9</v>
      </c>
      <c r="F771" s="63">
        <f>VLOOKUP(Table1[[#This Row],[Date]],Database!A:D,2,)</f>
        <v>66.7</v>
      </c>
      <c r="G771" s="57"/>
    </row>
    <row r="772" spans="1:7" x14ac:dyDescent="0.2">
      <c r="A772" s="56">
        <v>37377</v>
      </c>
      <c r="B772" s="26">
        <f>VLOOKUP(Table1[[#This Row],[Date]],Database!A:D,3,)</f>
        <v>130634</v>
      </c>
      <c r="C772" s="27">
        <f t="shared" si="22"/>
        <v>11</v>
      </c>
      <c r="D772" s="27">
        <f t="shared" si="23"/>
        <v>-34</v>
      </c>
      <c r="E772" s="63">
        <f>VLOOKUP(Table1[[#This Row],[Date]],Database!A:D,4,)</f>
        <v>5.8</v>
      </c>
      <c r="F772" s="63">
        <f>VLOOKUP(Table1[[#This Row],[Date]],Database!A:D,2,)</f>
        <v>66.7</v>
      </c>
      <c r="G772" s="57"/>
    </row>
    <row r="773" spans="1:7" x14ac:dyDescent="0.2">
      <c r="A773" s="56">
        <v>37408</v>
      </c>
      <c r="B773" s="26">
        <f>VLOOKUP(Table1[[#This Row],[Date]],Database!A:D,3,)</f>
        <v>130684</v>
      </c>
      <c r="C773" s="27">
        <f t="shared" si="22"/>
        <v>50</v>
      </c>
      <c r="D773" s="27">
        <f t="shared" si="23"/>
        <v>-11</v>
      </c>
      <c r="E773" s="63">
        <f>VLOOKUP(Table1[[#This Row],[Date]],Database!A:D,4,)</f>
        <v>5.8</v>
      </c>
      <c r="F773" s="63">
        <f>VLOOKUP(Table1[[#This Row],[Date]],Database!A:D,2,)</f>
        <v>66.599999999999994</v>
      </c>
      <c r="G773" s="57"/>
    </row>
    <row r="774" spans="1:7" x14ac:dyDescent="0.2">
      <c r="A774" s="56">
        <v>37438</v>
      </c>
      <c r="B774" s="26">
        <f>VLOOKUP(Table1[[#This Row],[Date]],Database!A:D,3,)</f>
        <v>130590</v>
      </c>
      <c r="C774" s="27">
        <f t="shared" si="22"/>
        <v>-94</v>
      </c>
      <c r="D774" s="27">
        <f t="shared" si="23"/>
        <v>-11</v>
      </c>
      <c r="E774" s="63">
        <f>VLOOKUP(Table1[[#This Row],[Date]],Database!A:D,4,)</f>
        <v>5.8</v>
      </c>
      <c r="F774" s="63">
        <f>VLOOKUP(Table1[[#This Row],[Date]],Database!A:D,2,)</f>
        <v>66.5</v>
      </c>
      <c r="G774" s="57"/>
    </row>
    <row r="775" spans="1:7" x14ac:dyDescent="0.2">
      <c r="A775" s="56">
        <v>37469</v>
      </c>
      <c r="B775" s="26">
        <f>VLOOKUP(Table1[[#This Row],[Date]],Database!A:D,3,)</f>
        <v>130587</v>
      </c>
      <c r="C775" s="27">
        <f t="shared" si="22"/>
        <v>-3</v>
      </c>
      <c r="D775" s="27">
        <f t="shared" si="23"/>
        <v>-15.666666666666666</v>
      </c>
      <c r="E775" s="63">
        <f>VLOOKUP(Table1[[#This Row],[Date]],Database!A:D,4,)</f>
        <v>5.7</v>
      </c>
      <c r="F775" s="63">
        <f>VLOOKUP(Table1[[#This Row],[Date]],Database!A:D,2,)</f>
        <v>66.599999999999994</v>
      </c>
      <c r="G775" s="57"/>
    </row>
    <row r="776" spans="1:7" x14ac:dyDescent="0.2">
      <c r="A776" s="56">
        <v>37500</v>
      </c>
      <c r="B776" s="26">
        <f>VLOOKUP(Table1[[#This Row],[Date]],Database!A:D,3,)</f>
        <v>130501</v>
      </c>
      <c r="C776" s="27">
        <f t="shared" si="22"/>
        <v>-86</v>
      </c>
      <c r="D776" s="27">
        <f t="shared" si="23"/>
        <v>-61</v>
      </c>
      <c r="E776" s="63">
        <f>VLOOKUP(Table1[[#This Row],[Date]],Database!A:D,4,)</f>
        <v>5.7</v>
      </c>
      <c r="F776" s="63">
        <f>VLOOKUP(Table1[[#This Row],[Date]],Database!A:D,2,)</f>
        <v>66.7</v>
      </c>
      <c r="G776" s="57"/>
    </row>
    <row r="777" spans="1:7" x14ac:dyDescent="0.2">
      <c r="A777" s="56">
        <v>37530</v>
      </c>
      <c r="B777" s="26">
        <f>VLOOKUP(Table1[[#This Row],[Date]],Database!A:D,3,)</f>
        <v>130628</v>
      </c>
      <c r="C777" s="27">
        <f t="shared" si="22"/>
        <v>127</v>
      </c>
      <c r="D777" s="27">
        <f t="shared" si="23"/>
        <v>12.666666666666666</v>
      </c>
      <c r="E777" s="63">
        <f>VLOOKUP(Table1[[#This Row],[Date]],Database!A:D,4,)</f>
        <v>5.7</v>
      </c>
      <c r="F777" s="63">
        <f>VLOOKUP(Table1[[#This Row],[Date]],Database!A:D,2,)</f>
        <v>66.599999999999994</v>
      </c>
      <c r="G777" s="57"/>
    </row>
    <row r="778" spans="1:7" x14ac:dyDescent="0.2">
      <c r="A778" s="56">
        <v>37561</v>
      </c>
      <c r="B778" s="26">
        <f>VLOOKUP(Table1[[#This Row],[Date]],Database!A:D,3,)</f>
        <v>130615</v>
      </c>
      <c r="C778" s="27">
        <f t="shared" si="22"/>
        <v>-13</v>
      </c>
      <c r="D778" s="27">
        <f t="shared" si="23"/>
        <v>9.3333333333333339</v>
      </c>
      <c r="E778" s="63">
        <f>VLOOKUP(Table1[[#This Row],[Date]],Database!A:D,4,)</f>
        <v>5.9</v>
      </c>
      <c r="F778" s="63">
        <f>VLOOKUP(Table1[[#This Row],[Date]],Database!A:D,2,)</f>
        <v>66.400000000000006</v>
      </c>
      <c r="G778" s="57"/>
    </row>
    <row r="779" spans="1:7" x14ac:dyDescent="0.2">
      <c r="A779" s="56">
        <v>37591</v>
      </c>
      <c r="B779" s="26">
        <f>VLOOKUP(Table1[[#This Row],[Date]],Database!A:D,3,)</f>
        <v>130472</v>
      </c>
      <c r="C779" s="27">
        <f t="shared" si="22"/>
        <v>-143</v>
      </c>
      <c r="D779" s="27">
        <f t="shared" si="23"/>
        <v>-9.6666666666666661</v>
      </c>
      <c r="E779" s="63">
        <f>VLOOKUP(Table1[[#This Row],[Date]],Database!A:D,4,)</f>
        <v>6</v>
      </c>
      <c r="F779" s="63">
        <f>VLOOKUP(Table1[[#This Row],[Date]],Database!A:D,2,)</f>
        <v>66.3</v>
      </c>
      <c r="G779" s="57"/>
    </row>
    <row r="780" spans="1:7" x14ac:dyDescent="0.2">
      <c r="A780" s="56">
        <v>37622</v>
      </c>
      <c r="B780" s="26">
        <f>VLOOKUP(Table1[[#This Row],[Date]],Database!A:D,3,)</f>
        <v>130580</v>
      </c>
      <c r="C780" s="27">
        <f t="shared" si="22"/>
        <v>108</v>
      </c>
      <c r="D780" s="27">
        <f t="shared" si="23"/>
        <v>-16</v>
      </c>
      <c r="E780" s="63">
        <f>VLOOKUP(Table1[[#This Row],[Date]],Database!A:D,4,)</f>
        <v>5.8</v>
      </c>
      <c r="F780" s="63">
        <f>VLOOKUP(Table1[[#This Row],[Date]],Database!A:D,2,)</f>
        <v>66.400000000000006</v>
      </c>
      <c r="G780" s="57"/>
    </row>
    <row r="781" spans="1:7" x14ac:dyDescent="0.2">
      <c r="A781" s="56">
        <v>37653</v>
      </c>
      <c r="B781" s="26">
        <f>VLOOKUP(Table1[[#This Row],[Date]],Database!A:D,3,)</f>
        <v>130444</v>
      </c>
      <c r="C781" s="27">
        <f t="shared" ref="C781:C844" si="24">B781-B780</f>
        <v>-136</v>
      </c>
      <c r="D781" s="27">
        <f t="shared" si="23"/>
        <v>-57</v>
      </c>
      <c r="E781" s="63">
        <f>VLOOKUP(Table1[[#This Row],[Date]],Database!A:D,4,)</f>
        <v>5.9</v>
      </c>
      <c r="F781" s="63">
        <f>VLOOKUP(Table1[[#This Row],[Date]],Database!A:D,2,)</f>
        <v>66.400000000000006</v>
      </c>
      <c r="G781" s="57"/>
    </row>
    <row r="782" spans="1:7" x14ac:dyDescent="0.2">
      <c r="A782" s="56">
        <v>37681</v>
      </c>
      <c r="B782" s="26">
        <f>VLOOKUP(Table1[[#This Row],[Date]],Database!A:D,3,)</f>
        <v>130232</v>
      </c>
      <c r="C782" s="27">
        <f t="shared" si="24"/>
        <v>-212</v>
      </c>
      <c r="D782" s="27">
        <f t="shared" si="23"/>
        <v>-80</v>
      </c>
      <c r="E782" s="63">
        <f>VLOOKUP(Table1[[#This Row],[Date]],Database!A:D,4,)</f>
        <v>5.9</v>
      </c>
      <c r="F782" s="63">
        <f>VLOOKUP(Table1[[#This Row],[Date]],Database!A:D,2,)</f>
        <v>66.3</v>
      </c>
      <c r="G782" s="57"/>
    </row>
    <row r="783" spans="1:7" x14ac:dyDescent="0.2">
      <c r="A783" s="56">
        <v>37712</v>
      </c>
      <c r="B783" s="26">
        <f>VLOOKUP(Table1[[#This Row],[Date]],Database!A:D,3,)</f>
        <v>130177</v>
      </c>
      <c r="C783" s="27">
        <f t="shared" si="24"/>
        <v>-55</v>
      </c>
      <c r="D783" s="27">
        <f t="shared" ref="D783:D846" si="25">AVERAGE(C781:C783)</f>
        <v>-134.33333333333334</v>
      </c>
      <c r="E783" s="63">
        <f>VLOOKUP(Table1[[#This Row],[Date]],Database!A:D,4,)</f>
        <v>6</v>
      </c>
      <c r="F783" s="63">
        <f>VLOOKUP(Table1[[#This Row],[Date]],Database!A:D,2,)</f>
        <v>66.400000000000006</v>
      </c>
      <c r="G783" s="57"/>
    </row>
    <row r="784" spans="1:7" x14ac:dyDescent="0.2">
      <c r="A784" s="56">
        <v>37742</v>
      </c>
      <c r="B784" s="26">
        <f>VLOOKUP(Table1[[#This Row],[Date]],Database!A:D,3,)</f>
        <v>130196</v>
      </c>
      <c r="C784" s="27">
        <f t="shared" si="24"/>
        <v>19</v>
      </c>
      <c r="D784" s="27">
        <f t="shared" si="25"/>
        <v>-82.666666666666671</v>
      </c>
      <c r="E784" s="63">
        <f>VLOOKUP(Table1[[#This Row],[Date]],Database!A:D,4,)</f>
        <v>6.1</v>
      </c>
      <c r="F784" s="63">
        <f>VLOOKUP(Table1[[#This Row],[Date]],Database!A:D,2,)</f>
        <v>66.400000000000006</v>
      </c>
      <c r="G784" s="57"/>
    </row>
    <row r="785" spans="1:7" x14ac:dyDescent="0.2">
      <c r="A785" s="56">
        <v>37773</v>
      </c>
      <c r="B785" s="26">
        <f>VLOOKUP(Table1[[#This Row],[Date]],Database!A:D,3,)</f>
        <v>130194</v>
      </c>
      <c r="C785" s="27">
        <f t="shared" si="24"/>
        <v>-2</v>
      </c>
      <c r="D785" s="27">
        <f t="shared" si="25"/>
        <v>-12.666666666666666</v>
      </c>
      <c r="E785" s="63">
        <f>VLOOKUP(Table1[[#This Row],[Date]],Database!A:D,4,)</f>
        <v>6.3</v>
      </c>
      <c r="F785" s="63">
        <f>VLOOKUP(Table1[[#This Row],[Date]],Database!A:D,2,)</f>
        <v>66.5</v>
      </c>
      <c r="G785" s="57"/>
    </row>
    <row r="786" spans="1:7" x14ac:dyDescent="0.2">
      <c r="A786" s="56">
        <v>37803</v>
      </c>
      <c r="B786" s="26">
        <f>VLOOKUP(Table1[[#This Row],[Date]],Database!A:D,3,)</f>
        <v>130191</v>
      </c>
      <c r="C786" s="27">
        <f t="shared" si="24"/>
        <v>-3</v>
      </c>
      <c r="D786" s="27">
        <f t="shared" si="25"/>
        <v>4.666666666666667</v>
      </c>
      <c r="E786" s="63">
        <f>VLOOKUP(Table1[[#This Row],[Date]],Database!A:D,4,)</f>
        <v>6.2</v>
      </c>
      <c r="F786" s="63">
        <f>VLOOKUP(Table1[[#This Row],[Date]],Database!A:D,2,)</f>
        <v>66.2</v>
      </c>
      <c r="G786" s="57"/>
    </row>
    <row r="787" spans="1:7" x14ac:dyDescent="0.2">
      <c r="A787" s="56">
        <v>37834</v>
      </c>
      <c r="B787" s="26">
        <f>VLOOKUP(Table1[[#This Row],[Date]],Database!A:D,3,)</f>
        <v>130149</v>
      </c>
      <c r="C787" s="27">
        <f t="shared" si="24"/>
        <v>-42</v>
      </c>
      <c r="D787" s="27">
        <f t="shared" si="25"/>
        <v>-15.666666666666666</v>
      </c>
      <c r="E787" s="63">
        <f>VLOOKUP(Table1[[#This Row],[Date]],Database!A:D,4,)</f>
        <v>6.1</v>
      </c>
      <c r="F787" s="63">
        <f>VLOOKUP(Table1[[#This Row],[Date]],Database!A:D,2,)</f>
        <v>66.099999999999994</v>
      </c>
      <c r="G787" s="57"/>
    </row>
    <row r="788" spans="1:7" x14ac:dyDescent="0.2">
      <c r="A788" s="56">
        <v>37865</v>
      </c>
      <c r="B788" s="26">
        <f>VLOOKUP(Table1[[#This Row],[Date]],Database!A:D,3,)</f>
        <v>130254</v>
      </c>
      <c r="C788" s="27">
        <f t="shared" si="24"/>
        <v>105</v>
      </c>
      <c r="D788" s="27">
        <f t="shared" si="25"/>
        <v>20</v>
      </c>
      <c r="E788" s="63">
        <f>VLOOKUP(Table1[[#This Row],[Date]],Database!A:D,4,)</f>
        <v>6.1</v>
      </c>
      <c r="F788" s="63">
        <f>VLOOKUP(Table1[[#This Row],[Date]],Database!A:D,2,)</f>
        <v>66.099999999999994</v>
      </c>
      <c r="G788" s="57"/>
    </row>
    <row r="789" spans="1:7" x14ac:dyDescent="0.2">
      <c r="A789" s="56">
        <v>37895</v>
      </c>
      <c r="B789" s="26">
        <f>VLOOKUP(Table1[[#This Row],[Date]],Database!A:D,3,)</f>
        <v>130454</v>
      </c>
      <c r="C789" s="27">
        <f t="shared" si="24"/>
        <v>200</v>
      </c>
      <c r="D789" s="27">
        <f t="shared" si="25"/>
        <v>87.666666666666671</v>
      </c>
      <c r="E789" s="63">
        <f>VLOOKUP(Table1[[#This Row],[Date]],Database!A:D,4,)</f>
        <v>6</v>
      </c>
      <c r="F789" s="63">
        <f>VLOOKUP(Table1[[#This Row],[Date]],Database!A:D,2,)</f>
        <v>66.099999999999994</v>
      </c>
      <c r="G789" s="57"/>
    </row>
    <row r="790" spans="1:7" x14ac:dyDescent="0.2">
      <c r="A790" s="56">
        <v>37926</v>
      </c>
      <c r="B790" s="26">
        <f>VLOOKUP(Table1[[#This Row],[Date]],Database!A:D,3,)</f>
        <v>130474</v>
      </c>
      <c r="C790" s="27">
        <f t="shared" si="24"/>
        <v>20</v>
      </c>
      <c r="D790" s="27">
        <f t="shared" si="25"/>
        <v>108.33333333333333</v>
      </c>
      <c r="E790" s="63">
        <f>VLOOKUP(Table1[[#This Row],[Date]],Database!A:D,4,)</f>
        <v>5.8</v>
      </c>
      <c r="F790" s="63">
        <f>VLOOKUP(Table1[[#This Row],[Date]],Database!A:D,2,)</f>
        <v>66.099999999999994</v>
      </c>
      <c r="G790" s="57"/>
    </row>
    <row r="791" spans="1:7" x14ac:dyDescent="0.2">
      <c r="A791" s="56">
        <v>37956</v>
      </c>
      <c r="B791" s="26">
        <f>VLOOKUP(Table1[[#This Row],[Date]],Database!A:D,3,)</f>
        <v>130588</v>
      </c>
      <c r="C791" s="27">
        <f t="shared" si="24"/>
        <v>114</v>
      </c>
      <c r="D791" s="27">
        <f t="shared" si="25"/>
        <v>111.33333333333333</v>
      </c>
      <c r="E791" s="63">
        <f>VLOOKUP(Table1[[#This Row],[Date]],Database!A:D,4,)</f>
        <v>5.7</v>
      </c>
      <c r="F791" s="63">
        <f>VLOOKUP(Table1[[#This Row],[Date]],Database!A:D,2,)</f>
        <v>65.900000000000006</v>
      </c>
      <c r="G791" s="57"/>
    </row>
    <row r="792" spans="1:7" x14ac:dyDescent="0.2">
      <c r="A792" s="56">
        <v>37987</v>
      </c>
      <c r="B792" s="26">
        <f>VLOOKUP(Table1[[#This Row],[Date]],Database!A:D,3,)</f>
        <v>130769</v>
      </c>
      <c r="C792" s="27">
        <f t="shared" si="24"/>
        <v>181</v>
      </c>
      <c r="D792" s="27">
        <f t="shared" si="25"/>
        <v>105</v>
      </c>
      <c r="E792" s="63">
        <f>VLOOKUP(Table1[[#This Row],[Date]],Database!A:D,4,)</f>
        <v>5.7</v>
      </c>
      <c r="F792" s="63">
        <f>VLOOKUP(Table1[[#This Row],[Date]],Database!A:D,2,)</f>
        <v>66.099999999999994</v>
      </c>
      <c r="G792" s="57"/>
    </row>
    <row r="793" spans="1:7" x14ac:dyDescent="0.2">
      <c r="A793" s="56">
        <v>38018</v>
      </c>
      <c r="B793" s="26">
        <f>VLOOKUP(Table1[[#This Row],[Date]],Database!A:D,3,)</f>
        <v>130825</v>
      </c>
      <c r="C793" s="27">
        <f t="shared" si="24"/>
        <v>56</v>
      </c>
      <c r="D793" s="27">
        <f t="shared" si="25"/>
        <v>117</v>
      </c>
      <c r="E793" s="63">
        <f>VLOOKUP(Table1[[#This Row],[Date]],Database!A:D,4,)</f>
        <v>5.6</v>
      </c>
      <c r="F793" s="63">
        <f>VLOOKUP(Table1[[#This Row],[Date]],Database!A:D,2,)</f>
        <v>66</v>
      </c>
      <c r="G793" s="57"/>
    </row>
    <row r="794" spans="1:7" x14ac:dyDescent="0.2">
      <c r="A794" s="56">
        <v>38047</v>
      </c>
      <c r="B794" s="26">
        <f>VLOOKUP(Table1[[#This Row],[Date]],Database!A:D,3,)</f>
        <v>131142</v>
      </c>
      <c r="C794" s="27">
        <f t="shared" si="24"/>
        <v>317</v>
      </c>
      <c r="D794" s="27">
        <f t="shared" si="25"/>
        <v>184.66666666666666</v>
      </c>
      <c r="E794" s="63">
        <f>VLOOKUP(Table1[[#This Row],[Date]],Database!A:D,4,)</f>
        <v>5.8</v>
      </c>
      <c r="F794" s="63">
        <f>VLOOKUP(Table1[[#This Row],[Date]],Database!A:D,2,)</f>
        <v>66</v>
      </c>
      <c r="G794" s="57"/>
    </row>
    <row r="795" spans="1:7" x14ac:dyDescent="0.2">
      <c r="A795" s="56">
        <v>38078</v>
      </c>
      <c r="B795" s="26">
        <f>VLOOKUP(Table1[[#This Row],[Date]],Database!A:D,3,)</f>
        <v>131411</v>
      </c>
      <c r="C795" s="27">
        <f t="shared" si="24"/>
        <v>269</v>
      </c>
      <c r="D795" s="27">
        <f t="shared" si="25"/>
        <v>214</v>
      </c>
      <c r="E795" s="63">
        <f>VLOOKUP(Table1[[#This Row],[Date]],Database!A:D,4,)</f>
        <v>5.6</v>
      </c>
      <c r="F795" s="63">
        <f>VLOOKUP(Table1[[#This Row],[Date]],Database!A:D,2,)</f>
        <v>65.900000000000006</v>
      </c>
      <c r="G795" s="57"/>
    </row>
    <row r="796" spans="1:7" x14ac:dyDescent="0.2">
      <c r="A796" s="56">
        <v>38108</v>
      </c>
      <c r="B796" s="26">
        <f>VLOOKUP(Table1[[#This Row],[Date]],Database!A:D,3,)</f>
        <v>131694</v>
      </c>
      <c r="C796" s="27">
        <f t="shared" si="24"/>
        <v>283</v>
      </c>
      <c r="D796" s="27">
        <f t="shared" si="25"/>
        <v>289.66666666666669</v>
      </c>
      <c r="E796" s="63">
        <f>VLOOKUP(Table1[[#This Row],[Date]],Database!A:D,4,)</f>
        <v>5.6</v>
      </c>
      <c r="F796" s="63">
        <f>VLOOKUP(Table1[[#This Row],[Date]],Database!A:D,2,)</f>
        <v>66</v>
      </c>
      <c r="G796" s="57"/>
    </row>
    <row r="797" spans="1:7" x14ac:dyDescent="0.2">
      <c r="A797" s="56">
        <v>38139</v>
      </c>
      <c r="B797" s="26">
        <f>VLOOKUP(Table1[[#This Row],[Date]],Database!A:D,3,)</f>
        <v>131793</v>
      </c>
      <c r="C797" s="27">
        <f t="shared" si="24"/>
        <v>99</v>
      </c>
      <c r="D797" s="27">
        <f t="shared" si="25"/>
        <v>217</v>
      </c>
      <c r="E797" s="63">
        <f>VLOOKUP(Table1[[#This Row],[Date]],Database!A:D,4,)</f>
        <v>5.6</v>
      </c>
      <c r="F797" s="63">
        <f>VLOOKUP(Table1[[#This Row],[Date]],Database!A:D,2,)</f>
        <v>66.099999999999994</v>
      </c>
      <c r="G797" s="57"/>
    </row>
    <row r="798" spans="1:7" x14ac:dyDescent="0.2">
      <c r="A798" s="56">
        <v>38169</v>
      </c>
      <c r="B798" s="26">
        <f>VLOOKUP(Table1[[#This Row],[Date]],Database!A:D,3,)</f>
        <v>131848</v>
      </c>
      <c r="C798" s="27">
        <f t="shared" si="24"/>
        <v>55</v>
      </c>
      <c r="D798" s="27">
        <f t="shared" si="25"/>
        <v>145.66666666666666</v>
      </c>
      <c r="E798" s="63">
        <f>VLOOKUP(Table1[[#This Row],[Date]],Database!A:D,4,)</f>
        <v>5.5</v>
      </c>
      <c r="F798" s="63">
        <f>VLOOKUP(Table1[[#This Row],[Date]],Database!A:D,2,)</f>
        <v>66.099999999999994</v>
      </c>
      <c r="G798" s="57"/>
    </row>
    <row r="799" spans="1:7" x14ac:dyDescent="0.2">
      <c r="A799" s="56">
        <v>38200</v>
      </c>
      <c r="B799" s="26">
        <f>VLOOKUP(Table1[[#This Row],[Date]],Database!A:D,3,)</f>
        <v>131937</v>
      </c>
      <c r="C799" s="27">
        <f t="shared" si="24"/>
        <v>89</v>
      </c>
      <c r="D799" s="27">
        <f t="shared" si="25"/>
        <v>81</v>
      </c>
      <c r="E799" s="63">
        <f>VLOOKUP(Table1[[#This Row],[Date]],Database!A:D,4,)</f>
        <v>5.4</v>
      </c>
      <c r="F799" s="63">
        <f>VLOOKUP(Table1[[#This Row],[Date]],Database!A:D,2,)</f>
        <v>66</v>
      </c>
      <c r="G799" s="57"/>
    </row>
    <row r="800" spans="1:7" x14ac:dyDescent="0.2">
      <c r="A800" s="56">
        <v>38231</v>
      </c>
      <c r="B800" s="26">
        <f>VLOOKUP(Table1[[#This Row],[Date]],Database!A:D,3,)</f>
        <v>132093</v>
      </c>
      <c r="C800" s="27">
        <f t="shared" si="24"/>
        <v>156</v>
      </c>
      <c r="D800" s="27">
        <f t="shared" si="25"/>
        <v>100</v>
      </c>
      <c r="E800" s="63">
        <f>VLOOKUP(Table1[[#This Row],[Date]],Database!A:D,4,)</f>
        <v>5.4</v>
      </c>
      <c r="F800" s="63">
        <f>VLOOKUP(Table1[[#This Row],[Date]],Database!A:D,2,)</f>
        <v>65.8</v>
      </c>
      <c r="G800" s="57"/>
    </row>
    <row r="801" spans="1:7" x14ac:dyDescent="0.2">
      <c r="A801" s="56">
        <v>38261</v>
      </c>
      <c r="B801" s="26">
        <f>VLOOKUP(Table1[[#This Row],[Date]],Database!A:D,3,)</f>
        <v>132447</v>
      </c>
      <c r="C801" s="27">
        <f t="shared" si="24"/>
        <v>354</v>
      </c>
      <c r="D801" s="27">
        <f t="shared" si="25"/>
        <v>199.66666666666666</v>
      </c>
      <c r="E801" s="63">
        <f>VLOOKUP(Table1[[#This Row],[Date]],Database!A:D,4,)</f>
        <v>5.5</v>
      </c>
      <c r="F801" s="63">
        <f>VLOOKUP(Table1[[#This Row],[Date]],Database!A:D,2,)</f>
        <v>65.900000000000006</v>
      </c>
      <c r="G801" s="57"/>
    </row>
    <row r="802" spans="1:7" x14ac:dyDescent="0.2">
      <c r="A802" s="56">
        <v>38292</v>
      </c>
      <c r="B802" s="26">
        <f>VLOOKUP(Table1[[#This Row],[Date]],Database!A:D,3,)</f>
        <v>132503</v>
      </c>
      <c r="C802" s="27">
        <f t="shared" si="24"/>
        <v>56</v>
      </c>
      <c r="D802" s="27">
        <f t="shared" si="25"/>
        <v>188.66666666666666</v>
      </c>
      <c r="E802" s="63">
        <f>VLOOKUP(Table1[[#This Row],[Date]],Database!A:D,4,)</f>
        <v>5.4</v>
      </c>
      <c r="F802" s="63">
        <f>VLOOKUP(Table1[[#This Row],[Date]],Database!A:D,2,)</f>
        <v>66</v>
      </c>
      <c r="G802" s="57"/>
    </row>
    <row r="803" spans="1:7" x14ac:dyDescent="0.2">
      <c r="A803" s="56">
        <v>38322</v>
      </c>
      <c r="B803" s="26">
        <f>VLOOKUP(Table1[[#This Row],[Date]],Database!A:D,3,)</f>
        <v>132624</v>
      </c>
      <c r="C803" s="27">
        <f t="shared" si="24"/>
        <v>121</v>
      </c>
      <c r="D803" s="27">
        <f t="shared" si="25"/>
        <v>177</v>
      </c>
      <c r="E803" s="63">
        <f>VLOOKUP(Table1[[#This Row],[Date]],Database!A:D,4,)</f>
        <v>5.4</v>
      </c>
      <c r="F803" s="63">
        <f>VLOOKUP(Table1[[#This Row],[Date]],Database!A:D,2,)</f>
        <v>65.900000000000006</v>
      </c>
      <c r="G803" s="57"/>
    </row>
    <row r="804" spans="1:7" x14ac:dyDescent="0.2">
      <c r="A804" s="56">
        <v>38353</v>
      </c>
      <c r="B804" s="26">
        <f>VLOOKUP(Table1[[#This Row],[Date]],Database!A:D,3,)</f>
        <v>132774</v>
      </c>
      <c r="C804" s="27">
        <f t="shared" si="24"/>
        <v>150</v>
      </c>
      <c r="D804" s="27">
        <f t="shared" si="25"/>
        <v>109</v>
      </c>
      <c r="E804" s="63">
        <f>VLOOKUP(Table1[[#This Row],[Date]],Database!A:D,4,)</f>
        <v>5.3</v>
      </c>
      <c r="F804" s="63">
        <f>VLOOKUP(Table1[[#This Row],[Date]],Database!A:D,2,)</f>
        <v>65.8</v>
      </c>
      <c r="G804" s="57"/>
    </row>
    <row r="805" spans="1:7" x14ac:dyDescent="0.2">
      <c r="A805" s="56">
        <v>38384</v>
      </c>
      <c r="B805" s="26">
        <f>VLOOKUP(Table1[[#This Row],[Date]],Database!A:D,3,)</f>
        <v>133032</v>
      </c>
      <c r="C805" s="27">
        <f t="shared" si="24"/>
        <v>258</v>
      </c>
      <c r="D805" s="27">
        <f t="shared" si="25"/>
        <v>176.33333333333334</v>
      </c>
      <c r="E805" s="63">
        <f>VLOOKUP(Table1[[#This Row],[Date]],Database!A:D,4,)</f>
        <v>5.4</v>
      </c>
      <c r="F805" s="63">
        <f>VLOOKUP(Table1[[#This Row],[Date]],Database!A:D,2,)</f>
        <v>65.900000000000006</v>
      </c>
      <c r="G805" s="57"/>
    </row>
    <row r="806" spans="1:7" x14ac:dyDescent="0.2">
      <c r="A806" s="56">
        <v>38412</v>
      </c>
      <c r="B806" s="26">
        <f>VLOOKUP(Table1[[#This Row],[Date]],Database!A:D,3,)</f>
        <v>133156</v>
      </c>
      <c r="C806" s="27">
        <f t="shared" si="24"/>
        <v>124</v>
      </c>
      <c r="D806" s="27">
        <f t="shared" si="25"/>
        <v>177.33333333333334</v>
      </c>
      <c r="E806" s="63">
        <f>VLOOKUP(Table1[[#This Row],[Date]],Database!A:D,4,)</f>
        <v>5.2</v>
      </c>
      <c r="F806" s="63">
        <f>VLOOKUP(Table1[[#This Row],[Date]],Database!A:D,2,)</f>
        <v>65.900000000000006</v>
      </c>
      <c r="G806" s="57"/>
    </row>
    <row r="807" spans="1:7" x14ac:dyDescent="0.2">
      <c r="A807" s="56">
        <v>38443</v>
      </c>
      <c r="B807" s="26">
        <f>VLOOKUP(Table1[[#This Row],[Date]],Database!A:D,3,)</f>
        <v>133518</v>
      </c>
      <c r="C807" s="27">
        <f t="shared" si="24"/>
        <v>362</v>
      </c>
      <c r="D807" s="27">
        <f t="shared" si="25"/>
        <v>248</v>
      </c>
      <c r="E807" s="63">
        <f>VLOOKUP(Table1[[#This Row],[Date]],Database!A:D,4,)</f>
        <v>5.2</v>
      </c>
      <c r="F807" s="63">
        <f>VLOOKUP(Table1[[#This Row],[Date]],Database!A:D,2,)</f>
        <v>66.099999999999994</v>
      </c>
      <c r="G807" s="57"/>
    </row>
    <row r="808" spans="1:7" x14ac:dyDescent="0.2">
      <c r="A808" s="56">
        <v>38473</v>
      </c>
      <c r="B808" s="26">
        <f>VLOOKUP(Table1[[#This Row],[Date]],Database!A:D,3,)</f>
        <v>133690</v>
      </c>
      <c r="C808" s="27">
        <f t="shared" si="24"/>
        <v>172</v>
      </c>
      <c r="D808" s="27">
        <f t="shared" si="25"/>
        <v>219.33333333333334</v>
      </c>
      <c r="E808" s="63">
        <f>VLOOKUP(Table1[[#This Row],[Date]],Database!A:D,4,)</f>
        <v>5.0999999999999996</v>
      </c>
      <c r="F808" s="63">
        <f>VLOOKUP(Table1[[#This Row],[Date]],Database!A:D,2,)</f>
        <v>66.099999999999994</v>
      </c>
      <c r="G808" s="57"/>
    </row>
    <row r="809" spans="1:7" x14ac:dyDescent="0.2">
      <c r="A809" s="56">
        <v>38504</v>
      </c>
      <c r="B809" s="26">
        <f>VLOOKUP(Table1[[#This Row],[Date]],Database!A:D,3,)</f>
        <v>133942</v>
      </c>
      <c r="C809" s="27">
        <f t="shared" si="24"/>
        <v>252</v>
      </c>
      <c r="D809" s="27">
        <f t="shared" si="25"/>
        <v>262</v>
      </c>
      <c r="E809" s="63">
        <f>VLOOKUP(Table1[[#This Row],[Date]],Database!A:D,4,)</f>
        <v>5</v>
      </c>
      <c r="F809" s="63">
        <f>VLOOKUP(Table1[[#This Row],[Date]],Database!A:D,2,)</f>
        <v>66.099999999999994</v>
      </c>
      <c r="G809" s="57"/>
    </row>
    <row r="810" spans="1:7" x14ac:dyDescent="0.2">
      <c r="A810" s="56">
        <v>38534</v>
      </c>
      <c r="B810" s="26">
        <f>VLOOKUP(Table1[[#This Row],[Date]],Database!A:D,3,)</f>
        <v>134296</v>
      </c>
      <c r="C810" s="27">
        <f t="shared" si="24"/>
        <v>354</v>
      </c>
      <c r="D810" s="27">
        <f t="shared" si="25"/>
        <v>259.33333333333331</v>
      </c>
      <c r="E810" s="63">
        <f>VLOOKUP(Table1[[#This Row],[Date]],Database!A:D,4,)</f>
        <v>5</v>
      </c>
      <c r="F810" s="63">
        <f>VLOOKUP(Table1[[#This Row],[Date]],Database!A:D,2,)</f>
        <v>66.099999999999994</v>
      </c>
      <c r="G810" s="57"/>
    </row>
    <row r="811" spans="1:7" x14ac:dyDescent="0.2">
      <c r="A811" s="56">
        <v>38565</v>
      </c>
      <c r="B811" s="26">
        <f>VLOOKUP(Table1[[#This Row],[Date]],Database!A:D,3,)</f>
        <v>134498</v>
      </c>
      <c r="C811" s="27">
        <f t="shared" si="24"/>
        <v>202</v>
      </c>
      <c r="D811" s="27">
        <f t="shared" si="25"/>
        <v>269.33333333333331</v>
      </c>
      <c r="E811" s="63">
        <f>VLOOKUP(Table1[[#This Row],[Date]],Database!A:D,4,)</f>
        <v>4.9000000000000004</v>
      </c>
      <c r="F811" s="63">
        <f>VLOOKUP(Table1[[#This Row],[Date]],Database!A:D,2,)</f>
        <v>66.2</v>
      </c>
      <c r="G811" s="57"/>
    </row>
    <row r="812" spans="1:7" x14ac:dyDescent="0.2">
      <c r="A812" s="56">
        <v>38596</v>
      </c>
      <c r="B812" s="26">
        <f>VLOOKUP(Table1[[#This Row],[Date]],Database!A:D,3,)</f>
        <v>134566</v>
      </c>
      <c r="C812" s="27">
        <f t="shared" si="24"/>
        <v>68</v>
      </c>
      <c r="D812" s="27">
        <f t="shared" si="25"/>
        <v>208</v>
      </c>
      <c r="E812" s="63">
        <f>VLOOKUP(Table1[[#This Row],[Date]],Database!A:D,4,)</f>
        <v>5</v>
      </c>
      <c r="F812" s="63">
        <f>VLOOKUP(Table1[[#This Row],[Date]],Database!A:D,2,)</f>
        <v>66.099999999999994</v>
      </c>
      <c r="G812" s="57"/>
    </row>
    <row r="813" spans="1:7" x14ac:dyDescent="0.2">
      <c r="A813" s="56">
        <v>38626</v>
      </c>
      <c r="B813" s="26">
        <f>VLOOKUP(Table1[[#This Row],[Date]],Database!A:D,3,)</f>
        <v>134655</v>
      </c>
      <c r="C813" s="27">
        <f t="shared" si="24"/>
        <v>89</v>
      </c>
      <c r="D813" s="27">
        <f t="shared" si="25"/>
        <v>119.66666666666667</v>
      </c>
      <c r="E813" s="63">
        <f>VLOOKUP(Table1[[#This Row],[Date]],Database!A:D,4,)</f>
        <v>5</v>
      </c>
      <c r="F813" s="63">
        <f>VLOOKUP(Table1[[#This Row],[Date]],Database!A:D,2,)</f>
        <v>66.099999999999994</v>
      </c>
      <c r="G813" s="57"/>
    </row>
    <row r="814" spans="1:7" x14ac:dyDescent="0.2">
      <c r="A814" s="56">
        <v>38657</v>
      </c>
      <c r="B814" s="26">
        <f>VLOOKUP(Table1[[#This Row],[Date]],Database!A:D,3,)</f>
        <v>134993</v>
      </c>
      <c r="C814" s="27">
        <f t="shared" si="24"/>
        <v>338</v>
      </c>
      <c r="D814" s="27">
        <f t="shared" si="25"/>
        <v>165</v>
      </c>
      <c r="E814" s="63">
        <f>VLOOKUP(Table1[[#This Row],[Date]],Database!A:D,4,)</f>
        <v>5</v>
      </c>
      <c r="F814" s="63">
        <f>VLOOKUP(Table1[[#This Row],[Date]],Database!A:D,2,)</f>
        <v>66</v>
      </c>
      <c r="G814" s="57"/>
    </row>
    <row r="815" spans="1:7" x14ac:dyDescent="0.2">
      <c r="A815" s="56">
        <v>38687</v>
      </c>
      <c r="B815" s="26">
        <f>VLOOKUP(Table1[[#This Row],[Date]],Database!A:D,3,)</f>
        <v>135149</v>
      </c>
      <c r="C815" s="27">
        <f t="shared" si="24"/>
        <v>156</v>
      </c>
      <c r="D815" s="27">
        <f t="shared" si="25"/>
        <v>194.33333333333334</v>
      </c>
      <c r="E815" s="63">
        <f>VLOOKUP(Table1[[#This Row],[Date]],Database!A:D,4,)</f>
        <v>4.9000000000000004</v>
      </c>
      <c r="F815" s="63">
        <f>VLOOKUP(Table1[[#This Row],[Date]],Database!A:D,2,)</f>
        <v>66</v>
      </c>
      <c r="G815" s="57"/>
    </row>
    <row r="816" spans="1:7" x14ac:dyDescent="0.2">
      <c r="A816" s="56">
        <v>38718</v>
      </c>
      <c r="B816" s="26">
        <f>VLOOKUP(Table1[[#This Row],[Date]],Database!A:D,3,)</f>
        <v>135429</v>
      </c>
      <c r="C816" s="27">
        <f t="shared" si="24"/>
        <v>280</v>
      </c>
      <c r="D816" s="27">
        <f t="shared" si="25"/>
        <v>258</v>
      </c>
      <c r="E816" s="63">
        <f>VLOOKUP(Table1[[#This Row],[Date]],Database!A:D,4,)</f>
        <v>4.7</v>
      </c>
      <c r="F816" s="63">
        <f>VLOOKUP(Table1[[#This Row],[Date]],Database!A:D,2,)</f>
        <v>66</v>
      </c>
      <c r="G816" s="57"/>
    </row>
    <row r="817" spans="1:7" x14ac:dyDescent="0.2">
      <c r="A817" s="56">
        <v>38749</v>
      </c>
      <c r="B817" s="26">
        <f>VLOOKUP(Table1[[#This Row],[Date]],Database!A:D,3,)</f>
        <v>135737</v>
      </c>
      <c r="C817" s="27">
        <f t="shared" si="24"/>
        <v>308</v>
      </c>
      <c r="D817" s="27">
        <f t="shared" si="25"/>
        <v>248</v>
      </c>
      <c r="E817" s="63">
        <f>VLOOKUP(Table1[[#This Row],[Date]],Database!A:D,4,)</f>
        <v>4.8</v>
      </c>
      <c r="F817" s="63">
        <f>VLOOKUP(Table1[[#This Row],[Date]],Database!A:D,2,)</f>
        <v>66.099999999999994</v>
      </c>
      <c r="G817" s="57"/>
    </row>
    <row r="818" spans="1:7" x14ac:dyDescent="0.2">
      <c r="A818" s="56">
        <v>38777</v>
      </c>
      <c r="B818" s="26">
        <f>VLOOKUP(Table1[[#This Row],[Date]],Database!A:D,3,)</f>
        <v>136047</v>
      </c>
      <c r="C818" s="27">
        <f t="shared" si="24"/>
        <v>310</v>
      </c>
      <c r="D818" s="27">
        <f t="shared" si="25"/>
        <v>299.33333333333331</v>
      </c>
      <c r="E818" s="63">
        <f>VLOOKUP(Table1[[#This Row],[Date]],Database!A:D,4,)</f>
        <v>4.7</v>
      </c>
      <c r="F818" s="63">
        <f>VLOOKUP(Table1[[#This Row],[Date]],Database!A:D,2,)</f>
        <v>66.2</v>
      </c>
      <c r="G818" s="57"/>
    </row>
    <row r="819" spans="1:7" x14ac:dyDescent="0.2">
      <c r="A819" s="56">
        <v>38808</v>
      </c>
      <c r="B819" s="26">
        <f>VLOOKUP(Table1[[#This Row],[Date]],Database!A:D,3,)</f>
        <v>136205</v>
      </c>
      <c r="C819" s="27">
        <f t="shared" si="24"/>
        <v>158</v>
      </c>
      <c r="D819" s="27">
        <f t="shared" si="25"/>
        <v>258.66666666666669</v>
      </c>
      <c r="E819" s="63">
        <f>VLOOKUP(Table1[[#This Row],[Date]],Database!A:D,4,)</f>
        <v>4.7</v>
      </c>
      <c r="F819" s="63">
        <f>VLOOKUP(Table1[[#This Row],[Date]],Database!A:D,2,)</f>
        <v>66.099999999999994</v>
      </c>
      <c r="G819" s="57"/>
    </row>
    <row r="820" spans="1:7" x14ac:dyDescent="0.2">
      <c r="A820" s="56">
        <v>38838</v>
      </c>
      <c r="B820" s="26">
        <f>VLOOKUP(Table1[[#This Row],[Date]],Database!A:D,3,)</f>
        <v>136244</v>
      </c>
      <c r="C820" s="27">
        <f t="shared" si="24"/>
        <v>39</v>
      </c>
      <c r="D820" s="27">
        <f t="shared" si="25"/>
        <v>169</v>
      </c>
      <c r="E820" s="63">
        <f>VLOOKUP(Table1[[#This Row],[Date]],Database!A:D,4,)</f>
        <v>4.5999999999999996</v>
      </c>
      <c r="F820" s="63">
        <f>VLOOKUP(Table1[[#This Row],[Date]],Database!A:D,2,)</f>
        <v>66.099999999999994</v>
      </c>
      <c r="G820" s="57"/>
    </row>
    <row r="821" spans="1:7" x14ac:dyDescent="0.2">
      <c r="A821" s="56">
        <v>38869</v>
      </c>
      <c r="B821" s="26">
        <f>VLOOKUP(Table1[[#This Row],[Date]],Database!A:D,3,)</f>
        <v>136325</v>
      </c>
      <c r="C821" s="27">
        <f t="shared" si="24"/>
        <v>81</v>
      </c>
      <c r="D821" s="27">
        <f t="shared" si="25"/>
        <v>92.666666666666671</v>
      </c>
      <c r="E821" s="63">
        <f>VLOOKUP(Table1[[#This Row],[Date]],Database!A:D,4,)</f>
        <v>4.5999999999999996</v>
      </c>
      <c r="F821" s="63">
        <f>VLOOKUP(Table1[[#This Row],[Date]],Database!A:D,2,)</f>
        <v>66.2</v>
      </c>
      <c r="G821" s="57"/>
    </row>
    <row r="822" spans="1:7" x14ac:dyDescent="0.2">
      <c r="A822" s="56">
        <v>38899</v>
      </c>
      <c r="B822" s="26">
        <f>VLOOKUP(Table1[[#This Row],[Date]],Database!A:D,3,)</f>
        <v>136520</v>
      </c>
      <c r="C822" s="27">
        <f t="shared" si="24"/>
        <v>195</v>
      </c>
      <c r="D822" s="27">
        <f t="shared" si="25"/>
        <v>105</v>
      </c>
      <c r="E822" s="63">
        <f>VLOOKUP(Table1[[#This Row],[Date]],Database!A:D,4,)</f>
        <v>4.7</v>
      </c>
      <c r="F822" s="63">
        <f>VLOOKUP(Table1[[#This Row],[Date]],Database!A:D,2,)</f>
        <v>66.099999999999994</v>
      </c>
      <c r="G822" s="57"/>
    </row>
    <row r="823" spans="1:7" x14ac:dyDescent="0.2">
      <c r="A823" s="56">
        <v>38930</v>
      </c>
      <c r="B823" s="26">
        <f>VLOOKUP(Table1[[#This Row],[Date]],Database!A:D,3,)</f>
        <v>136694</v>
      </c>
      <c r="C823" s="27">
        <f t="shared" si="24"/>
        <v>174</v>
      </c>
      <c r="D823" s="27">
        <f t="shared" si="25"/>
        <v>150</v>
      </c>
      <c r="E823" s="63">
        <f>VLOOKUP(Table1[[#This Row],[Date]],Database!A:D,4,)</f>
        <v>4.7</v>
      </c>
      <c r="F823" s="63">
        <f>VLOOKUP(Table1[[#This Row],[Date]],Database!A:D,2,)</f>
        <v>66.2</v>
      </c>
      <c r="G823" s="57"/>
    </row>
    <row r="824" spans="1:7" x14ac:dyDescent="0.2">
      <c r="A824" s="56">
        <v>38961</v>
      </c>
      <c r="B824" s="26">
        <f>VLOOKUP(Table1[[#This Row],[Date]],Database!A:D,3,)</f>
        <v>136843</v>
      </c>
      <c r="C824" s="27">
        <f t="shared" si="24"/>
        <v>149</v>
      </c>
      <c r="D824" s="27">
        <f t="shared" si="25"/>
        <v>172.66666666666666</v>
      </c>
      <c r="E824" s="63">
        <f>VLOOKUP(Table1[[#This Row],[Date]],Database!A:D,4,)</f>
        <v>4.5</v>
      </c>
      <c r="F824" s="63">
        <f>VLOOKUP(Table1[[#This Row],[Date]],Database!A:D,2,)</f>
        <v>66.099999999999994</v>
      </c>
      <c r="G824" s="57"/>
    </row>
    <row r="825" spans="1:7" x14ac:dyDescent="0.2">
      <c r="A825" s="56">
        <v>38991</v>
      </c>
      <c r="B825" s="26">
        <f>VLOOKUP(Table1[[#This Row],[Date]],Database!A:D,3,)</f>
        <v>136852</v>
      </c>
      <c r="C825" s="27">
        <f t="shared" si="24"/>
        <v>9</v>
      </c>
      <c r="D825" s="27">
        <f t="shared" si="25"/>
        <v>110.66666666666667</v>
      </c>
      <c r="E825" s="63">
        <f>VLOOKUP(Table1[[#This Row],[Date]],Database!A:D,4,)</f>
        <v>4.4000000000000004</v>
      </c>
      <c r="F825" s="63">
        <f>VLOOKUP(Table1[[#This Row],[Date]],Database!A:D,2,)</f>
        <v>66.2</v>
      </c>
      <c r="G825" s="57"/>
    </row>
    <row r="826" spans="1:7" x14ac:dyDescent="0.2">
      <c r="A826" s="56">
        <v>39022</v>
      </c>
      <c r="B826" s="26">
        <f>VLOOKUP(Table1[[#This Row],[Date]],Database!A:D,3,)</f>
        <v>137063</v>
      </c>
      <c r="C826" s="27">
        <f t="shared" si="24"/>
        <v>211</v>
      </c>
      <c r="D826" s="27">
        <f t="shared" si="25"/>
        <v>123</v>
      </c>
      <c r="E826" s="63">
        <f>VLOOKUP(Table1[[#This Row],[Date]],Database!A:D,4,)</f>
        <v>4.5</v>
      </c>
      <c r="F826" s="63">
        <f>VLOOKUP(Table1[[#This Row],[Date]],Database!A:D,2,)</f>
        <v>66.3</v>
      </c>
      <c r="G826" s="57"/>
    </row>
    <row r="827" spans="1:7" x14ac:dyDescent="0.2">
      <c r="A827" s="56">
        <v>39052</v>
      </c>
      <c r="B827" s="26">
        <f>VLOOKUP(Table1[[#This Row],[Date]],Database!A:D,3,)</f>
        <v>137249</v>
      </c>
      <c r="C827" s="27">
        <f t="shared" si="24"/>
        <v>186</v>
      </c>
      <c r="D827" s="27">
        <f t="shared" si="25"/>
        <v>135.33333333333334</v>
      </c>
      <c r="E827" s="63">
        <f>VLOOKUP(Table1[[#This Row],[Date]],Database!A:D,4,)</f>
        <v>4.4000000000000004</v>
      </c>
      <c r="F827" s="63">
        <f>VLOOKUP(Table1[[#This Row],[Date]],Database!A:D,2,)</f>
        <v>66.400000000000006</v>
      </c>
      <c r="G827" s="57"/>
    </row>
    <row r="828" spans="1:7" x14ac:dyDescent="0.2">
      <c r="A828" s="56">
        <v>39083</v>
      </c>
      <c r="B828" s="26">
        <f>VLOOKUP(Table1[[#This Row],[Date]],Database!A:D,3,)</f>
        <v>137477</v>
      </c>
      <c r="C828" s="27">
        <f t="shared" si="24"/>
        <v>228</v>
      </c>
      <c r="D828" s="27">
        <f t="shared" si="25"/>
        <v>208.33333333333334</v>
      </c>
      <c r="E828" s="63">
        <f>VLOOKUP(Table1[[#This Row],[Date]],Database!A:D,4,)</f>
        <v>4.5999999999999996</v>
      </c>
      <c r="F828" s="63">
        <f>VLOOKUP(Table1[[#This Row],[Date]],Database!A:D,2,)</f>
        <v>66.400000000000006</v>
      </c>
      <c r="G828" s="57"/>
    </row>
    <row r="829" spans="1:7" x14ac:dyDescent="0.2">
      <c r="A829" s="56">
        <v>39114</v>
      </c>
      <c r="B829" s="26">
        <f>VLOOKUP(Table1[[#This Row],[Date]],Database!A:D,3,)</f>
        <v>137558</v>
      </c>
      <c r="C829" s="27">
        <f t="shared" si="24"/>
        <v>81</v>
      </c>
      <c r="D829" s="27">
        <f t="shared" si="25"/>
        <v>165</v>
      </c>
      <c r="E829" s="63">
        <f>VLOOKUP(Table1[[#This Row],[Date]],Database!A:D,4,)</f>
        <v>4.5</v>
      </c>
      <c r="F829" s="63">
        <f>VLOOKUP(Table1[[#This Row],[Date]],Database!A:D,2,)</f>
        <v>66.3</v>
      </c>
      <c r="G829" s="57"/>
    </row>
    <row r="830" spans="1:7" x14ac:dyDescent="0.2">
      <c r="A830" s="56">
        <v>39142</v>
      </c>
      <c r="B830" s="26">
        <f>VLOOKUP(Table1[[#This Row],[Date]],Database!A:D,3,)</f>
        <v>137793</v>
      </c>
      <c r="C830" s="27">
        <f t="shared" si="24"/>
        <v>235</v>
      </c>
      <c r="D830" s="27">
        <f t="shared" si="25"/>
        <v>181.33333333333334</v>
      </c>
      <c r="E830" s="63">
        <f>VLOOKUP(Table1[[#This Row],[Date]],Database!A:D,4,)</f>
        <v>4.4000000000000004</v>
      </c>
      <c r="F830" s="63">
        <f>VLOOKUP(Table1[[#This Row],[Date]],Database!A:D,2,)</f>
        <v>66.2</v>
      </c>
      <c r="G830" s="57"/>
    </row>
    <row r="831" spans="1:7" x14ac:dyDescent="0.2">
      <c r="A831" s="56">
        <v>39173</v>
      </c>
      <c r="B831" s="26">
        <f>VLOOKUP(Table1[[#This Row],[Date]],Database!A:D,3,)</f>
        <v>137842</v>
      </c>
      <c r="C831" s="27">
        <f t="shared" si="24"/>
        <v>49</v>
      </c>
      <c r="D831" s="27">
        <f t="shared" si="25"/>
        <v>121.66666666666667</v>
      </c>
      <c r="E831" s="63">
        <f>VLOOKUP(Table1[[#This Row],[Date]],Database!A:D,4,)</f>
        <v>4.5</v>
      </c>
      <c r="F831" s="63">
        <f>VLOOKUP(Table1[[#This Row],[Date]],Database!A:D,2,)</f>
        <v>65.900000000000006</v>
      </c>
      <c r="G831" s="57"/>
    </row>
    <row r="832" spans="1:7" x14ac:dyDescent="0.2">
      <c r="A832" s="56">
        <v>39203</v>
      </c>
      <c r="B832" s="26">
        <f>VLOOKUP(Table1[[#This Row],[Date]],Database!A:D,3,)</f>
        <v>137993</v>
      </c>
      <c r="C832" s="27">
        <f t="shared" si="24"/>
        <v>151</v>
      </c>
      <c r="D832" s="27">
        <f t="shared" si="25"/>
        <v>145</v>
      </c>
      <c r="E832" s="63">
        <f>VLOOKUP(Table1[[#This Row],[Date]],Database!A:D,4,)</f>
        <v>4.4000000000000004</v>
      </c>
      <c r="F832" s="63">
        <f>VLOOKUP(Table1[[#This Row],[Date]],Database!A:D,2,)</f>
        <v>66</v>
      </c>
      <c r="G832" s="57"/>
    </row>
    <row r="833" spans="1:7" x14ac:dyDescent="0.2">
      <c r="A833" s="56">
        <v>39234</v>
      </c>
      <c r="B833" s="26">
        <f>VLOOKUP(Table1[[#This Row],[Date]],Database!A:D,3,)</f>
        <v>138069</v>
      </c>
      <c r="C833" s="27">
        <f t="shared" si="24"/>
        <v>76</v>
      </c>
      <c r="D833" s="27">
        <f t="shared" si="25"/>
        <v>92</v>
      </c>
      <c r="E833" s="63">
        <f>VLOOKUP(Table1[[#This Row],[Date]],Database!A:D,4,)</f>
        <v>4.5999999999999996</v>
      </c>
      <c r="F833" s="63">
        <f>VLOOKUP(Table1[[#This Row],[Date]],Database!A:D,2,)</f>
        <v>66</v>
      </c>
      <c r="G833" s="57"/>
    </row>
    <row r="834" spans="1:7" x14ac:dyDescent="0.2">
      <c r="A834" s="56">
        <v>39264</v>
      </c>
      <c r="B834" s="26">
        <f>VLOOKUP(Table1[[#This Row],[Date]],Database!A:D,3,)</f>
        <v>138038</v>
      </c>
      <c r="C834" s="27">
        <f t="shared" si="24"/>
        <v>-31</v>
      </c>
      <c r="D834" s="27">
        <f t="shared" si="25"/>
        <v>65.333333333333329</v>
      </c>
      <c r="E834" s="63">
        <f>VLOOKUP(Table1[[#This Row],[Date]],Database!A:D,4,)</f>
        <v>4.7</v>
      </c>
      <c r="F834" s="63">
        <f>VLOOKUP(Table1[[#This Row],[Date]],Database!A:D,2,)</f>
        <v>66</v>
      </c>
      <c r="G834" s="57"/>
    </row>
    <row r="835" spans="1:7" x14ac:dyDescent="0.2">
      <c r="A835" s="56">
        <v>39295</v>
      </c>
      <c r="B835" s="26">
        <f>VLOOKUP(Table1[[#This Row],[Date]],Database!A:D,3,)</f>
        <v>138015</v>
      </c>
      <c r="C835" s="27">
        <f t="shared" si="24"/>
        <v>-23</v>
      </c>
      <c r="D835" s="27">
        <f t="shared" si="25"/>
        <v>7.333333333333333</v>
      </c>
      <c r="E835" s="63">
        <f>VLOOKUP(Table1[[#This Row],[Date]],Database!A:D,4,)</f>
        <v>4.5999999999999996</v>
      </c>
      <c r="F835" s="63">
        <f>VLOOKUP(Table1[[#This Row],[Date]],Database!A:D,2,)</f>
        <v>65.8</v>
      </c>
      <c r="G835" s="57"/>
    </row>
    <row r="836" spans="1:7" x14ac:dyDescent="0.2">
      <c r="A836" s="56">
        <v>39326</v>
      </c>
      <c r="B836" s="26">
        <f>VLOOKUP(Table1[[#This Row],[Date]],Database!A:D,3,)</f>
        <v>138095</v>
      </c>
      <c r="C836" s="27">
        <f t="shared" si="24"/>
        <v>80</v>
      </c>
      <c r="D836" s="27">
        <f t="shared" si="25"/>
        <v>8.6666666666666661</v>
      </c>
      <c r="E836" s="63">
        <f>VLOOKUP(Table1[[#This Row],[Date]],Database!A:D,4,)</f>
        <v>4.7</v>
      </c>
      <c r="F836" s="63">
        <f>VLOOKUP(Table1[[#This Row],[Date]],Database!A:D,2,)</f>
        <v>66</v>
      </c>
      <c r="G836" s="57"/>
    </row>
    <row r="837" spans="1:7" x14ac:dyDescent="0.2">
      <c r="A837" s="56">
        <v>39356</v>
      </c>
      <c r="B837" s="26">
        <f>VLOOKUP(Table1[[#This Row],[Date]],Database!A:D,3,)</f>
        <v>138174</v>
      </c>
      <c r="C837" s="27">
        <f t="shared" si="24"/>
        <v>79</v>
      </c>
      <c r="D837" s="27">
        <f t="shared" si="25"/>
        <v>45.333333333333336</v>
      </c>
      <c r="E837" s="63">
        <f>VLOOKUP(Table1[[#This Row],[Date]],Database!A:D,4,)</f>
        <v>4.7</v>
      </c>
      <c r="F837" s="63">
        <f>VLOOKUP(Table1[[#This Row],[Date]],Database!A:D,2,)</f>
        <v>65.8</v>
      </c>
      <c r="G837" s="57"/>
    </row>
    <row r="838" spans="1:7" x14ac:dyDescent="0.2">
      <c r="A838" s="56">
        <v>39387</v>
      </c>
      <c r="B838" s="26">
        <f>VLOOKUP(Table1[[#This Row],[Date]],Database!A:D,3,)</f>
        <v>138284</v>
      </c>
      <c r="C838" s="27">
        <f t="shared" si="24"/>
        <v>110</v>
      </c>
      <c r="D838" s="27">
        <f t="shared" si="25"/>
        <v>89.666666666666671</v>
      </c>
      <c r="E838" s="63">
        <f>VLOOKUP(Table1[[#This Row],[Date]],Database!A:D,4,)</f>
        <v>4.7</v>
      </c>
      <c r="F838" s="63">
        <f>VLOOKUP(Table1[[#This Row],[Date]],Database!A:D,2,)</f>
        <v>66</v>
      </c>
      <c r="G838" s="57"/>
    </row>
    <row r="839" spans="1:7" x14ac:dyDescent="0.2">
      <c r="A839" s="56">
        <v>39417</v>
      </c>
      <c r="B839" s="26">
        <f>VLOOKUP(Table1[[#This Row],[Date]],Database!A:D,3,)</f>
        <v>138392</v>
      </c>
      <c r="C839" s="27">
        <f t="shared" si="24"/>
        <v>108</v>
      </c>
      <c r="D839" s="27">
        <f t="shared" si="25"/>
        <v>99</v>
      </c>
      <c r="E839" s="63">
        <f>VLOOKUP(Table1[[#This Row],[Date]],Database!A:D,4,)</f>
        <v>5</v>
      </c>
      <c r="F839" s="63">
        <f>VLOOKUP(Table1[[#This Row],[Date]],Database!A:D,2,)</f>
        <v>66</v>
      </c>
      <c r="G839" s="57"/>
    </row>
    <row r="840" spans="1:7" x14ac:dyDescent="0.2">
      <c r="A840" s="56">
        <v>39448</v>
      </c>
      <c r="B840" s="26">
        <f>VLOOKUP(Table1[[#This Row],[Date]],Database!A:D,3,)</f>
        <v>138403</v>
      </c>
      <c r="C840" s="27">
        <f t="shared" si="24"/>
        <v>11</v>
      </c>
      <c r="D840" s="27">
        <f t="shared" si="25"/>
        <v>76.333333333333329</v>
      </c>
      <c r="E840" s="63">
        <f>VLOOKUP(Table1[[#This Row],[Date]],Database!A:D,4,)</f>
        <v>5</v>
      </c>
      <c r="F840" s="63">
        <f>VLOOKUP(Table1[[#This Row],[Date]],Database!A:D,2,)</f>
        <v>66.2</v>
      </c>
      <c r="G840" s="57"/>
    </row>
    <row r="841" spans="1:7" x14ac:dyDescent="0.2">
      <c r="A841" s="56">
        <v>39479</v>
      </c>
      <c r="B841" s="26">
        <f>VLOOKUP(Table1[[#This Row],[Date]],Database!A:D,3,)</f>
        <v>138324</v>
      </c>
      <c r="C841" s="27">
        <f t="shared" si="24"/>
        <v>-79</v>
      </c>
      <c r="D841" s="27">
        <f t="shared" si="25"/>
        <v>13.333333333333334</v>
      </c>
      <c r="E841" s="63">
        <f>VLOOKUP(Table1[[#This Row],[Date]],Database!A:D,4,)</f>
        <v>4.9000000000000004</v>
      </c>
      <c r="F841" s="63">
        <f>VLOOKUP(Table1[[#This Row],[Date]],Database!A:D,2,)</f>
        <v>66</v>
      </c>
      <c r="G841" s="57"/>
    </row>
    <row r="842" spans="1:7" x14ac:dyDescent="0.2">
      <c r="A842" s="56">
        <v>39508</v>
      </c>
      <c r="B842" s="26">
        <f>VLOOKUP(Table1[[#This Row],[Date]],Database!A:D,3,)</f>
        <v>138275</v>
      </c>
      <c r="C842" s="27">
        <f t="shared" si="24"/>
        <v>-49</v>
      </c>
      <c r="D842" s="27">
        <f t="shared" si="25"/>
        <v>-39</v>
      </c>
      <c r="E842" s="63">
        <f>VLOOKUP(Table1[[#This Row],[Date]],Database!A:D,4,)</f>
        <v>5.0999999999999996</v>
      </c>
      <c r="F842" s="63">
        <f>VLOOKUP(Table1[[#This Row],[Date]],Database!A:D,2,)</f>
        <v>66.099999999999994</v>
      </c>
      <c r="G842" s="57"/>
    </row>
    <row r="843" spans="1:7" x14ac:dyDescent="0.2">
      <c r="A843" s="56">
        <v>39539</v>
      </c>
      <c r="B843" s="26">
        <f>VLOOKUP(Table1[[#This Row],[Date]],Database!A:D,3,)</f>
        <v>138035</v>
      </c>
      <c r="C843" s="27">
        <f t="shared" si="24"/>
        <v>-240</v>
      </c>
      <c r="D843" s="27">
        <f t="shared" si="25"/>
        <v>-122.66666666666667</v>
      </c>
      <c r="E843" s="63">
        <f>VLOOKUP(Table1[[#This Row],[Date]],Database!A:D,4,)</f>
        <v>5</v>
      </c>
      <c r="F843" s="63">
        <f>VLOOKUP(Table1[[#This Row],[Date]],Database!A:D,2,)</f>
        <v>65.900000000000006</v>
      </c>
      <c r="G843" s="57"/>
    </row>
    <row r="844" spans="1:7" x14ac:dyDescent="0.2">
      <c r="A844" s="56">
        <v>39569</v>
      </c>
      <c r="B844" s="26">
        <f>VLOOKUP(Table1[[#This Row],[Date]],Database!A:D,3,)</f>
        <v>137858</v>
      </c>
      <c r="C844" s="27">
        <f t="shared" si="24"/>
        <v>-177</v>
      </c>
      <c r="D844" s="27">
        <f t="shared" si="25"/>
        <v>-155.33333333333334</v>
      </c>
      <c r="E844" s="63">
        <f>VLOOKUP(Table1[[#This Row],[Date]],Database!A:D,4,)</f>
        <v>5.4</v>
      </c>
      <c r="F844" s="63">
        <f>VLOOKUP(Table1[[#This Row],[Date]],Database!A:D,2,)</f>
        <v>66.099999999999994</v>
      </c>
      <c r="G844" s="57"/>
    </row>
    <row r="845" spans="1:7" x14ac:dyDescent="0.2">
      <c r="A845" s="56">
        <v>39600</v>
      </c>
      <c r="B845" s="26">
        <f>VLOOKUP(Table1[[#This Row],[Date]],Database!A:D,3,)</f>
        <v>137687</v>
      </c>
      <c r="C845" s="27">
        <f t="shared" ref="C845:C908" si="26">B845-B844</f>
        <v>-171</v>
      </c>
      <c r="D845" s="27">
        <f t="shared" si="25"/>
        <v>-196</v>
      </c>
      <c r="E845" s="63">
        <f>VLOOKUP(Table1[[#This Row],[Date]],Database!A:D,4,)</f>
        <v>5.6</v>
      </c>
      <c r="F845" s="63">
        <f>VLOOKUP(Table1[[#This Row],[Date]],Database!A:D,2,)</f>
        <v>66.099999999999994</v>
      </c>
      <c r="G845" s="57"/>
    </row>
    <row r="846" spans="1:7" x14ac:dyDescent="0.2">
      <c r="A846" s="56">
        <v>39630</v>
      </c>
      <c r="B846" s="26">
        <f>VLOOKUP(Table1[[#This Row],[Date]],Database!A:D,3,)</f>
        <v>137491</v>
      </c>
      <c r="C846" s="27">
        <f t="shared" si="26"/>
        <v>-196</v>
      </c>
      <c r="D846" s="27">
        <f t="shared" si="25"/>
        <v>-181.33333333333334</v>
      </c>
      <c r="E846" s="63">
        <f>VLOOKUP(Table1[[#This Row],[Date]],Database!A:D,4,)</f>
        <v>5.8</v>
      </c>
      <c r="F846" s="63">
        <f>VLOOKUP(Table1[[#This Row],[Date]],Database!A:D,2,)</f>
        <v>66.099999999999994</v>
      </c>
      <c r="G846" s="57"/>
    </row>
    <row r="847" spans="1:7" x14ac:dyDescent="0.2">
      <c r="A847" s="56">
        <v>39661</v>
      </c>
      <c r="B847" s="26">
        <f>VLOOKUP(Table1[[#This Row],[Date]],Database!A:D,3,)</f>
        <v>137213</v>
      </c>
      <c r="C847" s="27">
        <f t="shared" si="26"/>
        <v>-278</v>
      </c>
      <c r="D847" s="27">
        <f t="shared" ref="D847:D910" si="27">AVERAGE(C845:C847)</f>
        <v>-215</v>
      </c>
      <c r="E847" s="63">
        <f>VLOOKUP(Table1[[#This Row],[Date]],Database!A:D,4,)</f>
        <v>6.1</v>
      </c>
      <c r="F847" s="63">
        <f>VLOOKUP(Table1[[#This Row],[Date]],Database!A:D,2,)</f>
        <v>66.099999999999994</v>
      </c>
      <c r="G847" s="57"/>
    </row>
    <row r="848" spans="1:7" x14ac:dyDescent="0.2">
      <c r="A848" s="56">
        <v>39692</v>
      </c>
      <c r="B848" s="26">
        <f>VLOOKUP(Table1[[#This Row],[Date]],Database!A:D,3,)</f>
        <v>136753</v>
      </c>
      <c r="C848" s="27">
        <f t="shared" si="26"/>
        <v>-460</v>
      </c>
      <c r="D848" s="27">
        <f t="shared" si="27"/>
        <v>-311.33333333333331</v>
      </c>
      <c r="E848" s="63">
        <f>VLOOKUP(Table1[[#This Row],[Date]],Database!A:D,4,)</f>
        <v>6.1</v>
      </c>
      <c r="F848" s="63">
        <f>VLOOKUP(Table1[[#This Row],[Date]],Database!A:D,2,)</f>
        <v>66</v>
      </c>
      <c r="G848" s="57"/>
    </row>
    <row r="849" spans="1:7" x14ac:dyDescent="0.2">
      <c r="A849" s="56">
        <v>39722</v>
      </c>
      <c r="B849" s="26">
        <f>VLOOKUP(Table1[[#This Row],[Date]],Database!A:D,3,)</f>
        <v>136272</v>
      </c>
      <c r="C849" s="27">
        <f t="shared" si="26"/>
        <v>-481</v>
      </c>
      <c r="D849" s="27">
        <f t="shared" si="27"/>
        <v>-406.33333333333331</v>
      </c>
      <c r="E849" s="63">
        <f>VLOOKUP(Table1[[#This Row],[Date]],Database!A:D,4,)</f>
        <v>6.5</v>
      </c>
      <c r="F849" s="63">
        <f>VLOOKUP(Table1[[#This Row],[Date]],Database!A:D,2,)</f>
        <v>66</v>
      </c>
      <c r="G849" s="57"/>
    </row>
    <row r="850" spans="1:7" x14ac:dyDescent="0.2">
      <c r="A850" s="56">
        <v>39753</v>
      </c>
      <c r="B850" s="26">
        <f>VLOOKUP(Table1[[#This Row],[Date]],Database!A:D,3,)</f>
        <v>135545</v>
      </c>
      <c r="C850" s="27">
        <f t="shared" si="26"/>
        <v>-727</v>
      </c>
      <c r="D850" s="27">
        <f t="shared" si="27"/>
        <v>-556</v>
      </c>
      <c r="E850" s="63">
        <f>VLOOKUP(Table1[[#This Row],[Date]],Database!A:D,4,)</f>
        <v>6.8</v>
      </c>
      <c r="F850" s="63">
        <f>VLOOKUP(Table1[[#This Row],[Date]],Database!A:D,2,)</f>
        <v>65.900000000000006</v>
      </c>
      <c r="G850" s="57"/>
    </row>
    <row r="851" spans="1:7" x14ac:dyDescent="0.2">
      <c r="A851" s="56">
        <v>39783</v>
      </c>
      <c r="B851" s="26">
        <f>VLOOKUP(Table1[[#This Row],[Date]],Database!A:D,3,)</f>
        <v>134839</v>
      </c>
      <c r="C851" s="27">
        <f t="shared" si="26"/>
        <v>-706</v>
      </c>
      <c r="D851" s="27">
        <f t="shared" si="27"/>
        <v>-638</v>
      </c>
      <c r="E851" s="63">
        <f>VLOOKUP(Table1[[#This Row],[Date]],Database!A:D,4,)</f>
        <v>7.3</v>
      </c>
      <c r="F851" s="63">
        <f>VLOOKUP(Table1[[#This Row],[Date]],Database!A:D,2,)</f>
        <v>65.8</v>
      </c>
      <c r="G851" s="57"/>
    </row>
    <row r="852" spans="1:7" x14ac:dyDescent="0.2">
      <c r="A852" s="56">
        <v>39814</v>
      </c>
      <c r="B852" s="26">
        <f>VLOOKUP(Table1[[#This Row],[Date]],Database!A:D,3,)</f>
        <v>134055</v>
      </c>
      <c r="C852" s="27">
        <f t="shared" si="26"/>
        <v>-784</v>
      </c>
      <c r="D852" s="27">
        <f t="shared" si="27"/>
        <v>-739</v>
      </c>
      <c r="E852" s="63">
        <f>VLOOKUP(Table1[[#This Row],[Date]],Database!A:D,4,)</f>
        <v>7.8</v>
      </c>
      <c r="F852" s="63">
        <f>VLOOKUP(Table1[[#This Row],[Date]],Database!A:D,2,)</f>
        <v>65.7</v>
      </c>
      <c r="G852" s="57"/>
    </row>
    <row r="853" spans="1:7" x14ac:dyDescent="0.2">
      <c r="A853" s="56">
        <v>39845</v>
      </c>
      <c r="B853" s="26">
        <f>VLOOKUP(Table1[[#This Row],[Date]],Database!A:D,3,)</f>
        <v>133312</v>
      </c>
      <c r="C853" s="27">
        <f t="shared" si="26"/>
        <v>-743</v>
      </c>
      <c r="D853" s="27">
        <f t="shared" si="27"/>
        <v>-744.33333333333337</v>
      </c>
      <c r="E853" s="63">
        <f>VLOOKUP(Table1[[#This Row],[Date]],Database!A:D,4,)</f>
        <v>8.3000000000000007</v>
      </c>
      <c r="F853" s="63">
        <f>VLOOKUP(Table1[[#This Row],[Date]],Database!A:D,2,)</f>
        <v>65.8</v>
      </c>
      <c r="G853" s="57"/>
    </row>
    <row r="854" spans="1:7" x14ac:dyDescent="0.2">
      <c r="A854" s="56">
        <v>39873</v>
      </c>
      <c r="B854" s="26">
        <f>VLOOKUP(Table1[[#This Row],[Date]],Database!A:D,3,)</f>
        <v>132512</v>
      </c>
      <c r="C854" s="27">
        <f t="shared" si="26"/>
        <v>-800</v>
      </c>
      <c r="D854" s="27">
        <f t="shared" si="27"/>
        <v>-775.66666666666663</v>
      </c>
      <c r="E854" s="63">
        <f>VLOOKUP(Table1[[#This Row],[Date]],Database!A:D,4,)</f>
        <v>8.6999999999999993</v>
      </c>
      <c r="F854" s="63">
        <f>VLOOKUP(Table1[[#This Row],[Date]],Database!A:D,2,)</f>
        <v>65.599999999999994</v>
      </c>
      <c r="G854" s="57"/>
    </row>
    <row r="855" spans="1:7" x14ac:dyDescent="0.2">
      <c r="A855" s="56">
        <v>39904</v>
      </c>
      <c r="B855" s="26">
        <f>VLOOKUP(Table1[[#This Row],[Date]],Database!A:D,3,)</f>
        <v>131817</v>
      </c>
      <c r="C855" s="27">
        <f t="shared" si="26"/>
        <v>-695</v>
      </c>
      <c r="D855" s="27">
        <f t="shared" si="27"/>
        <v>-746</v>
      </c>
      <c r="E855" s="63">
        <f>VLOOKUP(Table1[[#This Row],[Date]],Database!A:D,4,)</f>
        <v>9</v>
      </c>
      <c r="F855" s="63">
        <f>VLOOKUP(Table1[[#This Row],[Date]],Database!A:D,2,)</f>
        <v>65.7</v>
      </c>
      <c r="G855" s="57"/>
    </row>
    <row r="856" spans="1:7" x14ac:dyDescent="0.2">
      <c r="A856" s="56">
        <v>39934</v>
      </c>
      <c r="B856" s="26">
        <f>VLOOKUP(Table1[[#This Row],[Date]],Database!A:D,3,)</f>
        <v>131475</v>
      </c>
      <c r="C856" s="27">
        <f t="shared" si="26"/>
        <v>-342</v>
      </c>
      <c r="D856" s="27">
        <f t="shared" si="27"/>
        <v>-612.33333333333337</v>
      </c>
      <c r="E856" s="63">
        <f>VLOOKUP(Table1[[#This Row],[Date]],Database!A:D,4,)</f>
        <v>9.4</v>
      </c>
      <c r="F856" s="63">
        <f>VLOOKUP(Table1[[#This Row],[Date]],Database!A:D,2,)</f>
        <v>65.7</v>
      </c>
      <c r="G856" s="57"/>
    </row>
    <row r="857" spans="1:7" x14ac:dyDescent="0.2">
      <c r="A857" s="56">
        <v>39965</v>
      </c>
      <c r="B857" s="26">
        <f>VLOOKUP(Table1[[#This Row],[Date]],Database!A:D,3,)</f>
        <v>131008</v>
      </c>
      <c r="C857" s="27">
        <f t="shared" si="26"/>
        <v>-467</v>
      </c>
      <c r="D857" s="27">
        <f t="shared" si="27"/>
        <v>-501.33333333333331</v>
      </c>
      <c r="E857" s="63">
        <f>VLOOKUP(Table1[[#This Row],[Date]],Database!A:D,4,)</f>
        <v>9.5</v>
      </c>
      <c r="F857" s="63">
        <f>VLOOKUP(Table1[[#This Row],[Date]],Database!A:D,2,)</f>
        <v>65.7</v>
      </c>
      <c r="G857" s="57"/>
    </row>
    <row r="858" spans="1:7" x14ac:dyDescent="0.2">
      <c r="A858" s="56">
        <v>39995</v>
      </c>
      <c r="B858" s="26">
        <f>VLOOKUP(Table1[[#This Row],[Date]],Database!A:D,3,)</f>
        <v>130668</v>
      </c>
      <c r="C858" s="27">
        <f t="shared" si="26"/>
        <v>-340</v>
      </c>
      <c r="D858" s="27">
        <f t="shared" si="27"/>
        <v>-383</v>
      </c>
      <c r="E858" s="63">
        <f>VLOOKUP(Table1[[#This Row],[Date]],Database!A:D,4,)</f>
        <v>9.5</v>
      </c>
      <c r="F858" s="63">
        <f>VLOOKUP(Table1[[#This Row],[Date]],Database!A:D,2,)</f>
        <v>65.5</v>
      </c>
      <c r="G858" s="57"/>
    </row>
    <row r="859" spans="1:7" x14ac:dyDescent="0.2">
      <c r="A859" s="56">
        <v>40026</v>
      </c>
      <c r="B859" s="26">
        <f>VLOOKUP(Table1[[#This Row],[Date]],Database!A:D,3,)</f>
        <v>130485</v>
      </c>
      <c r="C859" s="27">
        <f t="shared" si="26"/>
        <v>-183</v>
      </c>
      <c r="D859" s="27">
        <f t="shared" si="27"/>
        <v>-330</v>
      </c>
      <c r="E859" s="63">
        <f>VLOOKUP(Table1[[#This Row],[Date]],Database!A:D,4,)</f>
        <v>9.6</v>
      </c>
      <c r="F859" s="63">
        <f>VLOOKUP(Table1[[#This Row],[Date]],Database!A:D,2,)</f>
        <v>65.400000000000006</v>
      </c>
      <c r="G859" s="57"/>
    </row>
    <row r="860" spans="1:7" x14ac:dyDescent="0.2">
      <c r="A860" s="56">
        <v>40057</v>
      </c>
      <c r="B860" s="26">
        <f>VLOOKUP(Table1[[#This Row],[Date]],Database!A:D,3,)</f>
        <v>130244</v>
      </c>
      <c r="C860" s="27">
        <f t="shared" si="26"/>
        <v>-241</v>
      </c>
      <c r="D860" s="27">
        <f t="shared" si="27"/>
        <v>-254.66666666666666</v>
      </c>
      <c r="E860" s="63">
        <f>VLOOKUP(Table1[[#This Row],[Date]],Database!A:D,4,)</f>
        <v>9.8000000000000007</v>
      </c>
      <c r="F860" s="63">
        <f>VLOOKUP(Table1[[#This Row],[Date]],Database!A:D,2,)</f>
        <v>65.099999999999994</v>
      </c>
      <c r="G860" s="57"/>
    </row>
    <row r="861" spans="1:7" x14ac:dyDescent="0.2">
      <c r="A861" s="56">
        <v>40087</v>
      </c>
      <c r="B861" s="26">
        <f>VLOOKUP(Table1[[#This Row],[Date]],Database!A:D,3,)</f>
        <v>130045</v>
      </c>
      <c r="C861" s="27">
        <f t="shared" si="26"/>
        <v>-199</v>
      </c>
      <c r="D861" s="27">
        <f t="shared" si="27"/>
        <v>-207.66666666666666</v>
      </c>
      <c r="E861" s="63">
        <f>VLOOKUP(Table1[[#This Row],[Date]],Database!A:D,4,)</f>
        <v>10</v>
      </c>
      <c r="F861" s="63">
        <f>VLOOKUP(Table1[[#This Row],[Date]],Database!A:D,2,)</f>
        <v>65</v>
      </c>
      <c r="G861" s="57"/>
    </row>
    <row r="862" spans="1:7" x14ac:dyDescent="0.2">
      <c r="A862" s="56">
        <v>40118</v>
      </c>
      <c r="B862" s="26">
        <f>VLOOKUP(Table1[[#This Row],[Date]],Database!A:D,3,)</f>
        <v>130057</v>
      </c>
      <c r="C862" s="27">
        <f t="shared" si="26"/>
        <v>12</v>
      </c>
      <c r="D862" s="27">
        <f t="shared" si="27"/>
        <v>-142.66666666666666</v>
      </c>
      <c r="E862" s="63">
        <f>VLOOKUP(Table1[[#This Row],[Date]],Database!A:D,4,)</f>
        <v>9.9</v>
      </c>
      <c r="F862" s="63">
        <f>VLOOKUP(Table1[[#This Row],[Date]],Database!A:D,2,)</f>
        <v>65</v>
      </c>
      <c r="G862" s="57"/>
    </row>
    <row r="863" spans="1:7" x14ac:dyDescent="0.2">
      <c r="A863" s="56">
        <v>40148</v>
      </c>
      <c r="B863" s="26">
        <f>VLOOKUP(Table1[[#This Row],[Date]],Database!A:D,3,)</f>
        <v>129788</v>
      </c>
      <c r="C863" s="27">
        <f t="shared" si="26"/>
        <v>-269</v>
      </c>
      <c r="D863" s="27">
        <f t="shared" si="27"/>
        <v>-152</v>
      </c>
      <c r="E863" s="63">
        <f>VLOOKUP(Table1[[#This Row],[Date]],Database!A:D,4,)</f>
        <v>9.9</v>
      </c>
      <c r="F863" s="63">
        <f>VLOOKUP(Table1[[#This Row],[Date]],Database!A:D,2,)</f>
        <v>64.599999999999994</v>
      </c>
      <c r="G863" s="57"/>
    </row>
    <row r="864" spans="1:7" x14ac:dyDescent="0.2">
      <c r="A864" s="56">
        <v>40179</v>
      </c>
      <c r="B864" s="26">
        <f>VLOOKUP(Table1[[#This Row],[Date]],Database!A:D,3,)</f>
        <v>129790</v>
      </c>
      <c r="C864" s="27">
        <f t="shared" si="26"/>
        <v>2</v>
      </c>
      <c r="D864" s="27">
        <f t="shared" si="27"/>
        <v>-85</v>
      </c>
      <c r="E864" s="63">
        <f>VLOOKUP(Table1[[#This Row],[Date]],Database!A:D,4,)</f>
        <v>9.8000000000000007</v>
      </c>
      <c r="F864" s="63">
        <f>VLOOKUP(Table1[[#This Row],[Date]],Database!A:D,2,)</f>
        <v>64.8</v>
      </c>
      <c r="G864" s="57"/>
    </row>
    <row r="865" spans="1:7" x14ac:dyDescent="0.2">
      <c r="A865" s="56">
        <v>40210</v>
      </c>
      <c r="B865" s="26">
        <f>VLOOKUP(Table1[[#This Row],[Date]],Database!A:D,3,)</f>
        <v>129698</v>
      </c>
      <c r="C865" s="27">
        <f t="shared" si="26"/>
        <v>-92</v>
      </c>
      <c r="D865" s="27">
        <f t="shared" si="27"/>
        <v>-119.66666666666667</v>
      </c>
      <c r="E865" s="63">
        <f>VLOOKUP(Table1[[#This Row],[Date]],Database!A:D,4,)</f>
        <v>9.8000000000000007</v>
      </c>
      <c r="F865" s="63">
        <f>VLOOKUP(Table1[[#This Row],[Date]],Database!A:D,2,)</f>
        <v>64.900000000000006</v>
      </c>
      <c r="G865" s="57"/>
    </row>
    <row r="866" spans="1:7" x14ac:dyDescent="0.2">
      <c r="A866" s="56">
        <v>40238</v>
      </c>
      <c r="B866" s="26">
        <f>VLOOKUP(Table1[[#This Row],[Date]],Database!A:D,3,)</f>
        <v>129879</v>
      </c>
      <c r="C866" s="27">
        <f t="shared" si="26"/>
        <v>181</v>
      </c>
      <c r="D866" s="27">
        <f t="shared" si="27"/>
        <v>30.333333333333332</v>
      </c>
      <c r="E866" s="63">
        <f>VLOOKUP(Table1[[#This Row],[Date]],Database!A:D,4,)</f>
        <v>9.9</v>
      </c>
      <c r="F866" s="63">
        <f>VLOOKUP(Table1[[#This Row],[Date]],Database!A:D,2,)</f>
        <v>64.900000000000006</v>
      </c>
      <c r="G866" s="57"/>
    </row>
    <row r="867" spans="1:7" x14ac:dyDescent="0.2">
      <c r="A867" s="56">
        <v>40269</v>
      </c>
      <c r="B867" s="26">
        <f>VLOOKUP(Table1[[#This Row],[Date]],Database!A:D,3,)</f>
        <v>130110</v>
      </c>
      <c r="C867" s="27">
        <f t="shared" si="26"/>
        <v>231</v>
      </c>
      <c r="D867" s="27">
        <f t="shared" si="27"/>
        <v>106.66666666666667</v>
      </c>
      <c r="E867" s="63">
        <f>VLOOKUP(Table1[[#This Row],[Date]],Database!A:D,4,)</f>
        <v>9.9</v>
      </c>
      <c r="F867" s="63">
        <f>VLOOKUP(Table1[[#This Row],[Date]],Database!A:D,2,)</f>
        <v>65.2</v>
      </c>
      <c r="G867" s="57"/>
    </row>
    <row r="868" spans="1:7" x14ac:dyDescent="0.2">
      <c r="A868" s="56">
        <v>40299</v>
      </c>
      <c r="B868" s="26">
        <f>VLOOKUP(Table1[[#This Row],[Date]],Database!A:D,3,)</f>
        <v>130650</v>
      </c>
      <c r="C868" s="27">
        <f t="shared" si="26"/>
        <v>540</v>
      </c>
      <c r="D868" s="27">
        <f t="shared" si="27"/>
        <v>317.33333333333331</v>
      </c>
      <c r="E868" s="63">
        <f>VLOOKUP(Table1[[#This Row],[Date]],Database!A:D,4,)</f>
        <v>9.6</v>
      </c>
      <c r="F868" s="63">
        <f>VLOOKUP(Table1[[#This Row],[Date]],Database!A:D,2,)</f>
        <v>64.900000000000006</v>
      </c>
      <c r="G868" s="57"/>
    </row>
    <row r="869" spans="1:7" x14ac:dyDescent="0.2">
      <c r="A869" s="56">
        <v>40330</v>
      </c>
      <c r="B869" s="26">
        <f>VLOOKUP(Table1[[#This Row],[Date]],Database!A:D,3,)</f>
        <v>130511</v>
      </c>
      <c r="C869" s="27">
        <f t="shared" si="26"/>
        <v>-139</v>
      </c>
      <c r="D869" s="27">
        <f t="shared" si="27"/>
        <v>210.66666666666666</v>
      </c>
      <c r="E869" s="63">
        <f>VLOOKUP(Table1[[#This Row],[Date]],Database!A:D,4,)</f>
        <v>9.4</v>
      </c>
      <c r="F869" s="63">
        <f>VLOOKUP(Table1[[#This Row],[Date]],Database!A:D,2,)</f>
        <v>64.599999999999994</v>
      </c>
      <c r="G869" s="57"/>
    </row>
    <row r="870" spans="1:7" x14ac:dyDescent="0.2">
      <c r="A870" s="56">
        <v>40360</v>
      </c>
      <c r="B870" s="26">
        <f>VLOOKUP(Table1[[#This Row],[Date]],Database!A:D,3,)</f>
        <v>130427</v>
      </c>
      <c r="C870" s="27">
        <f t="shared" si="26"/>
        <v>-84</v>
      </c>
      <c r="D870" s="27">
        <f t="shared" si="27"/>
        <v>105.66666666666667</v>
      </c>
      <c r="E870" s="63">
        <f>VLOOKUP(Table1[[#This Row],[Date]],Database!A:D,4,)</f>
        <v>9.4</v>
      </c>
      <c r="F870" s="63">
        <f>VLOOKUP(Table1[[#This Row],[Date]],Database!A:D,2,)</f>
        <v>64.599999999999994</v>
      </c>
      <c r="G870" s="57"/>
    </row>
    <row r="871" spans="1:7" x14ac:dyDescent="0.2">
      <c r="A871" s="56">
        <v>40391</v>
      </c>
      <c r="B871" s="26">
        <f>VLOOKUP(Table1[[#This Row],[Date]],Database!A:D,3,)</f>
        <v>130422</v>
      </c>
      <c r="C871" s="27">
        <f t="shared" si="26"/>
        <v>-5</v>
      </c>
      <c r="D871" s="27">
        <f t="shared" si="27"/>
        <v>-76</v>
      </c>
      <c r="E871" s="63">
        <f>VLOOKUP(Table1[[#This Row],[Date]],Database!A:D,4,)</f>
        <v>9.5</v>
      </c>
      <c r="F871" s="63">
        <f>VLOOKUP(Table1[[#This Row],[Date]],Database!A:D,2,)</f>
        <v>64.7</v>
      </c>
      <c r="G871" s="57"/>
    </row>
    <row r="872" spans="1:7" x14ac:dyDescent="0.2">
      <c r="A872" s="56">
        <v>40422</v>
      </c>
      <c r="B872" s="26">
        <f>VLOOKUP(Table1[[#This Row],[Date]],Database!A:D,3,)</f>
        <v>130357</v>
      </c>
      <c r="C872" s="27">
        <f t="shared" si="26"/>
        <v>-65</v>
      </c>
      <c r="D872" s="27">
        <f t="shared" si="27"/>
        <v>-51.333333333333336</v>
      </c>
      <c r="E872" s="63">
        <f>VLOOKUP(Table1[[#This Row],[Date]],Database!A:D,4,)</f>
        <v>9.5</v>
      </c>
      <c r="F872" s="63">
        <f>VLOOKUP(Table1[[#This Row],[Date]],Database!A:D,2,)</f>
        <v>64.599999999999994</v>
      </c>
      <c r="G872" s="57"/>
    </row>
    <row r="873" spans="1:7" x14ac:dyDescent="0.2">
      <c r="A873" s="56">
        <v>40452</v>
      </c>
      <c r="B873" s="26">
        <f>VLOOKUP(Table1[[#This Row],[Date]],Database!A:D,3,)</f>
        <v>130625</v>
      </c>
      <c r="C873" s="27">
        <f t="shared" si="26"/>
        <v>268</v>
      </c>
      <c r="D873" s="27">
        <f t="shared" si="27"/>
        <v>66</v>
      </c>
      <c r="E873" s="63">
        <f>VLOOKUP(Table1[[#This Row],[Date]],Database!A:D,4,)</f>
        <v>9.4</v>
      </c>
      <c r="F873" s="63">
        <f>VLOOKUP(Table1[[#This Row],[Date]],Database!A:D,2,)</f>
        <v>64.400000000000006</v>
      </c>
      <c r="G873" s="57"/>
    </row>
    <row r="874" spans="1:7" x14ac:dyDescent="0.2">
      <c r="A874" s="56">
        <v>40483</v>
      </c>
      <c r="B874" s="26">
        <f>VLOOKUP(Table1[[#This Row],[Date]],Database!A:D,3,)</f>
        <v>130750</v>
      </c>
      <c r="C874" s="27">
        <f t="shared" si="26"/>
        <v>125</v>
      </c>
      <c r="D874" s="27">
        <f t="shared" si="27"/>
        <v>109.33333333333333</v>
      </c>
      <c r="E874" s="63">
        <f>VLOOKUP(Table1[[#This Row],[Date]],Database!A:D,4,)</f>
        <v>9.8000000000000007</v>
      </c>
      <c r="F874" s="63">
        <f>VLOOKUP(Table1[[#This Row],[Date]],Database!A:D,2,)</f>
        <v>64.599999999999994</v>
      </c>
      <c r="G874" s="57"/>
    </row>
    <row r="875" spans="1:7" x14ac:dyDescent="0.2">
      <c r="A875" s="56">
        <v>40513</v>
      </c>
      <c r="B875" s="26">
        <f>VLOOKUP(Table1[[#This Row],[Date]],Database!A:D,3,)</f>
        <v>130822</v>
      </c>
      <c r="C875" s="27">
        <f t="shared" si="26"/>
        <v>72</v>
      </c>
      <c r="D875" s="27">
        <f t="shared" si="27"/>
        <v>155</v>
      </c>
      <c r="E875" s="63">
        <f>VLOOKUP(Table1[[#This Row],[Date]],Database!A:D,4,)</f>
        <v>9.3000000000000007</v>
      </c>
      <c r="F875" s="63">
        <f>VLOOKUP(Table1[[#This Row],[Date]],Database!A:D,2,)</f>
        <v>64.3</v>
      </c>
      <c r="G875" s="57"/>
    </row>
    <row r="876" spans="1:7" x14ac:dyDescent="0.2">
      <c r="A876" s="56">
        <v>40544</v>
      </c>
      <c r="B876" s="26">
        <f>VLOOKUP(Table1[[#This Row],[Date]],Database!A:D,3,)</f>
        <v>130841</v>
      </c>
      <c r="C876" s="27">
        <f t="shared" si="26"/>
        <v>19</v>
      </c>
      <c r="D876" s="27">
        <f t="shared" si="27"/>
        <v>72</v>
      </c>
      <c r="E876" s="63">
        <f>VLOOKUP(Table1[[#This Row],[Date]],Database!A:D,4,)</f>
        <v>9.1</v>
      </c>
      <c r="F876" s="63">
        <f>VLOOKUP(Table1[[#This Row],[Date]],Database!A:D,2,)</f>
        <v>64.2</v>
      </c>
      <c r="G876" s="57"/>
    </row>
    <row r="877" spans="1:7" x14ac:dyDescent="0.2">
      <c r="A877" s="56">
        <v>40575</v>
      </c>
      <c r="B877" s="26">
        <f>VLOOKUP(Table1[[#This Row],[Date]],Database!A:D,3,)</f>
        <v>131053</v>
      </c>
      <c r="C877" s="27">
        <f t="shared" si="26"/>
        <v>212</v>
      </c>
      <c r="D877" s="27">
        <f t="shared" si="27"/>
        <v>101</v>
      </c>
      <c r="E877" s="63">
        <f>VLOOKUP(Table1[[#This Row],[Date]],Database!A:D,4,)</f>
        <v>9</v>
      </c>
      <c r="F877" s="63">
        <f>VLOOKUP(Table1[[#This Row],[Date]],Database!A:D,2,)</f>
        <v>64.099999999999994</v>
      </c>
      <c r="G877" s="57"/>
    </row>
    <row r="878" spans="1:7" x14ac:dyDescent="0.2">
      <c r="A878" s="56">
        <v>40603</v>
      </c>
      <c r="B878" s="26">
        <f>VLOOKUP(Table1[[#This Row],[Date]],Database!A:D,3,)</f>
        <v>131288</v>
      </c>
      <c r="C878" s="27">
        <f t="shared" si="26"/>
        <v>235</v>
      </c>
      <c r="D878" s="27">
        <f t="shared" si="27"/>
        <v>155.33333333333334</v>
      </c>
      <c r="E878" s="63">
        <f>VLOOKUP(Table1[[#This Row],[Date]],Database!A:D,4,)</f>
        <v>9</v>
      </c>
      <c r="F878" s="63">
        <f>VLOOKUP(Table1[[#This Row],[Date]],Database!A:D,2,)</f>
        <v>64.2</v>
      </c>
      <c r="G878" s="57"/>
    </row>
    <row r="879" spans="1:7" x14ac:dyDescent="0.2">
      <c r="A879" s="56">
        <v>40634</v>
      </c>
      <c r="B879" s="26">
        <f>VLOOKUP(Table1[[#This Row],[Date]],Database!A:D,3,)</f>
        <v>131602</v>
      </c>
      <c r="C879" s="27">
        <f t="shared" si="26"/>
        <v>314</v>
      </c>
      <c r="D879" s="27">
        <f t="shared" si="27"/>
        <v>253.66666666666666</v>
      </c>
      <c r="E879" s="63">
        <f>VLOOKUP(Table1[[#This Row],[Date]],Database!A:D,4,)</f>
        <v>9.1</v>
      </c>
      <c r="F879" s="63">
        <f>VLOOKUP(Table1[[#This Row],[Date]],Database!A:D,2,)</f>
        <v>64.2</v>
      </c>
      <c r="G879" s="57"/>
    </row>
    <row r="880" spans="1:7" x14ac:dyDescent="0.2">
      <c r="A880" s="56">
        <v>40664</v>
      </c>
      <c r="B880" s="26">
        <f>VLOOKUP(Table1[[#This Row],[Date]],Database!A:D,3,)</f>
        <v>131703</v>
      </c>
      <c r="C880" s="27">
        <f t="shared" si="26"/>
        <v>101</v>
      </c>
      <c r="D880" s="27">
        <f t="shared" si="27"/>
        <v>216.66666666666666</v>
      </c>
      <c r="E880" s="63">
        <f>VLOOKUP(Table1[[#This Row],[Date]],Database!A:D,4,)</f>
        <v>9</v>
      </c>
      <c r="F880" s="63">
        <f>VLOOKUP(Table1[[#This Row],[Date]],Database!A:D,2,)</f>
        <v>64.099999999999994</v>
      </c>
      <c r="G880" s="57"/>
    </row>
    <row r="881" spans="1:7" x14ac:dyDescent="0.2">
      <c r="A881" s="56">
        <v>40695</v>
      </c>
      <c r="B881" s="26">
        <f>VLOOKUP(Table1[[#This Row],[Date]],Database!A:D,3,)</f>
        <v>131939</v>
      </c>
      <c r="C881" s="27">
        <f t="shared" si="26"/>
        <v>236</v>
      </c>
      <c r="D881" s="27">
        <f t="shared" si="27"/>
        <v>217</v>
      </c>
      <c r="E881" s="63">
        <f>VLOOKUP(Table1[[#This Row],[Date]],Database!A:D,4,)</f>
        <v>9.1</v>
      </c>
      <c r="F881" s="63">
        <f>VLOOKUP(Table1[[#This Row],[Date]],Database!A:D,2,)</f>
        <v>64</v>
      </c>
      <c r="G881" s="57"/>
    </row>
    <row r="882" spans="1:7" x14ac:dyDescent="0.2">
      <c r="A882" s="56">
        <v>40725</v>
      </c>
      <c r="B882" s="26">
        <f>VLOOKUP(Table1[[#This Row],[Date]],Database!A:D,3,)</f>
        <v>131999</v>
      </c>
      <c r="C882" s="27">
        <f t="shared" si="26"/>
        <v>60</v>
      </c>
      <c r="D882" s="27">
        <f t="shared" si="27"/>
        <v>132.33333333333334</v>
      </c>
      <c r="E882" s="63">
        <f>VLOOKUP(Table1[[#This Row],[Date]],Database!A:D,4,)</f>
        <v>9</v>
      </c>
      <c r="F882" s="63">
        <f>VLOOKUP(Table1[[#This Row],[Date]],Database!A:D,2,)</f>
        <v>64</v>
      </c>
      <c r="G882" s="57"/>
    </row>
    <row r="883" spans="1:7" x14ac:dyDescent="0.2">
      <c r="A883" s="56">
        <v>40756</v>
      </c>
      <c r="B883" s="26">
        <f>VLOOKUP(Table1[[#This Row],[Date]],Database!A:D,3,)</f>
        <v>132125</v>
      </c>
      <c r="C883" s="27">
        <f t="shared" si="26"/>
        <v>126</v>
      </c>
      <c r="D883" s="27">
        <f t="shared" si="27"/>
        <v>140.66666666666666</v>
      </c>
      <c r="E883" s="63">
        <f>VLOOKUP(Table1[[#This Row],[Date]],Database!A:D,4,)</f>
        <v>9</v>
      </c>
      <c r="F883" s="63">
        <f>VLOOKUP(Table1[[#This Row],[Date]],Database!A:D,2,)</f>
        <v>64.099999999999994</v>
      </c>
      <c r="G883" s="57"/>
    </row>
    <row r="884" spans="1:7" x14ac:dyDescent="0.2">
      <c r="A884" s="56">
        <v>40787</v>
      </c>
      <c r="B884" s="26">
        <f>VLOOKUP(Table1[[#This Row],[Date]],Database!A:D,3,)</f>
        <v>132358</v>
      </c>
      <c r="C884" s="27">
        <f t="shared" si="26"/>
        <v>233</v>
      </c>
      <c r="D884" s="27">
        <f t="shared" si="27"/>
        <v>139.66666666666666</v>
      </c>
      <c r="E884" s="63">
        <f>VLOOKUP(Table1[[#This Row],[Date]],Database!A:D,4,)</f>
        <v>9</v>
      </c>
      <c r="F884" s="63">
        <f>VLOOKUP(Table1[[#This Row],[Date]],Database!A:D,2,)</f>
        <v>64.2</v>
      </c>
      <c r="G884" s="57"/>
    </row>
    <row r="885" spans="1:7" x14ac:dyDescent="0.2">
      <c r="A885" s="56">
        <v>40817</v>
      </c>
      <c r="B885" s="26">
        <f>VLOOKUP(Table1[[#This Row],[Date]],Database!A:D,3,)</f>
        <v>132562</v>
      </c>
      <c r="C885" s="27">
        <f t="shared" si="26"/>
        <v>204</v>
      </c>
      <c r="D885" s="27">
        <f t="shared" si="27"/>
        <v>187.66666666666666</v>
      </c>
      <c r="E885" s="63">
        <f>VLOOKUP(Table1[[#This Row],[Date]],Database!A:D,4,)</f>
        <v>8.8000000000000007</v>
      </c>
      <c r="F885" s="63">
        <f>VLOOKUP(Table1[[#This Row],[Date]],Database!A:D,2,)</f>
        <v>64.099999999999994</v>
      </c>
      <c r="G885" s="57"/>
    </row>
    <row r="886" spans="1:7" x14ac:dyDescent="0.2">
      <c r="A886" s="56">
        <v>40848</v>
      </c>
      <c r="B886" s="26">
        <f>VLOOKUP(Table1[[#This Row],[Date]],Database!A:D,3,)</f>
        <v>132694</v>
      </c>
      <c r="C886" s="27">
        <f t="shared" si="26"/>
        <v>132</v>
      </c>
      <c r="D886" s="27">
        <f t="shared" si="27"/>
        <v>189.66666666666666</v>
      </c>
      <c r="E886" s="63">
        <f>VLOOKUP(Table1[[#This Row],[Date]],Database!A:D,4,)</f>
        <v>8.6</v>
      </c>
      <c r="F886" s="63">
        <f>VLOOKUP(Table1[[#This Row],[Date]],Database!A:D,2,)</f>
        <v>64.099999999999994</v>
      </c>
      <c r="G886" s="57"/>
    </row>
    <row r="887" spans="1:7" x14ac:dyDescent="0.2">
      <c r="A887" s="56">
        <v>40878</v>
      </c>
      <c r="B887" s="26">
        <f>VLOOKUP(Table1[[#This Row],[Date]],Database!A:D,3,)</f>
        <v>132896</v>
      </c>
      <c r="C887" s="27">
        <f t="shared" si="26"/>
        <v>202</v>
      </c>
      <c r="D887" s="27">
        <f t="shared" si="27"/>
        <v>179.33333333333334</v>
      </c>
      <c r="E887" s="63">
        <f>VLOOKUP(Table1[[#This Row],[Date]],Database!A:D,4,)</f>
        <v>8.5</v>
      </c>
      <c r="F887" s="63">
        <f>VLOOKUP(Table1[[#This Row],[Date]],Database!A:D,2,)</f>
        <v>64</v>
      </c>
      <c r="G887" s="57"/>
    </row>
    <row r="888" spans="1:7" x14ac:dyDescent="0.2">
      <c r="A888" s="56">
        <v>40909</v>
      </c>
      <c r="B888" s="26">
        <f>VLOOKUP(Table1[[#This Row],[Date]],Database!A:D,3,)</f>
        <v>133250</v>
      </c>
      <c r="C888" s="27">
        <f t="shared" si="26"/>
        <v>354</v>
      </c>
      <c r="D888" s="27">
        <f t="shared" si="27"/>
        <v>229.33333333333334</v>
      </c>
      <c r="E888" s="63">
        <f>VLOOKUP(Table1[[#This Row],[Date]],Database!A:D,4,)</f>
        <v>8.3000000000000007</v>
      </c>
      <c r="F888" s="63">
        <f>VLOOKUP(Table1[[#This Row],[Date]],Database!A:D,2,)</f>
        <v>63.7</v>
      </c>
      <c r="G888" s="57"/>
    </row>
    <row r="889" spans="1:7" x14ac:dyDescent="0.2">
      <c r="A889" s="56">
        <v>40940</v>
      </c>
      <c r="B889" s="26">
        <f>VLOOKUP(Table1[[#This Row],[Date]],Database!A:D,3,)</f>
        <v>133512</v>
      </c>
      <c r="C889" s="27">
        <f t="shared" si="26"/>
        <v>262</v>
      </c>
      <c r="D889" s="27">
        <f t="shared" si="27"/>
        <v>272.66666666666669</v>
      </c>
      <c r="E889" s="63">
        <f>VLOOKUP(Table1[[#This Row],[Date]],Database!A:D,4,)</f>
        <v>8.3000000000000007</v>
      </c>
      <c r="F889" s="63">
        <f>VLOOKUP(Table1[[#This Row],[Date]],Database!A:D,2,)</f>
        <v>63.8</v>
      </c>
      <c r="G889" s="57"/>
    </row>
    <row r="890" spans="1:7" x14ac:dyDescent="0.2">
      <c r="A890" s="56">
        <v>40969</v>
      </c>
      <c r="B890" s="26">
        <f>VLOOKUP(Table1[[#This Row],[Date]],Database!A:D,3,)</f>
        <v>133752</v>
      </c>
      <c r="C890" s="27">
        <f t="shared" si="26"/>
        <v>240</v>
      </c>
      <c r="D890" s="27">
        <f t="shared" si="27"/>
        <v>285.33333333333331</v>
      </c>
      <c r="E890" s="63">
        <f>VLOOKUP(Table1[[#This Row],[Date]],Database!A:D,4,)</f>
        <v>8.1999999999999993</v>
      </c>
      <c r="F890" s="63">
        <f>VLOOKUP(Table1[[#This Row],[Date]],Database!A:D,2,)</f>
        <v>63.8</v>
      </c>
      <c r="G890" s="57"/>
    </row>
    <row r="891" spans="1:7" x14ac:dyDescent="0.2">
      <c r="A891" s="56">
        <v>41000</v>
      </c>
      <c r="B891" s="26">
        <f>VLOOKUP(Table1[[#This Row],[Date]],Database!A:D,3,)</f>
        <v>133834</v>
      </c>
      <c r="C891" s="27">
        <f t="shared" si="26"/>
        <v>82</v>
      </c>
      <c r="D891" s="27">
        <f t="shared" si="27"/>
        <v>194.66666666666666</v>
      </c>
      <c r="E891" s="63">
        <f>VLOOKUP(Table1[[#This Row],[Date]],Database!A:D,4,)</f>
        <v>8.1999999999999993</v>
      </c>
      <c r="F891" s="63">
        <f>VLOOKUP(Table1[[#This Row],[Date]],Database!A:D,2,)</f>
        <v>63.7</v>
      </c>
      <c r="G891" s="57"/>
    </row>
    <row r="892" spans="1:7" x14ac:dyDescent="0.2">
      <c r="A892" s="56">
        <v>41030</v>
      </c>
      <c r="B892" s="26">
        <f>VLOOKUP(Table1[[#This Row],[Date]],Database!A:D,3,)</f>
        <v>133934</v>
      </c>
      <c r="C892" s="27">
        <f t="shared" si="26"/>
        <v>100</v>
      </c>
      <c r="D892" s="27">
        <f t="shared" si="27"/>
        <v>140.66666666666666</v>
      </c>
      <c r="E892" s="63">
        <f>VLOOKUP(Table1[[#This Row],[Date]],Database!A:D,4,)</f>
        <v>8.1999999999999993</v>
      </c>
      <c r="F892" s="63">
        <f>VLOOKUP(Table1[[#This Row],[Date]],Database!A:D,2,)</f>
        <v>63.7</v>
      </c>
      <c r="G892" s="57"/>
    </row>
    <row r="893" spans="1:7" x14ac:dyDescent="0.2">
      <c r="A893" s="56">
        <v>41061</v>
      </c>
      <c r="B893" s="26">
        <f>VLOOKUP(Table1[[#This Row],[Date]],Database!A:D,3,)</f>
        <v>134007</v>
      </c>
      <c r="C893" s="27">
        <f t="shared" si="26"/>
        <v>73</v>
      </c>
      <c r="D893" s="27">
        <f t="shared" si="27"/>
        <v>85</v>
      </c>
      <c r="E893" s="63">
        <f>VLOOKUP(Table1[[#This Row],[Date]],Database!A:D,4,)</f>
        <v>8.1999999999999993</v>
      </c>
      <c r="F893" s="63">
        <f>VLOOKUP(Table1[[#This Row],[Date]],Database!A:D,2,)</f>
        <v>63.8</v>
      </c>
      <c r="G893" s="57"/>
    </row>
    <row r="894" spans="1:7" x14ac:dyDescent="0.2">
      <c r="A894" s="56">
        <v>41091</v>
      </c>
      <c r="B894" s="26">
        <f>VLOOKUP(Table1[[#This Row],[Date]],Database!A:D,3,)</f>
        <v>134159</v>
      </c>
      <c r="C894" s="27">
        <f t="shared" si="26"/>
        <v>152</v>
      </c>
      <c r="D894" s="27">
        <f t="shared" si="27"/>
        <v>108.33333333333333</v>
      </c>
      <c r="E894" s="63">
        <f>VLOOKUP(Table1[[#This Row],[Date]],Database!A:D,4,)</f>
        <v>8.1999999999999993</v>
      </c>
      <c r="F894" s="63">
        <f>VLOOKUP(Table1[[#This Row],[Date]],Database!A:D,2,)</f>
        <v>63.7</v>
      </c>
      <c r="G894" s="57"/>
    </row>
    <row r="895" spans="1:7" x14ac:dyDescent="0.2">
      <c r="A895" s="56">
        <v>41122</v>
      </c>
      <c r="B895" s="26">
        <f>VLOOKUP(Table1[[#This Row],[Date]],Database!A:D,3,)</f>
        <v>134331</v>
      </c>
      <c r="C895" s="27">
        <f t="shared" si="26"/>
        <v>172</v>
      </c>
      <c r="D895" s="27">
        <f t="shared" si="27"/>
        <v>132.33333333333334</v>
      </c>
      <c r="E895" s="63">
        <f>VLOOKUP(Table1[[#This Row],[Date]],Database!A:D,4,)</f>
        <v>8.1</v>
      </c>
      <c r="F895" s="63">
        <f>VLOOKUP(Table1[[#This Row],[Date]],Database!A:D,2,)</f>
        <v>63.5</v>
      </c>
      <c r="G895" s="57"/>
    </row>
    <row r="896" spans="1:7" x14ac:dyDescent="0.2">
      <c r="A896" s="56">
        <v>41153</v>
      </c>
      <c r="B896" s="26">
        <f>VLOOKUP(Table1[[#This Row],[Date]],Database!A:D,3,)</f>
        <v>134518</v>
      </c>
      <c r="C896" s="27">
        <f t="shared" si="26"/>
        <v>187</v>
      </c>
      <c r="D896" s="27">
        <f t="shared" si="27"/>
        <v>170.33333333333334</v>
      </c>
      <c r="E896" s="63">
        <f>VLOOKUP(Table1[[#This Row],[Date]],Database!A:D,4,)</f>
        <v>7.8</v>
      </c>
      <c r="F896" s="63">
        <f>VLOOKUP(Table1[[#This Row],[Date]],Database!A:D,2,)</f>
        <v>63.6</v>
      </c>
      <c r="G896" s="57"/>
    </row>
    <row r="897" spans="1:7" x14ac:dyDescent="0.2">
      <c r="A897" s="56">
        <v>41183</v>
      </c>
      <c r="B897" s="26">
        <f>VLOOKUP(Table1[[#This Row],[Date]],Database!A:D,3,)</f>
        <v>134677</v>
      </c>
      <c r="C897" s="27">
        <f t="shared" si="26"/>
        <v>159</v>
      </c>
      <c r="D897" s="27">
        <f t="shared" si="27"/>
        <v>172.66666666666666</v>
      </c>
      <c r="E897" s="63">
        <f>VLOOKUP(Table1[[#This Row],[Date]],Database!A:D,4,)</f>
        <v>7.8</v>
      </c>
      <c r="F897" s="63">
        <f>VLOOKUP(Table1[[#This Row],[Date]],Database!A:D,2,)</f>
        <v>63.8</v>
      </c>
      <c r="G897" s="57"/>
    </row>
    <row r="898" spans="1:7" x14ac:dyDescent="0.2">
      <c r="A898" s="56">
        <v>41214</v>
      </c>
      <c r="B898" s="26">
        <f>VLOOKUP(Table1[[#This Row],[Date]],Database!A:D,3,)</f>
        <v>134833</v>
      </c>
      <c r="C898" s="27">
        <f t="shared" si="26"/>
        <v>156</v>
      </c>
      <c r="D898" s="27">
        <f t="shared" si="27"/>
        <v>167.33333333333334</v>
      </c>
      <c r="E898" s="63">
        <f>VLOOKUP(Table1[[#This Row],[Date]],Database!A:D,4,)</f>
        <v>7.7</v>
      </c>
      <c r="F898" s="63">
        <f>VLOOKUP(Table1[[#This Row],[Date]],Database!A:D,2,)</f>
        <v>63.6</v>
      </c>
      <c r="G898" s="57"/>
    </row>
    <row r="899" spans="1:7" x14ac:dyDescent="0.2">
      <c r="A899" s="56">
        <v>41244</v>
      </c>
      <c r="B899" s="26">
        <f>VLOOKUP(Table1[[#This Row],[Date]],Database!A:D,3,)</f>
        <v>135072</v>
      </c>
      <c r="C899" s="27">
        <f t="shared" si="26"/>
        <v>239</v>
      </c>
      <c r="D899" s="27">
        <f t="shared" si="27"/>
        <v>184.66666666666666</v>
      </c>
      <c r="E899" s="63">
        <f>VLOOKUP(Table1[[#This Row],[Date]],Database!A:D,4,)</f>
        <v>7.9</v>
      </c>
      <c r="F899" s="63">
        <f>VLOOKUP(Table1[[#This Row],[Date]],Database!A:D,2,)</f>
        <v>63.7</v>
      </c>
      <c r="G899" s="57"/>
    </row>
    <row r="900" spans="1:7" x14ac:dyDescent="0.2">
      <c r="A900" s="56">
        <v>41275</v>
      </c>
      <c r="B900" s="26">
        <f>VLOOKUP(Table1[[#This Row],[Date]],Database!A:D,3,)</f>
        <v>135263</v>
      </c>
      <c r="C900" s="27">
        <f t="shared" si="26"/>
        <v>191</v>
      </c>
      <c r="D900" s="27">
        <f t="shared" si="27"/>
        <v>195.33333333333334</v>
      </c>
      <c r="E900" s="63">
        <f>VLOOKUP(Table1[[#This Row],[Date]],Database!A:D,4,)</f>
        <v>8</v>
      </c>
      <c r="F900" s="63">
        <f>VLOOKUP(Table1[[#This Row],[Date]],Database!A:D,2,)</f>
        <v>63.7</v>
      </c>
      <c r="G900" s="57"/>
    </row>
    <row r="901" spans="1:7" x14ac:dyDescent="0.2">
      <c r="A901" s="56">
        <v>41306</v>
      </c>
      <c r="B901" s="26">
        <f>VLOOKUP(Table1[[#This Row],[Date]],Database!A:D,3,)</f>
        <v>135541</v>
      </c>
      <c r="C901" s="27">
        <f t="shared" si="26"/>
        <v>278</v>
      </c>
      <c r="D901" s="27">
        <f t="shared" si="27"/>
        <v>236</v>
      </c>
      <c r="E901" s="63">
        <f>VLOOKUP(Table1[[#This Row],[Date]],Database!A:D,4,)</f>
        <v>7.7</v>
      </c>
      <c r="F901" s="63">
        <f>VLOOKUP(Table1[[#This Row],[Date]],Database!A:D,2,)</f>
        <v>63.4</v>
      </c>
      <c r="G901" s="57"/>
    </row>
    <row r="902" spans="1:7" x14ac:dyDescent="0.2">
      <c r="A902" s="56">
        <v>41334</v>
      </c>
      <c r="B902" s="26">
        <f>VLOOKUP(Table1[[#This Row],[Date]],Database!A:D,3,)</f>
        <v>135680</v>
      </c>
      <c r="C902" s="27">
        <f t="shared" si="26"/>
        <v>139</v>
      </c>
      <c r="D902" s="27">
        <f t="shared" si="27"/>
        <v>202.66666666666666</v>
      </c>
      <c r="E902" s="63">
        <f>VLOOKUP(Table1[[#This Row],[Date]],Database!A:D,4,)</f>
        <v>7.5</v>
      </c>
      <c r="F902" s="63">
        <f>VLOOKUP(Table1[[#This Row],[Date]],Database!A:D,2,)</f>
        <v>63.3</v>
      </c>
      <c r="G902" s="57"/>
    </row>
    <row r="903" spans="1:7" x14ac:dyDescent="0.2">
      <c r="A903" s="56">
        <v>41365</v>
      </c>
      <c r="B903" s="26">
        <f>VLOOKUP(Table1[[#This Row],[Date]],Database!A:D,3,)</f>
        <v>135871</v>
      </c>
      <c r="C903" s="27">
        <f t="shared" si="26"/>
        <v>191</v>
      </c>
      <c r="D903" s="27">
        <f t="shared" si="27"/>
        <v>202.66666666666666</v>
      </c>
      <c r="E903" s="63">
        <f>VLOOKUP(Table1[[#This Row],[Date]],Database!A:D,4,)</f>
        <v>7.6</v>
      </c>
      <c r="F903" s="63">
        <f>VLOOKUP(Table1[[#This Row],[Date]],Database!A:D,2,)</f>
        <v>63.4</v>
      </c>
      <c r="G903" s="57"/>
    </row>
    <row r="904" spans="1:7" x14ac:dyDescent="0.2">
      <c r="A904" s="56">
        <v>41395</v>
      </c>
      <c r="B904" s="26">
        <f>VLOOKUP(Table1[[#This Row],[Date]],Database!A:D,3,)</f>
        <v>136093</v>
      </c>
      <c r="C904" s="27">
        <f t="shared" si="26"/>
        <v>222</v>
      </c>
      <c r="D904" s="27">
        <f t="shared" si="27"/>
        <v>184</v>
      </c>
      <c r="E904" s="63">
        <f>VLOOKUP(Table1[[#This Row],[Date]],Database!A:D,4,)</f>
        <v>7.5</v>
      </c>
      <c r="F904" s="63">
        <f>VLOOKUP(Table1[[#This Row],[Date]],Database!A:D,2,)</f>
        <v>63.4</v>
      </c>
      <c r="G904" s="57"/>
    </row>
    <row r="905" spans="1:7" x14ac:dyDescent="0.2">
      <c r="A905" s="56">
        <v>41426</v>
      </c>
      <c r="B905" s="26">
        <f>VLOOKUP(Table1[[#This Row],[Date]],Database!A:D,3,)</f>
        <v>136274</v>
      </c>
      <c r="C905" s="27">
        <f t="shared" si="26"/>
        <v>181</v>
      </c>
      <c r="D905" s="27">
        <f t="shared" si="27"/>
        <v>198</v>
      </c>
      <c r="E905" s="63">
        <f>VLOOKUP(Table1[[#This Row],[Date]],Database!A:D,4,)</f>
        <v>7.5</v>
      </c>
      <c r="F905" s="63">
        <f>VLOOKUP(Table1[[#This Row],[Date]],Database!A:D,2,)</f>
        <v>63.4</v>
      </c>
      <c r="G905" s="57"/>
    </row>
    <row r="906" spans="1:7" x14ac:dyDescent="0.2">
      <c r="A906" s="56">
        <v>41456</v>
      </c>
      <c r="B906" s="26">
        <f>VLOOKUP(Table1[[#This Row],[Date]],Database!A:D,3,)</f>
        <v>136386</v>
      </c>
      <c r="C906" s="27">
        <f t="shared" si="26"/>
        <v>112</v>
      </c>
      <c r="D906" s="27">
        <f t="shared" si="27"/>
        <v>171.66666666666666</v>
      </c>
      <c r="E906" s="63">
        <f>VLOOKUP(Table1[[#This Row],[Date]],Database!A:D,4,)</f>
        <v>7.3</v>
      </c>
      <c r="F906" s="63">
        <f>VLOOKUP(Table1[[#This Row],[Date]],Database!A:D,2,)</f>
        <v>63.3</v>
      </c>
      <c r="G906" s="57"/>
    </row>
    <row r="907" spans="1:7" x14ac:dyDescent="0.2">
      <c r="A907" s="56">
        <v>41487</v>
      </c>
      <c r="B907" s="26">
        <f>VLOOKUP(Table1[[#This Row],[Date]],Database!A:D,3,)</f>
        <v>136628</v>
      </c>
      <c r="C907" s="27">
        <f t="shared" si="26"/>
        <v>242</v>
      </c>
      <c r="D907" s="27">
        <f t="shared" si="27"/>
        <v>178.33333333333334</v>
      </c>
      <c r="E907" s="63">
        <f>VLOOKUP(Table1[[#This Row],[Date]],Database!A:D,4,)</f>
        <v>7.2</v>
      </c>
      <c r="F907" s="63">
        <f>VLOOKUP(Table1[[#This Row],[Date]],Database!A:D,2,)</f>
        <v>63.3</v>
      </c>
      <c r="G907" s="57"/>
    </row>
    <row r="908" spans="1:7" x14ac:dyDescent="0.2">
      <c r="A908" s="56">
        <v>41518</v>
      </c>
      <c r="B908" s="26">
        <f>VLOOKUP(Table1[[#This Row],[Date]],Database!A:D,3,)</f>
        <v>136815</v>
      </c>
      <c r="C908" s="27">
        <f t="shared" si="26"/>
        <v>187</v>
      </c>
      <c r="D908" s="27">
        <f t="shared" si="27"/>
        <v>180.33333333333334</v>
      </c>
      <c r="E908" s="63">
        <f>VLOOKUP(Table1[[#This Row],[Date]],Database!A:D,4,)</f>
        <v>7.2</v>
      </c>
      <c r="F908" s="63">
        <f>VLOOKUP(Table1[[#This Row],[Date]],Database!A:D,2,)</f>
        <v>63.2</v>
      </c>
      <c r="G908" s="57"/>
    </row>
    <row r="909" spans="1:7" x14ac:dyDescent="0.2">
      <c r="A909" s="56">
        <v>41548</v>
      </c>
      <c r="B909" s="26">
        <f>VLOOKUP(Table1[[#This Row],[Date]],Database!A:D,3,)</f>
        <v>137040</v>
      </c>
      <c r="C909" s="27">
        <f t="shared" ref="C909:C972" si="28">B909-B908</f>
        <v>225</v>
      </c>
      <c r="D909" s="27">
        <f t="shared" si="27"/>
        <v>218</v>
      </c>
      <c r="E909" s="63">
        <f>VLOOKUP(Table1[[#This Row],[Date]],Database!A:D,4,)</f>
        <v>7.2</v>
      </c>
      <c r="F909" s="63">
        <f>VLOOKUP(Table1[[#This Row],[Date]],Database!A:D,2,)</f>
        <v>62.8</v>
      </c>
      <c r="G909" s="57"/>
    </row>
    <row r="910" spans="1:7" x14ac:dyDescent="0.2">
      <c r="A910" s="56">
        <v>41579</v>
      </c>
      <c r="B910" s="26">
        <f>VLOOKUP(Table1[[#This Row],[Date]],Database!A:D,3,)</f>
        <v>137304</v>
      </c>
      <c r="C910" s="27">
        <f t="shared" si="28"/>
        <v>264</v>
      </c>
      <c r="D910" s="27">
        <f t="shared" si="27"/>
        <v>225.33333333333334</v>
      </c>
      <c r="E910" s="63">
        <f>VLOOKUP(Table1[[#This Row],[Date]],Database!A:D,4,)</f>
        <v>6.9</v>
      </c>
      <c r="F910" s="63">
        <f>VLOOKUP(Table1[[#This Row],[Date]],Database!A:D,2,)</f>
        <v>63</v>
      </c>
      <c r="G910" s="57"/>
    </row>
    <row r="911" spans="1:7" x14ac:dyDescent="0.2">
      <c r="A911" s="56">
        <v>41609</v>
      </c>
      <c r="B911" s="26">
        <f>VLOOKUP(Table1[[#This Row],[Date]],Database!A:D,3,)</f>
        <v>137373</v>
      </c>
      <c r="C911" s="27">
        <f t="shared" si="28"/>
        <v>69</v>
      </c>
      <c r="D911" s="27">
        <f t="shared" ref="D911:D974" si="29">AVERAGE(C909:C911)</f>
        <v>186</v>
      </c>
      <c r="E911" s="63">
        <f>VLOOKUP(Table1[[#This Row],[Date]],Database!A:D,4,)</f>
        <v>6.7</v>
      </c>
      <c r="F911" s="63">
        <f>VLOOKUP(Table1[[#This Row],[Date]],Database!A:D,2,)</f>
        <v>62.9</v>
      </c>
      <c r="G911" s="57"/>
    </row>
    <row r="912" spans="1:7" x14ac:dyDescent="0.2">
      <c r="A912" s="56">
        <v>41640</v>
      </c>
      <c r="B912" s="26">
        <f>VLOOKUP(Table1[[#This Row],[Date]],Database!A:D,3,)</f>
        <v>137548</v>
      </c>
      <c r="C912" s="27">
        <f t="shared" si="28"/>
        <v>175</v>
      </c>
      <c r="D912" s="27">
        <f t="shared" si="29"/>
        <v>169.33333333333334</v>
      </c>
      <c r="E912" s="63">
        <f>VLOOKUP(Table1[[#This Row],[Date]],Database!A:D,4,)</f>
        <v>6.6</v>
      </c>
      <c r="F912" s="63">
        <f>VLOOKUP(Table1[[#This Row],[Date]],Database!A:D,2,)</f>
        <v>62.9</v>
      </c>
      <c r="G912" s="57"/>
    </row>
    <row r="913" spans="1:7" x14ac:dyDescent="0.2">
      <c r="A913" s="56">
        <v>41671</v>
      </c>
      <c r="B913" s="26">
        <f>VLOOKUP(Table1[[#This Row],[Date]],Database!A:D,3,)</f>
        <v>137714</v>
      </c>
      <c r="C913" s="27">
        <f t="shared" si="28"/>
        <v>166</v>
      </c>
      <c r="D913" s="27">
        <f t="shared" si="29"/>
        <v>136.66666666666666</v>
      </c>
      <c r="E913" s="63">
        <f>VLOOKUP(Table1[[#This Row],[Date]],Database!A:D,4,)</f>
        <v>6.7</v>
      </c>
      <c r="F913" s="63">
        <f>VLOOKUP(Table1[[#This Row],[Date]],Database!A:D,2,)</f>
        <v>62.9</v>
      </c>
      <c r="G913" s="57"/>
    </row>
    <row r="914" spans="1:7" x14ac:dyDescent="0.2">
      <c r="A914" s="56">
        <v>41699</v>
      </c>
      <c r="B914" s="26">
        <f>VLOOKUP(Table1[[#This Row],[Date]],Database!A:D,3,)</f>
        <v>137968</v>
      </c>
      <c r="C914" s="27">
        <f t="shared" si="28"/>
        <v>254</v>
      </c>
      <c r="D914" s="27">
        <f t="shared" si="29"/>
        <v>198.33333333333334</v>
      </c>
      <c r="E914" s="63">
        <f>VLOOKUP(Table1[[#This Row],[Date]],Database!A:D,4,)</f>
        <v>6.7</v>
      </c>
      <c r="F914" s="63">
        <f>VLOOKUP(Table1[[#This Row],[Date]],Database!A:D,2,)</f>
        <v>63.1</v>
      </c>
      <c r="G914" s="57"/>
    </row>
    <row r="915" spans="1:7" x14ac:dyDescent="0.2">
      <c r="A915" s="56">
        <v>41730</v>
      </c>
      <c r="B915" s="26">
        <f>VLOOKUP(Table1[[#This Row],[Date]],Database!A:D,3,)</f>
        <v>138293</v>
      </c>
      <c r="C915" s="27">
        <f t="shared" si="28"/>
        <v>325</v>
      </c>
      <c r="D915" s="27">
        <f t="shared" si="29"/>
        <v>248.33333333333334</v>
      </c>
      <c r="E915" s="63">
        <f>VLOOKUP(Table1[[#This Row],[Date]],Database!A:D,4,)</f>
        <v>6.2</v>
      </c>
      <c r="F915" s="63">
        <f>VLOOKUP(Table1[[#This Row],[Date]],Database!A:D,2,)</f>
        <v>62.8</v>
      </c>
      <c r="G915" s="57"/>
    </row>
    <row r="916" spans="1:7" x14ac:dyDescent="0.2">
      <c r="A916" s="56">
        <v>41760</v>
      </c>
      <c r="B916" s="26">
        <f>VLOOKUP(Table1[[#This Row],[Date]],Database!A:D,3,)</f>
        <v>138511</v>
      </c>
      <c r="C916" s="27">
        <f t="shared" si="28"/>
        <v>218</v>
      </c>
      <c r="D916" s="27">
        <f t="shared" si="29"/>
        <v>265.66666666666669</v>
      </c>
      <c r="E916" s="63">
        <f>VLOOKUP(Table1[[#This Row],[Date]],Database!A:D,4,)</f>
        <v>6.3</v>
      </c>
      <c r="F916" s="63">
        <f>VLOOKUP(Table1[[#This Row],[Date]],Database!A:D,2,)</f>
        <v>62.9</v>
      </c>
      <c r="G916" s="57"/>
    </row>
    <row r="917" spans="1:7" x14ac:dyDescent="0.2">
      <c r="A917" s="56">
        <v>41791</v>
      </c>
      <c r="B917" s="26">
        <f>VLOOKUP(Table1[[#This Row],[Date]],Database!A:D,3,)</f>
        <v>138837</v>
      </c>
      <c r="C917" s="27">
        <f t="shared" si="28"/>
        <v>326</v>
      </c>
      <c r="D917" s="27">
        <f t="shared" si="29"/>
        <v>289.66666666666669</v>
      </c>
      <c r="E917" s="63">
        <f>VLOOKUP(Table1[[#This Row],[Date]],Database!A:D,4,)</f>
        <v>6.1</v>
      </c>
      <c r="F917" s="63">
        <f>VLOOKUP(Table1[[#This Row],[Date]],Database!A:D,2,)</f>
        <v>62.8</v>
      </c>
      <c r="G917" s="57"/>
    </row>
    <row r="918" spans="1:7" x14ac:dyDescent="0.2">
      <c r="A918" s="56">
        <v>41821</v>
      </c>
      <c r="B918" s="26">
        <f>VLOOKUP(Table1[[#This Row],[Date]],Database!A:D,3,)</f>
        <v>139069</v>
      </c>
      <c r="C918" s="27">
        <f t="shared" si="28"/>
        <v>232</v>
      </c>
      <c r="D918" s="27">
        <f t="shared" si="29"/>
        <v>258.66666666666669</v>
      </c>
      <c r="E918" s="63">
        <f>VLOOKUP(Table1[[#This Row],[Date]],Database!A:D,4,)</f>
        <v>6.2</v>
      </c>
      <c r="F918" s="63">
        <f>VLOOKUP(Table1[[#This Row],[Date]],Database!A:D,2,)</f>
        <v>62.9</v>
      </c>
      <c r="G918" s="57"/>
    </row>
    <row r="919" spans="1:7" x14ac:dyDescent="0.2">
      <c r="A919" s="56">
        <v>41852</v>
      </c>
      <c r="B919" s="26">
        <f>VLOOKUP(Table1[[#This Row],[Date]],Database!A:D,3,)</f>
        <v>139257</v>
      </c>
      <c r="C919" s="27">
        <f t="shared" si="28"/>
        <v>188</v>
      </c>
      <c r="D919" s="27">
        <f t="shared" si="29"/>
        <v>248.66666666666666</v>
      </c>
      <c r="E919" s="63">
        <f>VLOOKUP(Table1[[#This Row],[Date]],Database!A:D,4,)</f>
        <v>6.1</v>
      </c>
      <c r="F919" s="63">
        <f>VLOOKUP(Table1[[#This Row],[Date]],Database!A:D,2,)</f>
        <v>62.9</v>
      </c>
      <c r="G919" s="57"/>
    </row>
    <row r="920" spans="1:7" x14ac:dyDescent="0.2">
      <c r="A920" s="56">
        <v>41883</v>
      </c>
      <c r="B920" s="26">
        <f>VLOOKUP(Table1[[#This Row],[Date]],Database!A:D,3,)</f>
        <v>139566</v>
      </c>
      <c r="C920" s="27">
        <f t="shared" si="28"/>
        <v>309</v>
      </c>
      <c r="D920" s="27">
        <f t="shared" si="29"/>
        <v>243</v>
      </c>
      <c r="E920" s="63">
        <f>VLOOKUP(Table1[[#This Row],[Date]],Database!A:D,4,)</f>
        <v>5.9</v>
      </c>
      <c r="F920" s="63">
        <f>VLOOKUP(Table1[[#This Row],[Date]],Database!A:D,2,)</f>
        <v>62.8</v>
      </c>
      <c r="G920" s="57"/>
    </row>
    <row r="921" spans="1:7" x14ac:dyDescent="0.2">
      <c r="A921" s="56">
        <v>41913</v>
      </c>
      <c r="B921" s="26">
        <f>VLOOKUP(Table1[[#This Row],[Date]],Database!A:D,3,)</f>
        <v>139818</v>
      </c>
      <c r="C921" s="27">
        <f t="shared" si="28"/>
        <v>252</v>
      </c>
      <c r="D921" s="27">
        <f t="shared" si="29"/>
        <v>249.66666666666666</v>
      </c>
      <c r="E921" s="63">
        <f>VLOOKUP(Table1[[#This Row],[Date]],Database!A:D,4,)</f>
        <v>5.7</v>
      </c>
      <c r="F921" s="63">
        <f>VLOOKUP(Table1[[#This Row],[Date]],Database!A:D,2,)</f>
        <v>62.9</v>
      </c>
      <c r="G921" s="57"/>
    </row>
    <row r="922" spans="1:7" x14ac:dyDescent="0.2">
      <c r="A922" s="56">
        <v>41944</v>
      </c>
      <c r="B922" s="26">
        <f>VLOOKUP(Table1[[#This Row],[Date]],Database!A:D,3,)</f>
        <v>140109</v>
      </c>
      <c r="C922" s="27">
        <f t="shared" si="28"/>
        <v>291</v>
      </c>
      <c r="D922" s="27">
        <f t="shared" si="29"/>
        <v>284</v>
      </c>
      <c r="E922" s="63">
        <f>VLOOKUP(Table1[[#This Row],[Date]],Database!A:D,4,)</f>
        <v>5.8</v>
      </c>
      <c r="F922" s="63">
        <f>VLOOKUP(Table1[[#This Row],[Date]],Database!A:D,2,)</f>
        <v>62.9</v>
      </c>
      <c r="G922" s="57"/>
    </row>
    <row r="923" spans="1:7" x14ac:dyDescent="0.2">
      <c r="A923" s="56">
        <v>41974</v>
      </c>
      <c r="B923" s="26">
        <f>VLOOKUP(Table1[[#This Row],[Date]],Database!A:D,3,)</f>
        <v>140377</v>
      </c>
      <c r="C923" s="27">
        <f t="shared" si="28"/>
        <v>268</v>
      </c>
      <c r="D923" s="27">
        <f t="shared" si="29"/>
        <v>270.33333333333331</v>
      </c>
      <c r="E923" s="63">
        <f>VLOOKUP(Table1[[#This Row],[Date]],Database!A:D,4,)</f>
        <v>5.6</v>
      </c>
      <c r="F923" s="63">
        <f>VLOOKUP(Table1[[#This Row],[Date]],Database!A:D,2,)</f>
        <v>62.8</v>
      </c>
      <c r="G923" s="57"/>
    </row>
    <row r="924" spans="1:7" x14ac:dyDescent="0.2">
      <c r="A924" s="56">
        <v>42005</v>
      </c>
      <c r="B924" s="26">
        <f>VLOOKUP(Table1[[#This Row],[Date]],Database!A:D,3,)</f>
        <v>140568</v>
      </c>
      <c r="C924" s="27">
        <f t="shared" si="28"/>
        <v>191</v>
      </c>
      <c r="D924" s="27">
        <f t="shared" si="29"/>
        <v>250</v>
      </c>
      <c r="E924" s="63">
        <f>VLOOKUP(Table1[[#This Row],[Date]],Database!A:D,4,)</f>
        <v>5.7</v>
      </c>
      <c r="F924" s="63">
        <f>VLOOKUP(Table1[[#This Row],[Date]],Database!A:D,2,)</f>
        <v>62.9</v>
      </c>
      <c r="G924" s="57"/>
    </row>
    <row r="925" spans="1:7" x14ac:dyDescent="0.2">
      <c r="A925" s="56">
        <v>42036</v>
      </c>
      <c r="B925" s="26">
        <f>VLOOKUP(Table1[[#This Row],[Date]],Database!A:D,3,)</f>
        <v>140839</v>
      </c>
      <c r="C925" s="27">
        <f t="shared" si="28"/>
        <v>271</v>
      </c>
      <c r="D925" s="27">
        <f t="shared" si="29"/>
        <v>243.33333333333334</v>
      </c>
      <c r="E925" s="63">
        <f>VLOOKUP(Table1[[#This Row],[Date]],Database!A:D,4,)</f>
        <v>5.5</v>
      </c>
      <c r="F925" s="63">
        <f>VLOOKUP(Table1[[#This Row],[Date]],Database!A:D,2,)</f>
        <v>62.7</v>
      </c>
      <c r="G925" s="57"/>
    </row>
    <row r="926" spans="1:7" x14ac:dyDescent="0.2">
      <c r="A926" s="56">
        <v>42064</v>
      </c>
      <c r="B926" s="26">
        <f>VLOOKUP(Table1[[#This Row],[Date]],Database!A:D,3,)</f>
        <v>140910</v>
      </c>
      <c r="C926" s="27">
        <f t="shared" si="28"/>
        <v>71</v>
      </c>
      <c r="D926" s="27">
        <f t="shared" si="29"/>
        <v>177.66666666666666</v>
      </c>
      <c r="E926" s="63">
        <f>VLOOKUP(Table1[[#This Row],[Date]],Database!A:D,4,)</f>
        <v>5.4</v>
      </c>
      <c r="F926" s="63">
        <f>VLOOKUP(Table1[[#This Row],[Date]],Database!A:D,2,)</f>
        <v>62.6</v>
      </c>
      <c r="G926" s="57"/>
    </row>
    <row r="927" spans="1:7" x14ac:dyDescent="0.2">
      <c r="A927" s="56">
        <v>42095</v>
      </c>
      <c r="B927" s="26">
        <f>VLOOKUP(Table1[[#This Row],[Date]],Database!A:D,3,)</f>
        <v>141194</v>
      </c>
      <c r="C927" s="27">
        <f t="shared" si="28"/>
        <v>284</v>
      </c>
      <c r="D927" s="27">
        <f t="shared" si="29"/>
        <v>208.66666666666666</v>
      </c>
      <c r="E927" s="63">
        <f>VLOOKUP(Table1[[#This Row],[Date]],Database!A:D,4,)</f>
        <v>5.4</v>
      </c>
      <c r="F927" s="63">
        <f>VLOOKUP(Table1[[#This Row],[Date]],Database!A:D,2,)</f>
        <v>62.8</v>
      </c>
      <c r="G927" s="57"/>
    </row>
    <row r="928" spans="1:7" x14ac:dyDescent="0.2">
      <c r="A928" s="56">
        <v>42125</v>
      </c>
      <c r="B928" s="26">
        <f>VLOOKUP(Table1[[#This Row],[Date]],Database!A:D,3,)</f>
        <v>141525</v>
      </c>
      <c r="C928" s="27">
        <f t="shared" si="28"/>
        <v>331</v>
      </c>
      <c r="D928" s="27">
        <f t="shared" si="29"/>
        <v>228.66666666666666</v>
      </c>
      <c r="E928" s="63">
        <f>VLOOKUP(Table1[[#This Row],[Date]],Database!A:D,4,)</f>
        <v>5.6</v>
      </c>
      <c r="F928" s="63">
        <f>VLOOKUP(Table1[[#This Row],[Date]],Database!A:D,2,)</f>
        <v>62.9</v>
      </c>
      <c r="G928" s="57"/>
    </row>
    <row r="929" spans="1:8" x14ac:dyDescent="0.2">
      <c r="A929" s="56">
        <v>42156</v>
      </c>
      <c r="B929" s="26">
        <f>VLOOKUP(Table1[[#This Row],[Date]],Database!A:D,3,)</f>
        <v>141699</v>
      </c>
      <c r="C929" s="27">
        <f t="shared" si="28"/>
        <v>174</v>
      </c>
      <c r="D929" s="27">
        <f t="shared" si="29"/>
        <v>263</v>
      </c>
      <c r="E929" s="63">
        <f>VLOOKUP(Table1[[#This Row],[Date]],Database!A:D,4,)</f>
        <v>5.3</v>
      </c>
      <c r="F929" s="63">
        <f>VLOOKUP(Table1[[#This Row],[Date]],Database!A:D,2,)</f>
        <v>62.7</v>
      </c>
      <c r="G929" s="57"/>
    </row>
    <row r="930" spans="1:8" x14ac:dyDescent="0.2">
      <c r="A930" s="56">
        <v>42186</v>
      </c>
      <c r="B930" s="26">
        <f>VLOOKUP(Table1[[#This Row],[Date]],Database!A:D,3,)</f>
        <v>142001</v>
      </c>
      <c r="C930" s="27">
        <f t="shared" si="28"/>
        <v>302</v>
      </c>
      <c r="D930" s="27">
        <f t="shared" si="29"/>
        <v>269</v>
      </c>
      <c r="E930" s="63">
        <f>VLOOKUP(Table1[[#This Row],[Date]],Database!A:D,4,)</f>
        <v>5.2</v>
      </c>
      <c r="F930" s="63">
        <f>VLOOKUP(Table1[[#This Row],[Date]],Database!A:D,2,)</f>
        <v>62.6</v>
      </c>
      <c r="G930" s="57"/>
    </row>
    <row r="931" spans="1:8" x14ac:dyDescent="0.2">
      <c r="A931" s="56">
        <v>42217</v>
      </c>
      <c r="B931" s="26">
        <f>VLOOKUP(Table1[[#This Row],[Date]],Database!A:D,3,)</f>
        <v>142126</v>
      </c>
      <c r="C931" s="27">
        <f t="shared" si="28"/>
        <v>125</v>
      </c>
      <c r="D931" s="27">
        <f t="shared" si="29"/>
        <v>200.33333333333334</v>
      </c>
      <c r="E931" s="63">
        <f>VLOOKUP(Table1[[#This Row],[Date]],Database!A:D,4,)</f>
        <v>5.0999999999999996</v>
      </c>
      <c r="F931" s="63">
        <f>VLOOKUP(Table1[[#This Row],[Date]],Database!A:D,2,)</f>
        <v>62.6</v>
      </c>
      <c r="G931" s="57"/>
    </row>
    <row r="932" spans="1:8" x14ac:dyDescent="0.2">
      <c r="A932" s="56">
        <v>42248</v>
      </c>
      <c r="B932" s="26">
        <f>VLOOKUP(Table1[[#This Row],[Date]],Database!A:D,3,)</f>
        <v>142281</v>
      </c>
      <c r="C932" s="27">
        <f t="shared" si="28"/>
        <v>155</v>
      </c>
      <c r="D932" s="27">
        <f t="shared" si="29"/>
        <v>194</v>
      </c>
      <c r="E932" s="63">
        <f>VLOOKUP(Table1[[#This Row],[Date]],Database!A:D,4,)</f>
        <v>5</v>
      </c>
      <c r="F932" s="63">
        <f>VLOOKUP(Table1[[#This Row],[Date]],Database!A:D,2,)</f>
        <v>62.4</v>
      </c>
      <c r="G932" s="57"/>
    </row>
    <row r="933" spans="1:8" x14ac:dyDescent="0.2">
      <c r="A933" s="56">
        <v>42278</v>
      </c>
      <c r="B933" s="26">
        <f>VLOOKUP(Table1[[#This Row],[Date]],Database!A:D,3,)</f>
        <v>142587</v>
      </c>
      <c r="C933" s="27">
        <f t="shared" si="28"/>
        <v>306</v>
      </c>
      <c r="D933" s="27">
        <f t="shared" si="29"/>
        <v>195.33333333333334</v>
      </c>
      <c r="E933" s="63">
        <f>VLOOKUP(Table1[[#This Row],[Date]],Database!A:D,4,)</f>
        <v>5</v>
      </c>
      <c r="F933" s="63">
        <f>VLOOKUP(Table1[[#This Row],[Date]],Database!A:D,2,)</f>
        <v>62.5</v>
      </c>
      <c r="G933" s="57"/>
    </row>
    <row r="934" spans="1:8" x14ac:dyDescent="0.2">
      <c r="A934" s="56">
        <v>42309</v>
      </c>
      <c r="B934" s="26">
        <f>VLOOKUP(Table1[[#This Row],[Date]],Database!A:D,3,)</f>
        <v>142824</v>
      </c>
      <c r="C934" s="27">
        <f t="shared" si="28"/>
        <v>237</v>
      </c>
      <c r="D934" s="27">
        <f t="shared" si="29"/>
        <v>232.66666666666666</v>
      </c>
      <c r="E934" s="63">
        <f>VLOOKUP(Table1[[#This Row],[Date]],Database!A:D,4,)</f>
        <v>5.0999999999999996</v>
      </c>
      <c r="F934" s="63">
        <f>VLOOKUP(Table1[[#This Row],[Date]],Database!A:D,2,)</f>
        <v>62.5</v>
      </c>
      <c r="G934" s="57"/>
    </row>
    <row r="935" spans="1:8" x14ac:dyDescent="0.2">
      <c r="A935" s="56">
        <v>42339</v>
      </c>
      <c r="B935" s="26">
        <f>VLOOKUP(Table1[[#This Row],[Date]],Database!A:D,3,)</f>
        <v>143097</v>
      </c>
      <c r="C935" s="27">
        <f t="shared" si="28"/>
        <v>273</v>
      </c>
      <c r="D935" s="27">
        <f t="shared" si="29"/>
        <v>272</v>
      </c>
      <c r="E935" s="63">
        <f>VLOOKUP(Table1[[#This Row],[Date]],Database!A:D,4,)</f>
        <v>5</v>
      </c>
      <c r="F935" s="63">
        <f>VLOOKUP(Table1[[#This Row],[Date]],Database!A:D,2,)</f>
        <v>62.7</v>
      </c>
      <c r="G935" s="57"/>
    </row>
    <row r="936" spans="1:8" x14ac:dyDescent="0.2">
      <c r="A936" s="56">
        <v>42370</v>
      </c>
      <c r="B936" s="26">
        <f>VLOOKUP(Table1[[#This Row],[Date]],Database!A:D,3,)</f>
        <v>143205</v>
      </c>
      <c r="C936" s="27">
        <f t="shared" si="28"/>
        <v>108</v>
      </c>
      <c r="D936" s="27">
        <f t="shared" si="29"/>
        <v>206</v>
      </c>
      <c r="E936" s="63">
        <f>VLOOKUP(Table1[[#This Row],[Date]],Database!A:D,4,)</f>
        <v>4.8</v>
      </c>
      <c r="F936" s="63">
        <f>VLOOKUP(Table1[[#This Row],[Date]],Database!A:D,2,)</f>
        <v>62.7</v>
      </c>
      <c r="G936" s="57"/>
    </row>
    <row r="937" spans="1:8" x14ac:dyDescent="0.2">
      <c r="A937" s="56">
        <v>42401</v>
      </c>
      <c r="B937" s="26">
        <f>VLOOKUP(Table1[[#This Row],[Date]],Database!A:D,3,)</f>
        <v>143417</v>
      </c>
      <c r="C937" s="27">
        <f t="shared" si="28"/>
        <v>212</v>
      </c>
      <c r="D937" s="27">
        <f t="shared" si="29"/>
        <v>197.66666666666666</v>
      </c>
      <c r="E937" s="63">
        <f>VLOOKUP(Table1[[#This Row],[Date]],Database!A:D,4,)</f>
        <v>4.9000000000000004</v>
      </c>
      <c r="F937" s="63">
        <f>VLOOKUP(Table1[[#This Row],[Date]],Database!A:D,2,)</f>
        <v>62.8</v>
      </c>
      <c r="G937" s="57"/>
    </row>
    <row r="938" spans="1:8" x14ac:dyDescent="0.2">
      <c r="A938" s="56">
        <v>42430</v>
      </c>
      <c r="B938" s="26">
        <f>VLOOKUP(Table1[[#This Row],[Date]],Database!A:D,3,)</f>
        <v>143654</v>
      </c>
      <c r="C938" s="27">
        <f t="shared" si="28"/>
        <v>237</v>
      </c>
      <c r="D938" s="27">
        <f t="shared" si="29"/>
        <v>185.66666666666666</v>
      </c>
      <c r="E938" s="63">
        <f>VLOOKUP(Table1[[#This Row],[Date]],Database!A:D,4,)</f>
        <v>5</v>
      </c>
      <c r="F938" s="63">
        <f>VLOOKUP(Table1[[#This Row],[Date]],Database!A:D,2,)</f>
        <v>63</v>
      </c>
      <c r="G938" s="57"/>
    </row>
    <row r="939" spans="1:8" x14ac:dyDescent="0.2">
      <c r="A939" s="56">
        <v>42461</v>
      </c>
      <c r="B939" s="26">
        <f>VLOOKUP(Table1[[#This Row],[Date]],Database!A:D,3,)</f>
        <v>143851</v>
      </c>
      <c r="C939" s="27">
        <f t="shared" si="28"/>
        <v>197</v>
      </c>
      <c r="D939" s="27">
        <f t="shared" si="29"/>
        <v>215.33333333333334</v>
      </c>
      <c r="E939" s="63">
        <f>VLOOKUP(Table1[[#This Row],[Date]],Database!A:D,4,)</f>
        <v>5.0999999999999996</v>
      </c>
      <c r="F939" s="63">
        <f>VLOOKUP(Table1[[#This Row],[Date]],Database!A:D,2,)</f>
        <v>62.9</v>
      </c>
      <c r="G939" s="57"/>
      <c r="H939" s="60">
        <v>1</v>
      </c>
    </row>
    <row r="940" spans="1:8" x14ac:dyDescent="0.2">
      <c r="A940" s="56">
        <v>42491</v>
      </c>
      <c r="B940" s="26">
        <f>VLOOKUP(Table1[[#This Row],[Date]],Database!A:D,3,)</f>
        <v>143892</v>
      </c>
      <c r="C940" s="27">
        <f t="shared" si="28"/>
        <v>41</v>
      </c>
      <c r="D940" s="27">
        <f t="shared" si="29"/>
        <v>158.33333333333334</v>
      </c>
      <c r="E940" s="63">
        <f>VLOOKUP(Table1[[#This Row],[Date]],Database!A:D,4,)</f>
        <v>4.8</v>
      </c>
      <c r="F940" s="63">
        <f>VLOOKUP(Table1[[#This Row],[Date]],Database!A:D,2,)</f>
        <v>62.7</v>
      </c>
      <c r="G940" s="57"/>
      <c r="H940" s="60">
        <v>2</v>
      </c>
    </row>
    <row r="941" spans="1:8" x14ac:dyDescent="0.2">
      <c r="A941" s="56">
        <v>42522</v>
      </c>
      <c r="B941" s="26">
        <f>VLOOKUP(Table1[[#This Row],[Date]],Database!A:D,3,)</f>
        <v>144150</v>
      </c>
      <c r="C941" s="27">
        <f t="shared" si="28"/>
        <v>258</v>
      </c>
      <c r="D941" s="27">
        <f t="shared" si="29"/>
        <v>165.33333333333334</v>
      </c>
      <c r="E941" s="63">
        <f>VLOOKUP(Table1[[#This Row],[Date]],Database!A:D,4,)</f>
        <v>4.9000000000000004</v>
      </c>
      <c r="F941" s="63">
        <f>VLOOKUP(Table1[[#This Row],[Date]],Database!A:D,2,)</f>
        <v>62.7</v>
      </c>
      <c r="G941" s="57"/>
      <c r="H941" s="60">
        <v>3</v>
      </c>
    </row>
    <row r="942" spans="1:8" x14ac:dyDescent="0.2">
      <c r="A942" s="56">
        <v>42552</v>
      </c>
      <c r="B942" s="26">
        <f>VLOOKUP(Table1[[#This Row],[Date]],Database!A:D,3,)</f>
        <v>144521</v>
      </c>
      <c r="C942" s="27">
        <f t="shared" si="28"/>
        <v>371</v>
      </c>
      <c r="D942" s="27">
        <f t="shared" si="29"/>
        <v>223.33333333333334</v>
      </c>
      <c r="E942" s="63">
        <f>VLOOKUP(Table1[[#This Row],[Date]],Database!A:D,4,)</f>
        <v>4.8</v>
      </c>
      <c r="F942" s="63">
        <f>VLOOKUP(Table1[[#This Row],[Date]],Database!A:D,2,)</f>
        <v>62.8</v>
      </c>
      <c r="G942" s="57"/>
      <c r="H942" s="60">
        <v>4</v>
      </c>
    </row>
    <row r="943" spans="1:8" x14ac:dyDescent="0.2">
      <c r="A943" s="56">
        <v>42583</v>
      </c>
      <c r="B943" s="26">
        <f>VLOOKUP(Table1[[#This Row],[Date]],Database!A:D,3,)</f>
        <v>144664</v>
      </c>
      <c r="C943" s="27">
        <f t="shared" si="28"/>
        <v>143</v>
      </c>
      <c r="D943" s="27">
        <f t="shared" si="29"/>
        <v>257.33333333333331</v>
      </c>
      <c r="E943" s="63">
        <f>VLOOKUP(Table1[[#This Row],[Date]],Database!A:D,4,)</f>
        <v>4.9000000000000004</v>
      </c>
      <c r="F943" s="63">
        <f>VLOOKUP(Table1[[#This Row],[Date]],Database!A:D,2,)</f>
        <v>62.9</v>
      </c>
      <c r="G943" s="57"/>
      <c r="H943" s="60">
        <v>5</v>
      </c>
    </row>
    <row r="944" spans="1:8" x14ac:dyDescent="0.2">
      <c r="A944" s="56">
        <v>42614</v>
      </c>
      <c r="B944" s="26">
        <f>VLOOKUP(Table1[[#This Row],[Date]],Database!A:D,3,)</f>
        <v>144953</v>
      </c>
      <c r="C944" s="27">
        <f t="shared" si="28"/>
        <v>289</v>
      </c>
      <c r="D944" s="27">
        <f t="shared" si="29"/>
        <v>267.66666666666669</v>
      </c>
      <c r="E944" s="63">
        <f>VLOOKUP(Table1[[#This Row],[Date]],Database!A:D,4,)</f>
        <v>5</v>
      </c>
      <c r="F944" s="63">
        <f>VLOOKUP(Table1[[#This Row],[Date]],Database!A:D,2,)</f>
        <v>62.9</v>
      </c>
      <c r="G944" s="57"/>
      <c r="H944" s="60">
        <v>6</v>
      </c>
    </row>
    <row r="945" spans="1:8" x14ac:dyDescent="0.2">
      <c r="A945" s="56">
        <v>42644</v>
      </c>
      <c r="B945" s="26">
        <f>VLOOKUP(Table1[[#This Row],[Date]],Database!A:D,3,)</f>
        <v>145071</v>
      </c>
      <c r="C945" s="27">
        <f t="shared" si="28"/>
        <v>118</v>
      </c>
      <c r="D945" s="27">
        <f t="shared" si="29"/>
        <v>183.33333333333334</v>
      </c>
      <c r="E945" s="63">
        <f>VLOOKUP(Table1[[#This Row],[Date]],Database!A:D,4,)</f>
        <v>4.9000000000000004</v>
      </c>
      <c r="F945" s="63">
        <f>VLOOKUP(Table1[[#This Row],[Date]],Database!A:D,2,)</f>
        <v>62.8</v>
      </c>
      <c r="G945" s="57"/>
      <c r="H945" s="60">
        <v>7</v>
      </c>
    </row>
    <row r="946" spans="1:8" x14ac:dyDescent="0.2">
      <c r="A946" s="56">
        <v>42675</v>
      </c>
      <c r="B946" s="26">
        <f>VLOOKUP(Table1[[#This Row],[Date]],Database!A:D,3,)</f>
        <v>145201</v>
      </c>
      <c r="C946" s="27">
        <f t="shared" si="28"/>
        <v>130</v>
      </c>
      <c r="D946" s="27">
        <f t="shared" si="29"/>
        <v>179</v>
      </c>
      <c r="E946" s="63">
        <f>VLOOKUP(Table1[[#This Row],[Date]],Database!A:D,4,)</f>
        <v>4.7</v>
      </c>
      <c r="F946" s="63">
        <f>VLOOKUP(Table1[[#This Row],[Date]],Database!A:D,2,)</f>
        <v>62.7</v>
      </c>
      <c r="G946" s="57"/>
      <c r="H946" s="60">
        <v>8</v>
      </c>
    </row>
    <row r="947" spans="1:8" x14ac:dyDescent="0.2">
      <c r="A947" s="56">
        <v>42705</v>
      </c>
      <c r="B947" s="26">
        <f>VLOOKUP(Table1[[#This Row],[Date]],Database!A:D,3,)</f>
        <v>145415</v>
      </c>
      <c r="C947" s="27">
        <f t="shared" si="28"/>
        <v>214</v>
      </c>
      <c r="D947" s="27">
        <f t="shared" si="29"/>
        <v>154</v>
      </c>
      <c r="E947" s="63">
        <f>VLOOKUP(Table1[[#This Row],[Date]],Database!A:D,4,)</f>
        <v>4.7</v>
      </c>
      <c r="F947" s="63">
        <f>VLOOKUP(Table1[[#This Row],[Date]],Database!A:D,2,)</f>
        <v>62.7</v>
      </c>
      <c r="G947" s="57"/>
      <c r="H947" s="60">
        <v>9</v>
      </c>
    </row>
    <row r="948" spans="1:8" x14ac:dyDescent="0.2">
      <c r="A948" s="56">
        <v>42736</v>
      </c>
      <c r="B948" s="26">
        <f>VLOOKUP(Table1[[#This Row],[Date]],Database!A:D,3,)</f>
        <v>145612</v>
      </c>
      <c r="C948" s="27">
        <f t="shared" si="28"/>
        <v>197</v>
      </c>
      <c r="D948" s="27">
        <f t="shared" si="29"/>
        <v>180.33333333333334</v>
      </c>
      <c r="E948" s="63">
        <f>VLOOKUP(Table1[[#This Row],[Date]],Database!A:D,4,)</f>
        <v>4.7</v>
      </c>
      <c r="F948" s="63">
        <f>VLOOKUP(Table1[[#This Row],[Date]],Database!A:D,2,)</f>
        <v>62.8</v>
      </c>
      <c r="G948" s="57"/>
      <c r="H948" s="60">
        <v>10</v>
      </c>
    </row>
    <row r="949" spans="1:8" x14ac:dyDescent="0.2">
      <c r="A949" s="56">
        <v>42767</v>
      </c>
      <c r="B949" s="26">
        <f>VLOOKUP(Table1[[#This Row],[Date]],Database!A:D,3,)</f>
        <v>145795</v>
      </c>
      <c r="C949" s="27">
        <f t="shared" si="28"/>
        <v>183</v>
      </c>
      <c r="D949" s="27">
        <f t="shared" si="29"/>
        <v>198</v>
      </c>
      <c r="E949" s="63">
        <f>VLOOKUP(Table1[[#This Row],[Date]],Database!A:D,4,)</f>
        <v>4.5999999999999996</v>
      </c>
      <c r="F949" s="63">
        <f>VLOOKUP(Table1[[#This Row],[Date]],Database!A:D,2,)</f>
        <v>62.8</v>
      </c>
      <c r="G949" s="57"/>
      <c r="H949" s="60">
        <v>11</v>
      </c>
    </row>
    <row r="950" spans="1:8" x14ac:dyDescent="0.2">
      <c r="A950" s="56">
        <v>42795</v>
      </c>
      <c r="B950" s="26">
        <f>VLOOKUP(Table1[[#This Row],[Date]],Database!A:D,3,)</f>
        <v>145934</v>
      </c>
      <c r="C950" s="27">
        <f t="shared" si="28"/>
        <v>139</v>
      </c>
      <c r="D950" s="27">
        <f t="shared" si="29"/>
        <v>173</v>
      </c>
      <c r="E950" s="63">
        <f>VLOOKUP(Table1[[#This Row],[Date]],Database!A:D,4,)</f>
        <v>4.4000000000000004</v>
      </c>
      <c r="F950" s="63">
        <f>VLOOKUP(Table1[[#This Row],[Date]],Database!A:D,2,)</f>
        <v>63</v>
      </c>
      <c r="G950" s="57"/>
      <c r="H950" s="60">
        <v>12</v>
      </c>
    </row>
    <row r="951" spans="1:8" x14ac:dyDescent="0.2">
      <c r="A951" s="56">
        <v>42826</v>
      </c>
      <c r="B951" s="26">
        <f>VLOOKUP(Table1[[#This Row],[Date]],Database!A:D,3,)</f>
        <v>146154</v>
      </c>
      <c r="C951" s="27">
        <f t="shared" si="28"/>
        <v>220</v>
      </c>
      <c r="D951" s="27">
        <f t="shared" si="29"/>
        <v>180.66666666666666</v>
      </c>
      <c r="E951" s="63">
        <f>VLOOKUP(Table1[[#This Row],[Date]],Database!A:D,4,)</f>
        <v>4.5</v>
      </c>
      <c r="F951" s="63">
        <f>VLOOKUP(Table1[[#This Row],[Date]],Database!A:D,2,)</f>
        <v>63</v>
      </c>
      <c r="G951" s="57"/>
      <c r="H951" s="60">
        <v>13</v>
      </c>
    </row>
    <row r="952" spans="1:8" x14ac:dyDescent="0.2">
      <c r="A952" s="56">
        <v>42856</v>
      </c>
      <c r="B952" s="26">
        <f>VLOOKUP(Table1[[#This Row],[Date]],Database!A:D,3,)</f>
        <v>146295</v>
      </c>
      <c r="C952" s="27">
        <f t="shared" si="28"/>
        <v>141</v>
      </c>
      <c r="D952" s="27">
        <f t="shared" si="29"/>
        <v>166.66666666666666</v>
      </c>
      <c r="E952" s="63">
        <f>VLOOKUP(Table1[[#This Row],[Date]],Database!A:D,4,)</f>
        <v>4.4000000000000004</v>
      </c>
      <c r="F952" s="63">
        <f>VLOOKUP(Table1[[#This Row],[Date]],Database!A:D,2,)</f>
        <v>62.8</v>
      </c>
      <c r="G952" s="57"/>
      <c r="H952" s="60">
        <v>14</v>
      </c>
    </row>
    <row r="953" spans="1:8" x14ac:dyDescent="0.2">
      <c r="A953" s="56">
        <v>42887</v>
      </c>
      <c r="B953" s="26">
        <f>VLOOKUP(Table1[[#This Row],[Date]],Database!A:D,3,)</f>
        <v>146506</v>
      </c>
      <c r="C953" s="27">
        <f t="shared" si="28"/>
        <v>211</v>
      </c>
      <c r="D953" s="27">
        <f t="shared" si="29"/>
        <v>190.66666666666666</v>
      </c>
      <c r="E953" s="63">
        <f>VLOOKUP(Table1[[#This Row],[Date]],Database!A:D,4,)</f>
        <v>4.3</v>
      </c>
      <c r="F953" s="63">
        <f>VLOOKUP(Table1[[#This Row],[Date]],Database!A:D,2,)</f>
        <v>62.8</v>
      </c>
      <c r="G953" s="57"/>
      <c r="H953" s="60">
        <v>15</v>
      </c>
    </row>
    <row r="954" spans="1:8" x14ac:dyDescent="0.2">
      <c r="A954" s="56">
        <v>42917</v>
      </c>
      <c r="B954" s="26">
        <f>VLOOKUP(Table1[[#This Row],[Date]],Database!A:D,3,)</f>
        <v>146734</v>
      </c>
      <c r="C954" s="27">
        <f t="shared" si="28"/>
        <v>228</v>
      </c>
      <c r="D954" s="27">
        <f t="shared" si="29"/>
        <v>193.33333333333334</v>
      </c>
      <c r="E954" s="63">
        <f>VLOOKUP(Table1[[#This Row],[Date]],Database!A:D,4,)</f>
        <v>4.3</v>
      </c>
      <c r="F954" s="63">
        <f>VLOOKUP(Table1[[#This Row],[Date]],Database!A:D,2,)</f>
        <v>62.9</v>
      </c>
      <c r="G954" s="57"/>
      <c r="H954" s="60">
        <v>16</v>
      </c>
    </row>
    <row r="955" spans="1:8" x14ac:dyDescent="0.2">
      <c r="A955" s="56">
        <v>42948</v>
      </c>
      <c r="B955" s="26">
        <f>VLOOKUP(Table1[[#This Row],[Date]],Database!A:D,3,)</f>
        <v>146924</v>
      </c>
      <c r="C955" s="27">
        <f t="shared" si="28"/>
        <v>190</v>
      </c>
      <c r="D955" s="27">
        <f t="shared" si="29"/>
        <v>209.66666666666666</v>
      </c>
      <c r="E955" s="63">
        <f>VLOOKUP(Table1[[#This Row],[Date]],Database!A:D,4,)</f>
        <v>4.4000000000000004</v>
      </c>
      <c r="F955" s="63">
        <f>VLOOKUP(Table1[[#This Row],[Date]],Database!A:D,2,)</f>
        <v>62.9</v>
      </c>
      <c r="G955" s="57"/>
      <c r="H955" s="60">
        <v>17</v>
      </c>
    </row>
    <row r="956" spans="1:8" x14ac:dyDescent="0.2">
      <c r="A956" s="56">
        <v>42979</v>
      </c>
      <c r="B956" s="26">
        <f>VLOOKUP(Table1[[#This Row],[Date]],Database!A:D,3,)</f>
        <v>146966</v>
      </c>
      <c r="C956" s="27">
        <f t="shared" si="28"/>
        <v>42</v>
      </c>
      <c r="D956" s="27">
        <f t="shared" si="29"/>
        <v>153.33333333333334</v>
      </c>
      <c r="E956" s="63">
        <f>VLOOKUP(Table1[[#This Row],[Date]],Database!A:D,4,)</f>
        <v>4.2</v>
      </c>
      <c r="F956" s="63">
        <f>VLOOKUP(Table1[[#This Row],[Date]],Database!A:D,2,)</f>
        <v>63</v>
      </c>
      <c r="G956" s="57"/>
      <c r="H956" s="60">
        <v>18</v>
      </c>
    </row>
    <row r="957" spans="1:8" x14ac:dyDescent="0.2">
      <c r="A957" s="56">
        <v>43009</v>
      </c>
      <c r="B957" s="26">
        <f>VLOOKUP(Table1[[#This Row],[Date]],Database!A:D,3,)</f>
        <v>147215</v>
      </c>
      <c r="C957" s="27">
        <f t="shared" si="28"/>
        <v>249</v>
      </c>
      <c r="D957" s="27">
        <f t="shared" si="29"/>
        <v>160.33333333333334</v>
      </c>
      <c r="E957" s="63">
        <f>VLOOKUP(Table1[[#This Row],[Date]],Database!A:D,4,)</f>
        <v>4.0999999999999996</v>
      </c>
      <c r="F957" s="63">
        <f>VLOOKUP(Table1[[#This Row],[Date]],Database!A:D,2,)</f>
        <v>62.7</v>
      </c>
      <c r="G957" s="57"/>
      <c r="H957" s="60">
        <v>19</v>
      </c>
    </row>
    <row r="958" spans="1:8" x14ac:dyDescent="0.2">
      <c r="A958" s="56">
        <v>43040</v>
      </c>
      <c r="B958" s="26">
        <f>VLOOKUP(Table1[[#This Row],[Date]],Database!A:D,3,)</f>
        <v>147411</v>
      </c>
      <c r="C958" s="27">
        <f t="shared" si="28"/>
        <v>196</v>
      </c>
      <c r="D958" s="27">
        <f t="shared" si="29"/>
        <v>162.33333333333334</v>
      </c>
      <c r="E958" s="63">
        <f>VLOOKUP(Table1[[#This Row],[Date]],Database!A:D,4,)</f>
        <v>4.2</v>
      </c>
      <c r="F958" s="63">
        <f>VLOOKUP(Table1[[#This Row],[Date]],Database!A:D,2,)</f>
        <v>62.7</v>
      </c>
      <c r="G958" s="57"/>
      <c r="H958" s="60">
        <v>20</v>
      </c>
    </row>
    <row r="959" spans="1:8" x14ac:dyDescent="0.2">
      <c r="A959" s="56">
        <v>43070</v>
      </c>
      <c r="B959" s="26">
        <f>VLOOKUP(Table1[[#This Row],[Date]],Database!A:D,3,)</f>
        <v>147590</v>
      </c>
      <c r="C959" s="27">
        <f t="shared" si="28"/>
        <v>179</v>
      </c>
      <c r="D959" s="27">
        <f t="shared" si="29"/>
        <v>208</v>
      </c>
      <c r="E959" s="63">
        <f>VLOOKUP(Table1[[#This Row],[Date]],Database!A:D,4,)</f>
        <v>4.0999999999999996</v>
      </c>
      <c r="F959" s="63">
        <f>VLOOKUP(Table1[[#This Row],[Date]],Database!A:D,2,)</f>
        <v>62.7</v>
      </c>
      <c r="G959" s="57"/>
      <c r="H959" s="60">
        <v>21</v>
      </c>
    </row>
    <row r="960" spans="1:8" x14ac:dyDescent="0.2">
      <c r="A960" s="56">
        <v>43101</v>
      </c>
      <c r="B960" s="26">
        <f>VLOOKUP(Table1[[#This Row],[Date]],Database!A:D,3,)</f>
        <v>147671</v>
      </c>
      <c r="C960" s="27">
        <f t="shared" si="28"/>
        <v>81</v>
      </c>
      <c r="D960" s="27">
        <f t="shared" si="29"/>
        <v>152</v>
      </c>
      <c r="E960" s="63">
        <f>VLOOKUP(Table1[[#This Row],[Date]],Database!A:D,4,)</f>
        <v>4</v>
      </c>
      <c r="F960" s="63">
        <f>VLOOKUP(Table1[[#This Row],[Date]],Database!A:D,2,)</f>
        <v>62.7</v>
      </c>
      <c r="G960" s="57"/>
    </row>
    <row r="961" spans="1:7" x14ac:dyDescent="0.2">
      <c r="A961" s="56">
        <v>43132</v>
      </c>
      <c r="B961" s="26">
        <f>VLOOKUP(Table1[[#This Row],[Date]],Database!A:D,3,)</f>
        <v>148049</v>
      </c>
      <c r="C961" s="27">
        <f t="shared" si="28"/>
        <v>378</v>
      </c>
      <c r="D961" s="27">
        <f t="shared" si="29"/>
        <v>212.66666666666666</v>
      </c>
      <c r="E961" s="63">
        <f>VLOOKUP(Table1[[#This Row],[Date]],Database!A:D,4,)</f>
        <v>4.0999999999999996</v>
      </c>
      <c r="F961" s="63">
        <f>VLOOKUP(Table1[[#This Row],[Date]],Database!A:D,2,)</f>
        <v>63</v>
      </c>
      <c r="G961" s="57"/>
    </row>
    <row r="962" spans="1:7" x14ac:dyDescent="0.2">
      <c r="A962" s="56">
        <v>43160</v>
      </c>
      <c r="B962" s="26">
        <f>VLOOKUP(Table1[[#This Row],[Date]],Database!A:D,3,)</f>
        <v>148244</v>
      </c>
      <c r="C962" s="27">
        <f t="shared" si="28"/>
        <v>195</v>
      </c>
      <c r="D962" s="27">
        <f t="shared" si="29"/>
        <v>218</v>
      </c>
      <c r="E962" s="63">
        <f>VLOOKUP(Table1[[#This Row],[Date]],Database!A:D,4,)</f>
        <v>4</v>
      </c>
      <c r="F962" s="63">
        <f>VLOOKUP(Table1[[#This Row],[Date]],Database!A:D,2,)</f>
        <v>62.9</v>
      </c>
      <c r="G962" s="57"/>
    </row>
    <row r="963" spans="1:7" x14ac:dyDescent="0.2">
      <c r="A963" s="56">
        <v>43191</v>
      </c>
      <c r="B963" s="26">
        <f>VLOOKUP(Table1[[#This Row],[Date]],Database!A:D,3,)</f>
        <v>148397</v>
      </c>
      <c r="C963" s="27">
        <f t="shared" si="28"/>
        <v>153</v>
      </c>
      <c r="D963" s="27">
        <f t="shared" si="29"/>
        <v>242</v>
      </c>
      <c r="E963" s="63">
        <f>VLOOKUP(Table1[[#This Row],[Date]],Database!A:D,4,)</f>
        <v>4</v>
      </c>
      <c r="F963" s="63">
        <f>VLOOKUP(Table1[[#This Row],[Date]],Database!A:D,2,)</f>
        <v>62.9</v>
      </c>
    </row>
    <row r="964" spans="1:7" x14ac:dyDescent="0.2">
      <c r="A964" s="56">
        <v>43221</v>
      </c>
      <c r="B964" s="26">
        <f>VLOOKUP(Table1[[#This Row],[Date]],Database!A:D,3,)</f>
        <v>148667</v>
      </c>
      <c r="C964" s="27">
        <f t="shared" si="28"/>
        <v>270</v>
      </c>
      <c r="D964" s="27">
        <f t="shared" si="29"/>
        <v>206</v>
      </c>
      <c r="E964" s="63">
        <f>VLOOKUP(Table1[[#This Row],[Date]],Database!A:D,4,)</f>
        <v>3.8</v>
      </c>
      <c r="F964" s="63">
        <f>VLOOKUP(Table1[[#This Row],[Date]],Database!A:D,2,)</f>
        <v>62.9</v>
      </c>
    </row>
    <row r="965" spans="1:7" x14ac:dyDescent="0.2">
      <c r="A965" s="56">
        <v>43252</v>
      </c>
      <c r="B965" s="26">
        <f>VLOOKUP(Table1[[#This Row],[Date]],Database!A:D,3,)</f>
        <v>148881</v>
      </c>
      <c r="C965" s="27">
        <f t="shared" si="28"/>
        <v>214</v>
      </c>
      <c r="D965" s="27">
        <f t="shared" si="29"/>
        <v>212.33333333333334</v>
      </c>
      <c r="E965" s="63">
        <f>VLOOKUP(Table1[[#This Row],[Date]],Database!A:D,4,)</f>
        <v>4</v>
      </c>
      <c r="F965" s="63">
        <f>VLOOKUP(Table1[[#This Row],[Date]],Database!A:D,2,)</f>
        <v>63</v>
      </c>
    </row>
    <row r="966" spans="1:7" x14ac:dyDescent="0.2">
      <c r="A966" s="56">
        <v>43282</v>
      </c>
      <c r="B966" s="28">
        <f>VLOOKUP(Table1[[#This Row],[Date]],Database!A:D,3,)</f>
        <v>149030</v>
      </c>
      <c r="C966" s="27">
        <f t="shared" si="28"/>
        <v>149</v>
      </c>
      <c r="D966" s="27">
        <f t="shared" si="29"/>
        <v>211</v>
      </c>
      <c r="E966" s="63">
        <f>VLOOKUP(Table1[[#This Row],[Date]],Database!A:D,4,)</f>
        <v>3.8</v>
      </c>
      <c r="F966" s="63">
        <f>VLOOKUP(Table1[[#This Row],[Date]],Database!A:D,2,)</f>
        <v>63</v>
      </c>
    </row>
    <row r="967" spans="1:7" x14ac:dyDescent="0.2">
      <c r="A967" s="56">
        <v>43313</v>
      </c>
      <c r="B967" s="26">
        <f>VLOOKUP(Table1[[#This Row],[Date]],Database!A:D,3,)</f>
        <v>149259</v>
      </c>
      <c r="C967" s="27">
        <f t="shared" si="28"/>
        <v>229</v>
      </c>
      <c r="D967" s="27">
        <f t="shared" si="29"/>
        <v>197.33333333333334</v>
      </c>
      <c r="E967" s="63">
        <f>VLOOKUP(Table1[[#This Row],[Date]],Database!A:D,4,)</f>
        <v>3.8</v>
      </c>
      <c r="F967" s="63">
        <f>VLOOKUP(Table1[[#This Row],[Date]],Database!A:D,2,)</f>
        <v>62.7</v>
      </c>
    </row>
    <row r="968" spans="1:7" x14ac:dyDescent="0.2">
      <c r="A968" s="56">
        <v>43344</v>
      </c>
      <c r="B968" s="28">
        <f>VLOOKUP(Table1[[#This Row],[Date]],Database!A:D,3,)</f>
        <v>149364</v>
      </c>
      <c r="C968" s="27">
        <f t="shared" si="28"/>
        <v>105</v>
      </c>
      <c r="D968" s="27">
        <f t="shared" si="29"/>
        <v>161</v>
      </c>
      <c r="E968" s="63">
        <f>VLOOKUP(Table1[[#This Row],[Date]],Database!A:D,4,)</f>
        <v>3.7</v>
      </c>
      <c r="F968" s="63">
        <f>VLOOKUP(Table1[[#This Row],[Date]],Database!A:D,2,)</f>
        <v>62.7</v>
      </c>
    </row>
    <row r="969" spans="1:7" x14ac:dyDescent="0.2">
      <c r="A969" s="56">
        <v>43374</v>
      </c>
      <c r="B969" s="26">
        <f>VLOOKUP(Table1[[#This Row],[Date]],Database!A:D,3,)</f>
        <v>149576</v>
      </c>
      <c r="C969" s="27">
        <f t="shared" si="28"/>
        <v>212</v>
      </c>
      <c r="D969" s="27">
        <f t="shared" si="29"/>
        <v>182</v>
      </c>
      <c r="E969" s="63">
        <f>VLOOKUP(Table1[[#This Row],[Date]],Database!A:D,4,)</f>
        <v>3.8</v>
      </c>
      <c r="F969" s="63">
        <f>VLOOKUP(Table1[[#This Row],[Date]],Database!A:D,2,)</f>
        <v>62.8</v>
      </c>
    </row>
    <row r="970" spans="1:7" x14ac:dyDescent="0.2">
      <c r="A970" s="56">
        <v>43405</v>
      </c>
      <c r="B970" s="28">
        <f>VLOOKUP(Table1[[#This Row],[Date]],Database!A:D,3,)</f>
        <v>149668</v>
      </c>
      <c r="C970" s="27">
        <f t="shared" si="28"/>
        <v>92</v>
      </c>
      <c r="D970" s="27">
        <f t="shared" si="29"/>
        <v>136.33333333333334</v>
      </c>
      <c r="E970" s="63">
        <f>VLOOKUP(Table1[[#This Row],[Date]],Database!A:D,4,)</f>
        <v>3.8</v>
      </c>
      <c r="F970" s="63">
        <f>VLOOKUP(Table1[[#This Row],[Date]],Database!A:D,2,)</f>
        <v>62.9</v>
      </c>
    </row>
    <row r="971" spans="1:7" x14ac:dyDescent="0.2">
      <c r="A971" s="56">
        <v>43435</v>
      </c>
      <c r="B971" s="26">
        <f>VLOOKUP(Table1[[#This Row],[Date]],Database!A:D,3,)</f>
        <v>149908</v>
      </c>
      <c r="C971" s="27">
        <f t="shared" si="28"/>
        <v>240</v>
      </c>
      <c r="D971" s="27">
        <f t="shared" si="29"/>
        <v>181.33333333333334</v>
      </c>
      <c r="E971" s="63">
        <f>VLOOKUP(Table1[[#This Row],[Date]],Database!A:D,4,)</f>
        <v>3.9</v>
      </c>
      <c r="F971" s="63">
        <f>VLOOKUP(Table1[[#This Row],[Date]],Database!A:D,2,)</f>
        <v>63</v>
      </c>
    </row>
    <row r="972" spans="1:7" x14ac:dyDescent="0.2">
      <c r="A972" s="56">
        <v>43466</v>
      </c>
      <c r="B972" s="28">
        <f>VLOOKUP(Table1[[#This Row],[Date]],Database!A:D,3,)</f>
        <v>150145</v>
      </c>
      <c r="C972" s="27">
        <f t="shared" si="28"/>
        <v>237</v>
      </c>
      <c r="D972" s="27">
        <f t="shared" si="29"/>
        <v>189.66666666666666</v>
      </c>
      <c r="E972" s="63">
        <f>VLOOKUP(Table1[[#This Row],[Date]],Database!A:D,4,)</f>
        <v>4</v>
      </c>
      <c r="F972" s="63">
        <f>VLOOKUP(Table1[[#This Row],[Date]],Database!A:D,2,)</f>
        <v>63.1</v>
      </c>
    </row>
    <row r="973" spans="1:7" x14ac:dyDescent="0.2">
      <c r="A973" s="56">
        <v>43497</v>
      </c>
      <c r="B973" s="26">
        <f>VLOOKUP(Table1[[#This Row],[Date]],Database!A:D,3,)</f>
        <v>150095</v>
      </c>
      <c r="C973" s="27">
        <f t="shared" ref="C973:C1036" si="30">B973-B972</f>
        <v>-50</v>
      </c>
      <c r="D973" s="27">
        <f t="shared" si="29"/>
        <v>142.33333333333334</v>
      </c>
      <c r="E973" s="63">
        <f>VLOOKUP(Table1[[#This Row],[Date]],Database!A:D,4,)</f>
        <v>3.8</v>
      </c>
      <c r="F973" s="63">
        <f>VLOOKUP(Table1[[#This Row],[Date]],Database!A:D,2,)</f>
        <v>63.1</v>
      </c>
    </row>
    <row r="974" spans="1:7" x14ac:dyDescent="0.2">
      <c r="A974" s="56">
        <v>43525</v>
      </c>
      <c r="B974" s="28">
        <f>VLOOKUP(Table1[[#This Row],[Date]],Database!A:D,3,)</f>
        <v>150263</v>
      </c>
      <c r="C974" s="27">
        <f t="shared" si="30"/>
        <v>168</v>
      </c>
      <c r="D974" s="27">
        <f t="shared" si="29"/>
        <v>118.33333333333333</v>
      </c>
      <c r="E974" s="63">
        <f>VLOOKUP(Table1[[#This Row],[Date]],Database!A:D,4,)</f>
        <v>3.8</v>
      </c>
      <c r="F974" s="63">
        <f>VLOOKUP(Table1[[#This Row],[Date]],Database!A:D,2,)</f>
        <v>63.1</v>
      </c>
    </row>
    <row r="975" spans="1:7" x14ac:dyDescent="0.2">
      <c r="A975" s="56">
        <v>43556</v>
      </c>
      <c r="B975" s="26">
        <f>VLOOKUP(Table1[[#This Row],[Date]],Database!A:D,3,)</f>
        <v>150482</v>
      </c>
      <c r="C975" s="27">
        <f t="shared" si="30"/>
        <v>219</v>
      </c>
      <c r="D975" s="27">
        <f t="shared" ref="D975:D1038" si="31">AVERAGE(C973:C975)</f>
        <v>112.33333333333333</v>
      </c>
      <c r="E975" s="63">
        <f>VLOOKUP(Table1[[#This Row],[Date]],Database!A:D,4,)</f>
        <v>3.7</v>
      </c>
      <c r="F975" s="63">
        <f>VLOOKUP(Table1[[#This Row],[Date]],Database!A:D,2,)</f>
        <v>62.9</v>
      </c>
    </row>
    <row r="976" spans="1:7" x14ac:dyDescent="0.2">
      <c r="A976" s="56">
        <v>43586</v>
      </c>
      <c r="B976" s="28">
        <f>VLOOKUP(Table1[[#This Row],[Date]],Database!A:D,3,)</f>
        <v>150545</v>
      </c>
      <c r="C976" s="27">
        <f t="shared" si="30"/>
        <v>63</v>
      </c>
      <c r="D976" s="27">
        <f t="shared" si="31"/>
        <v>150</v>
      </c>
      <c r="E976" s="63">
        <f>VLOOKUP(Table1[[#This Row],[Date]],Database!A:D,4,)</f>
        <v>3.7</v>
      </c>
      <c r="F976" s="63">
        <f>VLOOKUP(Table1[[#This Row],[Date]],Database!A:D,2,)</f>
        <v>62.9</v>
      </c>
    </row>
    <row r="977" spans="1:6" x14ac:dyDescent="0.2">
      <c r="A977" s="56">
        <v>43617</v>
      </c>
      <c r="B977" s="26">
        <f>VLOOKUP(Table1[[#This Row],[Date]],Database!A:D,3,)</f>
        <v>150720</v>
      </c>
      <c r="C977" s="27">
        <f t="shared" si="30"/>
        <v>175</v>
      </c>
      <c r="D977" s="27">
        <f t="shared" si="31"/>
        <v>152.33333333333334</v>
      </c>
      <c r="E977" s="63">
        <f>VLOOKUP(Table1[[#This Row],[Date]],Database!A:D,4,)</f>
        <v>3.6</v>
      </c>
      <c r="F977" s="63">
        <f>VLOOKUP(Table1[[#This Row],[Date]],Database!A:D,2,)</f>
        <v>62.9</v>
      </c>
    </row>
    <row r="978" spans="1:6" x14ac:dyDescent="0.2">
      <c r="A978" s="56">
        <v>43647</v>
      </c>
      <c r="B978" s="28">
        <f>VLOOKUP(Table1[[#This Row],[Date]],Database!A:D,3,)</f>
        <v>150913</v>
      </c>
      <c r="C978" s="27">
        <f t="shared" si="30"/>
        <v>193</v>
      </c>
      <c r="D978" s="27">
        <f t="shared" si="31"/>
        <v>143.66666666666666</v>
      </c>
      <c r="E978" s="63">
        <f>VLOOKUP(Table1[[#This Row],[Date]],Database!A:D,4,)</f>
        <v>3.6</v>
      </c>
      <c r="F978" s="63">
        <f>VLOOKUP(Table1[[#This Row],[Date]],Database!A:D,2,)</f>
        <v>63.1</v>
      </c>
    </row>
    <row r="979" spans="1:6" x14ac:dyDescent="0.2">
      <c r="A979" s="56">
        <v>43678</v>
      </c>
      <c r="B979" s="26">
        <f>VLOOKUP(Table1[[#This Row],[Date]],Database!A:D,3,)</f>
        <v>151108</v>
      </c>
      <c r="C979" s="27">
        <f t="shared" si="30"/>
        <v>195</v>
      </c>
      <c r="D979" s="27">
        <f t="shared" si="31"/>
        <v>187.66666666666666</v>
      </c>
      <c r="E979" s="63">
        <f>VLOOKUP(Table1[[#This Row],[Date]],Database!A:D,4,)</f>
        <v>3.7</v>
      </c>
      <c r="F979" s="63">
        <f>VLOOKUP(Table1[[#This Row],[Date]],Database!A:D,2,)</f>
        <v>63.2</v>
      </c>
    </row>
    <row r="980" spans="1:6" x14ac:dyDescent="0.2">
      <c r="A980" s="56">
        <v>43709</v>
      </c>
      <c r="B980" s="28">
        <f>VLOOKUP(Table1[[#This Row],[Date]],Database!A:D,3,)</f>
        <v>151329</v>
      </c>
      <c r="C980" s="27">
        <f t="shared" si="30"/>
        <v>221</v>
      </c>
      <c r="D980" s="27">
        <f t="shared" si="31"/>
        <v>203</v>
      </c>
      <c r="E980" s="63">
        <f>VLOOKUP(Table1[[#This Row],[Date]],Database!A:D,4,)</f>
        <v>3.5</v>
      </c>
      <c r="F980" s="63">
        <f>VLOOKUP(Table1[[#This Row],[Date]],Database!A:D,2,)</f>
        <v>63.1</v>
      </c>
    </row>
    <row r="981" spans="1:6" x14ac:dyDescent="0.2">
      <c r="A981" s="56">
        <v>43739</v>
      </c>
      <c r="B981" s="26">
        <f>VLOOKUP(Table1[[#This Row],[Date]],Database!A:D,3,)</f>
        <v>151524</v>
      </c>
      <c r="C981" s="27">
        <f t="shared" si="30"/>
        <v>195</v>
      </c>
      <c r="D981" s="27">
        <f t="shared" si="31"/>
        <v>203.66666666666666</v>
      </c>
      <c r="E981" s="63">
        <f>VLOOKUP(Table1[[#This Row],[Date]],Database!A:D,4,)</f>
        <v>3.6</v>
      </c>
      <c r="F981" s="63">
        <f>VLOOKUP(Table1[[#This Row],[Date]],Database!A:D,2,)</f>
        <v>63.2</v>
      </c>
    </row>
    <row r="982" spans="1:6" x14ac:dyDescent="0.2">
      <c r="A982" s="56">
        <v>43770</v>
      </c>
      <c r="B982" s="28">
        <f>VLOOKUP(Table1[[#This Row],[Date]],Database!A:D,3,)</f>
        <v>151758</v>
      </c>
      <c r="C982" s="27">
        <f t="shared" si="30"/>
        <v>234</v>
      </c>
      <c r="D982" s="27">
        <f t="shared" si="31"/>
        <v>216.66666666666666</v>
      </c>
      <c r="E982" s="63">
        <f>VLOOKUP(Table1[[#This Row],[Date]],Database!A:D,4,)</f>
        <v>3.6</v>
      </c>
      <c r="F982" s="63">
        <f>VLOOKUP(Table1[[#This Row],[Date]],Database!A:D,2,)</f>
        <v>63.2</v>
      </c>
    </row>
    <row r="983" spans="1:6" x14ac:dyDescent="0.2">
      <c r="A983" s="56">
        <v>43800</v>
      </c>
      <c r="B983" s="26">
        <f>VLOOKUP(Table1[[#This Row],[Date]],Database!A:D,3,)</f>
        <v>151919</v>
      </c>
      <c r="C983" s="27">
        <f t="shared" si="30"/>
        <v>161</v>
      </c>
      <c r="D983" s="27">
        <f t="shared" si="31"/>
        <v>196.66666666666666</v>
      </c>
      <c r="E983" s="63">
        <f>VLOOKUP(Table1[[#This Row],[Date]],Database!A:D,4,)</f>
        <v>3.6</v>
      </c>
      <c r="F983" s="63">
        <f>VLOOKUP(Table1[[#This Row],[Date]],Database!A:D,2,)</f>
        <v>63.3</v>
      </c>
    </row>
    <row r="984" spans="1:6" x14ac:dyDescent="0.2">
      <c r="A984" s="56">
        <v>43831</v>
      </c>
      <c r="B984" s="28">
        <f>VLOOKUP(Table1[[#This Row],[Date]],Database!A:D,3,)</f>
        <v>152234</v>
      </c>
      <c r="C984" s="27">
        <f t="shared" si="30"/>
        <v>315</v>
      </c>
      <c r="D984" s="27">
        <f t="shared" si="31"/>
        <v>236.66666666666666</v>
      </c>
      <c r="E984" s="63">
        <f>VLOOKUP(Table1[[#This Row],[Date]],Database!A:D,4,)</f>
        <v>3.5</v>
      </c>
      <c r="F984" s="63">
        <f>VLOOKUP(Table1[[#This Row],[Date]],Database!A:D,2,)</f>
        <v>63.4</v>
      </c>
    </row>
    <row r="985" spans="1:6" x14ac:dyDescent="0.2">
      <c r="A985" s="56">
        <v>43862</v>
      </c>
      <c r="B985" s="26">
        <f>VLOOKUP(Table1[[#This Row],[Date]],Database!A:D,3,)</f>
        <v>152523</v>
      </c>
      <c r="C985" s="27">
        <f t="shared" si="30"/>
        <v>289</v>
      </c>
      <c r="D985" s="27">
        <f t="shared" si="31"/>
        <v>255</v>
      </c>
      <c r="E985" s="63">
        <f>VLOOKUP(Table1[[#This Row],[Date]],Database!A:D,4,)</f>
        <v>3.5</v>
      </c>
      <c r="F985" s="63">
        <f>VLOOKUP(Table1[[#This Row],[Date]],Database!A:D,2,)</f>
        <v>63.3</v>
      </c>
    </row>
    <row r="986" spans="1:6" x14ac:dyDescent="0.2">
      <c r="A986" s="56">
        <v>43891</v>
      </c>
      <c r="B986" s="28">
        <f>VLOOKUP(Table1[[#This Row],[Date]],Database!A:D,3,)</f>
        <v>150840</v>
      </c>
      <c r="C986" s="27">
        <f t="shared" si="30"/>
        <v>-1683</v>
      </c>
      <c r="D986" s="27">
        <f t="shared" si="31"/>
        <v>-359.66666666666669</v>
      </c>
      <c r="E986" s="63">
        <f>VLOOKUP(Table1[[#This Row],[Date]],Database!A:D,4,)</f>
        <v>4.4000000000000004</v>
      </c>
      <c r="F986" s="63">
        <f>VLOOKUP(Table1[[#This Row],[Date]],Database!A:D,2,)</f>
        <v>62.6</v>
      </c>
    </row>
    <row r="987" spans="1:6" x14ac:dyDescent="0.2">
      <c r="A987" s="56">
        <v>43922</v>
      </c>
      <c r="B987" s="26">
        <f>VLOOKUP(Table1[[#This Row],[Date]],Database!A:D,3,)</f>
        <v>130161</v>
      </c>
      <c r="C987" s="27">
        <f t="shared" si="30"/>
        <v>-20679</v>
      </c>
      <c r="D987" s="27">
        <f t="shared" si="31"/>
        <v>-7357.666666666667</v>
      </c>
      <c r="E987" s="63">
        <f>VLOOKUP(Table1[[#This Row],[Date]],Database!A:D,4,)</f>
        <v>14.8</v>
      </c>
      <c r="F987" s="63">
        <f>VLOOKUP(Table1[[#This Row],[Date]],Database!A:D,2,)</f>
        <v>60.2</v>
      </c>
    </row>
    <row r="988" spans="1:6" x14ac:dyDescent="0.2">
      <c r="A988" s="56">
        <v>43952</v>
      </c>
      <c r="B988" s="28">
        <f>VLOOKUP(Table1[[#This Row],[Date]],Database!A:D,3,)</f>
        <v>132994</v>
      </c>
      <c r="C988" s="27">
        <f t="shared" si="30"/>
        <v>2833</v>
      </c>
      <c r="D988" s="27">
        <f t="shared" si="31"/>
        <v>-6509.666666666667</v>
      </c>
      <c r="E988" s="63">
        <f>VLOOKUP(Table1[[#This Row],[Date]],Database!A:D,4,)</f>
        <v>13.3</v>
      </c>
      <c r="F988" s="63">
        <f>VLOOKUP(Table1[[#This Row],[Date]],Database!A:D,2,)</f>
        <v>60.8</v>
      </c>
    </row>
    <row r="989" spans="1:6" x14ac:dyDescent="0.2">
      <c r="A989" s="56">
        <v>43983</v>
      </c>
      <c r="B989" s="26">
        <f>VLOOKUP(Table1[[#This Row],[Date]],Database!A:D,3,)</f>
        <v>137840</v>
      </c>
      <c r="C989" s="27">
        <f t="shared" si="30"/>
        <v>4846</v>
      </c>
      <c r="D989" s="27">
        <f t="shared" si="31"/>
        <v>-4333.333333333333</v>
      </c>
      <c r="E989" s="63">
        <f>VLOOKUP(Table1[[#This Row],[Date]],Database!A:D,4,)</f>
        <v>11.1</v>
      </c>
      <c r="F989" s="63">
        <f>VLOOKUP(Table1[[#This Row],[Date]],Database!A:D,2,)</f>
        <v>61.4</v>
      </c>
    </row>
    <row r="990" spans="1:6" x14ac:dyDescent="0.2">
      <c r="A990" s="56">
        <v>44013</v>
      </c>
      <c r="B990" s="28">
        <f>VLOOKUP(Table1[[#This Row],[Date]],Database!A:D,3,)</f>
        <v>139566</v>
      </c>
      <c r="C990" s="27">
        <f t="shared" si="30"/>
        <v>1726</v>
      </c>
      <c r="D990" s="27">
        <f t="shared" si="31"/>
        <v>3135</v>
      </c>
      <c r="E990" s="63">
        <f>VLOOKUP(Table1[[#This Row],[Date]],Database!A:D,4,)</f>
        <v>10.199999999999999</v>
      </c>
      <c r="F990" s="63">
        <f>VLOOKUP(Table1[[#This Row],[Date]],Database!A:D,2,)</f>
        <v>61.5</v>
      </c>
    </row>
    <row r="991" spans="1:6" x14ac:dyDescent="0.2">
      <c r="A991" s="56">
        <v>44044</v>
      </c>
      <c r="B991" s="26">
        <f>VLOOKUP(Table1[[#This Row],[Date]],Database!A:D,3,)</f>
        <v>141149</v>
      </c>
      <c r="C991" s="27">
        <f t="shared" si="30"/>
        <v>1583</v>
      </c>
      <c r="D991" s="27">
        <f t="shared" si="31"/>
        <v>2718.3333333333335</v>
      </c>
      <c r="E991" s="63">
        <f>VLOOKUP(Table1[[#This Row],[Date]],Database!A:D,4,)</f>
        <v>8.4</v>
      </c>
      <c r="F991" s="63">
        <f>VLOOKUP(Table1[[#This Row],[Date]],Database!A:D,2,)</f>
        <v>61.7</v>
      </c>
    </row>
    <row r="992" spans="1:6" x14ac:dyDescent="0.2">
      <c r="A992" s="56">
        <v>44075</v>
      </c>
      <c r="B992" s="28">
        <f>VLOOKUP(Table1[[#This Row],[Date]],Database!A:D,3,)</f>
        <v>141865</v>
      </c>
      <c r="C992" s="27">
        <f t="shared" si="30"/>
        <v>716</v>
      </c>
      <c r="D992" s="27">
        <f t="shared" si="31"/>
        <v>1341.6666666666667</v>
      </c>
      <c r="E992" s="63">
        <f>VLOOKUP(Table1[[#This Row],[Date]],Database!A:D,4,)</f>
        <v>7.8</v>
      </c>
      <c r="F992" s="63">
        <f>VLOOKUP(Table1[[#This Row],[Date]],Database!A:D,2,)</f>
        <v>61.4</v>
      </c>
    </row>
    <row r="993" spans="1:11" x14ac:dyDescent="0.2">
      <c r="A993" s="56">
        <v>44105</v>
      </c>
      <c r="B993" s="26">
        <f>VLOOKUP(Table1[[#This Row],[Date]],Database!A:D,3,)</f>
        <v>142545</v>
      </c>
      <c r="C993" s="27">
        <f t="shared" si="30"/>
        <v>680</v>
      </c>
      <c r="D993" s="27">
        <f t="shared" si="31"/>
        <v>993</v>
      </c>
      <c r="E993" s="63">
        <f>VLOOKUP(Table1[[#This Row],[Date]],Database!A:D,4,)</f>
        <v>6.9</v>
      </c>
      <c r="F993" s="63">
        <f>VLOOKUP(Table1[[#This Row],[Date]],Database!A:D,2,)</f>
        <v>61.6</v>
      </c>
    </row>
    <row r="994" spans="1:11" x14ac:dyDescent="0.2">
      <c r="A994" s="56">
        <v>44136</v>
      </c>
      <c r="B994" s="28">
        <f>VLOOKUP(Table1[[#This Row],[Date]],Database!A:D,3,)</f>
        <v>142809</v>
      </c>
      <c r="C994" s="27">
        <f t="shared" si="30"/>
        <v>264</v>
      </c>
      <c r="D994" s="27">
        <f t="shared" si="31"/>
        <v>553.33333333333337</v>
      </c>
      <c r="E994" s="63">
        <f>VLOOKUP(Table1[[#This Row],[Date]],Database!A:D,4,)</f>
        <v>6.7</v>
      </c>
      <c r="F994" s="63">
        <f>VLOOKUP(Table1[[#This Row],[Date]],Database!A:D,2,)</f>
        <v>61.5</v>
      </c>
    </row>
    <row r="995" spans="1:11" x14ac:dyDescent="0.2">
      <c r="A995" s="56">
        <v>44166</v>
      </c>
      <c r="B995" s="26">
        <f>VLOOKUP(Table1[[#This Row],[Date]],Database!A:D,3,)</f>
        <v>142503</v>
      </c>
      <c r="C995" s="27">
        <f t="shared" si="30"/>
        <v>-306</v>
      </c>
      <c r="D995" s="27">
        <f t="shared" si="31"/>
        <v>212.66666666666666</v>
      </c>
      <c r="E995" s="63">
        <f>VLOOKUP(Table1[[#This Row],[Date]],Database!A:D,4,)</f>
        <v>6.7</v>
      </c>
      <c r="F995" s="63">
        <f>VLOOKUP(Table1[[#This Row],[Date]],Database!A:D,2,)</f>
        <v>61.5</v>
      </c>
    </row>
    <row r="996" spans="1:11" x14ac:dyDescent="0.2">
      <c r="A996" s="56">
        <v>44197</v>
      </c>
      <c r="B996" s="28">
        <f>VLOOKUP(Table1[[#This Row],[Date]],Database!A:D,3,)</f>
        <v>142736</v>
      </c>
      <c r="C996" s="27">
        <f t="shared" si="30"/>
        <v>233</v>
      </c>
      <c r="D996" s="27">
        <f t="shared" si="31"/>
        <v>63.666666666666664</v>
      </c>
      <c r="E996" s="63">
        <f>VLOOKUP(Table1[[#This Row],[Date]],Database!A:D,4,)</f>
        <v>6.3</v>
      </c>
      <c r="F996" s="63">
        <f>VLOOKUP(Table1[[#This Row],[Date]],Database!A:D,2,)</f>
        <v>61.4</v>
      </c>
    </row>
    <row r="997" spans="1:11" x14ac:dyDescent="0.2">
      <c r="A997" s="56">
        <v>44228</v>
      </c>
      <c r="B997" s="26">
        <f>VLOOKUP(Table1[[#This Row],[Date]],Database!A:D,3,)</f>
        <v>143272</v>
      </c>
      <c r="C997" s="27">
        <f t="shared" si="30"/>
        <v>536</v>
      </c>
      <c r="D997" s="27">
        <f t="shared" si="31"/>
        <v>154.33333333333334</v>
      </c>
      <c r="E997" s="63">
        <f>VLOOKUP(Table1[[#This Row],[Date]],Database!A:D,4,)</f>
        <v>6.2</v>
      </c>
      <c r="F997" s="63">
        <f>VLOOKUP(Table1[[#This Row],[Date]],Database!A:D,2,)</f>
        <v>61.4</v>
      </c>
    </row>
    <row r="998" spans="1:11" x14ac:dyDescent="0.2">
      <c r="A998" s="56">
        <v>44256</v>
      </c>
      <c r="B998" s="28">
        <f>VLOOKUP(Table1[[#This Row],[Date]],Database!A:D,3,)</f>
        <v>144057</v>
      </c>
      <c r="C998" s="27">
        <f t="shared" si="30"/>
        <v>785</v>
      </c>
      <c r="D998" s="27">
        <f t="shared" si="31"/>
        <v>518</v>
      </c>
      <c r="E998" s="63">
        <f>VLOOKUP(Table1[[#This Row],[Date]],Database!A:D,4,)</f>
        <v>6</v>
      </c>
      <c r="F998" s="63">
        <f>VLOOKUP(Table1[[#This Row],[Date]],Database!A:D,2,)</f>
        <v>61.5</v>
      </c>
    </row>
    <row r="999" spans="1:11" x14ac:dyDescent="0.2">
      <c r="A999" s="56">
        <v>44287</v>
      </c>
      <c r="B999" s="26">
        <f>VLOOKUP(Table1[[#This Row],[Date]],Database!A:D,3,)</f>
        <v>144326</v>
      </c>
      <c r="C999" s="27">
        <f t="shared" si="30"/>
        <v>269</v>
      </c>
      <c r="D999" s="27">
        <f t="shared" si="31"/>
        <v>530</v>
      </c>
      <c r="E999" s="63">
        <f>VLOOKUP(Table1[[#This Row],[Date]],Database!A:D,4,)</f>
        <v>6.1</v>
      </c>
      <c r="F999" s="63">
        <f>VLOOKUP(Table1[[#This Row],[Date]],Database!A:D,2,)</f>
        <v>61.7</v>
      </c>
    </row>
    <row r="1000" spans="1:11" x14ac:dyDescent="0.2">
      <c r="A1000" s="56">
        <v>44317</v>
      </c>
      <c r="B1000" s="28">
        <f>VLOOKUP(Table1[[#This Row],[Date]],Database!A:D,3,)</f>
        <v>144940</v>
      </c>
      <c r="C1000" s="27">
        <f t="shared" si="30"/>
        <v>614</v>
      </c>
      <c r="D1000" s="27">
        <f t="shared" si="31"/>
        <v>556</v>
      </c>
      <c r="E1000" s="63">
        <f>VLOOKUP(Table1[[#This Row],[Date]],Database!A:D,4,)</f>
        <v>5.8</v>
      </c>
      <c r="F1000" s="63">
        <f>VLOOKUP(Table1[[#This Row],[Date]],Database!A:D,2,)</f>
        <v>61.6</v>
      </c>
    </row>
    <row r="1001" spans="1:11" x14ac:dyDescent="0.2">
      <c r="A1001" s="56">
        <v>44348</v>
      </c>
      <c r="B1001" s="26">
        <f>VLOOKUP(Table1[[#This Row],[Date]],Database!A:D,3,)</f>
        <v>145902</v>
      </c>
      <c r="C1001" s="27">
        <f t="shared" si="30"/>
        <v>962</v>
      </c>
      <c r="D1001" s="27">
        <f t="shared" si="31"/>
        <v>615</v>
      </c>
      <c r="E1001" s="63">
        <f>VLOOKUP(Table1[[#This Row],[Date]],Database!A:D,4,)</f>
        <v>5.9</v>
      </c>
      <c r="F1001" s="63">
        <f>VLOOKUP(Table1[[#This Row],[Date]],Database!A:D,2,)</f>
        <v>61.6</v>
      </c>
    </row>
    <row r="1002" spans="1:11" x14ac:dyDescent="0.2">
      <c r="A1002" s="56">
        <v>44378</v>
      </c>
      <c r="B1002" s="28">
        <f>VLOOKUP(Table1[[#This Row],[Date]],Database!A:D,3,)</f>
        <v>146993</v>
      </c>
      <c r="C1002" s="27">
        <f t="shared" si="30"/>
        <v>1091</v>
      </c>
      <c r="D1002" s="27">
        <f t="shared" si="31"/>
        <v>889</v>
      </c>
      <c r="E1002" s="63">
        <f>VLOOKUP(Table1[[#This Row],[Date]],Database!A:D,4,)</f>
        <v>5.4</v>
      </c>
      <c r="F1002" s="63">
        <f>VLOOKUP(Table1[[#This Row],[Date]],Database!A:D,2,)</f>
        <v>61.7</v>
      </c>
    </row>
    <row r="1003" spans="1:11" x14ac:dyDescent="0.2">
      <c r="A1003" s="56">
        <v>44409</v>
      </c>
      <c r="B1003" s="26">
        <f>VLOOKUP(Table1[[#This Row],[Date]],Database!A:D,3,)</f>
        <v>147476</v>
      </c>
      <c r="C1003" s="27">
        <f t="shared" si="30"/>
        <v>483</v>
      </c>
      <c r="D1003" s="27">
        <f t="shared" si="31"/>
        <v>845.33333333333337</v>
      </c>
      <c r="E1003" s="63">
        <f>VLOOKUP(Table1[[#This Row],[Date]],Database!A:D,4,)</f>
        <v>5.2</v>
      </c>
      <c r="F1003" s="63">
        <f>VLOOKUP(Table1[[#This Row],[Date]],Database!A:D,2,)</f>
        <v>61.7</v>
      </c>
      <c r="J1003" s="48">
        <f>B1003-B985</f>
        <v>-5047</v>
      </c>
      <c r="K1003" s="49"/>
    </row>
  </sheetData>
  <conditionalFormatting sqref="C864:C1003">
    <cfRule type="colorScale" priority="9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00B050"/>
  </sheetPr>
  <dimension ref="A1:FL3062"/>
  <sheetViews>
    <sheetView zoomScale="130" zoomScaleNormal="130" workbookViewId="0">
      <pane ySplit="4" topLeftCell="A2674" activePane="bottomLeft" state="frozen"/>
      <selection activeCell="K1" sqref="K1"/>
      <selection pane="bottomLeft" activeCell="I23" sqref="I23"/>
    </sheetView>
  </sheetViews>
  <sheetFormatPr baseColWidth="10" defaultColWidth="8.83203125" defaultRowHeight="15" x14ac:dyDescent="0.2"/>
  <cols>
    <col min="1" max="1" width="10.6640625" style="51" bestFit="1" customWidth="1"/>
    <col min="2" max="2" width="14.6640625" style="51" customWidth="1"/>
    <col min="4" max="4" width="18.6640625" style="51" customWidth="1"/>
    <col min="5" max="5" width="12" style="51" customWidth="1"/>
    <col min="6" max="168" width="9.1640625" style="60" customWidth="1"/>
  </cols>
  <sheetData>
    <row r="1" spans="1:5" s="60" customFormat="1" x14ac:dyDescent="0.2">
      <c r="B1" s="60" t="s">
        <v>24</v>
      </c>
      <c r="D1" s="60" t="s">
        <v>22</v>
      </c>
    </row>
    <row r="2" spans="1:5" s="60" customFormat="1" x14ac:dyDescent="0.2"/>
    <row r="3" spans="1:5" s="60" customFormat="1" x14ac:dyDescent="0.2"/>
    <row r="4" spans="1:5" ht="16" customHeight="1" x14ac:dyDescent="0.2">
      <c r="A4" s="31" t="s">
        <v>44</v>
      </c>
      <c r="B4" s="31" t="s">
        <v>25</v>
      </c>
      <c r="C4" s="31" t="s">
        <v>12</v>
      </c>
      <c r="D4" s="31" t="s">
        <v>47</v>
      </c>
      <c r="E4" s="31" t="s">
        <v>48</v>
      </c>
    </row>
    <row r="5" spans="1:5" x14ac:dyDescent="0.2">
      <c r="A5" s="29">
        <v>24479</v>
      </c>
      <c r="B5" s="26">
        <f>VLOOKUP(A5,'Database Claims'!$A:$C,3,)</f>
        <v>208000</v>
      </c>
      <c r="C5" s="63"/>
      <c r="D5" s="26">
        <f>VLOOKUP(A5,'Database Claims'!$A:$C,2,)</f>
        <v>1134000</v>
      </c>
      <c r="E5" s="63"/>
    </row>
    <row r="6" spans="1:5" x14ac:dyDescent="0.2">
      <c r="A6" s="29">
        <v>24486</v>
      </c>
      <c r="B6" s="30">
        <f>VLOOKUP(A6,'Database Claims'!$A:$C,3,)</f>
        <v>207000</v>
      </c>
      <c r="C6" s="30">
        <f t="shared" ref="C6:C69" si="0">B6-B5</f>
        <v>-1000</v>
      </c>
      <c r="D6" s="30">
        <f>VLOOKUP(A6,'Database Claims'!$A:$C,2,)</f>
        <v>1119000</v>
      </c>
      <c r="E6" s="30">
        <f t="shared" ref="E6:E69" si="1">D6-D5</f>
        <v>-15000</v>
      </c>
    </row>
    <row r="7" spans="1:5" x14ac:dyDescent="0.2">
      <c r="A7" s="29">
        <v>24493</v>
      </c>
      <c r="B7" s="26">
        <f>VLOOKUP(A7,'Database Claims'!$A:$C,3,)</f>
        <v>217000</v>
      </c>
      <c r="C7" s="30">
        <f t="shared" si="0"/>
        <v>10000</v>
      </c>
      <c r="D7" s="26">
        <f>VLOOKUP(A7,'Database Claims'!$A:$C,2,)</f>
        <v>1119000</v>
      </c>
      <c r="E7" s="30">
        <f t="shared" si="1"/>
        <v>0</v>
      </c>
    </row>
    <row r="8" spans="1:5" x14ac:dyDescent="0.2">
      <c r="A8" s="29">
        <v>24500</v>
      </c>
      <c r="B8" s="30">
        <f>VLOOKUP(A8,'Database Claims'!$A:$C,3,)</f>
        <v>204000</v>
      </c>
      <c r="C8" s="30">
        <f t="shared" si="0"/>
        <v>-13000</v>
      </c>
      <c r="D8" s="30">
        <f>VLOOKUP(A8,'Database Claims'!$A:$C,2,)</f>
        <v>1103000</v>
      </c>
      <c r="E8" s="30">
        <f t="shared" si="1"/>
        <v>-16000</v>
      </c>
    </row>
    <row r="9" spans="1:5" x14ac:dyDescent="0.2">
      <c r="A9" s="29">
        <v>24507</v>
      </c>
      <c r="B9" s="26">
        <f>VLOOKUP(A9,'Database Claims'!$A:$C,3,)</f>
        <v>216000</v>
      </c>
      <c r="C9" s="30">
        <f t="shared" si="0"/>
        <v>12000</v>
      </c>
      <c r="D9" s="26">
        <f>VLOOKUP(A9,'Database Claims'!$A:$C,2,)</f>
        <v>1131000</v>
      </c>
      <c r="E9" s="30">
        <f t="shared" si="1"/>
        <v>28000</v>
      </c>
    </row>
    <row r="10" spans="1:5" x14ac:dyDescent="0.2">
      <c r="A10" s="29">
        <v>24514</v>
      </c>
      <c r="B10" s="30">
        <f>VLOOKUP(A10,'Database Claims'!$A:$C,3,)</f>
        <v>229000</v>
      </c>
      <c r="C10" s="30">
        <f t="shared" si="0"/>
        <v>13000</v>
      </c>
      <c r="D10" s="30">
        <f>VLOOKUP(A10,'Database Claims'!$A:$C,2,)</f>
        <v>1153000</v>
      </c>
      <c r="E10" s="30">
        <f t="shared" si="1"/>
        <v>22000</v>
      </c>
    </row>
    <row r="11" spans="1:5" x14ac:dyDescent="0.2">
      <c r="A11" s="29">
        <v>24521</v>
      </c>
      <c r="B11" s="26">
        <f>VLOOKUP(A11,'Database Claims'!$A:$C,3,)</f>
        <v>229000</v>
      </c>
      <c r="C11" s="30">
        <f t="shared" si="0"/>
        <v>0</v>
      </c>
      <c r="D11" s="26">
        <f>VLOOKUP(A11,'Database Claims'!$A:$C,2,)</f>
        <v>1167000</v>
      </c>
      <c r="E11" s="30">
        <f t="shared" si="1"/>
        <v>14000</v>
      </c>
    </row>
    <row r="12" spans="1:5" x14ac:dyDescent="0.2">
      <c r="A12" s="29">
        <v>24528</v>
      </c>
      <c r="B12" s="30">
        <f>VLOOKUP(A12,'Database Claims'!$A:$C,3,)</f>
        <v>242000</v>
      </c>
      <c r="C12" s="30">
        <f t="shared" si="0"/>
        <v>13000</v>
      </c>
      <c r="D12" s="30">
        <f>VLOOKUP(A12,'Database Claims'!$A:$C,2,)</f>
        <v>1199000</v>
      </c>
      <c r="E12" s="30">
        <f t="shared" si="1"/>
        <v>32000</v>
      </c>
    </row>
    <row r="13" spans="1:5" x14ac:dyDescent="0.2">
      <c r="A13" s="29">
        <v>24535</v>
      </c>
      <c r="B13" s="26">
        <f>VLOOKUP(A13,'Database Claims'!$A:$C,3,)</f>
        <v>310000</v>
      </c>
      <c r="C13" s="30">
        <f t="shared" si="0"/>
        <v>68000</v>
      </c>
      <c r="D13" s="26">
        <f>VLOOKUP(A13,'Database Claims'!$A:$C,2,)</f>
        <v>1235000</v>
      </c>
      <c r="E13" s="30">
        <f t="shared" si="1"/>
        <v>36000</v>
      </c>
    </row>
    <row r="14" spans="1:5" x14ac:dyDescent="0.2">
      <c r="A14" s="29">
        <v>24542</v>
      </c>
      <c r="B14" s="30">
        <f>VLOOKUP(A14,'Database Claims'!$A:$C,3,)</f>
        <v>241000</v>
      </c>
      <c r="C14" s="30">
        <f t="shared" si="0"/>
        <v>-69000</v>
      </c>
      <c r="D14" s="30">
        <f>VLOOKUP(A14,'Database Claims'!$A:$C,2,)</f>
        <v>1234000</v>
      </c>
      <c r="E14" s="30">
        <f t="shared" si="1"/>
        <v>-1000</v>
      </c>
    </row>
    <row r="15" spans="1:5" x14ac:dyDescent="0.2">
      <c r="A15" s="29">
        <v>24549</v>
      </c>
      <c r="B15" s="26">
        <f>VLOOKUP(A15,'Database Claims'!$A:$C,3,)</f>
        <v>245000</v>
      </c>
      <c r="C15" s="30">
        <f t="shared" si="0"/>
        <v>4000</v>
      </c>
      <c r="D15" s="26">
        <f>VLOOKUP(A15,'Database Claims'!$A:$C,2,)</f>
        <v>1236000</v>
      </c>
      <c r="E15" s="30">
        <f t="shared" si="1"/>
        <v>2000</v>
      </c>
    </row>
    <row r="16" spans="1:5" x14ac:dyDescent="0.2">
      <c r="A16" s="29">
        <v>24556</v>
      </c>
      <c r="B16" s="30">
        <f>VLOOKUP(A16,'Database Claims'!$A:$C,3,)</f>
        <v>247000</v>
      </c>
      <c r="C16" s="30">
        <f t="shared" si="0"/>
        <v>2000</v>
      </c>
      <c r="D16" s="30">
        <f>VLOOKUP(A16,'Database Claims'!$A:$C,2,)</f>
        <v>1268000</v>
      </c>
      <c r="E16" s="30">
        <f t="shared" si="1"/>
        <v>32000</v>
      </c>
    </row>
    <row r="17" spans="1:5" x14ac:dyDescent="0.2">
      <c r="A17" s="29">
        <v>24563</v>
      </c>
      <c r="B17" s="26">
        <f>VLOOKUP(A17,'Database Claims'!$A:$C,3,)</f>
        <v>259000</v>
      </c>
      <c r="C17" s="30">
        <f t="shared" si="0"/>
        <v>12000</v>
      </c>
      <c r="D17" s="26">
        <f>VLOOKUP(A17,'Database Claims'!$A:$C,2,)</f>
        <v>1291000</v>
      </c>
      <c r="E17" s="30">
        <f t="shared" si="1"/>
        <v>23000</v>
      </c>
    </row>
    <row r="18" spans="1:5" x14ac:dyDescent="0.2">
      <c r="A18" s="29">
        <v>24570</v>
      </c>
      <c r="B18" s="30">
        <f>VLOOKUP(A18,'Database Claims'!$A:$C,3,)</f>
        <v>257000</v>
      </c>
      <c r="C18" s="30">
        <f t="shared" si="0"/>
        <v>-2000</v>
      </c>
      <c r="D18" s="30">
        <f>VLOOKUP(A18,'Database Claims'!$A:$C,2,)</f>
        <v>1273000</v>
      </c>
      <c r="E18" s="30">
        <f t="shared" si="1"/>
        <v>-18000</v>
      </c>
    </row>
    <row r="19" spans="1:5" x14ac:dyDescent="0.2">
      <c r="A19" s="29">
        <v>24577</v>
      </c>
      <c r="B19" s="26">
        <f>VLOOKUP(A19,'Database Claims'!$A:$C,3,)</f>
        <v>299000</v>
      </c>
      <c r="C19" s="30">
        <f t="shared" si="0"/>
        <v>42000</v>
      </c>
      <c r="D19" s="26">
        <f>VLOOKUP(A19,'Database Claims'!$A:$C,2,)</f>
        <v>1278000</v>
      </c>
      <c r="E19" s="30">
        <f t="shared" si="1"/>
        <v>5000</v>
      </c>
    </row>
    <row r="20" spans="1:5" x14ac:dyDescent="0.2">
      <c r="A20" s="29">
        <v>24584</v>
      </c>
      <c r="B20" s="30">
        <f>VLOOKUP(A20,'Database Claims'!$A:$C,3,)</f>
        <v>245000</v>
      </c>
      <c r="C20" s="30">
        <f t="shared" si="0"/>
        <v>-54000</v>
      </c>
      <c r="D20" s="30">
        <f>VLOOKUP(A20,'Database Claims'!$A:$C,2,)</f>
        <v>1277000</v>
      </c>
      <c r="E20" s="30">
        <f t="shared" si="1"/>
        <v>-1000</v>
      </c>
    </row>
    <row r="21" spans="1:5" x14ac:dyDescent="0.2">
      <c r="A21" s="29">
        <v>24591</v>
      </c>
      <c r="B21" s="26">
        <f>VLOOKUP(A21,'Database Claims'!$A:$C,3,)</f>
        <v>255000</v>
      </c>
      <c r="C21" s="30">
        <f t="shared" si="0"/>
        <v>10000</v>
      </c>
      <c r="D21" s="26">
        <f>VLOOKUP(A21,'Database Claims'!$A:$C,2,)</f>
        <v>1286000</v>
      </c>
      <c r="E21" s="30">
        <f t="shared" si="1"/>
        <v>9000</v>
      </c>
    </row>
    <row r="22" spans="1:5" x14ac:dyDescent="0.2">
      <c r="A22" s="29">
        <v>24598</v>
      </c>
      <c r="B22" s="30">
        <f>VLOOKUP(A22,'Database Claims'!$A:$C,3,)</f>
        <v>254000</v>
      </c>
      <c r="C22" s="30">
        <f t="shared" si="0"/>
        <v>-1000</v>
      </c>
      <c r="D22" s="30">
        <f>VLOOKUP(A22,'Database Claims'!$A:$C,2,)</f>
        <v>1308000</v>
      </c>
      <c r="E22" s="30">
        <f t="shared" si="1"/>
        <v>22000</v>
      </c>
    </row>
    <row r="23" spans="1:5" x14ac:dyDescent="0.2">
      <c r="A23" s="29">
        <v>24605</v>
      </c>
      <c r="B23" s="26">
        <f>VLOOKUP(A23,'Database Claims'!$A:$C,3,)</f>
        <v>231000</v>
      </c>
      <c r="C23" s="30">
        <f t="shared" si="0"/>
        <v>-23000</v>
      </c>
      <c r="D23" s="26">
        <f>VLOOKUP(A23,'Database Claims'!$A:$C,2,)</f>
        <v>1284000</v>
      </c>
      <c r="E23" s="30">
        <f t="shared" si="1"/>
        <v>-24000</v>
      </c>
    </row>
    <row r="24" spans="1:5" x14ac:dyDescent="0.2">
      <c r="A24" s="29">
        <v>24612</v>
      </c>
      <c r="B24" s="30">
        <f>VLOOKUP(A24,'Database Claims'!$A:$C,3,)</f>
        <v>230000</v>
      </c>
      <c r="C24" s="30">
        <f t="shared" si="0"/>
        <v>-1000</v>
      </c>
      <c r="D24" s="30">
        <f>VLOOKUP(A24,'Database Claims'!$A:$C,2,)</f>
        <v>1265000</v>
      </c>
      <c r="E24" s="30">
        <f t="shared" si="1"/>
        <v>-19000</v>
      </c>
    </row>
    <row r="25" spans="1:5" x14ac:dyDescent="0.2">
      <c r="A25" s="29">
        <v>24619</v>
      </c>
      <c r="B25" s="26">
        <f>VLOOKUP(A25,'Database Claims'!$A:$C,3,)</f>
        <v>228000</v>
      </c>
      <c r="C25" s="30">
        <f t="shared" si="0"/>
        <v>-2000</v>
      </c>
      <c r="D25" s="26">
        <f>VLOOKUP(A25,'Database Claims'!$A:$C,2,)</f>
        <v>1253000</v>
      </c>
      <c r="E25" s="30">
        <f t="shared" si="1"/>
        <v>-12000</v>
      </c>
    </row>
    <row r="26" spans="1:5" x14ac:dyDescent="0.2">
      <c r="A26" s="29">
        <v>24626</v>
      </c>
      <c r="B26" s="30">
        <f>VLOOKUP(A26,'Database Claims'!$A:$C,3,)</f>
        <v>248000</v>
      </c>
      <c r="C26" s="30">
        <f t="shared" si="0"/>
        <v>20000</v>
      </c>
      <c r="D26" s="30">
        <f>VLOOKUP(A26,'Database Claims'!$A:$C,2,)</f>
        <v>1265000</v>
      </c>
      <c r="E26" s="30">
        <f t="shared" si="1"/>
        <v>12000</v>
      </c>
    </row>
    <row r="27" spans="1:5" x14ac:dyDescent="0.2">
      <c r="A27" s="29">
        <v>24633</v>
      </c>
      <c r="B27" s="26">
        <f>VLOOKUP(A27,'Database Claims'!$A:$C,3,)</f>
        <v>238000</v>
      </c>
      <c r="C27" s="30">
        <f t="shared" si="0"/>
        <v>-10000</v>
      </c>
      <c r="D27" s="26">
        <f>VLOOKUP(A27,'Database Claims'!$A:$C,2,)</f>
        <v>1251000</v>
      </c>
      <c r="E27" s="30">
        <f t="shared" si="1"/>
        <v>-14000</v>
      </c>
    </row>
    <row r="28" spans="1:5" x14ac:dyDescent="0.2">
      <c r="A28" s="29">
        <v>24640</v>
      </c>
      <c r="B28" s="30">
        <f>VLOOKUP(A28,'Database Claims'!$A:$C,3,)</f>
        <v>224000</v>
      </c>
      <c r="C28" s="30">
        <f t="shared" si="0"/>
        <v>-14000</v>
      </c>
      <c r="D28" s="30">
        <f>VLOOKUP(A28,'Database Claims'!$A:$C,2,)</f>
        <v>1248000</v>
      </c>
      <c r="E28" s="30">
        <f t="shared" si="1"/>
        <v>-3000</v>
      </c>
    </row>
    <row r="29" spans="1:5" x14ac:dyDescent="0.2">
      <c r="A29" s="29">
        <v>24647</v>
      </c>
      <c r="B29" s="26">
        <f>VLOOKUP(A29,'Database Claims'!$A:$C,3,)</f>
        <v>218000</v>
      </c>
      <c r="C29" s="30">
        <f t="shared" si="0"/>
        <v>-6000</v>
      </c>
      <c r="D29" s="26">
        <f>VLOOKUP(A29,'Database Claims'!$A:$C,2,)</f>
        <v>1220000</v>
      </c>
      <c r="E29" s="30">
        <f t="shared" si="1"/>
        <v>-28000</v>
      </c>
    </row>
    <row r="30" spans="1:5" x14ac:dyDescent="0.2">
      <c r="A30" s="29">
        <v>24654</v>
      </c>
      <c r="B30" s="30">
        <f>VLOOKUP(A30,'Database Claims'!$A:$C,3,)</f>
        <v>209000</v>
      </c>
      <c r="C30" s="30">
        <f t="shared" si="0"/>
        <v>-9000</v>
      </c>
      <c r="D30" s="30">
        <f>VLOOKUP(A30,'Database Claims'!$A:$C,2,)</f>
        <v>1193000</v>
      </c>
      <c r="E30" s="30">
        <f t="shared" si="1"/>
        <v>-27000</v>
      </c>
    </row>
    <row r="31" spans="1:5" x14ac:dyDescent="0.2">
      <c r="A31" s="29">
        <v>24661</v>
      </c>
      <c r="B31" s="26">
        <f>VLOOKUP(A31,'Database Claims'!$A:$C,3,)</f>
        <v>240000</v>
      </c>
      <c r="C31" s="30">
        <f t="shared" si="0"/>
        <v>31000</v>
      </c>
      <c r="D31" s="26">
        <f>VLOOKUP(A31,'Database Claims'!$A:$C,2,)</f>
        <v>1248000</v>
      </c>
      <c r="E31" s="30">
        <f t="shared" si="1"/>
        <v>55000</v>
      </c>
    </row>
    <row r="32" spans="1:5" x14ac:dyDescent="0.2">
      <c r="A32" s="29">
        <v>24668</v>
      </c>
      <c r="B32" s="30">
        <f>VLOOKUP(A32,'Database Claims'!$A:$C,3,)</f>
        <v>241000</v>
      </c>
      <c r="C32" s="30">
        <f t="shared" si="0"/>
        <v>1000</v>
      </c>
      <c r="D32" s="30">
        <f>VLOOKUP(A32,'Database Claims'!$A:$C,2,)</f>
        <v>1258000</v>
      </c>
      <c r="E32" s="30">
        <f t="shared" si="1"/>
        <v>10000</v>
      </c>
    </row>
    <row r="33" spans="1:5" x14ac:dyDescent="0.2">
      <c r="A33" s="29">
        <v>24675</v>
      </c>
      <c r="B33" s="26">
        <f>VLOOKUP(A33,'Database Claims'!$A:$C,3,)</f>
        <v>240000</v>
      </c>
      <c r="C33" s="30">
        <f t="shared" si="0"/>
        <v>-1000</v>
      </c>
      <c r="D33" s="26">
        <f>VLOOKUP(A33,'Database Claims'!$A:$C,2,)</f>
        <v>1252000</v>
      </c>
      <c r="E33" s="30">
        <f t="shared" si="1"/>
        <v>-6000</v>
      </c>
    </row>
    <row r="34" spans="1:5" x14ac:dyDescent="0.2">
      <c r="A34" s="29">
        <v>24682</v>
      </c>
      <c r="B34" s="30">
        <f>VLOOKUP(A34,'Database Claims'!$A:$C,3,)</f>
        <v>209000</v>
      </c>
      <c r="C34" s="30">
        <f t="shared" si="0"/>
        <v>-31000</v>
      </c>
      <c r="D34" s="30">
        <f>VLOOKUP(A34,'Database Claims'!$A:$C,2,)</f>
        <v>1280000</v>
      </c>
      <c r="E34" s="30">
        <f t="shared" si="1"/>
        <v>28000</v>
      </c>
    </row>
    <row r="35" spans="1:5" x14ac:dyDescent="0.2">
      <c r="A35" s="29">
        <v>24689</v>
      </c>
      <c r="B35" s="26">
        <f>VLOOKUP(A35,'Database Claims'!$A:$C,3,)</f>
        <v>221000</v>
      </c>
      <c r="C35" s="30">
        <f t="shared" si="0"/>
        <v>12000</v>
      </c>
      <c r="D35" s="26">
        <f>VLOOKUP(A35,'Database Claims'!$A:$C,2,)</f>
        <v>1240000</v>
      </c>
      <c r="E35" s="30">
        <f t="shared" si="1"/>
        <v>-40000</v>
      </c>
    </row>
    <row r="36" spans="1:5" x14ac:dyDescent="0.2">
      <c r="A36" s="29">
        <v>24696</v>
      </c>
      <c r="B36" s="30">
        <f>VLOOKUP(A36,'Database Claims'!$A:$C,3,)</f>
        <v>202000</v>
      </c>
      <c r="C36" s="30">
        <f t="shared" si="0"/>
        <v>-19000</v>
      </c>
      <c r="D36" s="30">
        <f>VLOOKUP(A36,'Database Claims'!$A:$C,2,)</f>
        <v>1215000</v>
      </c>
      <c r="E36" s="30">
        <f t="shared" si="1"/>
        <v>-25000</v>
      </c>
    </row>
    <row r="37" spans="1:5" x14ac:dyDescent="0.2">
      <c r="A37" s="29">
        <v>24703</v>
      </c>
      <c r="B37" s="26">
        <f>VLOOKUP(A37,'Database Claims'!$A:$C,3,)</f>
        <v>215000</v>
      </c>
      <c r="C37" s="30">
        <f t="shared" si="0"/>
        <v>13000</v>
      </c>
      <c r="D37" s="26">
        <f>VLOOKUP(A37,'Database Claims'!$A:$C,2,)</f>
        <v>1202000</v>
      </c>
      <c r="E37" s="30">
        <f t="shared" si="1"/>
        <v>-13000</v>
      </c>
    </row>
    <row r="38" spans="1:5" x14ac:dyDescent="0.2">
      <c r="A38" s="29">
        <v>24710</v>
      </c>
      <c r="B38" s="30">
        <f>VLOOKUP(A38,'Database Claims'!$A:$C,3,)</f>
        <v>213000</v>
      </c>
      <c r="C38" s="30">
        <f t="shared" si="0"/>
        <v>-2000</v>
      </c>
      <c r="D38" s="30">
        <f>VLOOKUP(A38,'Database Claims'!$A:$C,2,)</f>
        <v>1180000</v>
      </c>
      <c r="E38" s="30">
        <f t="shared" si="1"/>
        <v>-22000</v>
      </c>
    </row>
    <row r="39" spans="1:5" x14ac:dyDescent="0.2">
      <c r="A39" s="29">
        <v>24717</v>
      </c>
      <c r="B39" s="26">
        <f>VLOOKUP(A39,'Database Claims'!$A:$C,3,)</f>
        <v>218000</v>
      </c>
      <c r="C39" s="30">
        <f t="shared" si="0"/>
        <v>5000</v>
      </c>
      <c r="D39" s="26">
        <f>VLOOKUP(A39,'Database Claims'!$A:$C,2,)</f>
        <v>1204000</v>
      </c>
      <c r="E39" s="30">
        <f t="shared" si="1"/>
        <v>24000</v>
      </c>
    </row>
    <row r="40" spans="1:5" x14ac:dyDescent="0.2">
      <c r="A40" s="29">
        <v>24724</v>
      </c>
      <c r="B40" s="30">
        <f>VLOOKUP(A40,'Database Claims'!$A:$C,3,)</f>
        <v>231000</v>
      </c>
      <c r="C40" s="30">
        <f t="shared" si="0"/>
        <v>13000</v>
      </c>
      <c r="D40" s="30">
        <f>VLOOKUP(A40,'Database Claims'!$A:$C,2,)</f>
        <v>1189000</v>
      </c>
      <c r="E40" s="30">
        <f t="shared" si="1"/>
        <v>-15000</v>
      </c>
    </row>
    <row r="41" spans="1:5" x14ac:dyDescent="0.2">
      <c r="A41" s="29">
        <v>24731</v>
      </c>
      <c r="B41" s="26">
        <f>VLOOKUP(A41,'Database Claims'!$A:$C,3,)</f>
        <v>220000</v>
      </c>
      <c r="C41" s="30">
        <f t="shared" si="0"/>
        <v>-11000</v>
      </c>
      <c r="D41" s="26">
        <f>VLOOKUP(A41,'Database Claims'!$A:$C,2,)</f>
        <v>1179000</v>
      </c>
      <c r="E41" s="30">
        <f t="shared" si="1"/>
        <v>-10000</v>
      </c>
    </row>
    <row r="42" spans="1:5" x14ac:dyDescent="0.2">
      <c r="A42" s="29">
        <v>24738</v>
      </c>
      <c r="B42" s="30">
        <f>VLOOKUP(A42,'Database Claims'!$A:$C,3,)</f>
        <v>209000</v>
      </c>
      <c r="C42" s="30">
        <f t="shared" si="0"/>
        <v>-11000</v>
      </c>
      <c r="D42" s="30">
        <f>VLOOKUP(A42,'Database Claims'!$A:$C,2,)</f>
        <v>1178000</v>
      </c>
      <c r="E42" s="30">
        <f t="shared" si="1"/>
        <v>-1000</v>
      </c>
    </row>
    <row r="43" spans="1:5" x14ac:dyDescent="0.2">
      <c r="A43" s="29">
        <v>24745</v>
      </c>
      <c r="B43" s="26">
        <f>VLOOKUP(A43,'Database Claims'!$A:$C,3,)</f>
        <v>204000</v>
      </c>
      <c r="C43" s="30">
        <f t="shared" si="0"/>
        <v>-5000</v>
      </c>
      <c r="D43" s="26">
        <f>VLOOKUP(A43,'Database Claims'!$A:$C,2,)</f>
        <v>1157000</v>
      </c>
      <c r="E43" s="30">
        <f t="shared" si="1"/>
        <v>-21000</v>
      </c>
    </row>
    <row r="44" spans="1:5" x14ac:dyDescent="0.2">
      <c r="A44" s="29">
        <v>24752</v>
      </c>
      <c r="B44" s="30">
        <f>VLOOKUP(A44,'Database Claims'!$A:$C,3,)</f>
        <v>231000</v>
      </c>
      <c r="C44" s="30">
        <f t="shared" si="0"/>
        <v>27000</v>
      </c>
      <c r="D44" s="30">
        <f>VLOOKUP(A44,'Database Claims'!$A:$C,2,)</f>
        <v>1165000</v>
      </c>
      <c r="E44" s="30">
        <f t="shared" si="1"/>
        <v>8000</v>
      </c>
    </row>
    <row r="45" spans="1:5" x14ac:dyDescent="0.2">
      <c r="A45" s="29">
        <v>24759</v>
      </c>
      <c r="B45" s="26">
        <f>VLOOKUP(A45,'Database Claims'!$A:$C,3,)</f>
        <v>206000</v>
      </c>
      <c r="C45" s="30">
        <f t="shared" si="0"/>
        <v>-25000</v>
      </c>
      <c r="D45" s="26">
        <f>VLOOKUP(A45,'Database Claims'!$A:$C,2,)</f>
        <v>1189000</v>
      </c>
      <c r="E45" s="30">
        <f t="shared" si="1"/>
        <v>24000</v>
      </c>
    </row>
    <row r="46" spans="1:5" x14ac:dyDescent="0.2">
      <c r="A46" s="29">
        <v>24766</v>
      </c>
      <c r="B46" s="30">
        <f>VLOOKUP(A46,'Database Claims'!$A:$C,3,)</f>
        <v>223000</v>
      </c>
      <c r="C46" s="30">
        <f t="shared" si="0"/>
        <v>17000</v>
      </c>
      <c r="D46" s="30">
        <f>VLOOKUP(A46,'Database Claims'!$A:$C,2,)</f>
        <v>1174000</v>
      </c>
      <c r="E46" s="30">
        <f t="shared" si="1"/>
        <v>-15000</v>
      </c>
    </row>
    <row r="47" spans="1:5" x14ac:dyDescent="0.2">
      <c r="A47" s="29">
        <v>24773</v>
      </c>
      <c r="B47" s="26">
        <f>VLOOKUP(A47,'Database Claims'!$A:$C,3,)</f>
        <v>207000</v>
      </c>
      <c r="C47" s="30">
        <f t="shared" si="0"/>
        <v>-16000</v>
      </c>
      <c r="D47" s="26">
        <f>VLOOKUP(A47,'Database Claims'!$A:$C,2,)</f>
        <v>1161000</v>
      </c>
      <c r="E47" s="30">
        <f t="shared" si="1"/>
        <v>-13000</v>
      </c>
    </row>
    <row r="48" spans="1:5" x14ac:dyDescent="0.2">
      <c r="A48" s="29">
        <v>24780</v>
      </c>
      <c r="B48" s="30">
        <f>VLOOKUP(A48,'Database Claims'!$A:$C,3,)</f>
        <v>222000</v>
      </c>
      <c r="C48" s="30">
        <f t="shared" si="0"/>
        <v>15000</v>
      </c>
      <c r="D48" s="30">
        <f>VLOOKUP(A48,'Database Claims'!$A:$C,2,)</f>
        <v>1176000</v>
      </c>
      <c r="E48" s="30">
        <f t="shared" si="1"/>
        <v>15000</v>
      </c>
    </row>
    <row r="49" spans="1:5" x14ac:dyDescent="0.2">
      <c r="A49" s="29">
        <v>24787</v>
      </c>
      <c r="B49" s="26">
        <f>VLOOKUP(A49,'Database Claims'!$A:$C,3,)</f>
        <v>214000</v>
      </c>
      <c r="C49" s="30">
        <f t="shared" si="0"/>
        <v>-8000</v>
      </c>
      <c r="D49" s="26">
        <f>VLOOKUP(A49,'Database Claims'!$A:$C,2,)</f>
        <v>1142000</v>
      </c>
      <c r="E49" s="30">
        <f t="shared" si="1"/>
        <v>-34000</v>
      </c>
    </row>
    <row r="50" spans="1:5" x14ac:dyDescent="0.2">
      <c r="A50" s="29">
        <v>24794</v>
      </c>
      <c r="B50" s="30">
        <f>VLOOKUP(A50,'Database Claims'!$A:$C,3,)</f>
        <v>198000</v>
      </c>
      <c r="C50" s="30">
        <f t="shared" si="0"/>
        <v>-16000</v>
      </c>
      <c r="D50" s="30">
        <f>VLOOKUP(A50,'Database Claims'!$A:$C,2,)</f>
        <v>1133000</v>
      </c>
      <c r="E50" s="30">
        <f t="shared" si="1"/>
        <v>-9000</v>
      </c>
    </row>
    <row r="51" spans="1:5" x14ac:dyDescent="0.2">
      <c r="A51" s="29">
        <v>24801</v>
      </c>
      <c r="B51" s="26">
        <f>VLOOKUP(A51,'Database Claims'!$A:$C,3,)</f>
        <v>191000</v>
      </c>
      <c r="C51" s="30">
        <f t="shared" si="0"/>
        <v>-7000</v>
      </c>
      <c r="D51" s="26">
        <f>VLOOKUP(A51,'Database Claims'!$A:$C,2,)</f>
        <v>1142000</v>
      </c>
      <c r="E51" s="30">
        <f t="shared" si="1"/>
        <v>9000</v>
      </c>
    </row>
    <row r="52" spans="1:5" x14ac:dyDescent="0.2">
      <c r="A52" s="29">
        <v>24808</v>
      </c>
      <c r="B52" s="30">
        <f>VLOOKUP(A52,'Database Claims'!$A:$C,3,)</f>
        <v>196000</v>
      </c>
      <c r="C52" s="30">
        <f t="shared" si="0"/>
        <v>5000</v>
      </c>
      <c r="D52" s="30">
        <f>VLOOKUP(A52,'Database Claims'!$A:$C,2,)</f>
        <v>1150000</v>
      </c>
      <c r="E52" s="30">
        <f t="shared" si="1"/>
        <v>8000</v>
      </c>
    </row>
    <row r="53" spans="1:5" x14ac:dyDescent="0.2">
      <c r="A53" s="29">
        <v>24815</v>
      </c>
      <c r="B53" s="26">
        <f>VLOOKUP(A53,'Database Claims'!$A:$C,3,)</f>
        <v>221000</v>
      </c>
      <c r="C53" s="30">
        <f t="shared" si="0"/>
        <v>25000</v>
      </c>
      <c r="D53" s="26">
        <f>VLOOKUP(A53,'Database Claims'!$A:$C,2,)</f>
        <v>1153000</v>
      </c>
      <c r="E53" s="30">
        <f t="shared" si="1"/>
        <v>3000</v>
      </c>
    </row>
    <row r="54" spans="1:5" x14ac:dyDescent="0.2">
      <c r="A54" s="29">
        <v>24822</v>
      </c>
      <c r="B54" s="30">
        <f>VLOOKUP(A54,'Database Claims'!$A:$C,3,)</f>
        <v>204000</v>
      </c>
      <c r="C54" s="30">
        <f t="shared" si="0"/>
        <v>-17000</v>
      </c>
      <c r="D54" s="30">
        <f>VLOOKUP(A54,'Database Claims'!$A:$C,2,)</f>
        <v>1188000</v>
      </c>
      <c r="E54" s="30">
        <f t="shared" si="1"/>
        <v>35000</v>
      </c>
    </row>
    <row r="55" spans="1:5" x14ac:dyDescent="0.2">
      <c r="A55" s="29">
        <v>24829</v>
      </c>
      <c r="B55" s="26">
        <f>VLOOKUP(A55,'Database Claims'!$A:$C,3,)</f>
        <v>219000</v>
      </c>
      <c r="C55" s="30">
        <f t="shared" si="0"/>
        <v>15000</v>
      </c>
      <c r="D55" s="26">
        <f>VLOOKUP(A55,'Database Claims'!$A:$C,2,)</f>
        <v>1195000</v>
      </c>
      <c r="E55" s="30">
        <f t="shared" si="1"/>
        <v>7000</v>
      </c>
    </row>
    <row r="56" spans="1:5" x14ac:dyDescent="0.2">
      <c r="A56" s="29">
        <v>24836</v>
      </c>
      <c r="B56" s="30">
        <f>VLOOKUP(A56,'Database Claims'!$A:$C,3,)</f>
        <v>216000</v>
      </c>
      <c r="C56" s="30">
        <f t="shared" si="0"/>
        <v>-3000</v>
      </c>
      <c r="D56" s="30">
        <f>VLOOKUP(A56,'Database Claims'!$A:$C,2,)</f>
        <v>1167000</v>
      </c>
      <c r="E56" s="30">
        <f t="shared" si="1"/>
        <v>-28000</v>
      </c>
    </row>
    <row r="57" spans="1:5" x14ac:dyDescent="0.2">
      <c r="A57" s="29">
        <v>24843</v>
      </c>
      <c r="B57" s="26">
        <f>VLOOKUP(A57,'Database Claims'!$A:$C,3,)</f>
        <v>222000</v>
      </c>
      <c r="C57" s="30">
        <f t="shared" si="0"/>
        <v>6000</v>
      </c>
      <c r="D57" s="26">
        <f>VLOOKUP(A57,'Database Claims'!$A:$C,2,)</f>
        <v>1158000</v>
      </c>
      <c r="E57" s="30">
        <f t="shared" si="1"/>
        <v>-9000</v>
      </c>
    </row>
    <row r="58" spans="1:5" x14ac:dyDescent="0.2">
      <c r="A58" s="29">
        <v>24850</v>
      </c>
      <c r="B58" s="30">
        <f>VLOOKUP(A58,'Database Claims'!$A:$C,3,)</f>
        <v>222000</v>
      </c>
      <c r="C58" s="30">
        <f t="shared" si="0"/>
        <v>0</v>
      </c>
      <c r="D58" s="30">
        <f>VLOOKUP(A58,'Database Claims'!$A:$C,2,)</f>
        <v>1187000</v>
      </c>
      <c r="E58" s="30">
        <f t="shared" si="1"/>
        <v>29000</v>
      </c>
    </row>
    <row r="59" spans="1:5" x14ac:dyDescent="0.2">
      <c r="A59" s="29">
        <v>24857</v>
      </c>
      <c r="B59" s="26">
        <f>VLOOKUP(A59,'Database Claims'!$A:$C,3,)</f>
        <v>221000</v>
      </c>
      <c r="C59" s="30">
        <f t="shared" si="0"/>
        <v>-1000</v>
      </c>
      <c r="D59" s="26">
        <f>VLOOKUP(A59,'Database Claims'!$A:$C,2,)</f>
        <v>1191000</v>
      </c>
      <c r="E59" s="30">
        <f t="shared" si="1"/>
        <v>4000</v>
      </c>
    </row>
    <row r="60" spans="1:5" x14ac:dyDescent="0.2">
      <c r="A60" s="29">
        <v>24864</v>
      </c>
      <c r="B60" s="30">
        <f>VLOOKUP(A60,'Database Claims'!$A:$C,3,)</f>
        <v>198000</v>
      </c>
      <c r="C60" s="30">
        <f t="shared" si="0"/>
        <v>-23000</v>
      </c>
      <c r="D60" s="30">
        <f>VLOOKUP(A60,'Database Claims'!$A:$C,2,)</f>
        <v>1157000</v>
      </c>
      <c r="E60" s="30">
        <f t="shared" si="1"/>
        <v>-34000</v>
      </c>
    </row>
    <row r="61" spans="1:5" x14ac:dyDescent="0.2">
      <c r="A61" s="29">
        <v>24871</v>
      </c>
      <c r="B61" s="26">
        <f>VLOOKUP(A61,'Database Claims'!$A:$C,3,)</f>
        <v>244000</v>
      </c>
      <c r="C61" s="30">
        <f t="shared" si="0"/>
        <v>46000</v>
      </c>
      <c r="D61" s="26">
        <f>VLOOKUP(A61,'Database Claims'!$A:$C,2,)</f>
        <v>1173000</v>
      </c>
      <c r="E61" s="30">
        <f t="shared" si="1"/>
        <v>16000</v>
      </c>
    </row>
    <row r="62" spans="1:5" x14ac:dyDescent="0.2">
      <c r="A62" s="29">
        <v>24878</v>
      </c>
      <c r="B62" s="30">
        <f>VLOOKUP(A62,'Database Claims'!$A:$C,3,)</f>
        <v>210000</v>
      </c>
      <c r="C62" s="30">
        <f t="shared" si="0"/>
        <v>-34000</v>
      </c>
      <c r="D62" s="30">
        <f>VLOOKUP(A62,'Database Claims'!$A:$C,2,)</f>
        <v>1175000</v>
      </c>
      <c r="E62" s="30">
        <f t="shared" si="1"/>
        <v>2000</v>
      </c>
    </row>
    <row r="63" spans="1:5" x14ac:dyDescent="0.2">
      <c r="A63" s="29">
        <v>24885</v>
      </c>
      <c r="B63" s="26">
        <f>VLOOKUP(A63,'Database Claims'!$A:$C,3,)</f>
        <v>196000</v>
      </c>
      <c r="C63" s="30">
        <f t="shared" si="0"/>
        <v>-14000</v>
      </c>
      <c r="D63" s="26">
        <f>VLOOKUP(A63,'Database Claims'!$A:$C,2,)</f>
        <v>1143000</v>
      </c>
      <c r="E63" s="30">
        <f t="shared" si="1"/>
        <v>-32000</v>
      </c>
    </row>
    <row r="64" spans="1:5" x14ac:dyDescent="0.2">
      <c r="A64" s="29">
        <v>24892</v>
      </c>
      <c r="B64" s="30">
        <f>VLOOKUP(A64,'Database Claims'!$A:$C,3,)</f>
        <v>193000</v>
      </c>
      <c r="C64" s="30">
        <f t="shared" si="0"/>
        <v>-3000</v>
      </c>
      <c r="D64" s="30">
        <f>VLOOKUP(A64,'Database Claims'!$A:$C,2,)</f>
        <v>1165000</v>
      </c>
      <c r="E64" s="30">
        <f t="shared" si="1"/>
        <v>22000</v>
      </c>
    </row>
    <row r="65" spans="1:5" x14ac:dyDescent="0.2">
      <c r="A65" s="29">
        <v>24899</v>
      </c>
      <c r="B65" s="26">
        <f>VLOOKUP(A65,'Database Claims'!$A:$C,3,)</f>
        <v>190000</v>
      </c>
      <c r="C65" s="30">
        <f t="shared" si="0"/>
        <v>-3000</v>
      </c>
      <c r="D65" s="26">
        <f>VLOOKUP(A65,'Database Claims'!$A:$C,2,)</f>
        <v>1151000</v>
      </c>
      <c r="E65" s="30">
        <f t="shared" si="1"/>
        <v>-14000</v>
      </c>
    </row>
    <row r="66" spans="1:5" x14ac:dyDescent="0.2">
      <c r="A66" s="29">
        <v>24906</v>
      </c>
      <c r="B66" s="30">
        <f>VLOOKUP(A66,'Database Claims'!$A:$C,3,)</f>
        <v>204000</v>
      </c>
      <c r="C66" s="30">
        <f t="shared" si="0"/>
        <v>14000</v>
      </c>
      <c r="D66" s="30">
        <f>VLOOKUP(A66,'Database Claims'!$A:$C,2,)</f>
        <v>1147000</v>
      </c>
      <c r="E66" s="30">
        <f t="shared" si="1"/>
        <v>-4000</v>
      </c>
    </row>
    <row r="67" spans="1:5" x14ac:dyDescent="0.2">
      <c r="A67" s="29">
        <v>24913</v>
      </c>
      <c r="B67" s="26">
        <f>VLOOKUP(A67,'Database Claims'!$A:$C,3,)</f>
        <v>190000</v>
      </c>
      <c r="C67" s="30">
        <f t="shared" si="0"/>
        <v>-14000</v>
      </c>
      <c r="D67" s="26">
        <f>VLOOKUP(A67,'Database Claims'!$A:$C,2,)</f>
        <v>1143000</v>
      </c>
      <c r="E67" s="30">
        <f t="shared" si="1"/>
        <v>-4000</v>
      </c>
    </row>
    <row r="68" spans="1:5" x14ac:dyDescent="0.2">
      <c r="A68" s="29">
        <v>24920</v>
      </c>
      <c r="B68" s="30">
        <f>VLOOKUP(A68,'Database Claims'!$A:$C,3,)</f>
        <v>200000</v>
      </c>
      <c r="C68" s="30">
        <f t="shared" si="0"/>
        <v>10000</v>
      </c>
      <c r="D68" s="30">
        <f>VLOOKUP(A68,'Database Claims'!$A:$C,2,)</f>
        <v>1136000</v>
      </c>
      <c r="E68" s="30">
        <f t="shared" si="1"/>
        <v>-7000</v>
      </c>
    </row>
    <row r="69" spans="1:5" x14ac:dyDescent="0.2">
      <c r="A69" s="29">
        <v>24927</v>
      </c>
      <c r="B69" s="26">
        <f>VLOOKUP(A69,'Database Claims'!$A:$C,3,)</f>
        <v>192000</v>
      </c>
      <c r="C69" s="30">
        <f t="shared" si="0"/>
        <v>-8000</v>
      </c>
      <c r="D69" s="26">
        <f>VLOOKUP(A69,'Database Claims'!$A:$C,2,)</f>
        <v>1119000</v>
      </c>
      <c r="E69" s="30">
        <f t="shared" si="1"/>
        <v>-17000</v>
      </c>
    </row>
    <row r="70" spans="1:5" x14ac:dyDescent="0.2">
      <c r="A70" s="29">
        <v>24934</v>
      </c>
      <c r="B70" s="30">
        <f>VLOOKUP(A70,'Database Claims'!$A:$C,3,)</f>
        <v>191000</v>
      </c>
      <c r="C70" s="30">
        <f t="shared" ref="C70:C133" si="2">B70-B69</f>
        <v>-1000</v>
      </c>
      <c r="D70" s="30">
        <f>VLOOKUP(A70,'Database Claims'!$A:$C,2,)</f>
        <v>1079000</v>
      </c>
      <c r="E70" s="30">
        <f t="shared" ref="E70:E133" si="3">D70-D69</f>
        <v>-40000</v>
      </c>
    </row>
    <row r="71" spans="1:5" x14ac:dyDescent="0.2">
      <c r="A71" s="29">
        <v>24941</v>
      </c>
      <c r="B71" s="26">
        <f>VLOOKUP(A71,'Database Claims'!$A:$C,3,)</f>
        <v>171000</v>
      </c>
      <c r="C71" s="30">
        <f t="shared" si="2"/>
        <v>-20000</v>
      </c>
      <c r="D71" s="26">
        <f>VLOOKUP(A71,'Database Claims'!$A:$C,2,)</f>
        <v>1079000</v>
      </c>
      <c r="E71" s="30">
        <f t="shared" si="3"/>
        <v>0</v>
      </c>
    </row>
    <row r="72" spans="1:5" x14ac:dyDescent="0.2">
      <c r="A72" s="29">
        <v>24948</v>
      </c>
      <c r="B72" s="30">
        <f>VLOOKUP(A72,'Database Claims'!$A:$C,3,)</f>
        <v>183000</v>
      </c>
      <c r="C72" s="30">
        <f t="shared" si="2"/>
        <v>12000</v>
      </c>
      <c r="D72" s="30">
        <f>VLOOKUP(A72,'Database Claims'!$A:$C,2,)</f>
        <v>1059000</v>
      </c>
      <c r="E72" s="30">
        <f t="shared" si="3"/>
        <v>-20000</v>
      </c>
    </row>
    <row r="73" spans="1:5" x14ac:dyDescent="0.2">
      <c r="A73" s="29">
        <v>24955</v>
      </c>
      <c r="B73" s="26">
        <f>VLOOKUP(A73,'Database Claims'!$A:$C,3,)</f>
        <v>251000</v>
      </c>
      <c r="C73" s="30">
        <f t="shared" si="2"/>
        <v>68000</v>
      </c>
      <c r="D73" s="26">
        <f>VLOOKUP(A73,'Database Claims'!$A:$C,2,)</f>
        <v>1087000</v>
      </c>
      <c r="E73" s="30">
        <f t="shared" si="3"/>
        <v>28000</v>
      </c>
    </row>
    <row r="74" spans="1:5" x14ac:dyDescent="0.2">
      <c r="A74" s="29">
        <v>24962</v>
      </c>
      <c r="B74" s="30">
        <f>VLOOKUP(A74,'Database Claims'!$A:$C,3,)</f>
        <v>209000</v>
      </c>
      <c r="C74" s="30">
        <f t="shared" si="2"/>
        <v>-42000</v>
      </c>
      <c r="D74" s="30">
        <f>VLOOKUP(A74,'Database Claims'!$A:$C,2,)</f>
        <v>1079000</v>
      </c>
      <c r="E74" s="30">
        <f t="shared" si="3"/>
        <v>-8000</v>
      </c>
    </row>
    <row r="75" spans="1:5" x14ac:dyDescent="0.2">
      <c r="A75" s="29">
        <v>24969</v>
      </c>
      <c r="B75" s="26">
        <f>VLOOKUP(A75,'Database Claims'!$A:$C,3,)</f>
        <v>194000</v>
      </c>
      <c r="C75" s="30">
        <f t="shared" si="2"/>
        <v>-15000</v>
      </c>
      <c r="D75" s="26">
        <f>VLOOKUP(A75,'Database Claims'!$A:$C,2,)</f>
        <v>1091000</v>
      </c>
      <c r="E75" s="30">
        <f t="shared" si="3"/>
        <v>12000</v>
      </c>
    </row>
    <row r="76" spans="1:5" x14ac:dyDescent="0.2">
      <c r="A76" s="29">
        <v>24976</v>
      </c>
      <c r="B76" s="30">
        <f>VLOOKUP(A76,'Database Claims'!$A:$C,3,)</f>
        <v>199000</v>
      </c>
      <c r="C76" s="30">
        <f t="shared" si="2"/>
        <v>5000</v>
      </c>
      <c r="D76" s="30">
        <f>VLOOKUP(A76,'Database Claims'!$A:$C,2,)</f>
        <v>1071000</v>
      </c>
      <c r="E76" s="30">
        <f t="shared" si="3"/>
        <v>-20000</v>
      </c>
    </row>
    <row r="77" spans="1:5" x14ac:dyDescent="0.2">
      <c r="A77" s="29">
        <v>24983</v>
      </c>
      <c r="B77" s="26">
        <f>VLOOKUP(A77,'Database Claims'!$A:$C,3,)</f>
        <v>194000</v>
      </c>
      <c r="C77" s="30">
        <f t="shared" si="2"/>
        <v>-5000</v>
      </c>
      <c r="D77" s="26">
        <f>VLOOKUP(A77,'Database Claims'!$A:$C,2,)</f>
        <v>1073000</v>
      </c>
      <c r="E77" s="30">
        <f t="shared" si="3"/>
        <v>2000</v>
      </c>
    </row>
    <row r="78" spans="1:5" x14ac:dyDescent="0.2">
      <c r="A78" s="29">
        <v>24990</v>
      </c>
      <c r="B78" s="30">
        <f>VLOOKUP(A78,'Database Claims'!$A:$C,3,)</f>
        <v>199000</v>
      </c>
      <c r="C78" s="30">
        <f t="shared" si="2"/>
        <v>5000</v>
      </c>
      <c r="D78" s="30">
        <f>VLOOKUP(A78,'Database Claims'!$A:$C,2,)</f>
        <v>1063000</v>
      </c>
      <c r="E78" s="30">
        <f t="shared" si="3"/>
        <v>-10000</v>
      </c>
    </row>
    <row r="79" spans="1:5" x14ac:dyDescent="0.2">
      <c r="A79" s="29">
        <v>24997</v>
      </c>
      <c r="B79" s="26">
        <f>VLOOKUP(A79,'Database Claims'!$A:$C,3,)</f>
        <v>192000</v>
      </c>
      <c r="C79" s="30">
        <f t="shared" si="2"/>
        <v>-7000</v>
      </c>
      <c r="D79" s="26">
        <f>VLOOKUP(A79,'Database Claims'!$A:$C,2,)</f>
        <v>1097000</v>
      </c>
      <c r="E79" s="30">
        <f t="shared" si="3"/>
        <v>34000</v>
      </c>
    </row>
    <row r="80" spans="1:5" x14ac:dyDescent="0.2">
      <c r="A80" s="29">
        <v>25004</v>
      </c>
      <c r="B80" s="30">
        <f>VLOOKUP(A80,'Database Claims'!$A:$C,3,)</f>
        <v>194000</v>
      </c>
      <c r="C80" s="30">
        <f t="shared" si="2"/>
        <v>2000</v>
      </c>
      <c r="D80" s="30">
        <f>VLOOKUP(A80,'Database Claims'!$A:$C,2,)</f>
        <v>1071000</v>
      </c>
      <c r="E80" s="30">
        <f t="shared" si="3"/>
        <v>-26000</v>
      </c>
    </row>
    <row r="81" spans="1:5" x14ac:dyDescent="0.2">
      <c r="A81" s="29">
        <v>25011</v>
      </c>
      <c r="B81" s="26">
        <f>VLOOKUP(A81,'Database Claims'!$A:$C,3,)</f>
        <v>189000</v>
      </c>
      <c r="C81" s="30">
        <f t="shared" si="2"/>
        <v>-5000</v>
      </c>
      <c r="D81" s="26">
        <f>VLOOKUP(A81,'Database Claims'!$A:$C,2,)</f>
        <v>1060000</v>
      </c>
      <c r="E81" s="30">
        <f t="shared" si="3"/>
        <v>-11000</v>
      </c>
    </row>
    <row r="82" spans="1:5" x14ac:dyDescent="0.2">
      <c r="A82" s="29">
        <v>25018</v>
      </c>
      <c r="B82" s="30">
        <f>VLOOKUP(A82,'Database Claims'!$A:$C,3,)</f>
        <v>194000</v>
      </c>
      <c r="C82" s="30">
        <f t="shared" si="2"/>
        <v>5000</v>
      </c>
      <c r="D82" s="30">
        <f>VLOOKUP(A82,'Database Claims'!$A:$C,2,)</f>
        <v>1038000</v>
      </c>
      <c r="E82" s="30">
        <f t="shared" si="3"/>
        <v>-22000</v>
      </c>
    </row>
    <row r="83" spans="1:5" x14ac:dyDescent="0.2">
      <c r="A83" s="29">
        <v>25025</v>
      </c>
      <c r="B83" s="26">
        <f>VLOOKUP(A83,'Database Claims'!$A:$C,3,)</f>
        <v>214000</v>
      </c>
      <c r="C83" s="30">
        <f t="shared" si="2"/>
        <v>20000</v>
      </c>
      <c r="D83" s="26">
        <f>VLOOKUP(A83,'Database Claims'!$A:$C,2,)</f>
        <v>1097000</v>
      </c>
      <c r="E83" s="30">
        <f t="shared" si="3"/>
        <v>59000</v>
      </c>
    </row>
    <row r="84" spans="1:5" x14ac:dyDescent="0.2">
      <c r="A84" s="29">
        <v>25032</v>
      </c>
      <c r="B84" s="30">
        <f>VLOOKUP(A84,'Database Claims'!$A:$C,3,)</f>
        <v>186000</v>
      </c>
      <c r="C84" s="30">
        <f t="shared" si="2"/>
        <v>-28000</v>
      </c>
      <c r="D84" s="30">
        <f>VLOOKUP(A84,'Database Claims'!$A:$C,2,)</f>
        <v>1076000</v>
      </c>
      <c r="E84" s="30">
        <f t="shared" si="3"/>
        <v>-21000</v>
      </c>
    </row>
    <row r="85" spans="1:5" x14ac:dyDescent="0.2">
      <c r="A85" s="29">
        <v>25039</v>
      </c>
      <c r="B85" s="26">
        <f>VLOOKUP(A85,'Database Claims'!$A:$C,3,)</f>
        <v>180000</v>
      </c>
      <c r="C85" s="30">
        <f t="shared" si="2"/>
        <v>-6000</v>
      </c>
      <c r="D85" s="26">
        <f>VLOOKUP(A85,'Database Claims'!$A:$C,2,)</f>
        <v>1033000</v>
      </c>
      <c r="E85" s="30">
        <f t="shared" si="3"/>
        <v>-43000</v>
      </c>
    </row>
    <row r="86" spans="1:5" x14ac:dyDescent="0.2">
      <c r="A86" s="29">
        <v>25046</v>
      </c>
      <c r="B86" s="30">
        <f>VLOOKUP(A86,'Database Claims'!$A:$C,3,)</f>
        <v>205000</v>
      </c>
      <c r="C86" s="30">
        <f t="shared" si="2"/>
        <v>25000</v>
      </c>
      <c r="D86" s="30">
        <f>VLOOKUP(A86,'Database Claims'!$A:$C,2,)</f>
        <v>1036000</v>
      </c>
      <c r="E86" s="30">
        <f t="shared" si="3"/>
        <v>3000</v>
      </c>
    </row>
    <row r="87" spans="1:5" x14ac:dyDescent="0.2">
      <c r="A87" s="29">
        <v>25053</v>
      </c>
      <c r="B87" s="26">
        <f>VLOOKUP(A87,'Database Claims'!$A:$C,3,)</f>
        <v>206000</v>
      </c>
      <c r="C87" s="30">
        <f t="shared" si="2"/>
        <v>1000</v>
      </c>
      <c r="D87" s="26">
        <f>VLOOKUP(A87,'Database Claims'!$A:$C,2,)</f>
        <v>1072000</v>
      </c>
      <c r="E87" s="30">
        <f t="shared" si="3"/>
        <v>36000</v>
      </c>
    </row>
    <row r="88" spans="1:5" x14ac:dyDescent="0.2">
      <c r="A88" s="29">
        <v>25060</v>
      </c>
      <c r="B88" s="30">
        <f>VLOOKUP(A88,'Database Claims'!$A:$C,3,)</f>
        <v>218000</v>
      </c>
      <c r="C88" s="30">
        <f t="shared" si="2"/>
        <v>12000</v>
      </c>
      <c r="D88" s="30">
        <f>VLOOKUP(A88,'Database Claims'!$A:$C,2,)</f>
        <v>1088000</v>
      </c>
      <c r="E88" s="30">
        <f t="shared" si="3"/>
        <v>16000</v>
      </c>
    </row>
    <row r="89" spans="1:5" x14ac:dyDescent="0.2">
      <c r="A89" s="29">
        <v>25067</v>
      </c>
      <c r="B89" s="26">
        <f>VLOOKUP(A89,'Database Claims'!$A:$C,3,)</f>
        <v>192000</v>
      </c>
      <c r="C89" s="30">
        <f t="shared" si="2"/>
        <v>-26000</v>
      </c>
      <c r="D89" s="26">
        <f>VLOOKUP(A89,'Database Claims'!$A:$C,2,)</f>
        <v>1107000</v>
      </c>
      <c r="E89" s="30">
        <f t="shared" si="3"/>
        <v>19000</v>
      </c>
    </row>
    <row r="90" spans="1:5" x14ac:dyDescent="0.2">
      <c r="A90" s="29">
        <v>25074</v>
      </c>
      <c r="B90" s="30">
        <f>VLOOKUP(A90,'Database Claims'!$A:$C,3,)</f>
        <v>193000</v>
      </c>
      <c r="C90" s="30">
        <f t="shared" si="2"/>
        <v>1000</v>
      </c>
      <c r="D90" s="30">
        <f>VLOOKUP(A90,'Database Claims'!$A:$C,2,)</f>
        <v>1094000</v>
      </c>
      <c r="E90" s="30">
        <f t="shared" si="3"/>
        <v>-13000</v>
      </c>
    </row>
    <row r="91" spans="1:5" x14ac:dyDescent="0.2">
      <c r="A91" s="29">
        <v>25081</v>
      </c>
      <c r="B91" s="26">
        <f>VLOOKUP(A91,'Database Claims'!$A:$C,3,)</f>
        <v>188000</v>
      </c>
      <c r="C91" s="30">
        <f t="shared" si="2"/>
        <v>-5000</v>
      </c>
      <c r="D91" s="26">
        <f>VLOOKUP(A91,'Database Claims'!$A:$C,2,)</f>
        <v>1064000</v>
      </c>
      <c r="E91" s="30">
        <f t="shared" si="3"/>
        <v>-30000</v>
      </c>
    </row>
    <row r="92" spans="1:5" x14ac:dyDescent="0.2">
      <c r="A92" s="29">
        <v>25088</v>
      </c>
      <c r="B92" s="30">
        <f>VLOOKUP(A92,'Database Claims'!$A:$C,3,)</f>
        <v>189000</v>
      </c>
      <c r="C92" s="30">
        <f t="shared" si="2"/>
        <v>1000</v>
      </c>
      <c r="D92" s="30">
        <f>VLOOKUP(A92,'Database Claims'!$A:$C,2,)</f>
        <v>1067000</v>
      </c>
      <c r="E92" s="30">
        <f t="shared" si="3"/>
        <v>3000</v>
      </c>
    </row>
    <row r="93" spans="1:5" x14ac:dyDescent="0.2">
      <c r="A93" s="29">
        <v>25095</v>
      </c>
      <c r="B93" s="26">
        <f>VLOOKUP(A93,'Database Claims'!$A:$C,3,)</f>
        <v>195000</v>
      </c>
      <c r="C93" s="30">
        <f t="shared" si="2"/>
        <v>6000</v>
      </c>
      <c r="D93" s="26">
        <f>VLOOKUP(A93,'Database Claims'!$A:$C,2,)</f>
        <v>1044000</v>
      </c>
      <c r="E93" s="30">
        <f t="shared" si="3"/>
        <v>-23000</v>
      </c>
    </row>
    <row r="94" spans="1:5" x14ac:dyDescent="0.2">
      <c r="A94" s="29">
        <v>25102</v>
      </c>
      <c r="B94" s="30">
        <f>VLOOKUP(A94,'Database Claims'!$A:$C,3,)</f>
        <v>191000</v>
      </c>
      <c r="C94" s="30">
        <f t="shared" si="2"/>
        <v>-4000</v>
      </c>
      <c r="D94" s="30">
        <f>VLOOKUP(A94,'Database Claims'!$A:$C,2,)</f>
        <v>1047000</v>
      </c>
      <c r="E94" s="30">
        <f t="shared" si="3"/>
        <v>3000</v>
      </c>
    </row>
    <row r="95" spans="1:5" x14ac:dyDescent="0.2">
      <c r="A95" s="29">
        <v>25109</v>
      </c>
      <c r="B95" s="26">
        <f>VLOOKUP(A95,'Database Claims'!$A:$C,3,)</f>
        <v>189000</v>
      </c>
      <c r="C95" s="30">
        <f t="shared" si="2"/>
        <v>-2000</v>
      </c>
      <c r="D95" s="26">
        <f>VLOOKUP(A95,'Database Claims'!$A:$C,2,)</f>
        <v>1048000</v>
      </c>
      <c r="E95" s="30">
        <f t="shared" si="3"/>
        <v>1000</v>
      </c>
    </row>
    <row r="96" spans="1:5" x14ac:dyDescent="0.2">
      <c r="A96" s="29">
        <v>25116</v>
      </c>
      <c r="B96" s="30">
        <f>VLOOKUP(A96,'Database Claims'!$A:$C,3,)</f>
        <v>185000</v>
      </c>
      <c r="C96" s="30">
        <f t="shared" si="2"/>
        <v>-4000</v>
      </c>
      <c r="D96" s="30">
        <f>VLOOKUP(A96,'Database Claims'!$A:$C,2,)</f>
        <v>1060000</v>
      </c>
      <c r="E96" s="30">
        <f t="shared" si="3"/>
        <v>12000</v>
      </c>
    </row>
    <row r="97" spans="1:5" x14ac:dyDescent="0.2">
      <c r="A97" s="29">
        <v>25123</v>
      </c>
      <c r="B97" s="26">
        <f>VLOOKUP(A97,'Database Claims'!$A:$C,3,)</f>
        <v>186000</v>
      </c>
      <c r="C97" s="30">
        <f t="shared" si="2"/>
        <v>1000</v>
      </c>
      <c r="D97" s="26">
        <f>VLOOKUP(A97,'Database Claims'!$A:$C,2,)</f>
        <v>1045000</v>
      </c>
      <c r="E97" s="30">
        <f t="shared" si="3"/>
        <v>-15000</v>
      </c>
    </row>
    <row r="98" spans="1:5" x14ac:dyDescent="0.2">
      <c r="A98" s="29">
        <v>25130</v>
      </c>
      <c r="B98" s="30">
        <f>VLOOKUP(A98,'Database Claims'!$A:$C,3,)</f>
        <v>191000</v>
      </c>
      <c r="C98" s="30">
        <f t="shared" si="2"/>
        <v>5000</v>
      </c>
      <c r="D98" s="30">
        <f>VLOOKUP(A98,'Database Claims'!$A:$C,2,)</f>
        <v>1035000</v>
      </c>
      <c r="E98" s="30">
        <f t="shared" si="3"/>
        <v>-10000</v>
      </c>
    </row>
    <row r="99" spans="1:5" x14ac:dyDescent="0.2">
      <c r="A99" s="29">
        <v>25137</v>
      </c>
      <c r="B99" s="26">
        <f>VLOOKUP(A99,'Database Claims'!$A:$C,3,)</f>
        <v>182000</v>
      </c>
      <c r="C99" s="30">
        <f t="shared" si="2"/>
        <v>-9000</v>
      </c>
      <c r="D99" s="26">
        <f>VLOOKUP(A99,'Database Claims'!$A:$C,2,)</f>
        <v>1033000</v>
      </c>
      <c r="E99" s="30">
        <f t="shared" si="3"/>
        <v>-2000</v>
      </c>
    </row>
    <row r="100" spans="1:5" x14ac:dyDescent="0.2">
      <c r="A100" s="29">
        <v>25144</v>
      </c>
      <c r="B100" s="30">
        <f>VLOOKUP(A100,'Database Claims'!$A:$C,3,)</f>
        <v>181000</v>
      </c>
      <c r="C100" s="30">
        <f t="shared" si="2"/>
        <v>-1000</v>
      </c>
      <c r="D100" s="30">
        <f>VLOOKUP(A100,'Database Claims'!$A:$C,2,)</f>
        <v>1028000</v>
      </c>
      <c r="E100" s="30">
        <f t="shared" si="3"/>
        <v>-5000</v>
      </c>
    </row>
    <row r="101" spans="1:5" x14ac:dyDescent="0.2">
      <c r="A101" s="29">
        <v>25151</v>
      </c>
      <c r="B101" s="26">
        <f>VLOOKUP(A101,'Database Claims'!$A:$C,3,)</f>
        <v>183000</v>
      </c>
      <c r="C101" s="30">
        <f t="shared" si="2"/>
        <v>2000</v>
      </c>
      <c r="D101" s="26">
        <f>VLOOKUP(A101,'Database Claims'!$A:$C,2,)</f>
        <v>1028000</v>
      </c>
      <c r="E101" s="30">
        <f t="shared" si="3"/>
        <v>0</v>
      </c>
    </row>
    <row r="102" spans="1:5" x14ac:dyDescent="0.2">
      <c r="A102" s="29">
        <v>25158</v>
      </c>
      <c r="B102" s="30">
        <f>VLOOKUP(A102,'Database Claims'!$A:$C,3,)</f>
        <v>192000</v>
      </c>
      <c r="C102" s="30">
        <f t="shared" si="2"/>
        <v>9000</v>
      </c>
      <c r="D102" s="30">
        <f>VLOOKUP(A102,'Database Claims'!$A:$C,2,)</f>
        <v>1076000</v>
      </c>
      <c r="E102" s="30">
        <f t="shared" si="3"/>
        <v>48000</v>
      </c>
    </row>
    <row r="103" spans="1:5" x14ac:dyDescent="0.2">
      <c r="A103" s="29">
        <v>25165</v>
      </c>
      <c r="B103" s="26">
        <f>VLOOKUP(A103,'Database Claims'!$A:$C,3,)</f>
        <v>199000</v>
      </c>
      <c r="C103" s="30">
        <f t="shared" si="2"/>
        <v>7000</v>
      </c>
      <c r="D103" s="26">
        <f>VLOOKUP(A103,'Database Claims'!$A:$C,2,)</f>
        <v>1023000</v>
      </c>
      <c r="E103" s="30">
        <f t="shared" si="3"/>
        <v>-53000</v>
      </c>
    </row>
    <row r="104" spans="1:5" x14ac:dyDescent="0.2">
      <c r="A104" s="29">
        <v>25172</v>
      </c>
      <c r="B104" s="30">
        <f>VLOOKUP(A104,'Database Claims'!$A:$C,3,)</f>
        <v>162000</v>
      </c>
      <c r="C104" s="30">
        <f t="shared" si="2"/>
        <v>-37000</v>
      </c>
      <c r="D104" s="30">
        <f>VLOOKUP(A104,'Database Claims'!$A:$C,2,)</f>
        <v>1056000</v>
      </c>
      <c r="E104" s="30">
        <f t="shared" si="3"/>
        <v>33000</v>
      </c>
    </row>
    <row r="105" spans="1:5" x14ac:dyDescent="0.2">
      <c r="A105" s="29">
        <v>25179</v>
      </c>
      <c r="B105" s="26">
        <f>VLOOKUP(A105,'Database Claims'!$A:$C,3,)</f>
        <v>188000</v>
      </c>
      <c r="C105" s="30">
        <f t="shared" si="2"/>
        <v>26000</v>
      </c>
      <c r="D105" s="26">
        <f>VLOOKUP(A105,'Database Claims'!$A:$C,2,)</f>
        <v>1063000</v>
      </c>
      <c r="E105" s="30">
        <f t="shared" si="3"/>
        <v>7000</v>
      </c>
    </row>
    <row r="106" spans="1:5" x14ac:dyDescent="0.2">
      <c r="A106" s="29">
        <v>25186</v>
      </c>
      <c r="B106" s="30">
        <f>VLOOKUP(A106,'Database Claims'!$A:$C,3,)</f>
        <v>195000</v>
      </c>
      <c r="C106" s="30">
        <f t="shared" si="2"/>
        <v>7000</v>
      </c>
      <c r="D106" s="30">
        <f>VLOOKUP(A106,'Database Claims'!$A:$C,2,)</f>
        <v>1061000</v>
      </c>
      <c r="E106" s="30">
        <f t="shared" si="3"/>
        <v>-2000</v>
      </c>
    </row>
    <row r="107" spans="1:5" x14ac:dyDescent="0.2">
      <c r="A107" s="29">
        <v>25193</v>
      </c>
      <c r="B107" s="26">
        <f>VLOOKUP(A107,'Database Claims'!$A:$C,3,)</f>
        <v>192000</v>
      </c>
      <c r="C107" s="30">
        <f t="shared" si="2"/>
        <v>-3000</v>
      </c>
      <c r="D107" s="26">
        <f>VLOOKUP(A107,'Database Claims'!$A:$C,2,)</f>
        <v>1063000</v>
      </c>
      <c r="E107" s="30">
        <f t="shared" si="3"/>
        <v>2000</v>
      </c>
    </row>
    <row r="108" spans="1:5" x14ac:dyDescent="0.2">
      <c r="A108" s="29">
        <v>25200</v>
      </c>
      <c r="B108" s="30">
        <f>VLOOKUP(A108,'Database Claims'!$A:$C,3,)</f>
        <v>223000</v>
      </c>
      <c r="C108" s="30">
        <f t="shared" si="2"/>
        <v>31000</v>
      </c>
      <c r="D108" s="30">
        <f>VLOOKUP(A108,'Database Claims'!$A:$C,2,)</f>
        <v>1116000</v>
      </c>
      <c r="E108" s="30">
        <f t="shared" si="3"/>
        <v>53000</v>
      </c>
    </row>
    <row r="109" spans="1:5" x14ac:dyDescent="0.2">
      <c r="A109" s="29">
        <v>25207</v>
      </c>
      <c r="B109" s="26">
        <f>VLOOKUP(A109,'Database Claims'!$A:$C,3,)</f>
        <v>190000</v>
      </c>
      <c r="C109" s="30">
        <f t="shared" si="2"/>
        <v>-33000</v>
      </c>
      <c r="D109" s="26">
        <f>VLOOKUP(A109,'Database Claims'!$A:$C,2,)</f>
        <v>1118000</v>
      </c>
      <c r="E109" s="30">
        <f t="shared" si="3"/>
        <v>2000</v>
      </c>
    </row>
    <row r="110" spans="1:5" x14ac:dyDescent="0.2">
      <c r="A110" s="29">
        <v>25214</v>
      </c>
      <c r="B110" s="30">
        <f>VLOOKUP(A110,'Database Claims'!$A:$C,3,)</f>
        <v>191000</v>
      </c>
      <c r="C110" s="30">
        <f t="shared" si="2"/>
        <v>1000</v>
      </c>
      <c r="D110" s="30">
        <f>VLOOKUP(A110,'Database Claims'!$A:$C,2,)</f>
        <v>1099000</v>
      </c>
      <c r="E110" s="30">
        <f t="shared" si="3"/>
        <v>-19000</v>
      </c>
    </row>
    <row r="111" spans="1:5" x14ac:dyDescent="0.2">
      <c r="A111" s="29">
        <v>25221</v>
      </c>
      <c r="B111" s="26">
        <f>VLOOKUP(A111,'Database Claims'!$A:$C,3,)</f>
        <v>192000</v>
      </c>
      <c r="C111" s="30">
        <f t="shared" si="2"/>
        <v>1000</v>
      </c>
      <c r="D111" s="26">
        <f>VLOOKUP(A111,'Database Claims'!$A:$C,2,)</f>
        <v>1072000</v>
      </c>
      <c r="E111" s="30">
        <f t="shared" si="3"/>
        <v>-27000</v>
      </c>
    </row>
    <row r="112" spans="1:5" x14ac:dyDescent="0.2">
      <c r="A112" s="29">
        <v>25228</v>
      </c>
      <c r="B112" s="30">
        <f>VLOOKUP(A112,'Database Claims'!$A:$C,3,)</f>
        <v>193000</v>
      </c>
      <c r="C112" s="30">
        <f t="shared" si="2"/>
        <v>1000</v>
      </c>
      <c r="D112" s="30">
        <f>VLOOKUP(A112,'Database Claims'!$A:$C,2,)</f>
        <v>1077000</v>
      </c>
      <c r="E112" s="30">
        <f t="shared" si="3"/>
        <v>5000</v>
      </c>
    </row>
    <row r="113" spans="1:5" x14ac:dyDescent="0.2">
      <c r="A113" s="29">
        <v>25235</v>
      </c>
      <c r="B113" s="26">
        <f>VLOOKUP(A113,'Database Claims'!$A:$C,3,)</f>
        <v>203000</v>
      </c>
      <c r="C113" s="30">
        <f t="shared" si="2"/>
        <v>10000</v>
      </c>
      <c r="D113" s="26">
        <f>VLOOKUP(A113,'Database Claims'!$A:$C,2,)</f>
        <v>1099000</v>
      </c>
      <c r="E113" s="30">
        <f t="shared" si="3"/>
        <v>22000</v>
      </c>
    </row>
    <row r="114" spans="1:5" x14ac:dyDescent="0.2">
      <c r="A114" s="29">
        <v>25242</v>
      </c>
      <c r="B114" s="30">
        <f>VLOOKUP(A114,'Database Claims'!$A:$C,3,)</f>
        <v>197000</v>
      </c>
      <c r="C114" s="30">
        <f t="shared" si="2"/>
        <v>-6000</v>
      </c>
      <c r="D114" s="30">
        <f>VLOOKUP(A114,'Database Claims'!$A:$C,2,)</f>
        <v>1088000</v>
      </c>
      <c r="E114" s="30">
        <f t="shared" si="3"/>
        <v>-11000</v>
      </c>
    </row>
    <row r="115" spans="1:5" x14ac:dyDescent="0.2">
      <c r="A115" s="29">
        <v>25249</v>
      </c>
      <c r="B115" s="26">
        <f>VLOOKUP(A115,'Database Claims'!$A:$C,3,)</f>
        <v>192000</v>
      </c>
      <c r="C115" s="30">
        <f t="shared" si="2"/>
        <v>-5000</v>
      </c>
      <c r="D115" s="26">
        <f>VLOOKUP(A115,'Database Claims'!$A:$C,2,)</f>
        <v>1115000</v>
      </c>
      <c r="E115" s="30">
        <f t="shared" si="3"/>
        <v>27000</v>
      </c>
    </row>
    <row r="116" spans="1:5" x14ac:dyDescent="0.2">
      <c r="A116" s="29">
        <v>25256</v>
      </c>
      <c r="B116" s="30">
        <f>VLOOKUP(A116,'Database Claims'!$A:$C,3,)</f>
        <v>192000</v>
      </c>
      <c r="C116" s="30">
        <f t="shared" si="2"/>
        <v>0</v>
      </c>
      <c r="D116" s="30">
        <f>VLOOKUP(A116,'Database Claims'!$A:$C,2,)</f>
        <v>1092000</v>
      </c>
      <c r="E116" s="30">
        <f t="shared" si="3"/>
        <v>-23000</v>
      </c>
    </row>
    <row r="117" spans="1:5" x14ac:dyDescent="0.2">
      <c r="A117" s="29">
        <v>25263</v>
      </c>
      <c r="B117" s="26">
        <f>VLOOKUP(A117,'Database Claims'!$A:$C,3,)</f>
        <v>201000</v>
      </c>
      <c r="C117" s="30">
        <f t="shared" si="2"/>
        <v>9000</v>
      </c>
      <c r="D117" s="26">
        <f>VLOOKUP(A117,'Database Claims'!$A:$C,2,)</f>
        <v>1098000</v>
      </c>
      <c r="E117" s="30">
        <f t="shared" si="3"/>
        <v>6000</v>
      </c>
    </row>
    <row r="118" spans="1:5" x14ac:dyDescent="0.2">
      <c r="A118" s="29">
        <v>25270</v>
      </c>
      <c r="B118" s="30">
        <f>VLOOKUP(A118,'Database Claims'!$A:$C,3,)</f>
        <v>191000</v>
      </c>
      <c r="C118" s="30">
        <f t="shared" si="2"/>
        <v>-10000</v>
      </c>
      <c r="D118" s="30">
        <f>VLOOKUP(A118,'Database Claims'!$A:$C,2,)</f>
        <v>1099000</v>
      </c>
      <c r="E118" s="30">
        <f t="shared" si="3"/>
        <v>1000</v>
      </c>
    </row>
    <row r="119" spans="1:5" x14ac:dyDescent="0.2">
      <c r="A119" s="29">
        <v>25277</v>
      </c>
      <c r="B119" s="26">
        <f>VLOOKUP(A119,'Database Claims'!$A:$C,3,)</f>
        <v>189000</v>
      </c>
      <c r="C119" s="30">
        <f t="shared" si="2"/>
        <v>-2000</v>
      </c>
      <c r="D119" s="26">
        <f>VLOOKUP(A119,'Database Claims'!$A:$C,2,)</f>
        <v>1080000</v>
      </c>
      <c r="E119" s="30">
        <f t="shared" si="3"/>
        <v>-19000</v>
      </c>
    </row>
    <row r="120" spans="1:5" x14ac:dyDescent="0.2">
      <c r="A120" s="29">
        <v>25284</v>
      </c>
      <c r="B120" s="30">
        <f>VLOOKUP(A120,'Database Claims'!$A:$C,3,)</f>
        <v>181000</v>
      </c>
      <c r="C120" s="30">
        <f t="shared" si="2"/>
        <v>-8000</v>
      </c>
      <c r="D120" s="30">
        <f>VLOOKUP(A120,'Database Claims'!$A:$C,2,)</f>
        <v>1071000</v>
      </c>
      <c r="E120" s="30">
        <f t="shared" si="3"/>
        <v>-9000</v>
      </c>
    </row>
    <row r="121" spans="1:5" x14ac:dyDescent="0.2">
      <c r="A121" s="29">
        <v>25291</v>
      </c>
      <c r="B121" s="26">
        <f>VLOOKUP(A121,'Database Claims'!$A:$C,3,)</f>
        <v>183000</v>
      </c>
      <c r="C121" s="30">
        <f t="shared" si="2"/>
        <v>2000</v>
      </c>
      <c r="D121" s="26">
        <f>VLOOKUP(A121,'Database Claims'!$A:$C,2,)</f>
        <v>1041000</v>
      </c>
      <c r="E121" s="30">
        <f t="shared" si="3"/>
        <v>-30000</v>
      </c>
    </row>
    <row r="122" spans="1:5" x14ac:dyDescent="0.2">
      <c r="A122" s="29">
        <v>25298</v>
      </c>
      <c r="B122" s="30">
        <f>VLOOKUP(A122,'Database Claims'!$A:$C,3,)</f>
        <v>182000</v>
      </c>
      <c r="C122" s="30">
        <f t="shared" si="2"/>
        <v>-1000</v>
      </c>
      <c r="D122" s="30">
        <f>VLOOKUP(A122,'Database Claims'!$A:$C,2,)</f>
        <v>1076000</v>
      </c>
      <c r="E122" s="30">
        <f t="shared" si="3"/>
        <v>35000</v>
      </c>
    </row>
    <row r="123" spans="1:5" x14ac:dyDescent="0.2">
      <c r="A123" s="29">
        <v>25305</v>
      </c>
      <c r="B123" s="26">
        <f>VLOOKUP(A123,'Database Claims'!$A:$C,3,)</f>
        <v>190000</v>
      </c>
      <c r="C123" s="30">
        <f t="shared" si="2"/>
        <v>8000</v>
      </c>
      <c r="D123" s="26">
        <f>VLOOKUP(A123,'Database Claims'!$A:$C,2,)</f>
        <v>1050000</v>
      </c>
      <c r="E123" s="30">
        <f t="shared" si="3"/>
        <v>-26000</v>
      </c>
    </row>
    <row r="124" spans="1:5" x14ac:dyDescent="0.2">
      <c r="A124" s="29">
        <v>25312</v>
      </c>
      <c r="B124" s="30">
        <f>VLOOKUP(A124,'Database Claims'!$A:$C,3,)</f>
        <v>187000</v>
      </c>
      <c r="C124" s="30">
        <f t="shared" si="2"/>
        <v>-3000</v>
      </c>
      <c r="D124" s="30">
        <f>VLOOKUP(A124,'Database Claims'!$A:$C,2,)</f>
        <v>1025000</v>
      </c>
      <c r="E124" s="30">
        <f t="shared" si="3"/>
        <v>-25000</v>
      </c>
    </row>
    <row r="125" spans="1:5" x14ac:dyDescent="0.2">
      <c r="A125" s="29">
        <v>25319</v>
      </c>
      <c r="B125" s="26">
        <f>VLOOKUP(A125,'Database Claims'!$A:$C,3,)</f>
        <v>177000</v>
      </c>
      <c r="C125" s="30">
        <f t="shared" si="2"/>
        <v>-10000</v>
      </c>
      <c r="D125" s="26">
        <f>VLOOKUP(A125,'Database Claims'!$A:$C,2,)</f>
        <v>992000</v>
      </c>
      <c r="E125" s="30">
        <f t="shared" si="3"/>
        <v>-33000</v>
      </c>
    </row>
    <row r="126" spans="1:5" x14ac:dyDescent="0.2">
      <c r="A126" s="29">
        <v>25326</v>
      </c>
      <c r="B126" s="30">
        <f>VLOOKUP(A126,'Database Claims'!$A:$C,3,)</f>
        <v>177000</v>
      </c>
      <c r="C126" s="30">
        <f t="shared" si="2"/>
        <v>0</v>
      </c>
      <c r="D126" s="30">
        <f>VLOOKUP(A126,'Database Claims'!$A:$C,2,)</f>
        <v>1003000</v>
      </c>
      <c r="E126" s="30">
        <f t="shared" si="3"/>
        <v>11000</v>
      </c>
    </row>
    <row r="127" spans="1:5" x14ac:dyDescent="0.2">
      <c r="A127" s="29">
        <v>25333</v>
      </c>
      <c r="B127" s="26">
        <f>VLOOKUP(A127,'Database Claims'!$A:$C,3,)</f>
        <v>183000</v>
      </c>
      <c r="C127" s="30">
        <f t="shared" si="2"/>
        <v>6000</v>
      </c>
      <c r="D127" s="26">
        <f>VLOOKUP(A127,'Database Claims'!$A:$C,2,)</f>
        <v>1018000</v>
      </c>
      <c r="E127" s="30">
        <f t="shared" si="3"/>
        <v>15000</v>
      </c>
    </row>
    <row r="128" spans="1:5" x14ac:dyDescent="0.2">
      <c r="A128" s="29">
        <v>25340</v>
      </c>
      <c r="B128" s="30">
        <f>VLOOKUP(A128,'Database Claims'!$A:$C,3,)</f>
        <v>179000</v>
      </c>
      <c r="C128" s="30">
        <f t="shared" si="2"/>
        <v>-4000</v>
      </c>
      <c r="D128" s="30">
        <f>VLOOKUP(A128,'Database Claims'!$A:$C,2,)</f>
        <v>1007000</v>
      </c>
      <c r="E128" s="30">
        <f t="shared" si="3"/>
        <v>-11000</v>
      </c>
    </row>
    <row r="129" spans="1:5" x14ac:dyDescent="0.2">
      <c r="A129" s="29">
        <v>25347</v>
      </c>
      <c r="B129" s="26">
        <f>VLOOKUP(A129,'Database Claims'!$A:$C,3,)</f>
        <v>180000</v>
      </c>
      <c r="C129" s="30">
        <f t="shared" si="2"/>
        <v>1000</v>
      </c>
      <c r="D129" s="26">
        <f>VLOOKUP(A129,'Database Claims'!$A:$C,2,)</f>
        <v>1006000</v>
      </c>
      <c r="E129" s="30">
        <f t="shared" si="3"/>
        <v>-1000</v>
      </c>
    </row>
    <row r="130" spans="1:5" x14ac:dyDescent="0.2">
      <c r="A130" s="29">
        <v>25354</v>
      </c>
      <c r="B130" s="30">
        <f>VLOOKUP(A130,'Database Claims'!$A:$C,3,)</f>
        <v>187000</v>
      </c>
      <c r="C130" s="30">
        <f t="shared" si="2"/>
        <v>7000</v>
      </c>
      <c r="D130" s="30">
        <f>VLOOKUP(A130,'Database Claims'!$A:$C,2,)</f>
        <v>988000</v>
      </c>
      <c r="E130" s="30">
        <f t="shared" si="3"/>
        <v>-18000</v>
      </c>
    </row>
    <row r="131" spans="1:5" x14ac:dyDescent="0.2">
      <c r="A131" s="29">
        <v>25361</v>
      </c>
      <c r="B131" s="26">
        <f>VLOOKUP(A131,'Database Claims'!$A:$C,3,)</f>
        <v>192000</v>
      </c>
      <c r="C131" s="30">
        <f t="shared" si="2"/>
        <v>5000</v>
      </c>
      <c r="D131" s="26">
        <f>VLOOKUP(A131,'Database Claims'!$A:$C,2,)</f>
        <v>992000</v>
      </c>
      <c r="E131" s="30">
        <f t="shared" si="3"/>
        <v>4000</v>
      </c>
    </row>
    <row r="132" spans="1:5" x14ac:dyDescent="0.2">
      <c r="A132" s="29">
        <v>25368</v>
      </c>
      <c r="B132" s="30">
        <f>VLOOKUP(A132,'Database Claims'!$A:$C,3,)</f>
        <v>182000</v>
      </c>
      <c r="C132" s="30">
        <f t="shared" si="2"/>
        <v>-10000</v>
      </c>
      <c r="D132" s="30">
        <f>VLOOKUP(A132,'Database Claims'!$A:$C,2,)</f>
        <v>1010000</v>
      </c>
      <c r="E132" s="30">
        <f t="shared" si="3"/>
        <v>18000</v>
      </c>
    </row>
    <row r="133" spans="1:5" x14ac:dyDescent="0.2">
      <c r="A133" s="29">
        <v>25375</v>
      </c>
      <c r="B133" s="26">
        <f>VLOOKUP(A133,'Database Claims'!$A:$C,3,)</f>
        <v>191000</v>
      </c>
      <c r="C133" s="30">
        <f t="shared" si="2"/>
        <v>9000</v>
      </c>
      <c r="D133" s="26">
        <f>VLOOKUP(A133,'Database Claims'!$A:$C,2,)</f>
        <v>1012000</v>
      </c>
      <c r="E133" s="30">
        <f t="shared" si="3"/>
        <v>2000</v>
      </c>
    </row>
    <row r="134" spans="1:5" x14ac:dyDescent="0.2">
      <c r="A134" s="29">
        <v>25382</v>
      </c>
      <c r="B134" s="30">
        <f>VLOOKUP(A134,'Database Claims'!$A:$C,3,)</f>
        <v>203000</v>
      </c>
      <c r="C134" s="30">
        <f t="shared" ref="C134:C197" si="4">B134-B133</f>
        <v>12000</v>
      </c>
      <c r="D134" s="30">
        <f>VLOOKUP(A134,'Database Claims'!$A:$C,2,)</f>
        <v>1021000</v>
      </c>
      <c r="E134" s="30">
        <f t="shared" ref="E134:E197" si="5">D134-D133</f>
        <v>9000</v>
      </c>
    </row>
    <row r="135" spans="1:5" x14ac:dyDescent="0.2">
      <c r="A135" s="29">
        <v>25389</v>
      </c>
      <c r="B135" s="26">
        <f>VLOOKUP(A135,'Database Claims'!$A:$C,3,)</f>
        <v>227000</v>
      </c>
      <c r="C135" s="30">
        <f t="shared" si="4"/>
        <v>24000</v>
      </c>
      <c r="D135" s="26">
        <f>VLOOKUP(A135,'Database Claims'!$A:$C,2,)</f>
        <v>1072000</v>
      </c>
      <c r="E135" s="30">
        <f t="shared" si="5"/>
        <v>51000</v>
      </c>
    </row>
    <row r="136" spans="1:5" x14ac:dyDescent="0.2">
      <c r="A136" s="29">
        <v>25396</v>
      </c>
      <c r="B136" s="30">
        <f>VLOOKUP(A136,'Database Claims'!$A:$C,3,)</f>
        <v>210000</v>
      </c>
      <c r="C136" s="30">
        <f t="shared" si="4"/>
        <v>-17000</v>
      </c>
      <c r="D136" s="30">
        <f>VLOOKUP(A136,'Database Claims'!$A:$C,2,)</f>
        <v>1092000</v>
      </c>
      <c r="E136" s="30">
        <f t="shared" si="5"/>
        <v>20000</v>
      </c>
    </row>
    <row r="137" spans="1:5" x14ac:dyDescent="0.2">
      <c r="A137" s="29">
        <v>25403</v>
      </c>
      <c r="B137" s="26">
        <f>VLOOKUP(A137,'Database Claims'!$A:$C,3,)</f>
        <v>206000</v>
      </c>
      <c r="C137" s="30">
        <f t="shared" si="4"/>
        <v>-4000</v>
      </c>
      <c r="D137" s="26">
        <f>VLOOKUP(A137,'Database Claims'!$A:$C,2,)</f>
        <v>1072000</v>
      </c>
      <c r="E137" s="30">
        <f t="shared" si="5"/>
        <v>-20000</v>
      </c>
    </row>
    <row r="138" spans="1:5" x14ac:dyDescent="0.2">
      <c r="A138" s="29">
        <v>25410</v>
      </c>
      <c r="B138" s="30">
        <f>VLOOKUP(A138,'Database Claims'!$A:$C,3,)</f>
        <v>192000</v>
      </c>
      <c r="C138" s="30">
        <f t="shared" si="4"/>
        <v>-14000</v>
      </c>
      <c r="D138" s="30">
        <f>VLOOKUP(A138,'Database Claims'!$A:$C,2,)</f>
        <v>1110000</v>
      </c>
      <c r="E138" s="30">
        <f t="shared" si="5"/>
        <v>38000</v>
      </c>
    </row>
    <row r="139" spans="1:5" x14ac:dyDescent="0.2">
      <c r="A139" s="29">
        <v>25417</v>
      </c>
      <c r="B139" s="26">
        <f>VLOOKUP(A139,'Database Claims'!$A:$C,3,)</f>
        <v>196000</v>
      </c>
      <c r="C139" s="30">
        <f t="shared" si="4"/>
        <v>4000</v>
      </c>
      <c r="D139" s="26">
        <f>VLOOKUP(A139,'Database Claims'!$A:$C,2,)</f>
        <v>1126000</v>
      </c>
      <c r="E139" s="30">
        <f t="shared" si="5"/>
        <v>16000</v>
      </c>
    </row>
    <row r="140" spans="1:5" x14ac:dyDescent="0.2">
      <c r="A140" s="29">
        <v>25424</v>
      </c>
      <c r="B140" s="30">
        <f>VLOOKUP(A140,'Database Claims'!$A:$C,3,)</f>
        <v>203000</v>
      </c>
      <c r="C140" s="30">
        <f t="shared" si="4"/>
        <v>7000</v>
      </c>
      <c r="D140" s="30">
        <f>VLOOKUP(A140,'Database Claims'!$A:$C,2,)</f>
        <v>1093000</v>
      </c>
      <c r="E140" s="30">
        <f t="shared" si="5"/>
        <v>-33000</v>
      </c>
    </row>
    <row r="141" spans="1:5" x14ac:dyDescent="0.2">
      <c r="A141" s="29">
        <v>25431</v>
      </c>
      <c r="B141" s="26">
        <f>VLOOKUP(A141,'Database Claims'!$A:$C,3,)</f>
        <v>199000</v>
      </c>
      <c r="C141" s="30">
        <f t="shared" si="4"/>
        <v>-4000</v>
      </c>
      <c r="D141" s="26">
        <f>VLOOKUP(A141,'Database Claims'!$A:$C,2,)</f>
        <v>1067000</v>
      </c>
      <c r="E141" s="30">
        <f t="shared" si="5"/>
        <v>-26000</v>
      </c>
    </row>
    <row r="142" spans="1:5" x14ac:dyDescent="0.2">
      <c r="A142" s="29">
        <v>25438</v>
      </c>
      <c r="B142" s="30">
        <f>VLOOKUP(A142,'Database Claims'!$A:$C,3,)</f>
        <v>199000</v>
      </c>
      <c r="C142" s="30">
        <f t="shared" si="4"/>
        <v>0</v>
      </c>
      <c r="D142" s="30">
        <f>VLOOKUP(A142,'Database Claims'!$A:$C,2,)</f>
        <v>1060000</v>
      </c>
      <c r="E142" s="30">
        <f t="shared" si="5"/>
        <v>-7000</v>
      </c>
    </row>
    <row r="143" spans="1:5" x14ac:dyDescent="0.2">
      <c r="A143" s="29">
        <v>25445</v>
      </c>
      <c r="B143" s="26">
        <f>VLOOKUP(A143,'Database Claims'!$A:$C,3,)</f>
        <v>195000</v>
      </c>
      <c r="C143" s="30">
        <f t="shared" si="4"/>
        <v>-4000</v>
      </c>
      <c r="D143" s="26">
        <f>VLOOKUP(A143,'Database Claims'!$A:$C,2,)</f>
        <v>1074000</v>
      </c>
      <c r="E143" s="30">
        <f t="shared" si="5"/>
        <v>14000</v>
      </c>
    </row>
    <row r="144" spans="1:5" x14ac:dyDescent="0.2">
      <c r="A144" s="29">
        <v>25452</v>
      </c>
      <c r="B144" s="30">
        <f>VLOOKUP(A144,'Database Claims'!$A:$C,3,)</f>
        <v>182000</v>
      </c>
      <c r="C144" s="30">
        <f t="shared" si="4"/>
        <v>-13000</v>
      </c>
      <c r="D144" s="30">
        <f>VLOOKUP(A144,'Database Claims'!$A:$C,2,)</f>
        <v>1111000</v>
      </c>
      <c r="E144" s="30">
        <f t="shared" si="5"/>
        <v>37000</v>
      </c>
    </row>
    <row r="145" spans="1:5" x14ac:dyDescent="0.2">
      <c r="A145" s="29">
        <v>25459</v>
      </c>
      <c r="B145" s="26">
        <f>VLOOKUP(A145,'Database Claims'!$A:$C,3,)</f>
        <v>209000</v>
      </c>
      <c r="C145" s="30">
        <f t="shared" si="4"/>
        <v>27000</v>
      </c>
      <c r="D145" s="26">
        <f>VLOOKUP(A145,'Database Claims'!$A:$C,2,)</f>
        <v>1082000</v>
      </c>
      <c r="E145" s="30">
        <f t="shared" si="5"/>
        <v>-29000</v>
      </c>
    </row>
    <row r="146" spans="1:5" x14ac:dyDescent="0.2">
      <c r="A146" s="29">
        <v>25466</v>
      </c>
      <c r="B146" s="30">
        <f>VLOOKUP(A146,'Database Claims'!$A:$C,3,)</f>
        <v>195000</v>
      </c>
      <c r="C146" s="30">
        <f t="shared" si="4"/>
        <v>-14000</v>
      </c>
      <c r="D146" s="30">
        <f>VLOOKUP(A146,'Database Claims'!$A:$C,2,)</f>
        <v>1083000</v>
      </c>
      <c r="E146" s="30">
        <f t="shared" si="5"/>
        <v>1000</v>
      </c>
    </row>
    <row r="147" spans="1:5" x14ac:dyDescent="0.2">
      <c r="A147" s="29">
        <v>25473</v>
      </c>
      <c r="B147" s="26">
        <f>VLOOKUP(A147,'Database Claims'!$A:$C,3,)</f>
        <v>193000</v>
      </c>
      <c r="C147" s="30">
        <f t="shared" si="4"/>
        <v>-2000</v>
      </c>
      <c r="D147" s="26">
        <f>VLOOKUP(A147,'Database Claims'!$A:$C,2,)</f>
        <v>1086000</v>
      </c>
      <c r="E147" s="30">
        <f t="shared" si="5"/>
        <v>3000</v>
      </c>
    </row>
    <row r="148" spans="1:5" x14ac:dyDescent="0.2">
      <c r="A148" s="29">
        <v>25480</v>
      </c>
      <c r="B148" s="30">
        <f>VLOOKUP(A148,'Database Claims'!$A:$C,3,)</f>
        <v>193000</v>
      </c>
      <c r="C148" s="30">
        <f t="shared" si="4"/>
        <v>0</v>
      </c>
      <c r="D148" s="30">
        <f>VLOOKUP(A148,'Database Claims'!$A:$C,2,)</f>
        <v>1103000</v>
      </c>
      <c r="E148" s="30">
        <f t="shared" si="5"/>
        <v>17000</v>
      </c>
    </row>
    <row r="149" spans="1:5" x14ac:dyDescent="0.2">
      <c r="A149" s="29">
        <v>25487</v>
      </c>
      <c r="B149" s="26">
        <f>VLOOKUP(A149,'Database Claims'!$A:$C,3,)</f>
        <v>200000</v>
      </c>
      <c r="C149" s="30">
        <f t="shared" si="4"/>
        <v>7000</v>
      </c>
      <c r="D149" s="26">
        <f>VLOOKUP(A149,'Database Claims'!$A:$C,2,)</f>
        <v>1100000</v>
      </c>
      <c r="E149" s="30">
        <f t="shared" si="5"/>
        <v>-3000</v>
      </c>
    </row>
    <row r="150" spans="1:5" x14ac:dyDescent="0.2">
      <c r="A150" s="29">
        <v>25494</v>
      </c>
      <c r="B150" s="30">
        <f>VLOOKUP(A150,'Database Claims'!$A:$C,3,)</f>
        <v>199000</v>
      </c>
      <c r="C150" s="30">
        <f t="shared" si="4"/>
        <v>-1000</v>
      </c>
      <c r="D150" s="30">
        <f>VLOOKUP(A150,'Database Claims'!$A:$C,2,)</f>
        <v>1118000</v>
      </c>
      <c r="E150" s="30">
        <f t="shared" si="5"/>
        <v>18000</v>
      </c>
    </row>
    <row r="151" spans="1:5" x14ac:dyDescent="0.2">
      <c r="A151" s="29">
        <v>25501</v>
      </c>
      <c r="B151" s="26">
        <f>VLOOKUP(A151,'Database Claims'!$A:$C,3,)</f>
        <v>205000</v>
      </c>
      <c r="C151" s="30">
        <f t="shared" si="4"/>
        <v>6000</v>
      </c>
      <c r="D151" s="26">
        <f>VLOOKUP(A151,'Database Claims'!$A:$C,2,)</f>
        <v>1136000</v>
      </c>
      <c r="E151" s="30">
        <f t="shared" si="5"/>
        <v>18000</v>
      </c>
    </row>
    <row r="152" spans="1:5" x14ac:dyDescent="0.2">
      <c r="A152" s="29">
        <v>25508</v>
      </c>
      <c r="B152" s="30">
        <f>VLOOKUP(A152,'Database Claims'!$A:$C,3,)</f>
        <v>198000</v>
      </c>
      <c r="C152" s="30">
        <f t="shared" si="4"/>
        <v>-7000</v>
      </c>
      <c r="D152" s="30">
        <f>VLOOKUP(A152,'Database Claims'!$A:$C,2,)</f>
        <v>1143000</v>
      </c>
      <c r="E152" s="30">
        <f t="shared" si="5"/>
        <v>7000</v>
      </c>
    </row>
    <row r="153" spans="1:5" x14ac:dyDescent="0.2">
      <c r="A153" s="29">
        <v>25515</v>
      </c>
      <c r="B153" s="26">
        <f>VLOOKUP(A153,'Database Claims'!$A:$C,3,)</f>
        <v>211000</v>
      </c>
      <c r="C153" s="30">
        <f t="shared" si="4"/>
        <v>13000</v>
      </c>
      <c r="D153" s="26">
        <f>VLOOKUP(A153,'Database Claims'!$A:$C,2,)</f>
        <v>1146000</v>
      </c>
      <c r="E153" s="30">
        <f t="shared" si="5"/>
        <v>3000</v>
      </c>
    </row>
    <row r="154" spans="1:5" x14ac:dyDescent="0.2">
      <c r="A154" s="29">
        <v>25522</v>
      </c>
      <c r="B154" s="30">
        <f>VLOOKUP(A154,'Database Claims'!$A:$C,3,)</f>
        <v>197000</v>
      </c>
      <c r="C154" s="30">
        <f t="shared" si="4"/>
        <v>-14000</v>
      </c>
      <c r="D154" s="30">
        <f>VLOOKUP(A154,'Database Claims'!$A:$C,2,)</f>
        <v>1181000</v>
      </c>
      <c r="E154" s="30">
        <f t="shared" si="5"/>
        <v>35000</v>
      </c>
    </row>
    <row r="155" spans="1:5" x14ac:dyDescent="0.2">
      <c r="A155" s="29">
        <v>25529</v>
      </c>
      <c r="B155" s="26">
        <f>VLOOKUP(A155,'Database Claims'!$A:$C,3,)</f>
        <v>217000</v>
      </c>
      <c r="C155" s="30">
        <f t="shared" si="4"/>
        <v>20000</v>
      </c>
      <c r="D155" s="26">
        <f>VLOOKUP(A155,'Database Claims'!$A:$C,2,)</f>
        <v>1158000</v>
      </c>
      <c r="E155" s="30">
        <f t="shared" si="5"/>
        <v>-23000</v>
      </c>
    </row>
    <row r="156" spans="1:5" x14ac:dyDescent="0.2">
      <c r="A156" s="29">
        <v>25536</v>
      </c>
      <c r="B156" s="30">
        <f>VLOOKUP(A156,'Database Claims'!$A:$C,3,)</f>
        <v>202000</v>
      </c>
      <c r="C156" s="30">
        <f t="shared" si="4"/>
        <v>-15000</v>
      </c>
      <c r="D156" s="30">
        <f>VLOOKUP(A156,'Database Claims'!$A:$C,2,)</f>
        <v>1211000</v>
      </c>
      <c r="E156" s="30">
        <f t="shared" si="5"/>
        <v>53000</v>
      </c>
    </row>
    <row r="157" spans="1:5" x14ac:dyDescent="0.2">
      <c r="A157" s="29">
        <v>25543</v>
      </c>
      <c r="B157" s="26">
        <f>VLOOKUP(A157,'Database Claims'!$A:$C,3,)</f>
        <v>202000</v>
      </c>
      <c r="C157" s="30">
        <f t="shared" si="4"/>
        <v>0</v>
      </c>
      <c r="D157" s="26">
        <f>VLOOKUP(A157,'Database Claims'!$A:$C,2,)</f>
        <v>1226000</v>
      </c>
      <c r="E157" s="30">
        <f t="shared" si="5"/>
        <v>15000</v>
      </c>
    </row>
    <row r="158" spans="1:5" x14ac:dyDescent="0.2">
      <c r="A158" s="29">
        <v>25550</v>
      </c>
      <c r="B158" s="30">
        <f>VLOOKUP(A158,'Database Claims'!$A:$C,3,)</f>
        <v>222000</v>
      </c>
      <c r="C158" s="30">
        <f t="shared" si="4"/>
        <v>20000</v>
      </c>
      <c r="D158" s="30">
        <f>VLOOKUP(A158,'Database Claims'!$A:$C,2,)</f>
        <v>1233000</v>
      </c>
      <c r="E158" s="30">
        <f t="shared" si="5"/>
        <v>7000</v>
      </c>
    </row>
    <row r="159" spans="1:5" x14ac:dyDescent="0.2">
      <c r="A159" s="29">
        <v>25557</v>
      </c>
      <c r="B159" s="26">
        <f>VLOOKUP(A159,'Database Claims'!$A:$C,3,)</f>
        <v>232000</v>
      </c>
      <c r="C159" s="30">
        <f t="shared" si="4"/>
        <v>10000</v>
      </c>
      <c r="D159" s="26">
        <f>VLOOKUP(A159,'Database Claims'!$A:$C,2,)</f>
        <v>1252000</v>
      </c>
      <c r="E159" s="30">
        <f t="shared" si="5"/>
        <v>19000</v>
      </c>
    </row>
    <row r="160" spans="1:5" x14ac:dyDescent="0.2">
      <c r="A160" s="29">
        <v>25564</v>
      </c>
      <c r="B160" s="30">
        <f>VLOOKUP(A160,'Database Claims'!$A:$C,3,)</f>
        <v>223000</v>
      </c>
      <c r="C160" s="30">
        <f t="shared" si="4"/>
        <v>-9000</v>
      </c>
      <c r="D160" s="30">
        <f>VLOOKUP(A160,'Database Claims'!$A:$C,2,)</f>
        <v>1304000</v>
      </c>
      <c r="E160" s="30">
        <f t="shared" si="5"/>
        <v>52000</v>
      </c>
    </row>
    <row r="161" spans="1:5" x14ac:dyDescent="0.2">
      <c r="A161" s="29">
        <v>25571</v>
      </c>
      <c r="B161" s="26">
        <f>VLOOKUP(A161,'Database Claims'!$A:$C,3,)</f>
        <v>230000</v>
      </c>
      <c r="C161" s="30">
        <f t="shared" si="4"/>
        <v>7000</v>
      </c>
      <c r="D161" s="26">
        <f>VLOOKUP(A161,'Database Claims'!$A:$C,2,)</f>
        <v>1332000</v>
      </c>
      <c r="E161" s="30">
        <f t="shared" si="5"/>
        <v>28000</v>
      </c>
    </row>
    <row r="162" spans="1:5" x14ac:dyDescent="0.2">
      <c r="A162" s="29">
        <v>25578</v>
      </c>
      <c r="B162" s="30">
        <f>VLOOKUP(A162,'Database Claims'!$A:$C,3,)</f>
        <v>242000</v>
      </c>
      <c r="C162" s="30">
        <f t="shared" si="4"/>
        <v>12000</v>
      </c>
      <c r="D162" s="30">
        <f>VLOOKUP(A162,'Database Claims'!$A:$C,2,)</f>
        <v>1353000</v>
      </c>
      <c r="E162" s="30">
        <f t="shared" si="5"/>
        <v>21000</v>
      </c>
    </row>
    <row r="163" spans="1:5" x14ac:dyDescent="0.2">
      <c r="A163" s="29">
        <v>25585</v>
      </c>
      <c r="B163" s="26">
        <f>VLOOKUP(A163,'Database Claims'!$A:$C,3,)</f>
        <v>268000</v>
      </c>
      <c r="C163" s="30">
        <f t="shared" si="4"/>
        <v>26000</v>
      </c>
      <c r="D163" s="26">
        <f>VLOOKUP(A163,'Database Claims'!$A:$C,2,)</f>
        <v>1371000</v>
      </c>
      <c r="E163" s="30">
        <f t="shared" si="5"/>
        <v>18000</v>
      </c>
    </row>
    <row r="164" spans="1:5" x14ac:dyDescent="0.2">
      <c r="A164" s="29">
        <v>25592</v>
      </c>
      <c r="B164" s="30">
        <f>VLOOKUP(A164,'Database Claims'!$A:$C,3,)</f>
        <v>256000</v>
      </c>
      <c r="C164" s="30">
        <f t="shared" si="4"/>
        <v>-12000</v>
      </c>
      <c r="D164" s="30">
        <f>VLOOKUP(A164,'Database Claims'!$A:$C,2,)</f>
        <v>1388000</v>
      </c>
      <c r="E164" s="30">
        <f t="shared" si="5"/>
        <v>17000</v>
      </c>
    </row>
    <row r="165" spans="1:5" x14ac:dyDescent="0.2">
      <c r="A165" s="29">
        <v>25599</v>
      </c>
      <c r="B165" s="26">
        <f>VLOOKUP(A165,'Database Claims'!$A:$C,3,)</f>
        <v>239000</v>
      </c>
      <c r="C165" s="30">
        <f t="shared" si="4"/>
        <v>-17000</v>
      </c>
      <c r="D165" s="26">
        <f>VLOOKUP(A165,'Database Claims'!$A:$C,2,)</f>
        <v>1385000</v>
      </c>
      <c r="E165" s="30">
        <f t="shared" si="5"/>
        <v>-3000</v>
      </c>
    </row>
    <row r="166" spans="1:5" x14ac:dyDescent="0.2">
      <c r="A166" s="29">
        <v>25606</v>
      </c>
      <c r="B166" s="30">
        <f>VLOOKUP(A166,'Database Claims'!$A:$C,3,)</f>
        <v>256000</v>
      </c>
      <c r="C166" s="30">
        <f t="shared" si="4"/>
        <v>17000</v>
      </c>
      <c r="D166" s="30">
        <f>VLOOKUP(A166,'Database Claims'!$A:$C,2,)</f>
        <v>1397000</v>
      </c>
      <c r="E166" s="30">
        <f t="shared" si="5"/>
        <v>12000</v>
      </c>
    </row>
    <row r="167" spans="1:5" x14ac:dyDescent="0.2">
      <c r="A167" s="29">
        <v>25613</v>
      </c>
      <c r="B167" s="26">
        <f>VLOOKUP(A167,'Database Claims'!$A:$C,3,)</f>
        <v>265000</v>
      </c>
      <c r="C167" s="30">
        <f t="shared" si="4"/>
        <v>9000</v>
      </c>
      <c r="D167" s="26">
        <f>VLOOKUP(A167,'Database Claims'!$A:$C,2,)</f>
        <v>1445000</v>
      </c>
      <c r="E167" s="30">
        <f t="shared" si="5"/>
        <v>48000</v>
      </c>
    </row>
    <row r="168" spans="1:5" x14ac:dyDescent="0.2">
      <c r="A168" s="29">
        <v>25620</v>
      </c>
      <c r="B168" s="30">
        <f>VLOOKUP(A168,'Database Claims'!$A:$C,3,)</f>
        <v>271000</v>
      </c>
      <c r="C168" s="30">
        <f t="shared" si="4"/>
        <v>6000</v>
      </c>
      <c r="D168" s="30">
        <f>VLOOKUP(A168,'Database Claims'!$A:$C,2,)</f>
        <v>1412000</v>
      </c>
      <c r="E168" s="30">
        <f t="shared" si="5"/>
        <v>-33000</v>
      </c>
    </row>
    <row r="169" spans="1:5" x14ac:dyDescent="0.2">
      <c r="A169" s="29">
        <v>25627</v>
      </c>
      <c r="B169" s="26">
        <f>VLOOKUP(A169,'Database Claims'!$A:$C,3,)</f>
        <v>242000</v>
      </c>
      <c r="C169" s="30">
        <f t="shared" si="4"/>
        <v>-29000</v>
      </c>
      <c r="D169" s="26">
        <f>VLOOKUP(A169,'Database Claims'!$A:$C,2,)</f>
        <v>1430000</v>
      </c>
      <c r="E169" s="30">
        <f t="shared" si="5"/>
        <v>18000</v>
      </c>
    </row>
    <row r="170" spans="1:5" x14ac:dyDescent="0.2">
      <c r="A170" s="29">
        <v>25634</v>
      </c>
      <c r="B170" s="30">
        <f>VLOOKUP(A170,'Database Claims'!$A:$C,3,)</f>
        <v>262000</v>
      </c>
      <c r="C170" s="30">
        <f t="shared" si="4"/>
        <v>20000</v>
      </c>
      <c r="D170" s="30">
        <f>VLOOKUP(A170,'Database Claims'!$A:$C,2,)</f>
        <v>1443000</v>
      </c>
      <c r="E170" s="30">
        <f t="shared" si="5"/>
        <v>13000</v>
      </c>
    </row>
    <row r="171" spans="1:5" x14ac:dyDescent="0.2">
      <c r="A171" s="29">
        <v>25641</v>
      </c>
      <c r="B171" s="26">
        <f>VLOOKUP(A171,'Database Claims'!$A:$C,3,)</f>
        <v>271000</v>
      </c>
      <c r="C171" s="30">
        <f t="shared" si="4"/>
        <v>9000</v>
      </c>
      <c r="D171" s="26">
        <f>VLOOKUP(A171,'Database Claims'!$A:$C,2,)</f>
        <v>1456000</v>
      </c>
      <c r="E171" s="30">
        <f t="shared" si="5"/>
        <v>13000</v>
      </c>
    </row>
    <row r="172" spans="1:5" x14ac:dyDescent="0.2">
      <c r="A172" s="29">
        <v>25648</v>
      </c>
      <c r="B172" s="30">
        <f>VLOOKUP(A172,'Database Claims'!$A:$C,3,)</f>
        <v>264000</v>
      </c>
      <c r="C172" s="30">
        <f t="shared" si="4"/>
        <v>-7000</v>
      </c>
      <c r="D172" s="30">
        <f>VLOOKUP(A172,'Database Claims'!$A:$C,2,)</f>
        <v>1498000</v>
      </c>
      <c r="E172" s="30">
        <f t="shared" si="5"/>
        <v>42000</v>
      </c>
    </row>
    <row r="173" spans="1:5" x14ac:dyDescent="0.2">
      <c r="A173" s="29">
        <v>25655</v>
      </c>
      <c r="B173" s="26">
        <f>VLOOKUP(A173,'Database Claims'!$A:$C,3,)</f>
        <v>276000</v>
      </c>
      <c r="C173" s="30">
        <f t="shared" si="4"/>
        <v>12000</v>
      </c>
      <c r="D173" s="26">
        <f>VLOOKUP(A173,'Database Claims'!$A:$C,2,)</f>
        <v>1537000</v>
      </c>
      <c r="E173" s="30">
        <f t="shared" si="5"/>
        <v>39000</v>
      </c>
    </row>
    <row r="174" spans="1:5" x14ac:dyDescent="0.2">
      <c r="A174" s="29">
        <v>25662</v>
      </c>
      <c r="B174" s="30">
        <f>VLOOKUP(A174,'Database Claims'!$A:$C,3,)</f>
        <v>273000</v>
      </c>
      <c r="C174" s="30">
        <f t="shared" si="4"/>
        <v>-3000</v>
      </c>
      <c r="D174" s="30">
        <f>VLOOKUP(A174,'Database Claims'!$A:$C,2,)</f>
        <v>1573000</v>
      </c>
      <c r="E174" s="30">
        <f t="shared" si="5"/>
        <v>36000</v>
      </c>
    </row>
    <row r="175" spans="1:5" x14ac:dyDescent="0.2">
      <c r="A175" s="29">
        <v>25669</v>
      </c>
      <c r="B175" s="26">
        <f>VLOOKUP(A175,'Database Claims'!$A:$C,3,)</f>
        <v>305000</v>
      </c>
      <c r="C175" s="30">
        <f t="shared" si="4"/>
        <v>32000</v>
      </c>
      <c r="D175" s="26">
        <f>VLOOKUP(A175,'Database Claims'!$A:$C,2,)</f>
        <v>1586000</v>
      </c>
      <c r="E175" s="30">
        <f t="shared" si="5"/>
        <v>13000</v>
      </c>
    </row>
    <row r="176" spans="1:5" x14ac:dyDescent="0.2">
      <c r="A176" s="29">
        <v>25676</v>
      </c>
      <c r="B176" s="30">
        <f>VLOOKUP(A176,'Database Claims'!$A:$C,3,)</f>
        <v>374000</v>
      </c>
      <c r="C176" s="30">
        <f t="shared" si="4"/>
        <v>69000</v>
      </c>
      <c r="D176" s="30">
        <f>VLOOKUP(A176,'Database Claims'!$A:$C,2,)</f>
        <v>1653000</v>
      </c>
      <c r="E176" s="30">
        <f t="shared" si="5"/>
        <v>67000</v>
      </c>
    </row>
    <row r="177" spans="1:5" x14ac:dyDescent="0.2">
      <c r="A177" s="29">
        <v>25683</v>
      </c>
      <c r="B177" s="26">
        <f>VLOOKUP(A177,'Database Claims'!$A:$C,3,)</f>
        <v>349000</v>
      </c>
      <c r="C177" s="30">
        <f t="shared" si="4"/>
        <v>-25000</v>
      </c>
      <c r="D177" s="26">
        <f>VLOOKUP(A177,'Database Claims'!$A:$C,2,)</f>
        <v>1748000</v>
      </c>
      <c r="E177" s="30">
        <f t="shared" si="5"/>
        <v>95000</v>
      </c>
    </row>
    <row r="178" spans="1:5" x14ac:dyDescent="0.2">
      <c r="A178" s="29">
        <v>25690</v>
      </c>
      <c r="B178" s="30">
        <f>VLOOKUP(A178,'Database Claims'!$A:$C,3,)</f>
        <v>334000</v>
      </c>
      <c r="C178" s="30">
        <f t="shared" si="4"/>
        <v>-15000</v>
      </c>
      <c r="D178" s="30">
        <f>VLOOKUP(A178,'Database Claims'!$A:$C,2,)</f>
        <v>1811000</v>
      </c>
      <c r="E178" s="30">
        <f t="shared" si="5"/>
        <v>63000</v>
      </c>
    </row>
    <row r="179" spans="1:5" x14ac:dyDescent="0.2">
      <c r="A179" s="29">
        <v>25697</v>
      </c>
      <c r="B179" s="26">
        <f>VLOOKUP(A179,'Database Claims'!$A:$C,3,)</f>
        <v>318000</v>
      </c>
      <c r="C179" s="30">
        <f t="shared" si="4"/>
        <v>-16000</v>
      </c>
      <c r="D179" s="26">
        <f>VLOOKUP(A179,'Database Claims'!$A:$C,2,)</f>
        <v>1847000</v>
      </c>
      <c r="E179" s="30">
        <f t="shared" si="5"/>
        <v>36000</v>
      </c>
    </row>
    <row r="180" spans="1:5" x14ac:dyDescent="0.2">
      <c r="A180" s="29">
        <v>25704</v>
      </c>
      <c r="B180" s="30">
        <f>VLOOKUP(A180,'Database Claims'!$A:$C,3,)</f>
        <v>303000</v>
      </c>
      <c r="C180" s="30">
        <f t="shared" si="4"/>
        <v>-15000</v>
      </c>
      <c r="D180" s="30">
        <f>VLOOKUP(A180,'Database Claims'!$A:$C,2,)</f>
        <v>1840000</v>
      </c>
      <c r="E180" s="30">
        <f t="shared" si="5"/>
        <v>-7000</v>
      </c>
    </row>
    <row r="181" spans="1:5" x14ac:dyDescent="0.2">
      <c r="A181" s="29">
        <v>25711</v>
      </c>
      <c r="B181" s="26">
        <f>VLOOKUP(A181,'Database Claims'!$A:$C,3,)</f>
        <v>296000</v>
      </c>
      <c r="C181" s="30">
        <f t="shared" si="4"/>
        <v>-7000</v>
      </c>
      <c r="D181" s="26">
        <f>VLOOKUP(A181,'Database Claims'!$A:$C,2,)</f>
        <v>1827000</v>
      </c>
      <c r="E181" s="30">
        <f t="shared" si="5"/>
        <v>-13000</v>
      </c>
    </row>
    <row r="182" spans="1:5" x14ac:dyDescent="0.2">
      <c r="A182" s="29">
        <v>25718</v>
      </c>
      <c r="B182" s="30">
        <f>VLOOKUP(A182,'Database Claims'!$A:$C,3,)</f>
        <v>301000</v>
      </c>
      <c r="C182" s="30">
        <f t="shared" si="4"/>
        <v>5000</v>
      </c>
      <c r="D182" s="30">
        <f>VLOOKUP(A182,'Database Claims'!$A:$C,2,)</f>
        <v>1807000</v>
      </c>
      <c r="E182" s="30">
        <f t="shared" si="5"/>
        <v>-20000</v>
      </c>
    </row>
    <row r="183" spans="1:5" x14ac:dyDescent="0.2">
      <c r="A183" s="29">
        <v>25725</v>
      </c>
      <c r="B183" s="26">
        <f>VLOOKUP(A183,'Database Claims'!$A:$C,3,)</f>
        <v>301000</v>
      </c>
      <c r="C183" s="30">
        <f t="shared" si="4"/>
        <v>0</v>
      </c>
      <c r="D183" s="26">
        <f>VLOOKUP(A183,'Database Claims'!$A:$C,2,)</f>
        <v>1817000</v>
      </c>
      <c r="E183" s="30">
        <f t="shared" si="5"/>
        <v>10000</v>
      </c>
    </row>
    <row r="184" spans="1:5" x14ac:dyDescent="0.2">
      <c r="A184" s="29">
        <v>25732</v>
      </c>
      <c r="B184" s="30">
        <f>VLOOKUP(A184,'Database Claims'!$A:$C,3,)</f>
        <v>298000</v>
      </c>
      <c r="C184" s="30">
        <f t="shared" si="4"/>
        <v>-3000</v>
      </c>
      <c r="D184" s="30">
        <f>VLOOKUP(A184,'Database Claims'!$A:$C,2,)</f>
        <v>1852000</v>
      </c>
      <c r="E184" s="30">
        <f t="shared" si="5"/>
        <v>35000</v>
      </c>
    </row>
    <row r="185" spans="1:5" x14ac:dyDescent="0.2">
      <c r="A185" s="29">
        <v>25739</v>
      </c>
      <c r="B185" s="26">
        <f>VLOOKUP(A185,'Database Claims'!$A:$C,3,)</f>
        <v>296000</v>
      </c>
      <c r="C185" s="30">
        <f t="shared" si="4"/>
        <v>-2000</v>
      </c>
      <c r="D185" s="26">
        <f>VLOOKUP(A185,'Database Claims'!$A:$C,2,)</f>
        <v>1864000</v>
      </c>
      <c r="E185" s="30">
        <f t="shared" si="5"/>
        <v>12000</v>
      </c>
    </row>
    <row r="186" spans="1:5" x14ac:dyDescent="0.2">
      <c r="A186" s="29">
        <v>25746</v>
      </c>
      <c r="B186" s="30">
        <f>VLOOKUP(A186,'Database Claims'!$A:$C,3,)</f>
        <v>291000</v>
      </c>
      <c r="C186" s="30">
        <f t="shared" si="4"/>
        <v>-5000</v>
      </c>
      <c r="D186" s="30">
        <f>VLOOKUP(A186,'Database Claims'!$A:$C,2,)</f>
        <v>1866000</v>
      </c>
      <c r="E186" s="30">
        <f t="shared" si="5"/>
        <v>2000</v>
      </c>
    </row>
    <row r="187" spans="1:5" x14ac:dyDescent="0.2">
      <c r="A187" s="29">
        <v>25753</v>
      </c>
      <c r="B187" s="26">
        <f>VLOOKUP(A187,'Database Claims'!$A:$C,3,)</f>
        <v>277000</v>
      </c>
      <c r="C187" s="30">
        <f t="shared" si="4"/>
        <v>-14000</v>
      </c>
      <c r="D187" s="26">
        <f>VLOOKUP(A187,'Database Claims'!$A:$C,2,)</f>
        <v>1853000</v>
      </c>
      <c r="E187" s="30">
        <f t="shared" si="5"/>
        <v>-13000</v>
      </c>
    </row>
    <row r="188" spans="1:5" x14ac:dyDescent="0.2">
      <c r="A188" s="29">
        <v>25760</v>
      </c>
      <c r="B188" s="30">
        <f>VLOOKUP(A188,'Database Claims'!$A:$C,3,)</f>
        <v>288000</v>
      </c>
      <c r="C188" s="30">
        <f t="shared" si="4"/>
        <v>11000</v>
      </c>
      <c r="D188" s="30">
        <f>VLOOKUP(A188,'Database Claims'!$A:$C,2,)</f>
        <v>1868000</v>
      </c>
      <c r="E188" s="30">
        <f t="shared" si="5"/>
        <v>15000</v>
      </c>
    </row>
    <row r="189" spans="1:5" x14ac:dyDescent="0.2">
      <c r="A189" s="29">
        <v>25767</v>
      </c>
      <c r="B189" s="26">
        <f>VLOOKUP(A189,'Database Claims'!$A:$C,3,)</f>
        <v>294000</v>
      </c>
      <c r="C189" s="30">
        <f t="shared" si="4"/>
        <v>6000</v>
      </c>
      <c r="D189" s="26">
        <f>VLOOKUP(A189,'Database Claims'!$A:$C,2,)</f>
        <v>1877000</v>
      </c>
      <c r="E189" s="30">
        <f t="shared" si="5"/>
        <v>9000</v>
      </c>
    </row>
    <row r="190" spans="1:5" x14ac:dyDescent="0.2">
      <c r="A190" s="29">
        <v>25774</v>
      </c>
      <c r="B190" s="30">
        <f>VLOOKUP(A190,'Database Claims'!$A:$C,3,)</f>
        <v>287000</v>
      </c>
      <c r="C190" s="30">
        <f t="shared" si="4"/>
        <v>-7000</v>
      </c>
      <c r="D190" s="30">
        <f>VLOOKUP(A190,'Database Claims'!$A:$C,2,)</f>
        <v>1918000</v>
      </c>
      <c r="E190" s="30">
        <f t="shared" si="5"/>
        <v>41000</v>
      </c>
    </row>
    <row r="191" spans="1:5" x14ac:dyDescent="0.2">
      <c r="A191" s="29">
        <v>25781</v>
      </c>
      <c r="B191" s="26">
        <f>VLOOKUP(A191,'Database Claims'!$A:$C,3,)</f>
        <v>261000</v>
      </c>
      <c r="C191" s="30">
        <f t="shared" si="4"/>
        <v>-26000</v>
      </c>
      <c r="D191" s="26">
        <f>VLOOKUP(A191,'Database Claims'!$A:$C,2,)</f>
        <v>1900000</v>
      </c>
      <c r="E191" s="30">
        <f t="shared" si="5"/>
        <v>-18000</v>
      </c>
    </row>
    <row r="192" spans="1:5" x14ac:dyDescent="0.2">
      <c r="A192" s="29">
        <v>25788</v>
      </c>
      <c r="B192" s="30">
        <f>VLOOKUP(A192,'Database Claims'!$A:$C,3,)</f>
        <v>266000</v>
      </c>
      <c r="C192" s="30">
        <f t="shared" si="4"/>
        <v>5000</v>
      </c>
      <c r="D192" s="30">
        <f>VLOOKUP(A192,'Database Claims'!$A:$C,2,)</f>
        <v>1890000</v>
      </c>
      <c r="E192" s="30">
        <f t="shared" si="5"/>
        <v>-10000</v>
      </c>
    </row>
    <row r="193" spans="1:5" x14ac:dyDescent="0.2">
      <c r="A193" s="29">
        <v>25795</v>
      </c>
      <c r="B193" s="26">
        <f>VLOOKUP(A193,'Database Claims'!$A:$C,3,)</f>
        <v>300000</v>
      </c>
      <c r="C193" s="30">
        <f t="shared" si="4"/>
        <v>34000</v>
      </c>
      <c r="D193" s="26">
        <f>VLOOKUP(A193,'Database Claims'!$A:$C,2,)</f>
        <v>1933000</v>
      </c>
      <c r="E193" s="30">
        <f t="shared" si="5"/>
        <v>43000</v>
      </c>
    </row>
    <row r="194" spans="1:5" x14ac:dyDescent="0.2">
      <c r="A194" s="29">
        <v>25802</v>
      </c>
      <c r="B194" s="30">
        <f>VLOOKUP(A194,'Database Claims'!$A:$C,3,)</f>
        <v>303000</v>
      </c>
      <c r="C194" s="30">
        <f t="shared" si="4"/>
        <v>3000</v>
      </c>
      <c r="D194" s="30">
        <f>VLOOKUP(A194,'Database Claims'!$A:$C,2,)</f>
        <v>1970000</v>
      </c>
      <c r="E194" s="30">
        <f t="shared" si="5"/>
        <v>37000</v>
      </c>
    </row>
    <row r="195" spans="1:5" x14ac:dyDescent="0.2">
      <c r="A195" s="29">
        <v>25809</v>
      </c>
      <c r="B195" s="26">
        <f>VLOOKUP(A195,'Database Claims'!$A:$C,3,)</f>
        <v>297000</v>
      </c>
      <c r="C195" s="30">
        <f t="shared" si="4"/>
        <v>-6000</v>
      </c>
      <c r="D195" s="26">
        <f>VLOOKUP(A195,'Database Claims'!$A:$C,2,)</f>
        <v>2005000</v>
      </c>
      <c r="E195" s="30">
        <f t="shared" si="5"/>
        <v>35000</v>
      </c>
    </row>
    <row r="196" spans="1:5" x14ac:dyDescent="0.2">
      <c r="A196" s="29">
        <v>25816</v>
      </c>
      <c r="B196" s="30">
        <f>VLOOKUP(A196,'Database Claims'!$A:$C,3,)</f>
        <v>324000</v>
      </c>
      <c r="C196" s="30">
        <f t="shared" si="4"/>
        <v>27000</v>
      </c>
      <c r="D196" s="30">
        <f>VLOOKUP(A196,'Database Claims'!$A:$C,2,)</f>
        <v>1996000</v>
      </c>
      <c r="E196" s="30">
        <f t="shared" si="5"/>
        <v>-9000</v>
      </c>
    </row>
    <row r="197" spans="1:5" x14ac:dyDescent="0.2">
      <c r="A197" s="29">
        <v>25823</v>
      </c>
      <c r="B197" s="26">
        <f>VLOOKUP(A197,'Database Claims'!$A:$C,3,)</f>
        <v>292000</v>
      </c>
      <c r="C197" s="30">
        <f t="shared" si="4"/>
        <v>-32000</v>
      </c>
      <c r="D197" s="26">
        <f>VLOOKUP(A197,'Database Claims'!$A:$C,2,)</f>
        <v>2068000</v>
      </c>
      <c r="E197" s="30">
        <f t="shared" si="5"/>
        <v>72000</v>
      </c>
    </row>
    <row r="198" spans="1:5" x14ac:dyDescent="0.2">
      <c r="A198" s="29">
        <v>25830</v>
      </c>
      <c r="B198" s="30">
        <f>VLOOKUP(A198,'Database Claims'!$A:$C,3,)</f>
        <v>325000</v>
      </c>
      <c r="C198" s="30">
        <f t="shared" ref="C198:C261" si="6">B198-B197</f>
        <v>33000</v>
      </c>
      <c r="D198" s="30">
        <f>VLOOKUP(A198,'Database Claims'!$A:$C,2,)</f>
        <v>2069000</v>
      </c>
      <c r="E198" s="30">
        <f t="shared" ref="E198:E261" si="7">D198-D197</f>
        <v>1000</v>
      </c>
    </row>
    <row r="199" spans="1:5" x14ac:dyDescent="0.2">
      <c r="A199" s="29">
        <v>25837</v>
      </c>
      <c r="B199" s="26">
        <f>VLOOKUP(A199,'Database Claims'!$A:$C,3,)</f>
        <v>333000</v>
      </c>
      <c r="C199" s="30">
        <f t="shared" si="6"/>
        <v>8000</v>
      </c>
      <c r="D199" s="26">
        <f>VLOOKUP(A199,'Database Claims'!$A:$C,2,)</f>
        <v>2092000</v>
      </c>
      <c r="E199" s="30">
        <f t="shared" si="7"/>
        <v>23000</v>
      </c>
    </row>
    <row r="200" spans="1:5" x14ac:dyDescent="0.2">
      <c r="A200" s="29">
        <v>25844</v>
      </c>
      <c r="B200" s="30">
        <f>VLOOKUP(A200,'Database Claims'!$A:$C,3,)</f>
        <v>350000</v>
      </c>
      <c r="C200" s="30">
        <f t="shared" si="6"/>
        <v>17000</v>
      </c>
      <c r="D200" s="30">
        <f>VLOOKUP(A200,'Database Claims'!$A:$C,2,)</f>
        <v>2164000</v>
      </c>
      <c r="E200" s="30">
        <f t="shared" si="7"/>
        <v>72000</v>
      </c>
    </row>
    <row r="201" spans="1:5" x14ac:dyDescent="0.2">
      <c r="A201" s="29">
        <v>25851</v>
      </c>
      <c r="B201" s="26">
        <f>VLOOKUP(A201,'Database Claims'!$A:$C,3,)</f>
        <v>327000</v>
      </c>
      <c r="C201" s="30">
        <f t="shared" si="6"/>
        <v>-23000</v>
      </c>
      <c r="D201" s="26">
        <f>VLOOKUP(A201,'Database Claims'!$A:$C,2,)</f>
        <v>2207000</v>
      </c>
      <c r="E201" s="30">
        <f t="shared" si="7"/>
        <v>43000</v>
      </c>
    </row>
    <row r="202" spans="1:5" x14ac:dyDescent="0.2">
      <c r="A202" s="29">
        <v>25858</v>
      </c>
      <c r="B202" s="30">
        <f>VLOOKUP(A202,'Database Claims'!$A:$C,3,)</f>
        <v>334000</v>
      </c>
      <c r="C202" s="30">
        <f t="shared" si="6"/>
        <v>7000</v>
      </c>
      <c r="D202" s="30">
        <f>VLOOKUP(A202,'Database Claims'!$A:$C,2,)</f>
        <v>2210000</v>
      </c>
      <c r="E202" s="30">
        <f t="shared" si="7"/>
        <v>3000</v>
      </c>
    </row>
    <row r="203" spans="1:5" x14ac:dyDescent="0.2">
      <c r="A203" s="29">
        <v>25865</v>
      </c>
      <c r="B203" s="26">
        <f>VLOOKUP(A203,'Database Claims'!$A:$C,3,)</f>
        <v>330000</v>
      </c>
      <c r="C203" s="30">
        <f t="shared" si="6"/>
        <v>-4000</v>
      </c>
      <c r="D203" s="26">
        <f>VLOOKUP(A203,'Database Claims'!$A:$C,2,)</f>
        <v>2257000</v>
      </c>
      <c r="E203" s="30">
        <f t="shared" si="7"/>
        <v>47000</v>
      </c>
    </row>
    <row r="204" spans="1:5" x14ac:dyDescent="0.2">
      <c r="A204" s="29">
        <v>25872</v>
      </c>
      <c r="B204" s="30">
        <f>VLOOKUP(A204,'Database Claims'!$A:$C,3,)</f>
        <v>327000</v>
      </c>
      <c r="C204" s="30">
        <f t="shared" si="6"/>
        <v>-3000</v>
      </c>
      <c r="D204" s="30">
        <f>VLOOKUP(A204,'Database Claims'!$A:$C,2,)</f>
        <v>2233000</v>
      </c>
      <c r="E204" s="30">
        <f t="shared" si="7"/>
        <v>-24000</v>
      </c>
    </row>
    <row r="205" spans="1:5" x14ac:dyDescent="0.2">
      <c r="A205" s="29">
        <v>25879</v>
      </c>
      <c r="B205" s="26">
        <f>VLOOKUP(A205,'Database Claims'!$A:$C,3,)</f>
        <v>336000</v>
      </c>
      <c r="C205" s="30">
        <f t="shared" si="6"/>
        <v>9000</v>
      </c>
      <c r="D205" s="26">
        <f>VLOOKUP(A205,'Database Claims'!$A:$C,2,)</f>
        <v>2279000</v>
      </c>
      <c r="E205" s="30">
        <f t="shared" si="7"/>
        <v>46000</v>
      </c>
    </row>
    <row r="206" spans="1:5" x14ac:dyDescent="0.2">
      <c r="A206" s="29">
        <v>25886</v>
      </c>
      <c r="B206" s="30">
        <f>VLOOKUP(A206,'Database Claims'!$A:$C,3,)</f>
        <v>314000</v>
      </c>
      <c r="C206" s="30">
        <f t="shared" si="6"/>
        <v>-22000</v>
      </c>
      <c r="D206" s="30">
        <f>VLOOKUP(A206,'Database Claims'!$A:$C,2,)</f>
        <v>2343000</v>
      </c>
      <c r="E206" s="30">
        <f t="shared" si="7"/>
        <v>64000</v>
      </c>
    </row>
    <row r="207" spans="1:5" x14ac:dyDescent="0.2">
      <c r="A207" s="29">
        <v>25893</v>
      </c>
      <c r="B207" s="26">
        <f>VLOOKUP(A207,'Database Claims'!$A:$C,3,)</f>
        <v>314000</v>
      </c>
      <c r="C207" s="30">
        <f t="shared" si="6"/>
        <v>0</v>
      </c>
      <c r="D207" s="26">
        <f>VLOOKUP(A207,'Database Claims'!$A:$C,2,)</f>
        <v>2285000</v>
      </c>
      <c r="E207" s="30">
        <f t="shared" si="7"/>
        <v>-58000</v>
      </c>
    </row>
    <row r="208" spans="1:5" x14ac:dyDescent="0.2">
      <c r="A208" s="29">
        <v>25900</v>
      </c>
      <c r="B208" s="30">
        <f>VLOOKUP(A208,'Database Claims'!$A:$C,3,)</f>
        <v>337000</v>
      </c>
      <c r="C208" s="30">
        <f t="shared" si="6"/>
        <v>23000</v>
      </c>
      <c r="D208" s="30">
        <f>VLOOKUP(A208,'Database Claims'!$A:$C,2,)</f>
        <v>2292000</v>
      </c>
      <c r="E208" s="30">
        <f t="shared" si="7"/>
        <v>7000</v>
      </c>
    </row>
    <row r="209" spans="1:5" x14ac:dyDescent="0.2">
      <c r="A209" s="29">
        <v>25907</v>
      </c>
      <c r="B209" s="26">
        <f>VLOOKUP(A209,'Database Claims'!$A:$C,3,)</f>
        <v>308000</v>
      </c>
      <c r="C209" s="30">
        <f t="shared" si="6"/>
        <v>-29000</v>
      </c>
      <c r="D209" s="26">
        <f>VLOOKUP(A209,'Database Claims'!$A:$C,2,)</f>
        <v>2276000</v>
      </c>
      <c r="E209" s="30">
        <f t="shared" si="7"/>
        <v>-16000</v>
      </c>
    </row>
    <row r="210" spans="1:5" x14ac:dyDescent="0.2">
      <c r="A210" s="29">
        <v>25914</v>
      </c>
      <c r="B210" s="30">
        <f>VLOOKUP(A210,'Database Claims'!$A:$C,3,)</f>
        <v>306000</v>
      </c>
      <c r="C210" s="30">
        <f t="shared" si="6"/>
        <v>-2000</v>
      </c>
      <c r="D210" s="30">
        <f>VLOOKUP(A210,'Database Claims'!$A:$C,2,)</f>
        <v>2193000</v>
      </c>
      <c r="E210" s="30">
        <f t="shared" si="7"/>
        <v>-83000</v>
      </c>
    </row>
    <row r="211" spans="1:5" x14ac:dyDescent="0.2">
      <c r="A211" s="29">
        <v>25921</v>
      </c>
      <c r="B211" s="26">
        <f>VLOOKUP(A211,'Database Claims'!$A:$C,3,)</f>
        <v>289000</v>
      </c>
      <c r="C211" s="30">
        <f t="shared" si="6"/>
        <v>-17000</v>
      </c>
      <c r="D211" s="26">
        <f>VLOOKUP(A211,'Database Claims'!$A:$C,2,)</f>
        <v>2224000</v>
      </c>
      <c r="E211" s="30">
        <f t="shared" si="7"/>
        <v>31000</v>
      </c>
    </row>
    <row r="212" spans="1:5" x14ac:dyDescent="0.2">
      <c r="A212" s="29">
        <v>25928</v>
      </c>
      <c r="B212" s="30">
        <f>VLOOKUP(A212,'Database Claims'!$A:$C,3,)</f>
        <v>321000</v>
      </c>
      <c r="C212" s="30">
        <f t="shared" si="6"/>
        <v>32000</v>
      </c>
      <c r="D212" s="30">
        <f>VLOOKUP(A212,'Database Claims'!$A:$C,2,)</f>
        <v>2147000</v>
      </c>
      <c r="E212" s="30">
        <f t="shared" si="7"/>
        <v>-77000</v>
      </c>
    </row>
    <row r="213" spans="1:5" x14ac:dyDescent="0.2">
      <c r="A213" s="29">
        <v>25935</v>
      </c>
      <c r="B213" s="26">
        <f>VLOOKUP(A213,'Database Claims'!$A:$C,3,)</f>
        <v>303000</v>
      </c>
      <c r="C213" s="30">
        <f t="shared" si="6"/>
        <v>-18000</v>
      </c>
      <c r="D213" s="26">
        <f>VLOOKUP(A213,'Database Claims'!$A:$C,2,)</f>
        <v>2102000</v>
      </c>
      <c r="E213" s="30">
        <f t="shared" si="7"/>
        <v>-45000</v>
      </c>
    </row>
    <row r="214" spans="1:5" x14ac:dyDescent="0.2">
      <c r="A214" s="29">
        <v>25942</v>
      </c>
      <c r="B214" s="30">
        <f>VLOOKUP(A214,'Database Claims'!$A:$C,3,)</f>
        <v>288000</v>
      </c>
      <c r="C214" s="30">
        <f t="shared" si="6"/>
        <v>-15000</v>
      </c>
      <c r="D214" s="30">
        <f>VLOOKUP(A214,'Database Claims'!$A:$C,2,)</f>
        <v>2124000</v>
      </c>
      <c r="E214" s="30">
        <f t="shared" si="7"/>
        <v>22000</v>
      </c>
    </row>
    <row r="215" spans="1:5" x14ac:dyDescent="0.2">
      <c r="A215" s="29">
        <v>25949</v>
      </c>
      <c r="B215" s="26">
        <f>VLOOKUP(A215,'Database Claims'!$A:$C,3,)</f>
        <v>299000</v>
      </c>
      <c r="C215" s="30">
        <f t="shared" si="6"/>
        <v>11000</v>
      </c>
      <c r="D215" s="26">
        <f>VLOOKUP(A215,'Database Claims'!$A:$C,2,)</f>
        <v>2100000</v>
      </c>
      <c r="E215" s="30">
        <f t="shared" si="7"/>
        <v>-24000</v>
      </c>
    </row>
    <row r="216" spans="1:5" x14ac:dyDescent="0.2">
      <c r="A216" s="29">
        <v>25956</v>
      </c>
      <c r="B216" s="30">
        <f>VLOOKUP(A216,'Database Claims'!$A:$C,3,)</f>
        <v>312000</v>
      </c>
      <c r="C216" s="30">
        <f t="shared" si="6"/>
        <v>13000</v>
      </c>
      <c r="D216" s="30">
        <f>VLOOKUP(A216,'Database Claims'!$A:$C,2,)</f>
        <v>2091000</v>
      </c>
      <c r="E216" s="30">
        <f t="shared" si="7"/>
        <v>-9000</v>
      </c>
    </row>
    <row r="217" spans="1:5" x14ac:dyDescent="0.2">
      <c r="A217" s="29">
        <v>25963</v>
      </c>
      <c r="B217" s="26">
        <f>VLOOKUP(A217,'Database Claims'!$A:$C,3,)</f>
        <v>292000</v>
      </c>
      <c r="C217" s="30">
        <f t="shared" si="6"/>
        <v>-20000</v>
      </c>
      <c r="D217" s="26">
        <f>VLOOKUP(A217,'Database Claims'!$A:$C,2,)</f>
        <v>2086000</v>
      </c>
      <c r="E217" s="30">
        <f t="shared" si="7"/>
        <v>-5000</v>
      </c>
    </row>
    <row r="218" spans="1:5" x14ac:dyDescent="0.2">
      <c r="A218" s="29">
        <v>25970</v>
      </c>
      <c r="B218" s="30">
        <f>VLOOKUP(A218,'Database Claims'!$A:$C,3,)</f>
        <v>296000</v>
      </c>
      <c r="C218" s="30">
        <f t="shared" si="6"/>
        <v>4000</v>
      </c>
      <c r="D218" s="30">
        <f>VLOOKUP(A218,'Database Claims'!$A:$C,2,)</f>
        <v>2120000</v>
      </c>
      <c r="E218" s="30">
        <f t="shared" si="7"/>
        <v>34000</v>
      </c>
    </row>
    <row r="219" spans="1:5" x14ac:dyDescent="0.2">
      <c r="A219" s="29">
        <v>25977</v>
      </c>
      <c r="B219" s="26">
        <f>VLOOKUP(A219,'Database Claims'!$A:$C,3,)</f>
        <v>282000</v>
      </c>
      <c r="C219" s="30">
        <f t="shared" si="6"/>
        <v>-14000</v>
      </c>
      <c r="D219" s="26">
        <f>VLOOKUP(A219,'Database Claims'!$A:$C,2,)</f>
        <v>2079000</v>
      </c>
      <c r="E219" s="30">
        <f t="shared" si="7"/>
        <v>-41000</v>
      </c>
    </row>
    <row r="220" spans="1:5" x14ac:dyDescent="0.2">
      <c r="A220" s="29">
        <v>25984</v>
      </c>
      <c r="B220" s="30">
        <f>VLOOKUP(A220,'Database Claims'!$A:$C,3,)</f>
        <v>268000</v>
      </c>
      <c r="C220" s="30">
        <f t="shared" si="6"/>
        <v>-14000</v>
      </c>
      <c r="D220" s="30">
        <f>VLOOKUP(A220,'Database Claims'!$A:$C,2,)</f>
        <v>2120000</v>
      </c>
      <c r="E220" s="30">
        <f t="shared" si="7"/>
        <v>41000</v>
      </c>
    </row>
    <row r="221" spans="1:5" x14ac:dyDescent="0.2">
      <c r="A221" s="29">
        <v>25991</v>
      </c>
      <c r="B221" s="26">
        <f>VLOOKUP(A221,'Database Claims'!$A:$C,3,)</f>
        <v>290000</v>
      </c>
      <c r="C221" s="30">
        <f t="shared" si="6"/>
        <v>22000</v>
      </c>
      <c r="D221" s="26">
        <f>VLOOKUP(A221,'Database Claims'!$A:$C,2,)</f>
        <v>2081000</v>
      </c>
      <c r="E221" s="30">
        <f t="shared" si="7"/>
        <v>-39000</v>
      </c>
    </row>
    <row r="222" spans="1:5" x14ac:dyDescent="0.2">
      <c r="A222" s="29">
        <v>25998</v>
      </c>
      <c r="B222" s="30">
        <f>VLOOKUP(A222,'Database Claims'!$A:$C,3,)</f>
        <v>297000</v>
      </c>
      <c r="C222" s="30">
        <f t="shared" si="6"/>
        <v>7000</v>
      </c>
      <c r="D222" s="30">
        <f>VLOOKUP(A222,'Database Claims'!$A:$C,2,)</f>
        <v>2132000</v>
      </c>
      <c r="E222" s="30">
        <f t="shared" si="7"/>
        <v>51000</v>
      </c>
    </row>
    <row r="223" spans="1:5" x14ac:dyDescent="0.2">
      <c r="A223" s="29">
        <v>26005</v>
      </c>
      <c r="B223" s="26">
        <f>VLOOKUP(A223,'Database Claims'!$A:$C,3,)</f>
        <v>287000</v>
      </c>
      <c r="C223" s="30">
        <f t="shared" si="6"/>
        <v>-10000</v>
      </c>
      <c r="D223" s="26">
        <f>VLOOKUP(A223,'Database Claims'!$A:$C,2,)</f>
        <v>2126000</v>
      </c>
      <c r="E223" s="30">
        <f t="shared" si="7"/>
        <v>-6000</v>
      </c>
    </row>
    <row r="224" spans="1:5" x14ac:dyDescent="0.2">
      <c r="A224" s="29">
        <v>26012</v>
      </c>
      <c r="B224" s="30">
        <f>VLOOKUP(A224,'Database Claims'!$A:$C,3,)</f>
        <v>291000</v>
      </c>
      <c r="C224" s="30">
        <f t="shared" si="6"/>
        <v>4000</v>
      </c>
      <c r="D224" s="30">
        <f>VLOOKUP(A224,'Database Claims'!$A:$C,2,)</f>
        <v>2140000</v>
      </c>
      <c r="E224" s="30">
        <f t="shared" si="7"/>
        <v>14000</v>
      </c>
    </row>
    <row r="225" spans="1:5" x14ac:dyDescent="0.2">
      <c r="A225" s="29">
        <v>26019</v>
      </c>
      <c r="B225" s="26">
        <f>VLOOKUP(A225,'Database Claims'!$A:$C,3,)</f>
        <v>300000</v>
      </c>
      <c r="C225" s="30">
        <f t="shared" si="6"/>
        <v>9000</v>
      </c>
      <c r="D225" s="26">
        <f>VLOOKUP(A225,'Database Claims'!$A:$C,2,)</f>
        <v>2157000</v>
      </c>
      <c r="E225" s="30">
        <f t="shared" si="7"/>
        <v>17000</v>
      </c>
    </row>
    <row r="226" spans="1:5" x14ac:dyDescent="0.2">
      <c r="A226" s="29">
        <v>26026</v>
      </c>
      <c r="B226" s="30">
        <f>VLOOKUP(A226,'Database Claims'!$A:$C,3,)</f>
        <v>299000</v>
      </c>
      <c r="C226" s="30">
        <f t="shared" si="6"/>
        <v>-1000</v>
      </c>
      <c r="D226" s="30">
        <f>VLOOKUP(A226,'Database Claims'!$A:$C,2,)</f>
        <v>2135000</v>
      </c>
      <c r="E226" s="30">
        <f t="shared" si="7"/>
        <v>-22000</v>
      </c>
    </row>
    <row r="227" spans="1:5" x14ac:dyDescent="0.2">
      <c r="A227" s="29">
        <v>26033</v>
      </c>
      <c r="B227" s="26">
        <f>VLOOKUP(A227,'Database Claims'!$A:$C,3,)</f>
        <v>279000</v>
      </c>
      <c r="C227" s="30">
        <f t="shared" si="6"/>
        <v>-20000</v>
      </c>
      <c r="D227" s="26">
        <f>VLOOKUP(A227,'Database Claims'!$A:$C,2,)</f>
        <v>2156000</v>
      </c>
      <c r="E227" s="30">
        <f t="shared" si="7"/>
        <v>21000</v>
      </c>
    </row>
    <row r="228" spans="1:5" x14ac:dyDescent="0.2">
      <c r="A228" s="29">
        <v>26040</v>
      </c>
      <c r="B228" s="30">
        <f>VLOOKUP(A228,'Database Claims'!$A:$C,3,)</f>
        <v>284000</v>
      </c>
      <c r="C228" s="30">
        <f t="shared" si="6"/>
        <v>5000</v>
      </c>
      <c r="D228" s="30">
        <f>VLOOKUP(A228,'Database Claims'!$A:$C,2,)</f>
        <v>2163000</v>
      </c>
      <c r="E228" s="30">
        <f t="shared" si="7"/>
        <v>7000</v>
      </c>
    </row>
    <row r="229" spans="1:5" x14ac:dyDescent="0.2">
      <c r="A229" s="29">
        <v>26047</v>
      </c>
      <c r="B229" s="26">
        <f>VLOOKUP(A229,'Database Claims'!$A:$C,3,)</f>
        <v>288000</v>
      </c>
      <c r="C229" s="30">
        <f t="shared" si="6"/>
        <v>4000</v>
      </c>
      <c r="D229" s="26">
        <f>VLOOKUP(A229,'Database Claims'!$A:$C,2,)</f>
        <v>2127000</v>
      </c>
      <c r="E229" s="30">
        <f t="shared" si="7"/>
        <v>-36000</v>
      </c>
    </row>
    <row r="230" spans="1:5" x14ac:dyDescent="0.2">
      <c r="A230" s="29">
        <v>26054</v>
      </c>
      <c r="B230" s="30">
        <f>VLOOKUP(A230,'Database Claims'!$A:$C,3,)</f>
        <v>290000</v>
      </c>
      <c r="C230" s="30">
        <f t="shared" si="6"/>
        <v>2000</v>
      </c>
      <c r="D230" s="30">
        <f>VLOOKUP(A230,'Database Claims'!$A:$C,2,)</f>
        <v>2157000</v>
      </c>
      <c r="E230" s="30">
        <f t="shared" si="7"/>
        <v>30000</v>
      </c>
    </row>
    <row r="231" spans="1:5" x14ac:dyDescent="0.2">
      <c r="A231" s="29">
        <v>26061</v>
      </c>
      <c r="B231" s="26">
        <f>VLOOKUP(A231,'Database Claims'!$A:$C,3,)</f>
        <v>293000</v>
      </c>
      <c r="C231" s="30">
        <f t="shared" si="6"/>
        <v>3000</v>
      </c>
      <c r="D231" s="26">
        <f>VLOOKUP(A231,'Database Claims'!$A:$C,2,)</f>
        <v>2179000</v>
      </c>
      <c r="E231" s="30">
        <f t="shared" si="7"/>
        <v>22000</v>
      </c>
    </row>
    <row r="232" spans="1:5" x14ac:dyDescent="0.2">
      <c r="A232" s="29">
        <v>26068</v>
      </c>
      <c r="B232" s="30">
        <f>VLOOKUP(A232,'Database Claims'!$A:$C,3,)</f>
        <v>284000</v>
      </c>
      <c r="C232" s="30">
        <f t="shared" si="6"/>
        <v>-9000</v>
      </c>
      <c r="D232" s="30">
        <f>VLOOKUP(A232,'Database Claims'!$A:$C,2,)</f>
        <v>2179000</v>
      </c>
      <c r="E232" s="30">
        <f t="shared" si="7"/>
        <v>0</v>
      </c>
    </row>
    <row r="233" spans="1:5" x14ac:dyDescent="0.2">
      <c r="A233" s="29">
        <v>26075</v>
      </c>
      <c r="B233" s="26">
        <f>VLOOKUP(A233,'Database Claims'!$A:$C,3,)</f>
        <v>295000</v>
      </c>
      <c r="C233" s="30">
        <f t="shared" si="6"/>
        <v>11000</v>
      </c>
      <c r="D233" s="26">
        <f>VLOOKUP(A233,'Database Claims'!$A:$C,2,)</f>
        <v>2167000</v>
      </c>
      <c r="E233" s="30">
        <f t="shared" si="7"/>
        <v>-12000</v>
      </c>
    </row>
    <row r="234" spans="1:5" x14ac:dyDescent="0.2">
      <c r="A234" s="29">
        <v>26082</v>
      </c>
      <c r="B234" s="30">
        <f>VLOOKUP(A234,'Database Claims'!$A:$C,3,)</f>
        <v>299000</v>
      </c>
      <c r="C234" s="30">
        <f t="shared" si="6"/>
        <v>4000</v>
      </c>
      <c r="D234" s="30">
        <f>VLOOKUP(A234,'Database Claims'!$A:$C,2,)</f>
        <v>2171000</v>
      </c>
      <c r="E234" s="30">
        <f t="shared" si="7"/>
        <v>4000</v>
      </c>
    </row>
    <row r="235" spans="1:5" x14ac:dyDescent="0.2">
      <c r="A235" s="29">
        <v>26089</v>
      </c>
      <c r="B235" s="26">
        <f>VLOOKUP(A235,'Database Claims'!$A:$C,3,)</f>
        <v>301000</v>
      </c>
      <c r="C235" s="30">
        <f t="shared" si="6"/>
        <v>2000</v>
      </c>
      <c r="D235" s="26">
        <f>VLOOKUP(A235,'Database Claims'!$A:$C,2,)</f>
        <v>2194000</v>
      </c>
      <c r="E235" s="30">
        <f t="shared" si="7"/>
        <v>23000</v>
      </c>
    </row>
    <row r="236" spans="1:5" x14ac:dyDescent="0.2">
      <c r="A236" s="29">
        <v>26096</v>
      </c>
      <c r="B236" s="30">
        <f>VLOOKUP(A236,'Database Claims'!$A:$C,3,)</f>
        <v>295000</v>
      </c>
      <c r="C236" s="30">
        <f t="shared" si="6"/>
        <v>-6000</v>
      </c>
      <c r="D236" s="30">
        <f>VLOOKUP(A236,'Database Claims'!$A:$C,2,)</f>
        <v>2199000</v>
      </c>
      <c r="E236" s="30">
        <f t="shared" si="7"/>
        <v>5000</v>
      </c>
    </row>
    <row r="237" spans="1:5" x14ac:dyDescent="0.2">
      <c r="A237" s="29">
        <v>26103</v>
      </c>
      <c r="B237" s="26">
        <f>VLOOKUP(A237,'Database Claims'!$A:$C,3,)</f>
        <v>299000</v>
      </c>
      <c r="C237" s="30">
        <f t="shared" si="6"/>
        <v>4000</v>
      </c>
      <c r="D237" s="26">
        <f>VLOOKUP(A237,'Database Claims'!$A:$C,2,)</f>
        <v>2182000</v>
      </c>
      <c r="E237" s="30">
        <f t="shared" si="7"/>
        <v>-17000</v>
      </c>
    </row>
    <row r="238" spans="1:5" x14ac:dyDescent="0.2">
      <c r="A238" s="29">
        <v>26110</v>
      </c>
      <c r="B238" s="30">
        <f>VLOOKUP(A238,'Database Claims'!$A:$C,3,)</f>
        <v>291000</v>
      </c>
      <c r="C238" s="30">
        <f t="shared" si="6"/>
        <v>-8000</v>
      </c>
      <c r="D238" s="30">
        <f>VLOOKUP(A238,'Database Claims'!$A:$C,2,)</f>
        <v>2172000</v>
      </c>
      <c r="E238" s="30">
        <f t="shared" si="7"/>
        <v>-10000</v>
      </c>
    </row>
    <row r="239" spans="1:5" x14ac:dyDescent="0.2">
      <c r="A239" s="29">
        <v>26117</v>
      </c>
      <c r="B239" s="26">
        <f>VLOOKUP(A239,'Database Claims'!$A:$C,3,)</f>
        <v>277000</v>
      </c>
      <c r="C239" s="30">
        <f t="shared" si="6"/>
        <v>-14000</v>
      </c>
      <c r="D239" s="26">
        <f>VLOOKUP(A239,'Database Claims'!$A:$C,2,)</f>
        <v>2116000</v>
      </c>
      <c r="E239" s="30">
        <f t="shared" si="7"/>
        <v>-56000</v>
      </c>
    </row>
    <row r="240" spans="1:5" x14ac:dyDescent="0.2">
      <c r="A240" s="29">
        <v>26124</v>
      </c>
      <c r="B240" s="30">
        <f>VLOOKUP(A240,'Database Claims'!$A:$C,3,)</f>
        <v>264000</v>
      </c>
      <c r="C240" s="30">
        <f t="shared" si="6"/>
        <v>-13000</v>
      </c>
      <c r="D240" s="30">
        <f>VLOOKUP(A240,'Database Claims'!$A:$C,2,)</f>
        <v>2130000</v>
      </c>
      <c r="E240" s="30">
        <f t="shared" si="7"/>
        <v>14000</v>
      </c>
    </row>
    <row r="241" spans="1:5" x14ac:dyDescent="0.2">
      <c r="A241" s="29">
        <v>26131</v>
      </c>
      <c r="B241" s="26">
        <f>VLOOKUP(A241,'Database Claims'!$A:$C,3,)</f>
        <v>313000</v>
      </c>
      <c r="C241" s="30">
        <f t="shared" si="6"/>
        <v>49000</v>
      </c>
      <c r="D241" s="26">
        <f>VLOOKUP(A241,'Database Claims'!$A:$C,2,)</f>
        <v>2087000</v>
      </c>
      <c r="E241" s="30">
        <f t="shared" si="7"/>
        <v>-43000</v>
      </c>
    </row>
    <row r="242" spans="1:5" x14ac:dyDescent="0.2">
      <c r="A242" s="29">
        <v>26138</v>
      </c>
      <c r="B242" s="30">
        <f>VLOOKUP(A242,'Database Claims'!$A:$C,3,)</f>
        <v>304000</v>
      </c>
      <c r="C242" s="30">
        <f t="shared" si="6"/>
        <v>-9000</v>
      </c>
      <c r="D242" s="30">
        <f>VLOOKUP(A242,'Database Claims'!$A:$C,2,)</f>
        <v>2129000</v>
      </c>
      <c r="E242" s="30">
        <f t="shared" si="7"/>
        <v>42000</v>
      </c>
    </row>
    <row r="243" spans="1:5" x14ac:dyDescent="0.2">
      <c r="A243" s="29">
        <v>26145</v>
      </c>
      <c r="B243" s="26">
        <f>VLOOKUP(A243,'Database Claims'!$A:$C,3,)</f>
        <v>308000</v>
      </c>
      <c r="C243" s="30">
        <f t="shared" si="6"/>
        <v>4000</v>
      </c>
      <c r="D243" s="26">
        <f>VLOOKUP(A243,'Database Claims'!$A:$C,2,)</f>
        <v>2150000</v>
      </c>
      <c r="E243" s="30">
        <f t="shared" si="7"/>
        <v>21000</v>
      </c>
    </row>
    <row r="244" spans="1:5" x14ac:dyDescent="0.2">
      <c r="A244" s="29">
        <v>26152</v>
      </c>
      <c r="B244" s="30">
        <f>VLOOKUP(A244,'Database Claims'!$A:$C,3,)</f>
        <v>349000</v>
      </c>
      <c r="C244" s="30">
        <f t="shared" si="6"/>
        <v>41000</v>
      </c>
      <c r="D244" s="30">
        <f>VLOOKUP(A244,'Database Claims'!$A:$C,2,)</f>
        <v>2174000</v>
      </c>
      <c r="E244" s="30">
        <f t="shared" si="7"/>
        <v>24000</v>
      </c>
    </row>
    <row r="245" spans="1:5" x14ac:dyDescent="0.2">
      <c r="A245" s="29">
        <v>26159</v>
      </c>
      <c r="B245" s="26">
        <f>VLOOKUP(A245,'Database Claims'!$A:$C,3,)</f>
        <v>325000</v>
      </c>
      <c r="C245" s="30">
        <f t="shared" si="6"/>
        <v>-24000</v>
      </c>
      <c r="D245" s="26">
        <f>VLOOKUP(A245,'Database Claims'!$A:$C,2,)</f>
        <v>2202000</v>
      </c>
      <c r="E245" s="30">
        <f t="shared" si="7"/>
        <v>28000</v>
      </c>
    </row>
    <row r="246" spans="1:5" x14ac:dyDescent="0.2">
      <c r="A246" s="29">
        <v>26166</v>
      </c>
      <c r="B246" s="30">
        <f>VLOOKUP(A246,'Database Claims'!$A:$C,3,)</f>
        <v>320000</v>
      </c>
      <c r="C246" s="30">
        <f t="shared" si="6"/>
        <v>-5000</v>
      </c>
      <c r="D246" s="30">
        <f>VLOOKUP(A246,'Database Claims'!$A:$C,2,)</f>
        <v>2186000</v>
      </c>
      <c r="E246" s="30">
        <f t="shared" si="7"/>
        <v>-16000</v>
      </c>
    </row>
    <row r="247" spans="1:5" x14ac:dyDescent="0.2">
      <c r="A247" s="29">
        <v>26173</v>
      </c>
      <c r="B247" s="26">
        <f>VLOOKUP(A247,'Database Claims'!$A:$C,3,)</f>
        <v>307000</v>
      </c>
      <c r="C247" s="30">
        <f t="shared" si="6"/>
        <v>-13000</v>
      </c>
      <c r="D247" s="26">
        <f>VLOOKUP(A247,'Database Claims'!$A:$C,2,)</f>
        <v>2188000</v>
      </c>
      <c r="E247" s="30">
        <f t="shared" si="7"/>
        <v>2000</v>
      </c>
    </row>
    <row r="248" spans="1:5" x14ac:dyDescent="0.2">
      <c r="A248" s="29">
        <v>26180</v>
      </c>
      <c r="B248" s="30">
        <f>VLOOKUP(A248,'Database Claims'!$A:$C,3,)</f>
        <v>359000</v>
      </c>
      <c r="C248" s="30">
        <f t="shared" si="6"/>
        <v>52000</v>
      </c>
      <c r="D248" s="30">
        <f>VLOOKUP(A248,'Database Claims'!$A:$C,2,)</f>
        <v>2228000</v>
      </c>
      <c r="E248" s="30">
        <f t="shared" si="7"/>
        <v>40000</v>
      </c>
    </row>
    <row r="249" spans="1:5" x14ac:dyDescent="0.2">
      <c r="A249" s="29">
        <v>26187</v>
      </c>
      <c r="B249" s="26">
        <f>VLOOKUP(A249,'Database Claims'!$A:$C,3,)</f>
        <v>312000</v>
      </c>
      <c r="C249" s="30">
        <f t="shared" si="6"/>
        <v>-47000</v>
      </c>
      <c r="D249" s="26">
        <f>VLOOKUP(A249,'Database Claims'!$A:$C,2,)</f>
        <v>2250000</v>
      </c>
      <c r="E249" s="30">
        <f t="shared" si="7"/>
        <v>22000</v>
      </c>
    </row>
    <row r="250" spans="1:5" x14ac:dyDescent="0.2">
      <c r="A250" s="29">
        <v>26194</v>
      </c>
      <c r="B250" s="30">
        <f>VLOOKUP(A250,'Database Claims'!$A:$C,3,)</f>
        <v>302000</v>
      </c>
      <c r="C250" s="30">
        <f t="shared" si="6"/>
        <v>-10000</v>
      </c>
      <c r="D250" s="30">
        <f>VLOOKUP(A250,'Database Claims'!$A:$C,2,)</f>
        <v>2246000</v>
      </c>
      <c r="E250" s="30">
        <f t="shared" si="7"/>
        <v>-4000</v>
      </c>
    </row>
    <row r="251" spans="1:5" x14ac:dyDescent="0.2">
      <c r="A251" s="29">
        <v>26201</v>
      </c>
      <c r="B251" s="26">
        <f>VLOOKUP(A251,'Database Claims'!$A:$C,3,)</f>
        <v>308000</v>
      </c>
      <c r="C251" s="30">
        <f t="shared" si="6"/>
        <v>6000</v>
      </c>
      <c r="D251" s="26">
        <f>VLOOKUP(A251,'Database Claims'!$A:$C,2,)</f>
        <v>2233000</v>
      </c>
      <c r="E251" s="30">
        <f t="shared" si="7"/>
        <v>-13000</v>
      </c>
    </row>
    <row r="252" spans="1:5" x14ac:dyDescent="0.2">
      <c r="A252" s="29">
        <v>26208</v>
      </c>
      <c r="B252" s="30">
        <f>VLOOKUP(A252,'Database Claims'!$A:$C,3,)</f>
        <v>299000</v>
      </c>
      <c r="C252" s="30">
        <f t="shared" si="6"/>
        <v>-9000</v>
      </c>
      <c r="D252" s="30">
        <f>VLOOKUP(A252,'Database Claims'!$A:$C,2,)</f>
        <v>2216000</v>
      </c>
      <c r="E252" s="30">
        <f t="shared" si="7"/>
        <v>-17000</v>
      </c>
    </row>
    <row r="253" spans="1:5" x14ac:dyDescent="0.2">
      <c r="A253" s="29">
        <v>26215</v>
      </c>
      <c r="B253" s="26">
        <f>VLOOKUP(A253,'Database Claims'!$A:$C,3,)</f>
        <v>313000</v>
      </c>
      <c r="C253" s="30">
        <f t="shared" si="6"/>
        <v>14000</v>
      </c>
      <c r="D253" s="26">
        <f>VLOOKUP(A253,'Database Claims'!$A:$C,2,)</f>
        <v>2247000</v>
      </c>
      <c r="E253" s="30">
        <f t="shared" si="7"/>
        <v>31000</v>
      </c>
    </row>
    <row r="254" spans="1:5" x14ac:dyDescent="0.2">
      <c r="A254" s="29">
        <v>26222</v>
      </c>
      <c r="B254" s="30">
        <f>VLOOKUP(A254,'Database Claims'!$A:$C,3,)</f>
        <v>299000</v>
      </c>
      <c r="C254" s="30">
        <f t="shared" si="6"/>
        <v>-14000</v>
      </c>
      <c r="D254" s="30">
        <f>VLOOKUP(A254,'Database Claims'!$A:$C,2,)</f>
        <v>2190000</v>
      </c>
      <c r="E254" s="30">
        <f t="shared" si="7"/>
        <v>-57000</v>
      </c>
    </row>
    <row r="255" spans="1:5" x14ac:dyDescent="0.2">
      <c r="A255" s="29">
        <v>26229</v>
      </c>
      <c r="B255" s="26">
        <f>VLOOKUP(A255,'Database Claims'!$A:$C,3,)</f>
        <v>294000</v>
      </c>
      <c r="C255" s="30">
        <f t="shared" si="6"/>
        <v>-5000</v>
      </c>
      <c r="D255" s="26">
        <f>VLOOKUP(A255,'Database Claims'!$A:$C,2,)</f>
        <v>2176000</v>
      </c>
      <c r="E255" s="30">
        <f t="shared" si="7"/>
        <v>-14000</v>
      </c>
    </row>
    <row r="256" spans="1:5" x14ac:dyDescent="0.2">
      <c r="A256" s="29">
        <v>26236</v>
      </c>
      <c r="B256" s="30">
        <f>VLOOKUP(A256,'Database Claims'!$A:$C,3,)</f>
        <v>283000</v>
      </c>
      <c r="C256" s="30">
        <f t="shared" si="6"/>
        <v>-11000</v>
      </c>
      <c r="D256" s="30">
        <f>VLOOKUP(A256,'Database Claims'!$A:$C,2,)</f>
        <v>2194000</v>
      </c>
      <c r="E256" s="30">
        <f t="shared" si="7"/>
        <v>18000</v>
      </c>
    </row>
    <row r="257" spans="1:5" x14ac:dyDescent="0.2">
      <c r="A257" s="29">
        <v>26243</v>
      </c>
      <c r="B257" s="26">
        <f>VLOOKUP(A257,'Database Claims'!$A:$C,3,)</f>
        <v>301000</v>
      </c>
      <c r="C257" s="30">
        <f t="shared" si="6"/>
        <v>18000</v>
      </c>
      <c r="D257" s="26">
        <f>VLOOKUP(A257,'Database Claims'!$A:$C,2,)</f>
        <v>2204000</v>
      </c>
      <c r="E257" s="30">
        <f t="shared" si="7"/>
        <v>10000</v>
      </c>
    </row>
    <row r="258" spans="1:5" x14ac:dyDescent="0.2">
      <c r="A258" s="29">
        <v>26250</v>
      </c>
      <c r="B258" s="30">
        <f>VLOOKUP(A258,'Database Claims'!$A:$C,3,)</f>
        <v>295000</v>
      </c>
      <c r="C258" s="30">
        <f t="shared" si="6"/>
        <v>-6000</v>
      </c>
      <c r="D258" s="30">
        <f>VLOOKUP(A258,'Database Claims'!$A:$C,2,)</f>
        <v>2134000</v>
      </c>
      <c r="E258" s="30">
        <f t="shared" si="7"/>
        <v>-70000</v>
      </c>
    </row>
    <row r="259" spans="1:5" x14ac:dyDescent="0.2">
      <c r="A259" s="29">
        <v>26257</v>
      </c>
      <c r="B259" s="26">
        <f>VLOOKUP(A259,'Database Claims'!$A:$C,3,)</f>
        <v>274000</v>
      </c>
      <c r="C259" s="30">
        <f t="shared" si="6"/>
        <v>-21000</v>
      </c>
      <c r="D259" s="26">
        <f>VLOOKUP(A259,'Database Claims'!$A:$C,2,)</f>
        <v>2134000</v>
      </c>
      <c r="E259" s="30">
        <f t="shared" si="7"/>
        <v>0</v>
      </c>
    </row>
    <row r="260" spans="1:5" x14ac:dyDescent="0.2">
      <c r="A260" s="29">
        <v>26264</v>
      </c>
      <c r="B260" s="30">
        <f>VLOOKUP(A260,'Database Claims'!$A:$C,3,)</f>
        <v>278000</v>
      </c>
      <c r="C260" s="30">
        <f t="shared" si="6"/>
        <v>4000</v>
      </c>
      <c r="D260" s="30">
        <f>VLOOKUP(A260,'Database Claims'!$A:$C,2,)</f>
        <v>2111000</v>
      </c>
      <c r="E260" s="30">
        <f t="shared" si="7"/>
        <v>-23000</v>
      </c>
    </row>
    <row r="261" spans="1:5" x14ac:dyDescent="0.2">
      <c r="A261" s="29">
        <v>26271</v>
      </c>
      <c r="B261" s="26">
        <f>VLOOKUP(A261,'Database Claims'!$A:$C,3,)</f>
        <v>299000</v>
      </c>
      <c r="C261" s="30">
        <f t="shared" si="6"/>
        <v>21000</v>
      </c>
      <c r="D261" s="26">
        <f>VLOOKUP(A261,'Database Claims'!$A:$C,2,)</f>
        <v>2117000</v>
      </c>
      <c r="E261" s="30">
        <f t="shared" si="7"/>
        <v>6000</v>
      </c>
    </row>
    <row r="262" spans="1:5" x14ac:dyDescent="0.2">
      <c r="A262" s="29">
        <v>26278</v>
      </c>
      <c r="B262" s="30">
        <f>VLOOKUP(A262,'Database Claims'!$A:$C,3,)</f>
        <v>280000</v>
      </c>
      <c r="C262" s="30">
        <f t="shared" ref="C262:C325" si="8">B262-B261</f>
        <v>-19000</v>
      </c>
      <c r="D262" s="30">
        <f>VLOOKUP(A262,'Database Claims'!$A:$C,2,)</f>
        <v>2085000</v>
      </c>
      <c r="E262" s="30">
        <f t="shared" ref="E262:E325" si="9">D262-D261</f>
        <v>-32000</v>
      </c>
    </row>
    <row r="263" spans="1:5" x14ac:dyDescent="0.2">
      <c r="A263" s="29">
        <v>26285</v>
      </c>
      <c r="B263" s="26">
        <f>VLOOKUP(A263,'Database Claims'!$A:$C,3,)</f>
        <v>269000</v>
      </c>
      <c r="C263" s="30">
        <f t="shared" si="8"/>
        <v>-11000</v>
      </c>
      <c r="D263" s="26">
        <f>VLOOKUP(A263,'Database Claims'!$A:$C,2,)</f>
        <v>2109000</v>
      </c>
      <c r="E263" s="30">
        <f t="shared" si="9"/>
        <v>24000</v>
      </c>
    </row>
    <row r="264" spans="1:5" x14ac:dyDescent="0.2">
      <c r="A264" s="29">
        <v>26292</v>
      </c>
      <c r="B264" s="30">
        <f>VLOOKUP(A264,'Database Claims'!$A:$C,3,)</f>
        <v>244000</v>
      </c>
      <c r="C264" s="30">
        <f t="shared" si="8"/>
        <v>-25000</v>
      </c>
      <c r="D264" s="30">
        <f>VLOOKUP(A264,'Database Claims'!$A:$C,2,)</f>
        <v>2037000</v>
      </c>
      <c r="E264" s="30">
        <f t="shared" si="9"/>
        <v>-72000</v>
      </c>
    </row>
    <row r="265" spans="1:5" x14ac:dyDescent="0.2">
      <c r="A265" s="29">
        <v>26299</v>
      </c>
      <c r="B265" s="26">
        <f>VLOOKUP(A265,'Database Claims'!$A:$C,3,)</f>
        <v>279000</v>
      </c>
      <c r="C265" s="30">
        <f t="shared" si="8"/>
        <v>35000</v>
      </c>
      <c r="D265" s="26">
        <f>VLOOKUP(A265,'Database Claims'!$A:$C,2,)</f>
        <v>1934000</v>
      </c>
      <c r="E265" s="30">
        <f t="shared" si="9"/>
        <v>-103000</v>
      </c>
    </row>
    <row r="266" spans="1:5" x14ac:dyDescent="0.2">
      <c r="A266" s="29">
        <v>26306</v>
      </c>
      <c r="B266" s="30">
        <f>VLOOKUP(A266,'Database Claims'!$A:$C,3,)</f>
        <v>295000</v>
      </c>
      <c r="C266" s="30">
        <f t="shared" si="8"/>
        <v>16000</v>
      </c>
      <c r="D266" s="30">
        <f>VLOOKUP(A266,'Database Claims'!$A:$C,2,)</f>
        <v>1931000</v>
      </c>
      <c r="E266" s="30">
        <f t="shared" si="9"/>
        <v>-3000</v>
      </c>
    </row>
    <row r="267" spans="1:5" x14ac:dyDescent="0.2">
      <c r="A267" s="29">
        <v>26313</v>
      </c>
      <c r="B267" s="26">
        <f>VLOOKUP(A267,'Database Claims'!$A:$C,3,)</f>
        <v>250000</v>
      </c>
      <c r="C267" s="30">
        <f t="shared" si="8"/>
        <v>-45000</v>
      </c>
      <c r="D267" s="26">
        <f>VLOOKUP(A267,'Database Claims'!$A:$C,2,)</f>
        <v>1923000</v>
      </c>
      <c r="E267" s="30">
        <f t="shared" si="9"/>
        <v>-8000</v>
      </c>
    </row>
    <row r="268" spans="1:5" x14ac:dyDescent="0.2">
      <c r="A268" s="29">
        <v>26320</v>
      </c>
      <c r="B268" s="30">
        <f>VLOOKUP(A268,'Database Claims'!$A:$C,3,)</f>
        <v>263000</v>
      </c>
      <c r="C268" s="30">
        <f t="shared" si="8"/>
        <v>13000</v>
      </c>
      <c r="D268" s="30">
        <f>VLOOKUP(A268,'Database Claims'!$A:$C,2,)</f>
        <v>1907000</v>
      </c>
      <c r="E268" s="30">
        <f t="shared" si="9"/>
        <v>-16000</v>
      </c>
    </row>
    <row r="269" spans="1:5" x14ac:dyDescent="0.2">
      <c r="A269" s="29">
        <v>26327</v>
      </c>
      <c r="B269" s="26">
        <f>VLOOKUP(A269,'Database Claims'!$A:$C,3,)</f>
        <v>269000</v>
      </c>
      <c r="C269" s="30">
        <f t="shared" si="8"/>
        <v>6000</v>
      </c>
      <c r="D269" s="26">
        <f>VLOOKUP(A269,'Database Claims'!$A:$C,2,)</f>
        <v>1921000</v>
      </c>
      <c r="E269" s="30">
        <f t="shared" si="9"/>
        <v>14000</v>
      </c>
    </row>
    <row r="270" spans="1:5" x14ac:dyDescent="0.2">
      <c r="A270" s="29">
        <v>26334</v>
      </c>
      <c r="B270" s="30">
        <f>VLOOKUP(A270,'Database Claims'!$A:$C,3,)</f>
        <v>276000</v>
      </c>
      <c r="C270" s="30">
        <f t="shared" si="8"/>
        <v>7000</v>
      </c>
      <c r="D270" s="30">
        <f>VLOOKUP(A270,'Database Claims'!$A:$C,2,)</f>
        <v>1941000</v>
      </c>
      <c r="E270" s="30">
        <f t="shared" si="9"/>
        <v>20000</v>
      </c>
    </row>
    <row r="271" spans="1:5" x14ac:dyDescent="0.2">
      <c r="A271" s="29">
        <v>26341</v>
      </c>
      <c r="B271" s="26">
        <f>VLOOKUP(A271,'Database Claims'!$A:$C,3,)</f>
        <v>266000</v>
      </c>
      <c r="C271" s="30">
        <f t="shared" si="8"/>
        <v>-10000</v>
      </c>
      <c r="D271" s="26">
        <f>VLOOKUP(A271,'Database Claims'!$A:$C,2,)</f>
        <v>1960000</v>
      </c>
      <c r="E271" s="30">
        <f t="shared" si="9"/>
        <v>19000</v>
      </c>
    </row>
    <row r="272" spans="1:5" x14ac:dyDescent="0.2">
      <c r="A272" s="29">
        <v>26348</v>
      </c>
      <c r="B272" s="30">
        <f>VLOOKUP(A272,'Database Claims'!$A:$C,3,)</f>
        <v>258000</v>
      </c>
      <c r="C272" s="30">
        <f t="shared" si="8"/>
        <v>-8000</v>
      </c>
      <c r="D272" s="30">
        <f>VLOOKUP(A272,'Database Claims'!$A:$C,2,)</f>
        <v>1902000</v>
      </c>
      <c r="E272" s="30">
        <f t="shared" si="9"/>
        <v>-58000</v>
      </c>
    </row>
    <row r="273" spans="1:5" x14ac:dyDescent="0.2">
      <c r="A273" s="29">
        <v>26355</v>
      </c>
      <c r="B273" s="26">
        <f>VLOOKUP(A273,'Database Claims'!$A:$C,3,)</f>
        <v>254000</v>
      </c>
      <c r="C273" s="30">
        <f t="shared" si="8"/>
        <v>-4000</v>
      </c>
      <c r="D273" s="26">
        <f>VLOOKUP(A273,'Database Claims'!$A:$C,2,)</f>
        <v>1903000</v>
      </c>
      <c r="E273" s="30">
        <f t="shared" si="9"/>
        <v>1000</v>
      </c>
    </row>
    <row r="274" spans="1:5" x14ac:dyDescent="0.2">
      <c r="A274" s="29">
        <v>26362</v>
      </c>
      <c r="B274" s="30">
        <f>VLOOKUP(A274,'Database Claims'!$A:$C,3,)</f>
        <v>257000</v>
      </c>
      <c r="C274" s="30">
        <f t="shared" si="8"/>
        <v>3000</v>
      </c>
      <c r="D274" s="30">
        <f>VLOOKUP(A274,'Database Claims'!$A:$C,2,)</f>
        <v>1905000</v>
      </c>
      <c r="E274" s="30">
        <f t="shared" si="9"/>
        <v>2000</v>
      </c>
    </row>
    <row r="275" spans="1:5" x14ac:dyDescent="0.2">
      <c r="A275" s="29">
        <v>26369</v>
      </c>
      <c r="B275" s="26">
        <f>VLOOKUP(A275,'Database Claims'!$A:$C,3,)</f>
        <v>264000</v>
      </c>
      <c r="C275" s="30">
        <f t="shared" si="8"/>
        <v>7000</v>
      </c>
      <c r="D275" s="26">
        <f>VLOOKUP(A275,'Database Claims'!$A:$C,2,)</f>
        <v>1906000</v>
      </c>
      <c r="E275" s="30">
        <f t="shared" si="9"/>
        <v>1000</v>
      </c>
    </row>
    <row r="276" spans="1:5" x14ac:dyDescent="0.2">
      <c r="A276" s="29">
        <v>26376</v>
      </c>
      <c r="B276" s="30">
        <f>VLOOKUP(A276,'Database Claims'!$A:$C,3,)</f>
        <v>266000</v>
      </c>
      <c r="C276" s="30">
        <f t="shared" si="8"/>
        <v>2000</v>
      </c>
      <c r="D276" s="30">
        <f>VLOOKUP(A276,'Database Claims'!$A:$C,2,)</f>
        <v>1907000</v>
      </c>
      <c r="E276" s="30">
        <f t="shared" si="9"/>
        <v>1000</v>
      </c>
    </row>
    <row r="277" spans="1:5" x14ac:dyDescent="0.2">
      <c r="A277" s="29">
        <v>26383</v>
      </c>
      <c r="B277" s="26">
        <f>VLOOKUP(A277,'Database Claims'!$A:$C,3,)</f>
        <v>264000</v>
      </c>
      <c r="C277" s="30">
        <f t="shared" si="8"/>
        <v>-2000</v>
      </c>
      <c r="D277" s="26">
        <f>VLOOKUP(A277,'Database Claims'!$A:$C,2,)</f>
        <v>1877000</v>
      </c>
      <c r="E277" s="30">
        <f t="shared" si="9"/>
        <v>-30000</v>
      </c>
    </row>
    <row r="278" spans="1:5" x14ac:dyDescent="0.2">
      <c r="A278" s="29">
        <v>26390</v>
      </c>
      <c r="B278" s="30">
        <f>VLOOKUP(A278,'Database Claims'!$A:$C,3,)</f>
        <v>258000</v>
      </c>
      <c r="C278" s="30">
        <f t="shared" si="8"/>
        <v>-6000</v>
      </c>
      <c r="D278" s="30">
        <f>VLOOKUP(A278,'Database Claims'!$A:$C,2,)</f>
        <v>1913000</v>
      </c>
      <c r="E278" s="30">
        <f t="shared" si="9"/>
        <v>36000</v>
      </c>
    </row>
    <row r="279" spans="1:5" x14ac:dyDescent="0.2">
      <c r="A279" s="29">
        <v>26397</v>
      </c>
      <c r="B279" s="26">
        <f>VLOOKUP(A279,'Database Claims'!$A:$C,3,)</f>
        <v>274000</v>
      </c>
      <c r="C279" s="30">
        <f t="shared" si="8"/>
        <v>16000</v>
      </c>
      <c r="D279" s="26">
        <f>VLOOKUP(A279,'Database Claims'!$A:$C,2,)</f>
        <v>1910000</v>
      </c>
      <c r="E279" s="30">
        <f t="shared" si="9"/>
        <v>-3000</v>
      </c>
    </row>
    <row r="280" spans="1:5" x14ac:dyDescent="0.2">
      <c r="A280" s="29">
        <v>26404</v>
      </c>
      <c r="B280" s="30">
        <f>VLOOKUP(A280,'Database Claims'!$A:$C,3,)</f>
        <v>259000</v>
      </c>
      <c r="C280" s="30">
        <f t="shared" si="8"/>
        <v>-15000</v>
      </c>
      <c r="D280" s="30">
        <f>VLOOKUP(A280,'Database Claims'!$A:$C,2,)</f>
        <v>1891000</v>
      </c>
      <c r="E280" s="30">
        <f t="shared" si="9"/>
        <v>-19000</v>
      </c>
    </row>
    <row r="281" spans="1:5" x14ac:dyDescent="0.2">
      <c r="A281" s="29">
        <v>26411</v>
      </c>
      <c r="B281" s="26">
        <f>VLOOKUP(A281,'Database Claims'!$A:$C,3,)</f>
        <v>259000</v>
      </c>
      <c r="C281" s="30">
        <f t="shared" si="8"/>
        <v>0</v>
      </c>
      <c r="D281" s="26">
        <f>VLOOKUP(A281,'Database Claims'!$A:$C,2,)</f>
        <v>1855000</v>
      </c>
      <c r="E281" s="30">
        <f t="shared" si="9"/>
        <v>-36000</v>
      </c>
    </row>
    <row r="282" spans="1:5" x14ac:dyDescent="0.2">
      <c r="A282" s="29">
        <v>26418</v>
      </c>
      <c r="B282" s="30">
        <f>VLOOKUP(A282,'Database Claims'!$A:$C,3,)</f>
        <v>265000</v>
      </c>
      <c r="C282" s="30">
        <f t="shared" si="8"/>
        <v>6000</v>
      </c>
      <c r="D282" s="30">
        <f>VLOOKUP(A282,'Database Claims'!$A:$C,2,)</f>
        <v>1870000</v>
      </c>
      <c r="E282" s="30">
        <f t="shared" si="9"/>
        <v>15000</v>
      </c>
    </row>
    <row r="283" spans="1:5" x14ac:dyDescent="0.2">
      <c r="A283" s="29">
        <v>26425</v>
      </c>
      <c r="B283" s="26">
        <f>VLOOKUP(A283,'Database Claims'!$A:$C,3,)</f>
        <v>271000</v>
      </c>
      <c r="C283" s="30">
        <f t="shared" si="8"/>
        <v>6000</v>
      </c>
      <c r="D283" s="26">
        <f>VLOOKUP(A283,'Database Claims'!$A:$C,2,)</f>
        <v>1893000</v>
      </c>
      <c r="E283" s="30">
        <f t="shared" si="9"/>
        <v>23000</v>
      </c>
    </row>
    <row r="284" spans="1:5" x14ac:dyDescent="0.2">
      <c r="A284" s="29">
        <v>26432</v>
      </c>
      <c r="B284" s="30">
        <f>VLOOKUP(A284,'Database Claims'!$A:$C,3,)</f>
        <v>266000</v>
      </c>
      <c r="C284" s="30">
        <f t="shared" si="8"/>
        <v>-5000</v>
      </c>
      <c r="D284" s="30">
        <f>VLOOKUP(A284,'Database Claims'!$A:$C,2,)</f>
        <v>1874000</v>
      </c>
      <c r="E284" s="30">
        <f t="shared" si="9"/>
        <v>-19000</v>
      </c>
    </row>
    <row r="285" spans="1:5" x14ac:dyDescent="0.2">
      <c r="A285" s="29">
        <v>26439</v>
      </c>
      <c r="B285" s="26">
        <f>VLOOKUP(A285,'Database Claims'!$A:$C,3,)</f>
        <v>267000</v>
      </c>
      <c r="C285" s="30">
        <f t="shared" si="8"/>
        <v>1000</v>
      </c>
      <c r="D285" s="26">
        <f>VLOOKUP(A285,'Database Claims'!$A:$C,2,)</f>
        <v>1863000</v>
      </c>
      <c r="E285" s="30">
        <f t="shared" si="9"/>
        <v>-11000</v>
      </c>
    </row>
    <row r="286" spans="1:5" x14ac:dyDescent="0.2">
      <c r="A286" s="29">
        <v>26446</v>
      </c>
      <c r="B286" s="30">
        <f>VLOOKUP(A286,'Database Claims'!$A:$C,3,)</f>
        <v>267000</v>
      </c>
      <c r="C286" s="30">
        <f t="shared" si="8"/>
        <v>0</v>
      </c>
      <c r="D286" s="30">
        <f>VLOOKUP(A286,'Database Claims'!$A:$C,2,)</f>
        <v>1871000</v>
      </c>
      <c r="E286" s="30">
        <f t="shared" si="9"/>
        <v>8000</v>
      </c>
    </row>
    <row r="287" spans="1:5" x14ac:dyDescent="0.2">
      <c r="A287" s="29">
        <v>26453</v>
      </c>
      <c r="B287" s="26">
        <f>VLOOKUP(A287,'Database Claims'!$A:$C,3,)</f>
        <v>264000</v>
      </c>
      <c r="C287" s="30">
        <f t="shared" si="8"/>
        <v>-3000</v>
      </c>
      <c r="D287" s="26">
        <f>VLOOKUP(A287,'Database Claims'!$A:$C,2,)</f>
        <v>1857000</v>
      </c>
      <c r="E287" s="30">
        <f t="shared" si="9"/>
        <v>-14000</v>
      </c>
    </row>
    <row r="288" spans="1:5" x14ac:dyDescent="0.2">
      <c r="A288" s="29">
        <v>26460</v>
      </c>
      <c r="B288" s="30">
        <f>VLOOKUP(A288,'Database Claims'!$A:$C,3,)</f>
        <v>268000</v>
      </c>
      <c r="C288" s="30">
        <f t="shared" si="8"/>
        <v>4000</v>
      </c>
      <c r="D288" s="30">
        <f>VLOOKUP(A288,'Database Claims'!$A:$C,2,)</f>
        <v>1870000</v>
      </c>
      <c r="E288" s="30">
        <f t="shared" si="9"/>
        <v>13000</v>
      </c>
    </row>
    <row r="289" spans="1:5" x14ac:dyDescent="0.2">
      <c r="A289" s="29">
        <v>26467</v>
      </c>
      <c r="B289" s="26">
        <f>VLOOKUP(A289,'Database Claims'!$A:$C,3,)</f>
        <v>275000</v>
      </c>
      <c r="C289" s="30">
        <f t="shared" si="8"/>
        <v>7000</v>
      </c>
      <c r="D289" s="26">
        <f>VLOOKUP(A289,'Database Claims'!$A:$C,2,)</f>
        <v>1855000</v>
      </c>
      <c r="E289" s="30">
        <f t="shared" si="9"/>
        <v>-15000</v>
      </c>
    </row>
    <row r="290" spans="1:5" x14ac:dyDescent="0.2">
      <c r="A290" s="29">
        <v>26474</v>
      </c>
      <c r="B290" s="30">
        <f>VLOOKUP(A290,'Database Claims'!$A:$C,3,)</f>
        <v>286000</v>
      </c>
      <c r="C290" s="30">
        <f t="shared" si="8"/>
        <v>11000</v>
      </c>
      <c r="D290" s="30">
        <f>VLOOKUP(A290,'Database Claims'!$A:$C,2,)</f>
        <v>1871000</v>
      </c>
      <c r="E290" s="30">
        <f t="shared" si="9"/>
        <v>16000</v>
      </c>
    </row>
    <row r="291" spans="1:5" x14ac:dyDescent="0.2">
      <c r="A291" s="29">
        <v>26481</v>
      </c>
      <c r="B291" s="26">
        <f>VLOOKUP(A291,'Database Claims'!$A:$C,3,)</f>
        <v>350000</v>
      </c>
      <c r="C291" s="30">
        <f t="shared" si="8"/>
        <v>64000</v>
      </c>
      <c r="D291" s="26">
        <f>VLOOKUP(A291,'Database Claims'!$A:$C,2,)</f>
        <v>1935000</v>
      </c>
      <c r="E291" s="30">
        <f t="shared" si="9"/>
        <v>64000</v>
      </c>
    </row>
    <row r="292" spans="1:5" x14ac:dyDescent="0.2">
      <c r="A292" s="29">
        <v>26488</v>
      </c>
      <c r="B292" s="30">
        <f>VLOOKUP(A292,'Database Claims'!$A:$C,3,)</f>
        <v>297000</v>
      </c>
      <c r="C292" s="30">
        <f t="shared" si="8"/>
        <v>-53000</v>
      </c>
      <c r="D292" s="30">
        <f>VLOOKUP(A292,'Database Claims'!$A:$C,2,)</f>
        <v>1977000</v>
      </c>
      <c r="E292" s="30">
        <f t="shared" si="9"/>
        <v>42000</v>
      </c>
    </row>
    <row r="293" spans="1:5" x14ac:dyDescent="0.2">
      <c r="A293" s="29">
        <v>26495</v>
      </c>
      <c r="B293" s="26">
        <f>VLOOKUP(A293,'Database Claims'!$A:$C,3,)</f>
        <v>318000</v>
      </c>
      <c r="C293" s="30">
        <f t="shared" si="8"/>
        <v>21000</v>
      </c>
      <c r="D293" s="26">
        <f>VLOOKUP(A293,'Database Claims'!$A:$C,2,)</f>
        <v>1947000</v>
      </c>
      <c r="E293" s="30">
        <f t="shared" si="9"/>
        <v>-30000</v>
      </c>
    </row>
    <row r="294" spans="1:5" x14ac:dyDescent="0.2">
      <c r="A294" s="29">
        <v>26502</v>
      </c>
      <c r="B294" s="30">
        <f>VLOOKUP(A294,'Database Claims'!$A:$C,3,)</f>
        <v>276000</v>
      </c>
      <c r="C294" s="30">
        <f t="shared" si="8"/>
        <v>-42000</v>
      </c>
      <c r="D294" s="30">
        <f>VLOOKUP(A294,'Database Claims'!$A:$C,2,)</f>
        <v>1962000</v>
      </c>
      <c r="E294" s="30">
        <f t="shared" si="9"/>
        <v>15000</v>
      </c>
    </row>
    <row r="295" spans="1:5" x14ac:dyDescent="0.2">
      <c r="A295" s="29">
        <v>26509</v>
      </c>
      <c r="B295" s="26">
        <f>VLOOKUP(A295,'Database Claims'!$A:$C,3,)</f>
        <v>247000</v>
      </c>
      <c r="C295" s="30">
        <f t="shared" si="8"/>
        <v>-29000</v>
      </c>
      <c r="D295" s="26">
        <f>VLOOKUP(A295,'Database Claims'!$A:$C,2,)</f>
        <v>1928000</v>
      </c>
      <c r="E295" s="30">
        <f t="shared" si="9"/>
        <v>-34000</v>
      </c>
    </row>
    <row r="296" spans="1:5" x14ac:dyDescent="0.2">
      <c r="A296" s="29">
        <v>26516</v>
      </c>
      <c r="B296" s="30">
        <f>VLOOKUP(A296,'Database Claims'!$A:$C,3,)</f>
        <v>250000</v>
      </c>
      <c r="C296" s="30">
        <f t="shared" si="8"/>
        <v>3000</v>
      </c>
      <c r="D296" s="30">
        <f>VLOOKUP(A296,'Database Claims'!$A:$C,2,)</f>
        <v>1855000</v>
      </c>
      <c r="E296" s="30">
        <f t="shared" si="9"/>
        <v>-73000</v>
      </c>
    </row>
    <row r="297" spans="1:5" x14ac:dyDescent="0.2">
      <c r="A297" s="29">
        <v>26523</v>
      </c>
      <c r="B297" s="26">
        <f>VLOOKUP(A297,'Database Claims'!$A:$C,3,)</f>
        <v>246000</v>
      </c>
      <c r="C297" s="30">
        <f t="shared" si="8"/>
        <v>-4000</v>
      </c>
      <c r="D297" s="26">
        <f>VLOOKUP(A297,'Database Claims'!$A:$C,2,)</f>
        <v>1812000</v>
      </c>
      <c r="E297" s="30">
        <f t="shared" si="9"/>
        <v>-43000</v>
      </c>
    </row>
    <row r="298" spans="1:5" x14ac:dyDescent="0.2">
      <c r="A298" s="29">
        <v>26530</v>
      </c>
      <c r="B298" s="30">
        <f>VLOOKUP(A298,'Database Claims'!$A:$C,3,)</f>
        <v>256000</v>
      </c>
      <c r="C298" s="30">
        <f t="shared" si="8"/>
        <v>10000</v>
      </c>
      <c r="D298" s="30">
        <f>VLOOKUP(A298,'Database Claims'!$A:$C,2,)</f>
        <v>1794000</v>
      </c>
      <c r="E298" s="30">
        <f t="shared" si="9"/>
        <v>-18000</v>
      </c>
    </row>
    <row r="299" spans="1:5" x14ac:dyDescent="0.2">
      <c r="A299" s="29">
        <v>26537</v>
      </c>
      <c r="B299" s="26">
        <f>VLOOKUP(A299,'Database Claims'!$A:$C,3,)</f>
        <v>262000</v>
      </c>
      <c r="C299" s="30">
        <f t="shared" si="8"/>
        <v>6000</v>
      </c>
      <c r="D299" s="26">
        <f>VLOOKUP(A299,'Database Claims'!$A:$C,2,)</f>
        <v>1792000</v>
      </c>
      <c r="E299" s="30">
        <f t="shared" si="9"/>
        <v>-2000</v>
      </c>
    </row>
    <row r="300" spans="1:5" x14ac:dyDescent="0.2">
      <c r="A300" s="29">
        <v>26544</v>
      </c>
      <c r="B300" s="30">
        <f>VLOOKUP(A300,'Database Claims'!$A:$C,3,)</f>
        <v>258000</v>
      </c>
      <c r="C300" s="30">
        <f t="shared" si="8"/>
        <v>-4000</v>
      </c>
      <c r="D300" s="30">
        <f>VLOOKUP(A300,'Database Claims'!$A:$C,2,)</f>
        <v>1838000</v>
      </c>
      <c r="E300" s="30">
        <f t="shared" si="9"/>
        <v>46000</v>
      </c>
    </row>
    <row r="301" spans="1:5" x14ac:dyDescent="0.2">
      <c r="A301" s="29">
        <v>26551</v>
      </c>
      <c r="B301" s="26">
        <f>VLOOKUP(A301,'Database Claims'!$A:$C,3,)</f>
        <v>259000</v>
      </c>
      <c r="C301" s="30">
        <f t="shared" si="8"/>
        <v>1000</v>
      </c>
      <c r="D301" s="26">
        <f>VLOOKUP(A301,'Database Claims'!$A:$C,2,)</f>
        <v>1802000</v>
      </c>
      <c r="E301" s="30">
        <f t="shared" si="9"/>
        <v>-36000</v>
      </c>
    </row>
    <row r="302" spans="1:5" x14ac:dyDescent="0.2">
      <c r="A302" s="29">
        <v>26558</v>
      </c>
      <c r="B302" s="30">
        <f>VLOOKUP(A302,'Database Claims'!$A:$C,3,)</f>
        <v>258000</v>
      </c>
      <c r="C302" s="30">
        <f t="shared" si="8"/>
        <v>-1000</v>
      </c>
      <c r="D302" s="30">
        <f>VLOOKUP(A302,'Database Claims'!$A:$C,2,)</f>
        <v>1799000</v>
      </c>
      <c r="E302" s="30">
        <f t="shared" si="9"/>
        <v>-3000</v>
      </c>
    </row>
    <row r="303" spans="1:5" x14ac:dyDescent="0.2">
      <c r="A303" s="29">
        <v>26565</v>
      </c>
      <c r="B303" s="26">
        <f>VLOOKUP(A303,'Database Claims'!$A:$C,3,)</f>
        <v>255000</v>
      </c>
      <c r="C303" s="30">
        <f t="shared" si="8"/>
        <v>-3000</v>
      </c>
      <c r="D303" s="26">
        <f>VLOOKUP(A303,'Database Claims'!$A:$C,2,)</f>
        <v>1791000</v>
      </c>
      <c r="E303" s="30">
        <f t="shared" si="9"/>
        <v>-8000</v>
      </c>
    </row>
    <row r="304" spans="1:5" x14ac:dyDescent="0.2">
      <c r="A304" s="29">
        <v>26572</v>
      </c>
      <c r="B304" s="30">
        <f>VLOOKUP(A304,'Database Claims'!$A:$C,3,)</f>
        <v>251000</v>
      </c>
      <c r="C304" s="30">
        <f t="shared" si="8"/>
        <v>-4000</v>
      </c>
      <c r="D304" s="30">
        <f>VLOOKUP(A304,'Database Claims'!$A:$C,2,)</f>
        <v>1763000</v>
      </c>
      <c r="E304" s="30">
        <f t="shared" si="9"/>
        <v>-28000</v>
      </c>
    </row>
    <row r="305" spans="1:5" x14ac:dyDescent="0.2">
      <c r="A305" s="29">
        <v>26579</v>
      </c>
      <c r="B305" s="26">
        <f>VLOOKUP(A305,'Database Claims'!$A:$C,3,)</f>
        <v>263000</v>
      </c>
      <c r="C305" s="30">
        <f t="shared" si="8"/>
        <v>12000</v>
      </c>
      <c r="D305" s="26">
        <f>VLOOKUP(A305,'Database Claims'!$A:$C,2,)</f>
        <v>1771000</v>
      </c>
      <c r="E305" s="30">
        <f t="shared" si="9"/>
        <v>8000</v>
      </c>
    </row>
    <row r="306" spans="1:5" x14ac:dyDescent="0.2">
      <c r="A306" s="29">
        <v>26586</v>
      </c>
      <c r="B306" s="30">
        <f>VLOOKUP(A306,'Database Claims'!$A:$C,3,)</f>
        <v>250000</v>
      </c>
      <c r="C306" s="30">
        <f t="shared" si="8"/>
        <v>-13000</v>
      </c>
      <c r="D306" s="30">
        <f>VLOOKUP(A306,'Database Claims'!$A:$C,2,)</f>
        <v>1760000</v>
      </c>
      <c r="E306" s="30">
        <f t="shared" si="9"/>
        <v>-11000</v>
      </c>
    </row>
    <row r="307" spans="1:5" x14ac:dyDescent="0.2">
      <c r="A307" s="29">
        <v>26593</v>
      </c>
      <c r="B307" s="26">
        <f>VLOOKUP(A307,'Database Claims'!$A:$C,3,)</f>
        <v>257000</v>
      </c>
      <c r="C307" s="30">
        <f t="shared" si="8"/>
        <v>7000</v>
      </c>
      <c r="D307" s="26">
        <f>VLOOKUP(A307,'Database Claims'!$A:$C,2,)</f>
        <v>1733000</v>
      </c>
      <c r="E307" s="30">
        <f t="shared" si="9"/>
        <v>-27000</v>
      </c>
    </row>
    <row r="308" spans="1:5" x14ac:dyDescent="0.2">
      <c r="A308" s="29">
        <v>26600</v>
      </c>
      <c r="B308" s="30">
        <f>VLOOKUP(A308,'Database Claims'!$A:$C,3,)</f>
        <v>234000</v>
      </c>
      <c r="C308" s="30">
        <f t="shared" si="8"/>
        <v>-23000</v>
      </c>
      <c r="D308" s="30">
        <f>VLOOKUP(A308,'Database Claims'!$A:$C,2,)</f>
        <v>1750000</v>
      </c>
      <c r="E308" s="30">
        <f t="shared" si="9"/>
        <v>17000</v>
      </c>
    </row>
    <row r="309" spans="1:5" x14ac:dyDescent="0.2">
      <c r="A309" s="29">
        <v>26607</v>
      </c>
      <c r="B309" s="26">
        <f>VLOOKUP(A309,'Database Claims'!$A:$C,3,)</f>
        <v>255000</v>
      </c>
      <c r="C309" s="30">
        <f t="shared" si="8"/>
        <v>21000</v>
      </c>
      <c r="D309" s="26">
        <f>VLOOKUP(A309,'Database Claims'!$A:$C,2,)</f>
        <v>1722000</v>
      </c>
      <c r="E309" s="30">
        <f t="shared" si="9"/>
        <v>-28000</v>
      </c>
    </row>
    <row r="310" spans="1:5" x14ac:dyDescent="0.2">
      <c r="A310" s="29">
        <v>26614</v>
      </c>
      <c r="B310" s="30">
        <f>VLOOKUP(A310,'Database Claims'!$A:$C,3,)</f>
        <v>242000</v>
      </c>
      <c r="C310" s="30">
        <f t="shared" si="8"/>
        <v>-13000</v>
      </c>
      <c r="D310" s="30">
        <f>VLOOKUP(A310,'Database Claims'!$A:$C,2,)</f>
        <v>1736000</v>
      </c>
      <c r="E310" s="30">
        <f t="shared" si="9"/>
        <v>14000</v>
      </c>
    </row>
    <row r="311" spans="1:5" x14ac:dyDescent="0.2">
      <c r="A311" s="29">
        <v>26621</v>
      </c>
      <c r="B311" s="26">
        <f>VLOOKUP(A311,'Database Claims'!$A:$C,3,)</f>
        <v>271000</v>
      </c>
      <c r="C311" s="30">
        <f t="shared" si="8"/>
        <v>29000</v>
      </c>
      <c r="D311" s="26">
        <f>VLOOKUP(A311,'Database Claims'!$A:$C,2,)</f>
        <v>1727000</v>
      </c>
      <c r="E311" s="30">
        <f t="shared" si="9"/>
        <v>-9000</v>
      </c>
    </row>
    <row r="312" spans="1:5" x14ac:dyDescent="0.2">
      <c r="A312" s="29">
        <v>26628</v>
      </c>
      <c r="B312" s="30">
        <f>VLOOKUP(A312,'Database Claims'!$A:$C,3,)</f>
        <v>235000</v>
      </c>
      <c r="C312" s="30">
        <f t="shared" si="8"/>
        <v>-36000</v>
      </c>
      <c r="D312" s="30">
        <f>VLOOKUP(A312,'Database Claims'!$A:$C,2,)</f>
        <v>1743000</v>
      </c>
      <c r="E312" s="30">
        <f t="shared" si="9"/>
        <v>16000</v>
      </c>
    </row>
    <row r="313" spans="1:5" x14ac:dyDescent="0.2">
      <c r="A313" s="29">
        <v>26635</v>
      </c>
      <c r="B313" s="26">
        <f>VLOOKUP(A313,'Database Claims'!$A:$C,3,)</f>
        <v>226000</v>
      </c>
      <c r="C313" s="30">
        <f t="shared" si="8"/>
        <v>-9000</v>
      </c>
      <c r="D313" s="26">
        <f>VLOOKUP(A313,'Database Claims'!$A:$C,2,)</f>
        <v>1676000</v>
      </c>
      <c r="E313" s="30">
        <f t="shared" si="9"/>
        <v>-67000</v>
      </c>
    </row>
    <row r="314" spans="1:5" x14ac:dyDescent="0.2">
      <c r="A314" s="29">
        <v>26642</v>
      </c>
      <c r="B314" s="30">
        <f>VLOOKUP(A314,'Database Claims'!$A:$C,3,)</f>
        <v>252000</v>
      </c>
      <c r="C314" s="30">
        <f t="shared" si="8"/>
        <v>26000</v>
      </c>
      <c r="D314" s="30">
        <f>VLOOKUP(A314,'Database Claims'!$A:$C,2,)</f>
        <v>1681000</v>
      </c>
      <c r="E314" s="30">
        <f t="shared" si="9"/>
        <v>5000</v>
      </c>
    </row>
    <row r="315" spans="1:5" x14ac:dyDescent="0.2">
      <c r="A315" s="29">
        <v>26649</v>
      </c>
      <c r="B315" s="26">
        <f>VLOOKUP(A315,'Database Claims'!$A:$C,3,)</f>
        <v>263000</v>
      </c>
      <c r="C315" s="30">
        <f t="shared" si="8"/>
        <v>11000</v>
      </c>
      <c r="D315" s="26">
        <f>VLOOKUP(A315,'Database Claims'!$A:$C,2,)</f>
        <v>1756000</v>
      </c>
      <c r="E315" s="30">
        <f t="shared" si="9"/>
        <v>75000</v>
      </c>
    </row>
    <row r="316" spans="1:5" x14ac:dyDescent="0.2">
      <c r="A316" s="29">
        <v>26656</v>
      </c>
      <c r="B316" s="30">
        <f>VLOOKUP(A316,'Database Claims'!$A:$C,3,)</f>
        <v>246000</v>
      </c>
      <c r="C316" s="30">
        <f t="shared" si="8"/>
        <v>-17000</v>
      </c>
      <c r="D316" s="30">
        <f>VLOOKUP(A316,'Database Claims'!$A:$C,2,)</f>
        <v>1697000</v>
      </c>
      <c r="E316" s="30">
        <f t="shared" si="9"/>
        <v>-59000</v>
      </c>
    </row>
    <row r="317" spans="1:5" x14ac:dyDescent="0.2">
      <c r="A317" s="29">
        <v>26663</v>
      </c>
      <c r="B317" s="26">
        <f>VLOOKUP(A317,'Database Claims'!$A:$C,3,)</f>
        <v>225000</v>
      </c>
      <c r="C317" s="30">
        <f t="shared" si="8"/>
        <v>-21000</v>
      </c>
      <c r="D317" s="26">
        <f>VLOOKUP(A317,'Database Claims'!$A:$C,2,)</f>
        <v>1663000</v>
      </c>
      <c r="E317" s="30">
        <f t="shared" si="9"/>
        <v>-34000</v>
      </c>
    </row>
    <row r="318" spans="1:5" x14ac:dyDescent="0.2">
      <c r="A318" s="29">
        <v>26670</v>
      </c>
      <c r="B318" s="30">
        <f>VLOOKUP(A318,'Database Claims'!$A:$C,3,)</f>
        <v>226000</v>
      </c>
      <c r="C318" s="30">
        <f t="shared" si="8"/>
        <v>1000</v>
      </c>
      <c r="D318" s="30">
        <f>VLOOKUP(A318,'Database Claims'!$A:$C,2,)</f>
        <v>1617000</v>
      </c>
      <c r="E318" s="30">
        <f t="shared" si="9"/>
        <v>-46000</v>
      </c>
    </row>
    <row r="319" spans="1:5" x14ac:dyDescent="0.2">
      <c r="A319" s="29">
        <v>26677</v>
      </c>
      <c r="B319" s="26">
        <f>VLOOKUP(A319,'Database Claims'!$A:$C,3,)</f>
        <v>245000</v>
      </c>
      <c r="C319" s="30">
        <f t="shared" si="8"/>
        <v>19000</v>
      </c>
      <c r="D319" s="26">
        <f>VLOOKUP(A319,'Database Claims'!$A:$C,2,)</f>
        <v>1660000</v>
      </c>
      <c r="E319" s="30">
        <f t="shared" si="9"/>
        <v>43000</v>
      </c>
    </row>
    <row r="320" spans="1:5" x14ac:dyDescent="0.2">
      <c r="A320" s="29">
        <v>26684</v>
      </c>
      <c r="B320" s="30">
        <f>VLOOKUP(A320,'Database Claims'!$A:$C,3,)</f>
        <v>229000</v>
      </c>
      <c r="C320" s="30">
        <f t="shared" si="8"/>
        <v>-16000</v>
      </c>
      <c r="D320" s="30">
        <f>VLOOKUP(A320,'Database Claims'!$A:$C,2,)</f>
        <v>1607000</v>
      </c>
      <c r="E320" s="30">
        <f t="shared" si="9"/>
        <v>-53000</v>
      </c>
    </row>
    <row r="321" spans="1:5" x14ac:dyDescent="0.2">
      <c r="A321" s="29">
        <v>26691</v>
      </c>
      <c r="B321" s="26">
        <f>VLOOKUP(A321,'Database Claims'!$A:$C,3,)</f>
        <v>214000</v>
      </c>
      <c r="C321" s="30">
        <f t="shared" si="8"/>
        <v>-15000</v>
      </c>
      <c r="D321" s="26">
        <f>VLOOKUP(A321,'Database Claims'!$A:$C,2,)</f>
        <v>1601000</v>
      </c>
      <c r="E321" s="30">
        <f t="shared" si="9"/>
        <v>-6000</v>
      </c>
    </row>
    <row r="322" spans="1:5" x14ac:dyDescent="0.2">
      <c r="A322" s="29">
        <v>26698</v>
      </c>
      <c r="B322" s="30">
        <f>VLOOKUP(A322,'Database Claims'!$A:$C,3,)</f>
        <v>228000</v>
      </c>
      <c r="C322" s="30">
        <f t="shared" si="8"/>
        <v>14000</v>
      </c>
      <c r="D322" s="30">
        <f>VLOOKUP(A322,'Database Claims'!$A:$C,2,)</f>
        <v>1596000</v>
      </c>
      <c r="E322" s="30">
        <f t="shared" si="9"/>
        <v>-5000</v>
      </c>
    </row>
    <row r="323" spans="1:5" x14ac:dyDescent="0.2">
      <c r="A323" s="29">
        <v>26705</v>
      </c>
      <c r="B323" s="26">
        <f>VLOOKUP(A323,'Database Claims'!$A:$C,3,)</f>
        <v>226000</v>
      </c>
      <c r="C323" s="30">
        <f t="shared" si="8"/>
        <v>-2000</v>
      </c>
      <c r="D323" s="26">
        <f>VLOOKUP(A323,'Database Claims'!$A:$C,2,)</f>
        <v>1594000</v>
      </c>
      <c r="E323" s="30">
        <f t="shared" si="9"/>
        <v>-2000</v>
      </c>
    </row>
    <row r="324" spans="1:5" x14ac:dyDescent="0.2">
      <c r="A324" s="29">
        <v>26712</v>
      </c>
      <c r="B324" s="30">
        <f>VLOOKUP(A324,'Database Claims'!$A:$C,3,)</f>
        <v>216000</v>
      </c>
      <c r="C324" s="30">
        <f t="shared" si="8"/>
        <v>-10000</v>
      </c>
      <c r="D324" s="30">
        <f>VLOOKUP(A324,'Database Claims'!$A:$C,2,)</f>
        <v>1582000</v>
      </c>
      <c r="E324" s="30">
        <f t="shared" si="9"/>
        <v>-12000</v>
      </c>
    </row>
    <row r="325" spans="1:5" x14ac:dyDescent="0.2">
      <c r="A325" s="29">
        <v>26719</v>
      </c>
      <c r="B325" s="26">
        <f>VLOOKUP(A325,'Database Claims'!$A:$C,3,)</f>
        <v>218000</v>
      </c>
      <c r="C325" s="30">
        <f t="shared" si="8"/>
        <v>2000</v>
      </c>
      <c r="D325" s="26">
        <f>VLOOKUP(A325,'Database Claims'!$A:$C,2,)</f>
        <v>1582000</v>
      </c>
      <c r="E325" s="30">
        <f t="shared" si="9"/>
        <v>0</v>
      </c>
    </row>
    <row r="326" spans="1:5" x14ac:dyDescent="0.2">
      <c r="A326" s="29">
        <v>26726</v>
      </c>
      <c r="B326" s="30">
        <f>VLOOKUP(A326,'Database Claims'!$A:$C,3,)</f>
        <v>225000</v>
      </c>
      <c r="C326" s="30">
        <f t="shared" ref="C326:C389" si="10">B326-B325</f>
        <v>7000</v>
      </c>
      <c r="D326" s="30">
        <f>VLOOKUP(A326,'Database Claims'!$A:$C,2,)</f>
        <v>1579000</v>
      </c>
      <c r="E326" s="30">
        <f t="shared" ref="E326:E389" si="11">D326-D325</f>
        <v>-3000</v>
      </c>
    </row>
    <row r="327" spans="1:5" x14ac:dyDescent="0.2">
      <c r="A327" s="29">
        <v>26733</v>
      </c>
      <c r="B327" s="26">
        <f>VLOOKUP(A327,'Database Claims'!$A:$C,3,)</f>
        <v>229000</v>
      </c>
      <c r="C327" s="30">
        <f t="shared" si="10"/>
        <v>4000</v>
      </c>
      <c r="D327" s="26">
        <f>VLOOKUP(A327,'Database Claims'!$A:$C,2,)</f>
        <v>1584000</v>
      </c>
      <c r="E327" s="30">
        <f t="shared" si="11"/>
        <v>5000</v>
      </c>
    </row>
    <row r="328" spans="1:5" x14ac:dyDescent="0.2">
      <c r="A328" s="29">
        <v>26740</v>
      </c>
      <c r="B328" s="30">
        <f>VLOOKUP(A328,'Database Claims'!$A:$C,3,)</f>
        <v>228000</v>
      </c>
      <c r="C328" s="30">
        <f t="shared" si="10"/>
        <v>-1000</v>
      </c>
      <c r="D328" s="30">
        <f>VLOOKUP(A328,'Database Claims'!$A:$C,2,)</f>
        <v>1578000</v>
      </c>
      <c r="E328" s="30">
        <f t="shared" si="11"/>
        <v>-6000</v>
      </c>
    </row>
    <row r="329" spans="1:5" x14ac:dyDescent="0.2">
      <c r="A329" s="29">
        <v>26747</v>
      </c>
      <c r="B329" s="26">
        <f>VLOOKUP(A329,'Database Claims'!$A:$C,3,)</f>
        <v>232000</v>
      </c>
      <c r="C329" s="30">
        <f t="shared" si="10"/>
        <v>4000</v>
      </c>
      <c r="D329" s="26">
        <f>VLOOKUP(A329,'Database Claims'!$A:$C,2,)</f>
        <v>1562000</v>
      </c>
      <c r="E329" s="30">
        <f t="shared" si="11"/>
        <v>-16000</v>
      </c>
    </row>
    <row r="330" spans="1:5" x14ac:dyDescent="0.2">
      <c r="A330" s="29">
        <v>26754</v>
      </c>
      <c r="B330" s="30">
        <f>VLOOKUP(A330,'Database Claims'!$A:$C,3,)</f>
        <v>222000</v>
      </c>
      <c r="C330" s="30">
        <f t="shared" si="10"/>
        <v>-10000</v>
      </c>
      <c r="D330" s="30">
        <f>VLOOKUP(A330,'Database Claims'!$A:$C,2,)</f>
        <v>1547000</v>
      </c>
      <c r="E330" s="30">
        <f t="shared" si="11"/>
        <v>-15000</v>
      </c>
    </row>
    <row r="331" spans="1:5" x14ac:dyDescent="0.2">
      <c r="A331" s="29">
        <v>26761</v>
      </c>
      <c r="B331" s="26">
        <f>VLOOKUP(A331,'Database Claims'!$A:$C,3,)</f>
        <v>247000</v>
      </c>
      <c r="C331" s="30">
        <f t="shared" si="10"/>
        <v>25000</v>
      </c>
      <c r="D331" s="26">
        <f>VLOOKUP(A331,'Database Claims'!$A:$C,2,)</f>
        <v>1552000</v>
      </c>
      <c r="E331" s="30">
        <f t="shared" si="11"/>
        <v>5000</v>
      </c>
    </row>
    <row r="332" spans="1:5" x14ac:dyDescent="0.2">
      <c r="A332" s="29">
        <v>26768</v>
      </c>
      <c r="B332" s="30">
        <f>VLOOKUP(A332,'Database Claims'!$A:$C,3,)</f>
        <v>230000</v>
      </c>
      <c r="C332" s="30">
        <f t="shared" si="10"/>
        <v>-17000</v>
      </c>
      <c r="D332" s="30">
        <f>VLOOKUP(A332,'Database Claims'!$A:$C,2,)</f>
        <v>1539000</v>
      </c>
      <c r="E332" s="30">
        <f t="shared" si="11"/>
        <v>-13000</v>
      </c>
    </row>
    <row r="333" spans="1:5" x14ac:dyDescent="0.2">
      <c r="A333" s="29">
        <v>26775</v>
      </c>
      <c r="B333" s="26">
        <f>VLOOKUP(A333,'Database Claims'!$A:$C,3,)</f>
        <v>243000</v>
      </c>
      <c r="C333" s="30">
        <f t="shared" si="10"/>
        <v>13000</v>
      </c>
      <c r="D333" s="26">
        <f>VLOOKUP(A333,'Database Claims'!$A:$C,2,)</f>
        <v>1573000</v>
      </c>
      <c r="E333" s="30">
        <f t="shared" si="11"/>
        <v>34000</v>
      </c>
    </row>
    <row r="334" spans="1:5" x14ac:dyDescent="0.2">
      <c r="A334" s="29">
        <v>26782</v>
      </c>
      <c r="B334" s="30">
        <f>VLOOKUP(A334,'Database Claims'!$A:$C,3,)</f>
        <v>236000</v>
      </c>
      <c r="C334" s="30">
        <f t="shared" si="10"/>
        <v>-7000</v>
      </c>
      <c r="D334" s="30">
        <f>VLOOKUP(A334,'Database Claims'!$A:$C,2,)</f>
        <v>1551000</v>
      </c>
      <c r="E334" s="30">
        <f t="shared" si="11"/>
        <v>-22000</v>
      </c>
    </row>
    <row r="335" spans="1:5" x14ac:dyDescent="0.2">
      <c r="A335" s="29">
        <v>26789</v>
      </c>
      <c r="B335" s="26">
        <f>VLOOKUP(A335,'Database Claims'!$A:$C,3,)</f>
        <v>248000</v>
      </c>
      <c r="C335" s="30">
        <f t="shared" si="10"/>
        <v>12000</v>
      </c>
      <c r="D335" s="26">
        <f>VLOOKUP(A335,'Database Claims'!$A:$C,2,)</f>
        <v>1560000</v>
      </c>
      <c r="E335" s="30">
        <f t="shared" si="11"/>
        <v>9000</v>
      </c>
    </row>
    <row r="336" spans="1:5" x14ac:dyDescent="0.2">
      <c r="A336" s="29">
        <v>26796</v>
      </c>
      <c r="B336" s="30">
        <f>VLOOKUP(A336,'Database Claims'!$A:$C,3,)</f>
        <v>238000</v>
      </c>
      <c r="C336" s="30">
        <f t="shared" si="10"/>
        <v>-10000</v>
      </c>
      <c r="D336" s="30">
        <f>VLOOKUP(A336,'Database Claims'!$A:$C,2,)</f>
        <v>1557000</v>
      </c>
      <c r="E336" s="30">
        <f t="shared" si="11"/>
        <v>-3000</v>
      </c>
    </row>
    <row r="337" spans="1:5" x14ac:dyDescent="0.2">
      <c r="A337" s="29">
        <v>26803</v>
      </c>
      <c r="B337" s="26">
        <f>VLOOKUP(A337,'Database Claims'!$A:$C,3,)</f>
        <v>237000</v>
      </c>
      <c r="C337" s="30">
        <f t="shared" si="10"/>
        <v>-1000</v>
      </c>
      <c r="D337" s="26">
        <f>VLOOKUP(A337,'Database Claims'!$A:$C,2,)</f>
        <v>1553000</v>
      </c>
      <c r="E337" s="30">
        <f t="shared" si="11"/>
        <v>-4000</v>
      </c>
    </row>
    <row r="338" spans="1:5" x14ac:dyDescent="0.2">
      <c r="A338" s="29">
        <v>26810</v>
      </c>
      <c r="B338" s="30">
        <f>VLOOKUP(A338,'Database Claims'!$A:$C,3,)</f>
        <v>238000</v>
      </c>
      <c r="C338" s="30">
        <f t="shared" si="10"/>
        <v>1000</v>
      </c>
      <c r="D338" s="30">
        <f>VLOOKUP(A338,'Database Claims'!$A:$C,2,)</f>
        <v>1567000</v>
      </c>
      <c r="E338" s="30">
        <f t="shared" si="11"/>
        <v>14000</v>
      </c>
    </row>
    <row r="339" spans="1:5" x14ac:dyDescent="0.2">
      <c r="A339" s="29">
        <v>26817</v>
      </c>
      <c r="B339" s="26">
        <f>VLOOKUP(A339,'Database Claims'!$A:$C,3,)</f>
        <v>232000</v>
      </c>
      <c r="C339" s="30">
        <f t="shared" si="10"/>
        <v>-6000</v>
      </c>
      <c r="D339" s="26">
        <f>VLOOKUP(A339,'Database Claims'!$A:$C,2,)</f>
        <v>1556000</v>
      </c>
      <c r="E339" s="30">
        <f t="shared" si="11"/>
        <v>-11000</v>
      </c>
    </row>
    <row r="340" spans="1:5" x14ac:dyDescent="0.2">
      <c r="A340" s="29">
        <v>26824</v>
      </c>
      <c r="B340" s="30">
        <f>VLOOKUP(A340,'Database Claims'!$A:$C,3,)</f>
        <v>246000</v>
      </c>
      <c r="C340" s="30">
        <f t="shared" si="10"/>
        <v>14000</v>
      </c>
      <c r="D340" s="30">
        <f>VLOOKUP(A340,'Database Claims'!$A:$C,2,)</f>
        <v>1563000</v>
      </c>
      <c r="E340" s="30">
        <f t="shared" si="11"/>
        <v>7000</v>
      </c>
    </row>
    <row r="341" spans="1:5" x14ac:dyDescent="0.2">
      <c r="A341" s="29">
        <v>26831</v>
      </c>
      <c r="B341" s="26">
        <f>VLOOKUP(A341,'Database Claims'!$A:$C,3,)</f>
        <v>237000</v>
      </c>
      <c r="C341" s="30">
        <f t="shared" si="10"/>
        <v>-9000</v>
      </c>
      <c r="D341" s="26">
        <f>VLOOKUP(A341,'Database Claims'!$A:$C,2,)</f>
        <v>1576000</v>
      </c>
      <c r="E341" s="30">
        <f t="shared" si="11"/>
        <v>13000</v>
      </c>
    </row>
    <row r="342" spans="1:5" x14ac:dyDescent="0.2">
      <c r="A342" s="29">
        <v>26838</v>
      </c>
      <c r="B342" s="30">
        <f>VLOOKUP(A342,'Database Claims'!$A:$C,3,)</f>
        <v>242000</v>
      </c>
      <c r="C342" s="30">
        <f t="shared" si="10"/>
        <v>5000</v>
      </c>
      <c r="D342" s="30">
        <f>VLOOKUP(A342,'Database Claims'!$A:$C,2,)</f>
        <v>1570000</v>
      </c>
      <c r="E342" s="30">
        <f t="shared" si="11"/>
        <v>-6000</v>
      </c>
    </row>
    <row r="343" spans="1:5" x14ac:dyDescent="0.2">
      <c r="A343" s="29">
        <v>26845</v>
      </c>
      <c r="B343" s="26">
        <f>VLOOKUP(A343,'Database Claims'!$A:$C,3,)</f>
        <v>237000</v>
      </c>
      <c r="C343" s="30">
        <f t="shared" si="10"/>
        <v>-5000</v>
      </c>
      <c r="D343" s="26">
        <f>VLOOKUP(A343,'Database Claims'!$A:$C,2,)</f>
        <v>1571000</v>
      </c>
      <c r="E343" s="30">
        <f t="shared" si="11"/>
        <v>1000</v>
      </c>
    </row>
    <row r="344" spans="1:5" x14ac:dyDescent="0.2">
      <c r="A344" s="29">
        <v>26852</v>
      </c>
      <c r="B344" s="30">
        <f>VLOOKUP(A344,'Database Claims'!$A:$C,3,)</f>
        <v>248000</v>
      </c>
      <c r="C344" s="30">
        <f t="shared" si="10"/>
        <v>11000</v>
      </c>
      <c r="D344" s="30">
        <f>VLOOKUP(A344,'Database Claims'!$A:$C,2,)</f>
        <v>1605000</v>
      </c>
      <c r="E344" s="30">
        <f t="shared" si="11"/>
        <v>34000</v>
      </c>
    </row>
    <row r="345" spans="1:5" x14ac:dyDescent="0.2">
      <c r="A345" s="29">
        <v>26859</v>
      </c>
      <c r="B345" s="26">
        <f>VLOOKUP(A345,'Database Claims'!$A:$C,3,)</f>
        <v>232000</v>
      </c>
      <c r="C345" s="30">
        <f t="shared" si="10"/>
        <v>-16000</v>
      </c>
      <c r="D345" s="26">
        <f>VLOOKUP(A345,'Database Claims'!$A:$C,2,)</f>
        <v>1605000</v>
      </c>
      <c r="E345" s="30">
        <f t="shared" si="11"/>
        <v>0</v>
      </c>
    </row>
    <row r="346" spans="1:5" x14ac:dyDescent="0.2">
      <c r="A346" s="29">
        <v>26866</v>
      </c>
      <c r="B346" s="30">
        <f>VLOOKUP(A346,'Database Claims'!$A:$C,3,)</f>
        <v>241000</v>
      </c>
      <c r="C346" s="30">
        <f t="shared" si="10"/>
        <v>9000</v>
      </c>
      <c r="D346" s="30">
        <f>VLOOKUP(A346,'Database Claims'!$A:$C,2,)</f>
        <v>1594000</v>
      </c>
      <c r="E346" s="30">
        <f t="shared" si="11"/>
        <v>-11000</v>
      </c>
    </row>
    <row r="347" spans="1:5" x14ac:dyDescent="0.2">
      <c r="A347" s="29">
        <v>26873</v>
      </c>
      <c r="B347" s="26">
        <f>VLOOKUP(A347,'Database Claims'!$A:$C,3,)</f>
        <v>250000</v>
      </c>
      <c r="C347" s="30">
        <f t="shared" si="10"/>
        <v>9000</v>
      </c>
      <c r="D347" s="26">
        <f>VLOOKUP(A347,'Database Claims'!$A:$C,2,)</f>
        <v>1603000</v>
      </c>
      <c r="E347" s="30">
        <f t="shared" si="11"/>
        <v>9000</v>
      </c>
    </row>
    <row r="348" spans="1:5" x14ac:dyDescent="0.2">
      <c r="A348" s="29">
        <v>26880</v>
      </c>
      <c r="B348" s="30">
        <f>VLOOKUP(A348,'Database Claims'!$A:$C,3,)</f>
        <v>256000</v>
      </c>
      <c r="C348" s="30">
        <f t="shared" si="10"/>
        <v>6000</v>
      </c>
      <c r="D348" s="30">
        <f>VLOOKUP(A348,'Database Claims'!$A:$C,2,)</f>
        <v>1633000</v>
      </c>
      <c r="E348" s="30">
        <f t="shared" si="11"/>
        <v>30000</v>
      </c>
    </row>
    <row r="349" spans="1:5" x14ac:dyDescent="0.2">
      <c r="A349" s="29">
        <v>26887</v>
      </c>
      <c r="B349" s="26">
        <f>VLOOKUP(A349,'Database Claims'!$A:$C,3,)</f>
        <v>265000</v>
      </c>
      <c r="C349" s="30">
        <f t="shared" si="10"/>
        <v>9000</v>
      </c>
      <c r="D349" s="26">
        <f>VLOOKUP(A349,'Database Claims'!$A:$C,2,)</f>
        <v>1679000</v>
      </c>
      <c r="E349" s="30">
        <f t="shared" si="11"/>
        <v>46000</v>
      </c>
    </row>
    <row r="350" spans="1:5" x14ac:dyDescent="0.2">
      <c r="A350" s="29">
        <v>26894</v>
      </c>
      <c r="B350" s="30">
        <f>VLOOKUP(A350,'Database Claims'!$A:$C,3,)</f>
        <v>258000</v>
      </c>
      <c r="C350" s="30">
        <f t="shared" si="10"/>
        <v>-7000</v>
      </c>
      <c r="D350" s="30">
        <f>VLOOKUP(A350,'Database Claims'!$A:$C,2,)</f>
        <v>1672000</v>
      </c>
      <c r="E350" s="30">
        <f t="shared" si="11"/>
        <v>-7000</v>
      </c>
    </row>
    <row r="351" spans="1:5" x14ac:dyDescent="0.2">
      <c r="A351" s="29">
        <v>26901</v>
      </c>
      <c r="B351" s="26">
        <f>VLOOKUP(A351,'Database Claims'!$A:$C,3,)</f>
        <v>254000</v>
      </c>
      <c r="C351" s="30">
        <f t="shared" si="10"/>
        <v>-4000</v>
      </c>
      <c r="D351" s="26">
        <f>VLOOKUP(A351,'Database Claims'!$A:$C,2,)</f>
        <v>1675000</v>
      </c>
      <c r="E351" s="30">
        <f t="shared" si="11"/>
        <v>3000</v>
      </c>
    </row>
    <row r="352" spans="1:5" x14ac:dyDescent="0.2">
      <c r="A352" s="29">
        <v>26908</v>
      </c>
      <c r="B352" s="30">
        <f>VLOOKUP(A352,'Database Claims'!$A:$C,3,)</f>
        <v>242000</v>
      </c>
      <c r="C352" s="30">
        <f t="shared" si="10"/>
        <v>-12000</v>
      </c>
      <c r="D352" s="30">
        <f>VLOOKUP(A352,'Database Claims'!$A:$C,2,)</f>
        <v>1681000</v>
      </c>
      <c r="E352" s="30">
        <f t="shared" si="11"/>
        <v>6000</v>
      </c>
    </row>
    <row r="353" spans="1:5" x14ac:dyDescent="0.2">
      <c r="A353" s="29">
        <v>26915</v>
      </c>
      <c r="B353" s="26">
        <f>VLOOKUP(A353,'Database Claims'!$A:$C,3,)</f>
        <v>252000</v>
      </c>
      <c r="C353" s="30">
        <f t="shared" si="10"/>
        <v>10000</v>
      </c>
      <c r="D353" s="26">
        <f>VLOOKUP(A353,'Database Claims'!$A:$C,2,)</f>
        <v>1688000</v>
      </c>
      <c r="E353" s="30">
        <f t="shared" si="11"/>
        <v>7000</v>
      </c>
    </row>
    <row r="354" spans="1:5" x14ac:dyDescent="0.2">
      <c r="A354" s="29">
        <v>26922</v>
      </c>
      <c r="B354" s="30">
        <f>VLOOKUP(A354,'Database Claims'!$A:$C,3,)</f>
        <v>245000</v>
      </c>
      <c r="C354" s="30">
        <f t="shared" si="10"/>
        <v>-7000</v>
      </c>
      <c r="D354" s="30">
        <f>VLOOKUP(A354,'Database Claims'!$A:$C,2,)</f>
        <v>1666000</v>
      </c>
      <c r="E354" s="30">
        <f t="shared" si="11"/>
        <v>-22000</v>
      </c>
    </row>
    <row r="355" spans="1:5" x14ac:dyDescent="0.2">
      <c r="A355" s="29">
        <v>26929</v>
      </c>
      <c r="B355" s="26">
        <f>VLOOKUP(A355,'Database Claims'!$A:$C,3,)</f>
        <v>246000</v>
      </c>
      <c r="C355" s="30">
        <f t="shared" si="10"/>
        <v>1000</v>
      </c>
      <c r="D355" s="26">
        <f>VLOOKUP(A355,'Database Claims'!$A:$C,2,)</f>
        <v>1658000</v>
      </c>
      <c r="E355" s="30">
        <f t="shared" si="11"/>
        <v>-8000</v>
      </c>
    </row>
    <row r="356" spans="1:5" x14ac:dyDescent="0.2">
      <c r="A356" s="29">
        <v>26936</v>
      </c>
      <c r="B356" s="30">
        <f>VLOOKUP(A356,'Database Claims'!$A:$C,3,)</f>
        <v>249000</v>
      </c>
      <c r="C356" s="30">
        <f t="shared" si="10"/>
        <v>3000</v>
      </c>
      <c r="D356" s="30">
        <f>VLOOKUP(A356,'Database Claims'!$A:$C,2,)</f>
        <v>1658000</v>
      </c>
      <c r="E356" s="30">
        <f t="shared" si="11"/>
        <v>0</v>
      </c>
    </row>
    <row r="357" spans="1:5" x14ac:dyDescent="0.2">
      <c r="A357" s="29">
        <v>26943</v>
      </c>
      <c r="B357" s="26">
        <f>VLOOKUP(A357,'Database Claims'!$A:$C,3,)</f>
        <v>236000</v>
      </c>
      <c r="C357" s="30">
        <f t="shared" si="10"/>
        <v>-13000</v>
      </c>
      <c r="D357" s="26">
        <f>VLOOKUP(A357,'Database Claims'!$A:$C,2,)</f>
        <v>1657000</v>
      </c>
      <c r="E357" s="30">
        <f t="shared" si="11"/>
        <v>-1000</v>
      </c>
    </row>
    <row r="358" spans="1:5" x14ac:dyDescent="0.2">
      <c r="A358" s="29">
        <v>26950</v>
      </c>
      <c r="B358" s="30">
        <f>VLOOKUP(A358,'Database Claims'!$A:$C,3,)</f>
        <v>246000</v>
      </c>
      <c r="C358" s="30">
        <f t="shared" si="10"/>
        <v>10000</v>
      </c>
      <c r="D358" s="30">
        <f>VLOOKUP(A358,'Database Claims'!$A:$C,2,)</f>
        <v>1679000</v>
      </c>
      <c r="E358" s="30">
        <f t="shared" si="11"/>
        <v>22000</v>
      </c>
    </row>
    <row r="359" spans="1:5" x14ac:dyDescent="0.2">
      <c r="A359" s="29">
        <v>26957</v>
      </c>
      <c r="B359" s="26">
        <f>VLOOKUP(A359,'Database Claims'!$A:$C,3,)</f>
        <v>249000</v>
      </c>
      <c r="C359" s="30">
        <f t="shared" si="10"/>
        <v>3000</v>
      </c>
      <c r="D359" s="26">
        <f>VLOOKUP(A359,'Database Claims'!$A:$C,2,)</f>
        <v>1646000</v>
      </c>
      <c r="E359" s="30">
        <f t="shared" si="11"/>
        <v>-33000</v>
      </c>
    </row>
    <row r="360" spans="1:5" x14ac:dyDescent="0.2">
      <c r="A360" s="29">
        <v>26964</v>
      </c>
      <c r="B360" s="30">
        <f>VLOOKUP(A360,'Database Claims'!$A:$C,3,)</f>
        <v>235000</v>
      </c>
      <c r="C360" s="30">
        <f t="shared" si="10"/>
        <v>-14000</v>
      </c>
      <c r="D360" s="30">
        <f>VLOOKUP(A360,'Database Claims'!$A:$C,2,)</f>
        <v>1675000</v>
      </c>
      <c r="E360" s="30">
        <f t="shared" si="11"/>
        <v>29000</v>
      </c>
    </row>
    <row r="361" spans="1:5" x14ac:dyDescent="0.2">
      <c r="A361" s="29">
        <v>26971</v>
      </c>
      <c r="B361" s="26">
        <f>VLOOKUP(A361,'Database Claims'!$A:$C,3,)</f>
        <v>246000</v>
      </c>
      <c r="C361" s="30">
        <f t="shared" si="10"/>
        <v>11000</v>
      </c>
      <c r="D361" s="26">
        <f>VLOOKUP(A361,'Database Claims'!$A:$C,2,)</f>
        <v>1669000</v>
      </c>
      <c r="E361" s="30">
        <f t="shared" si="11"/>
        <v>-6000</v>
      </c>
    </row>
    <row r="362" spans="1:5" x14ac:dyDescent="0.2">
      <c r="A362" s="29">
        <v>26978</v>
      </c>
      <c r="B362" s="30">
        <f>VLOOKUP(A362,'Database Claims'!$A:$C,3,)</f>
        <v>282000</v>
      </c>
      <c r="C362" s="30">
        <f t="shared" si="10"/>
        <v>36000</v>
      </c>
      <c r="D362" s="30">
        <f>VLOOKUP(A362,'Database Claims'!$A:$C,2,)</f>
        <v>1702000</v>
      </c>
      <c r="E362" s="30">
        <f t="shared" si="11"/>
        <v>33000</v>
      </c>
    </row>
    <row r="363" spans="1:5" x14ac:dyDescent="0.2">
      <c r="A363" s="29">
        <v>26985</v>
      </c>
      <c r="B363" s="26">
        <f>VLOOKUP(A363,'Database Claims'!$A:$C,3,)</f>
        <v>254000</v>
      </c>
      <c r="C363" s="30">
        <f t="shared" si="10"/>
        <v>-28000</v>
      </c>
      <c r="D363" s="26">
        <f>VLOOKUP(A363,'Database Claims'!$A:$C,2,)</f>
        <v>1698000</v>
      </c>
      <c r="E363" s="30">
        <f t="shared" si="11"/>
        <v>-4000</v>
      </c>
    </row>
    <row r="364" spans="1:5" x14ac:dyDescent="0.2">
      <c r="A364" s="29">
        <v>26992</v>
      </c>
      <c r="B364" s="30">
        <f>VLOOKUP(A364,'Database Claims'!$A:$C,3,)</f>
        <v>233000</v>
      </c>
      <c r="C364" s="30">
        <f t="shared" si="10"/>
        <v>-21000</v>
      </c>
      <c r="D364" s="30">
        <f>VLOOKUP(A364,'Database Claims'!$A:$C,2,)</f>
        <v>1755000</v>
      </c>
      <c r="E364" s="30">
        <f t="shared" si="11"/>
        <v>57000</v>
      </c>
    </row>
    <row r="365" spans="1:5" x14ac:dyDescent="0.2">
      <c r="A365" s="29">
        <v>26999</v>
      </c>
      <c r="B365" s="26">
        <f>VLOOKUP(A365,'Database Claims'!$A:$C,3,)</f>
        <v>256000</v>
      </c>
      <c r="C365" s="30">
        <f t="shared" si="10"/>
        <v>23000</v>
      </c>
      <c r="D365" s="26">
        <f>VLOOKUP(A365,'Database Claims'!$A:$C,2,)</f>
        <v>1692000</v>
      </c>
      <c r="E365" s="30">
        <f t="shared" si="11"/>
        <v>-63000</v>
      </c>
    </row>
    <row r="366" spans="1:5" x14ac:dyDescent="0.2">
      <c r="A366" s="29">
        <v>27006</v>
      </c>
      <c r="B366" s="30">
        <f>VLOOKUP(A366,'Database Claims'!$A:$C,3,)</f>
        <v>266000</v>
      </c>
      <c r="C366" s="30">
        <f t="shared" si="10"/>
        <v>10000</v>
      </c>
      <c r="D366" s="30">
        <f>VLOOKUP(A366,'Database Claims'!$A:$C,2,)</f>
        <v>1717000</v>
      </c>
      <c r="E366" s="30">
        <f t="shared" si="11"/>
        <v>25000</v>
      </c>
    </row>
    <row r="367" spans="1:5" x14ac:dyDescent="0.2">
      <c r="A367" s="29">
        <v>27013</v>
      </c>
      <c r="B367" s="26">
        <f>VLOOKUP(A367,'Database Claims'!$A:$C,3,)</f>
        <v>272000</v>
      </c>
      <c r="C367" s="30">
        <f t="shared" si="10"/>
        <v>6000</v>
      </c>
      <c r="D367" s="26">
        <f>VLOOKUP(A367,'Database Claims'!$A:$C,2,)</f>
        <v>1779000</v>
      </c>
      <c r="E367" s="30">
        <f t="shared" si="11"/>
        <v>62000</v>
      </c>
    </row>
    <row r="368" spans="1:5" x14ac:dyDescent="0.2">
      <c r="A368" s="29">
        <v>27020</v>
      </c>
      <c r="B368" s="30">
        <f>VLOOKUP(A368,'Database Claims'!$A:$C,3,)</f>
        <v>326000</v>
      </c>
      <c r="C368" s="30">
        <f t="shared" si="10"/>
        <v>54000</v>
      </c>
      <c r="D368" s="30">
        <f>VLOOKUP(A368,'Database Claims'!$A:$C,2,)</f>
        <v>1836000</v>
      </c>
      <c r="E368" s="30">
        <f t="shared" si="11"/>
        <v>57000</v>
      </c>
    </row>
    <row r="369" spans="1:5" x14ac:dyDescent="0.2">
      <c r="A369" s="29">
        <v>27027</v>
      </c>
      <c r="B369" s="26">
        <f>VLOOKUP(A369,'Database Claims'!$A:$C,3,)</f>
        <v>300000</v>
      </c>
      <c r="C369" s="30">
        <f t="shared" si="10"/>
        <v>-26000</v>
      </c>
      <c r="D369" s="26">
        <f>VLOOKUP(A369,'Database Claims'!$A:$C,2,)</f>
        <v>1805000</v>
      </c>
      <c r="E369" s="30">
        <f t="shared" si="11"/>
        <v>-31000</v>
      </c>
    </row>
    <row r="370" spans="1:5" x14ac:dyDescent="0.2">
      <c r="A370" s="29">
        <v>27034</v>
      </c>
      <c r="B370" s="30">
        <f>VLOOKUP(A370,'Database Claims'!$A:$C,3,)</f>
        <v>269000</v>
      </c>
      <c r="C370" s="30">
        <f t="shared" si="10"/>
        <v>-31000</v>
      </c>
      <c r="D370" s="30">
        <f>VLOOKUP(A370,'Database Claims'!$A:$C,2,)</f>
        <v>1934000</v>
      </c>
      <c r="E370" s="30">
        <f t="shared" si="11"/>
        <v>129000</v>
      </c>
    </row>
    <row r="371" spans="1:5" x14ac:dyDescent="0.2">
      <c r="A371" s="29">
        <v>27041</v>
      </c>
      <c r="B371" s="26">
        <f>VLOOKUP(A371,'Database Claims'!$A:$C,3,)</f>
        <v>340000</v>
      </c>
      <c r="C371" s="30">
        <f t="shared" si="10"/>
        <v>71000</v>
      </c>
      <c r="D371" s="26">
        <f>VLOOKUP(A371,'Database Claims'!$A:$C,2,)</f>
        <v>1949000</v>
      </c>
      <c r="E371" s="30">
        <f t="shared" si="11"/>
        <v>15000</v>
      </c>
    </row>
    <row r="372" spans="1:5" x14ac:dyDescent="0.2">
      <c r="A372" s="29">
        <v>27048</v>
      </c>
      <c r="B372" s="30">
        <f>VLOOKUP(A372,'Database Claims'!$A:$C,3,)</f>
        <v>321000</v>
      </c>
      <c r="C372" s="30">
        <f t="shared" si="10"/>
        <v>-19000</v>
      </c>
      <c r="D372" s="30">
        <f>VLOOKUP(A372,'Database Claims'!$A:$C,2,)</f>
        <v>1995000</v>
      </c>
      <c r="E372" s="30">
        <f t="shared" si="11"/>
        <v>46000</v>
      </c>
    </row>
    <row r="373" spans="1:5" x14ac:dyDescent="0.2">
      <c r="A373" s="29">
        <v>27055</v>
      </c>
      <c r="B373" s="26">
        <f>VLOOKUP(A373,'Database Claims'!$A:$C,3,)</f>
        <v>291000</v>
      </c>
      <c r="C373" s="30">
        <f t="shared" si="10"/>
        <v>-30000</v>
      </c>
      <c r="D373" s="26">
        <f>VLOOKUP(A373,'Database Claims'!$A:$C,2,)</f>
        <v>1950000</v>
      </c>
      <c r="E373" s="30">
        <f t="shared" si="11"/>
        <v>-45000</v>
      </c>
    </row>
    <row r="374" spans="1:5" x14ac:dyDescent="0.2">
      <c r="A374" s="29">
        <v>27062</v>
      </c>
      <c r="B374" s="30">
        <f>VLOOKUP(A374,'Database Claims'!$A:$C,3,)</f>
        <v>302000</v>
      </c>
      <c r="C374" s="30">
        <f t="shared" si="10"/>
        <v>11000</v>
      </c>
      <c r="D374" s="30">
        <f>VLOOKUP(A374,'Database Claims'!$A:$C,2,)</f>
        <v>1963000</v>
      </c>
      <c r="E374" s="30">
        <f t="shared" si="11"/>
        <v>13000</v>
      </c>
    </row>
    <row r="375" spans="1:5" x14ac:dyDescent="0.2">
      <c r="A375" s="29">
        <v>27069</v>
      </c>
      <c r="B375" s="26">
        <f>VLOOKUP(A375,'Database Claims'!$A:$C,3,)</f>
        <v>369000</v>
      </c>
      <c r="C375" s="30">
        <f t="shared" si="10"/>
        <v>67000</v>
      </c>
      <c r="D375" s="26">
        <f>VLOOKUP(A375,'Database Claims'!$A:$C,2,)</f>
        <v>2010000</v>
      </c>
      <c r="E375" s="30">
        <f t="shared" si="11"/>
        <v>47000</v>
      </c>
    </row>
    <row r="376" spans="1:5" x14ac:dyDescent="0.2">
      <c r="A376" s="29">
        <v>27076</v>
      </c>
      <c r="B376" s="30">
        <f>VLOOKUP(A376,'Database Claims'!$A:$C,3,)</f>
        <v>311000</v>
      </c>
      <c r="C376" s="30">
        <f t="shared" si="10"/>
        <v>-58000</v>
      </c>
      <c r="D376" s="30">
        <f>VLOOKUP(A376,'Database Claims'!$A:$C,2,)</f>
        <v>2049000</v>
      </c>
      <c r="E376" s="30">
        <f t="shared" si="11"/>
        <v>39000</v>
      </c>
    </row>
    <row r="377" spans="1:5" x14ac:dyDescent="0.2">
      <c r="A377" s="29">
        <v>27083</v>
      </c>
      <c r="B377" s="26">
        <f>VLOOKUP(A377,'Database Claims'!$A:$C,3,)</f>
        <v>292000</v>
      </c>
      <c r="C377" s="30">
        <f t="shared" si="10"/>
        <v>-19000</v>
      </c>
      <c r="D377" s="26">
        <f>VLOOKUP(A377,'Database Claims'!$A:$C,2,)</f>
        <v>2027000</v>
      </c>
      <c r="E377" s="30">
        <f t="shared" si="11"/>
        <v>-22000</v>
      </c>
    </row>
    <row r="378" spans="1:5" x14ac:dyDescent="0.2">
      <c r="A378" s="29">
        <v>27090</v>
      </c>
      <c r="B378" s="30">
        <f>VLOOKUP(A378,'Database Claims'!$A:$C,3,)</f>
        <v>301000</v>
      </c>
      <c r="C378" s="30">
        <f t="shared" si="10"/>
        <v>9000</v>
      </c>
      <c r="D378" s="30">
        <f>VLOOKUP(A378,'Database Claims'!$A:$C,2,)</f>
        <v>2020000</v>
      </c>
      <c r="E378" s="30">
        <f t="shared" si="11"/>
        <v>-7000</v>
      </c>
    </row>
    <row r="379" spans="1:5" x14ac:dyDescent="0.2">
      <c r="A379" s="29">
        <v>27097</v>
      </c>
      <c r="B379" s="26">
        <f>VLOOKUP(A379,'Database Claims'!$A:$C,3,)</f>
        <v>305000</v>
      </c>
      <c r="C379" s="30">
        <f t="shared" si="10"/>
        <v>4000</v>
      </c>
      <c r="D379" s="26">
        <f>VLOOKUP(A379,'Database Claims'!$A:$C,2,)</f>
        <v>2054000</v>
      </c>
      <c r="E379" s="30">
        <f t="shared" si="11"/>
        <v>34000</v>
      </c>
    </row>
    <row r="380" spans="1:5" x14ac:dyDescent="0.2">
      <c r="A380" s="29">
        <v>27104</v>
      </c>
      <c r="B380" s="30">
        <f>VLOOKUP(A380,'Database Claims'!$A:$C,3,)</f>
        <v>315000</v>
      </c>
      <c r="C380" s="30">
        <f t="shared" si="10"/>
        <v>10000</v>
      </c>
      <c r="D380" s="30">
        <f>VLOOKUP(A380,'Database Claims'!$A:$C,2,)</f>
        <v>2068000</v>
      </c>
      <c r="E380" s="30">
        <f t="shared" si="11"/>
        <v>14000</v>
      </c>
    </row>
    <row r="381" spans="1:5" x14ac:dyDescent="0.2">
      <c r="A381" s="29">
        <v>27111</v>
      </c>
      <c r="B381" s="26">
        <f>VLOOKUP(A381,'Database Claims'!$A:$C,3,)</f>
        <v>314000</v>
      </c>
      <c r="C381" s="30">
        <f t="shared" si="10"/>
        <v>-1000</v>
      </c>
      <c r="D381" s="26">
        <f>VLOOKUP(A381,'Database Claims'!$A:$C,2,)</f>
        <v>2074000</v>
      </c>
      <c r="E381" s="30">
        <f t="shared" si="11"/>
        <v>6000</v>
      </c>
    </row>
    <row r="382" spans="1:5" x14ac:dyDescent="0.2">
      <c r="A382" s="29">
        <v>27118</v>
      </c>
      <c r="B382" s="30">
        <f>VLOOKUP(A382,'Database Claims'!$A:$C,3,)</f>
        <v>323000</v>
      </c>
      <c r="C382" s="30">
        <f t="shared" si="10"/>
        <v>9000</v>
      </c>
      <c r="D382" s="30">
        <f>VLOOKUP(A382,'Database Claims'!$A:$C,2,)</f>
        <v>2062000</v>
      </c>
      <c r="E382" s="30">
        <f t="shared" si="11"/>
        <v>-12000</v>
      </c>
    </row>
    <row r="383" spans="1:5" x14ac:dyDescent="0.2">
      <c r="A383" s="29">
        <v>27125</v>
      </c>
      <c r="B383" s="26">
        <f>VLOOKUP(A383,'Database Claims'!$A:$C,3,)</f>
        <v>296000</v>
      </c>
      <c r="C383" s="30">
        <f t="shared" si="10"/>
        <v>-27000</v>
      </c>
      <c r="D383" s="26">
        <f>VLOOKUP(A383,'Database Claims'!$A:$C,2,)</f>
        <v>2066000</v>
      </c>
      <c r="E383" s="30">
        <f t="shared" si="11"/>
        <v>4000</v>
      </c>
    </row>
    <row r="384" spans="1:5" x14ac:dyDescent="0.2">
      <c r="A384" s="29">
        <v>27132</v>
      </c>
      <c r="B384" s="30">
        <f>VLOOKUP(A384,'Database Claims'!$A:$C,3,)</f>
        <v>297000</v>
      </c>
      <c r="C384" s="30">
        <f t="shared" si="10"/>
        <v>1000</v>
      </c>
      <c r="D384" s="30">
        <f>VLOOKUP(A384,'Database Claims'!$A:$C,2,)</f>
        <v>2072000</v>
      </c>
      <c r="E384" s="30">
        <f t="shared" si="11"/>
        <v>6000</v>
      </c>
    </row>
    <row r="385" spans="1:5" x14ac:dyDescent="0.2">
      <c r="A385" s="29">
        <v>27139</v>
      </c>
      <c r="B385" s="26">
        <f>VLOOKUP(A385,'Database Claims'!$A:$C,3,)</f>
        <v>296000</v>
      </c>
      <c r="C385" s="30">
        <f t="shared" si="10"/>
        <v>-1000</v>
      </c>
      <c r="D385" s="26">
        <f>VLOOKUP(A385,'Database Claims'!$A:$C,2,)</f>
        <v>2081000</v>
      </c>
      <c r="E385" s="30">
        <f t="shared" si="11"/>
        <v>9000</v>
      </c>
    </row>
    <row r="386" spans="1:5" x14ac:dyDescent="0.2">
      <c r="A386" s="29">
        <v>27146</v>
      </c>
      <c r="B386" s="30">
        <f>VLOOKUP(A386,'Database Claims'!$A:$C,3,)</f>
        <v>283000</v>
      </c>
      <c r="C386" s="30">
        <f t="shared" si="10"/>
        <v>-13000</v>
      </c>
      <c r="D386" s="30">
        <f>VLOOKUP(A386,'Database Claims'!$A:$C,2,)</f>
        <v>2045000</v>
      </c>
      <c r="E386" s="30">
        <f t="shared" si="11"/>
        <v>-36000</v>
      </c>
    </row>
    <row r="387" spans="1:5" x14ac:dyDescent="0.2">
      <c r="A387" s="29">
        <v>27153</v>
      </c>
      <c r="B387" s="26">
        <f>VLOOKUP(A387,'Database Claims'!$A:$C,3,)</f>
        <v>287000</v>
      </c>
      <c r="C387" s="30">
        <f t="shared" si="10"/>
        <v>4000</v>
      </c>
      <c r="D387" s="26">
        <f>VLOOKUP(A387,'Database Claims'!$A:$C,2,)</f>
        <v>2056000</v>
      </c>
      <c r="E387" s="30">
        <f t="shared" si="11"/>
        <v>11000</v>
      </c>
    </row>
    <row r="388" spans="1:5" x14ac:dyDescent="0.2">
      <c r="A388" s="29">
        <v>27160</v>
      </c>
      <c r="B388" s="30">
        <f>VLOOKUP(A388,'Database Claims'!$A:$C,3,)</f>
        <v>296000</v>
      </c>
      <c r="C388" s="30">
        <f t="shared" si="10"/>
        <v>9000</v>
      </c>
      <c r="D388" s="30">
        <f>VLOOKUP(A388,'Database Claims'!$A:$C,2,)</f>
        <v>2041000</v>
      </c>
      <c r="E388" s="30">
        <f t="shared" si="11"/>
        <v>-15000</v>
      </c>
    </row>
    <row r="389" spans="1:5" x14ac:dyDescent="0.2">
      <c r="A389" s="29">
        <v>27167</v>
      </c>
      <c r="B389" s="26">
        <f>VLOOKUP(A389,'Database Claims'!$A:$C,3,)</f>
        <v>298000</v>
      </c>
      <c r="C389" s="30">
        <f t="shared" si="10"/>
        <v>2000</v>
      </c>
      <c r="D389" s="26">
        <f>VLOOKUP(A389,'Database Claims'!$A:$C,2,)</f>
        <v>2053000</v>
      </c>
      <c r="E389" s="30">
        <f t="shared" si="11"/>
        <v>12000</v>
      </c>
    </row>
    <row r="390" spans="1:5" x14ac:dyDescent="0.2">
      <c r="A390" s="29">
        <v>27174</v>
      </c>
      <c r="B390" s="30">
        <f>VLOOKUP(A390,'Database Claims'!$A:$C,3,)</f>
        <v>309000</v>
      </c>
      <c r="C390" s="30">
        <f t="shared" ref="C390:C453" si="12">B390-B389</f>
        <v>11000</v>
      </c>
      <c r="D390" s="30">
        <f>VLOOKUP(A390,'Database Claims'!$A:$C,2,)</f>
        <v>2057000</v>
      </c>
      <c r="E390" s="30">
        <f t="shared" ref="E390:E453" si="13">D390-D389</f>
        <v>4000</v>
      </c>
    </row>
    <row r="391" spans="1:5" x14ac:dyDescent="0.2">
      <c r="A391" s="29">
        <v>27181</v>
      </c>
      <c r="B391" s="26">
        <f>VLOOKUP(A391,'Database Claims'!$A:$C,3,)</f>
        <v>278000</v>
      </c>
      <c r="C391" s="30">
        <f t="shared" si="12"/>
        <v>-31000</v>
      </c>
      <c r="D391" s="26">
        <f>VLOOKUP(A391,'Database Claims'!$A:$C,2,)</f>
        <v>2079000</v>
      </c>
      <c r="E391" s="30">
        <f t="shared" si="13"/>
        <v>22000</v>
      </c>
    </row>
    <row r="392" spans="1:5" x14ac:dyDescent="0.2">
      <c r="A392" s="29">
        <v>27188</v>
      </c>
      <c r="B392" s="30">
        <f>VLOOKUP(A392,'Database Claims'!$A:$C,3,)</f>
        <v>314000</v>
      </c>
      <c r="C392" s="30">
        <f t="shared" si="12"/>
        <v>36000</v>
      </c>
      <c r="D392" s="30">
        <f>VLOOKUP(A392,'Database Claims'!$A:$C,2,)</f>
        <v>2067000</v>
      </c>
      <c r="E392" s="30">
        <f t="shared" si="13"/>
        <v>-12000</v>
      </c>
    </row>
    <row r="393" spans="1:5" x14ac:dyDescent="0.2">
      <c r="A393" s="29">
        <v>27195</v>
      </c>
      <c r="B393" s="26">
        <f>VLOOKUP(A393,'Database Claims'!$A:$C,3,)</f>
        <v>303000</v>
      </c>
      <c r="C393" s="30">
        <f t="shared" si="12"/>
        <v>-11000</v>
      </c>
      <c r="D393" s="26">
        <f>VLOOKUP(A393,'Database Claims'!$A:$C,2,)</f>
        <v>2095000</v>
      </c>
      <c r="E393" s="30">
        <f t="shared" si="13"/>
        <v>28000</v>
      </c>
    </row>
    <row r="394" spans="1:5" x14ac:dyDescent="0.2">
      <c r="A394" s="29">
        <v>27202</v>
      </c>
      <c r="B394" s="30">
        <f>VLOOKUP(A394,'Database Claims'!$A:$C,3,)</f>
        <v>308000</v>
      </c>
      <c r="C394" s="30">
        <f t="shared" si="12"/>
        <v>5000</v>
      </c>
      <c r="D394" s="30">
        <f>VLOOKUP(A394,'Database Claims'!$A:$C,2,)</f>
        <v>2066000</v>
      </c>
      <c r="E394" s="30">
        <f t="shared" si="13"/>
        <v>-29000</v>
      </c>
    </row>
    <row r="395" spans="1:5" x14ac:dyDescent="0.2">
      <c r="A395" s="29">
        <v>27209</v>
      </c>
      <c r="B395" s="26">
        <f>VLOOKUP(A395,'Database Claims'!$A:$C,3,)</f>
        <v>325000</v>
      </c>
      <c r="C395" s="30">
        <f t="shared" si="12"/>
        <v>17000</v>
      </c>
      <c r="D395" s="26">
        <f>VLOOKUP(A395,'Database Claims'!$A:$C,2,)</f>
        <v>2074000</v>
      </c>
      <c r="E395" s="30">
        <f t="shared" si="13"/>
        <v>8000</v>
      </c>
    </row>
    <row r="396" spans="1:5" x14ac:dyDescent="0.2">
      <c r="A396" s="29">
        <v>27216</v>
      </c>
      <c r="B396" s="30">
        <f>VLOOKUP(A396,'Database Claims'!$A:$C,3,)</f>
        <v>311000</v>
      </c>
      <c r="C396" s="30">
        <f t="shared" si="12"/>
        <v>-14000</v>
      </c>
      <c r="D396" s="30">
        <f>VLOOKUP(A396,'Database Claims'!$A:$C,2,)</f>
        <v>2160000</v>
      </c>
      <c r="E396" s="30">
        <f t="shared" si="13"/>
        <v>86000</v>
      </c>
    </row>
    <row r="397" spans="1:5" x14ac:dyDescent="0.2">
      <c r="A397" s="29">
        <v>27223</v>
      </c>
      <c r="B397" s="26">
        <f>VLOOKUP(A397,'Database Claims'!$A:$C,3,)</f>
        <v>304000</v>
      </c>
      <c r="C397" s="30">
        <f t="shared" si="12"/>
        <v>-7000</v>
      </c>
      <c r="D397" s="26">
        <f>VLOOKUP(A397,'Database Claims'!$A:$C,2,)</f>
        <v>2125000</v>
      </c>
      <c r="E397" s="30">
        <f t="shared" si="13"/>
        <v>-35000</v>
      </c>
    </row>
    <row r="398" spans="1:5" x14ac:dyDescent="0.2">
      <c r="A398" s="29">
        <v>27230</v>
      </c>
      <c r="B398" s="30">
        <f>VLOOKUP(A398,'Database Claims'!$A:$C,3,)</f>
        <v>303000</v>
      </c>
      <c r="C398" s="30">
        <f t="shared" si="12"/>
        <v>-1000</v>
      </c>
      <c r="D398" s="30">
        <f>VLOOKUP(A398,'Database Claims'!$A:$C,2,)</f>
        <v>2109000</v>
      </c>
      <c r="E398" s="30">
        <f t="shared" si="13"/>
        <v>-16000</v>
      </c>
    </row>
    <row r="399" spans="1:5" x14ac:dyDescent="0.2">
      <c r="A399" s="29">
        <v>27237</v>
      </c>
      <c r="B399" s="26">
        <f>VLOOKUP(A399,'Database Claims'!$A:$C,3,)</f>
        <v>320000</v>
      </c>
      <c r="C399" s="30">
        <f t="shared" si="12"/>
        <v>17000</v>
      </c>
      <c r="D399" s="26">
        <f>VLOOKUP(A399,'Database Claims'!$A:$C,2,)</f>
        <v>2097000</v>
      </c>
      <c r="E399" s="30">
        <f t="shared" si="13"/>
        <v>-12000</v>
      </c>
    </row>
    <row r="400" spans="1:5" x14ac:dyDescent="0.2">
      <c r="A400" s="29">
        <v>27244</v>
      </c>
      <c r="B400" s="30">
        <f>VLOOKUP(A400,'Database Claims'!$A:$C,3,)</f>
        <v>335000</v>
      </c>
      <c r="C400" s="30">
        <f t="shared" si="12"/>
        <v>15000</v>
      </c>
      <c r="D400" s="30">
        <f>VLOOKUP(A400,'Database Claims'!$A:$C,2,)</f>
        <v>2147000</v>
      </c>
      <c r="E400" s="30">
        <f t="shared" si="13"/>
        <v>50000</v>
      </c>
    </row>
    <row r="401" spans="1:5" x14ac:dyDescent="0.2">
      <c r="A401" s="29">
        <v>27251</v>
      </c>
      <c r="B401" s="26">
        <f>VLOOKUP(A401,'Database Claims'!$A:$C,3,)</f>
        <v>347000</v>
      </c>
      <c r="C401" s="30">
        <f t="shared" si="12"/>
        <v>12000</v>
      </c>
      <c r="D401" s="26">
        <f>VLOOKUP(A401,'Database Claims'!$A:$C,2,)</f>
        <v>2171000</v>
      </c>
      <c r="E401" s="30">
        <f t="shared" si="13"/>
        <v>24000</v>
      </c>
    </row>
    <row r="402" spans="1:5" x14ac:dyDescent="0.2">
      <c r="A402" s="29">
        <v>27258</v>
      </c>
      <c r="B402" s="30">
        <f>VLOOKUP(A402,'Database Claims'!$A:$C,3,)</f>
        <v>332000</v>
      </c>
      <c r="C402" s="30">
        <f t="shared" si="12"/>
        <v>-15000</v>
      </c>
      <c r="D402" s="30">
        <f>VLOOKUP(A402,'Database Claims'!$A:$C,2,)</f>
        <v>2168000</v>
      </c>
      <c r="E402" s="30">
        <f t="shared" si="13"/>
        <v>-3000</v>
      </c>
    </row>
    <row r="403" spans="1:5" x14ac:dyDescent="0.2">
      <c r="A403" s="29">
        <v>27265</v>
      </c>
      <c r="B403" s="26">
        <f>VLOOKUP(A403,'Database Claims'!$A:$C,3,)</f>
        <v>343000</v>
      </c>
      <c r="C403" s="30">
        <f t="shared" si="12"/>
        <v>11000</v>
      </c>
      <c r="D403" s="26">
        <f>VLOOKUP(A403,'Database Claims'!$A:$C,2,)</f>
        <v>2172000</v>
      </c>
      <c r="E403" s="30">
        <f t="shared" si="13"/>
        <v>4000</v>
      </c>
    </row>
    <row r="404" spans="1:5" x14ac:dyDescent="0.2">
      <c r="A404" s="29">
        <v>27272</v>
      </c>
      <c r="B404" s="30">
        <f>VLOOKUP(A404,'Database Claims'!$A:$C,3,)</f>
        <v>350000</v>
      </c>
      <c r="C404" s="30">
        <f t="shared" si="12"/>
        <v>7000</v>
      </c>
      <c r="D404" s="30">
        <f>VLOOKUP(A404,'Database Claims'!$A:$C,2,)</f>
        <v>2211000</v>
      </c>
      <c r="E404" s="30">
        <f t="shared" si="13"/>
        <v>39000</v>
      </c>
    </row>
    <row r="405" spans="1:5" x14ac:dyDescent="0.2">
      <c r="A405" s="29">
        <v>27279</v>
      </c>
      <c r="B405" s="26">
        <f>VLOOKUP(A405,'Database Claims'!$A:$C,3,)</f>
        <v>350000</v>
      </c>
      <c r="C405" s="30">
        <f t="shared" si="12"/>
        <v>0</v>
      </c>
      <c r="D405" s="26">
        <f>VLOOKUP(A405,'Database Claims'!$A:$C,2,)</f>
        <v>2265000</v>
      </c>
      <c r="E405" s="30">
        <f t="shared" si="13"/>
        <v>54000</v>
      </c>
    </row>
    <row r="406" spans="1:5" x14ac:dyDescent="0.2">
      <c r="A406" s="29">
        <v>27286</v>
      </c>
      <c r="B406" s="30">
        <f>VLOOKUP(A406,'Database Claims'!$A:$C,3,)</f>
        <v>357000</v>
      </c>
      <c r="C406" s="30">
        <f t="shared" si="12"/>
        <v>7000</v>
      </c>
      <c r="D406" s="30">
        <f>VLOOKUP(A406,'Database Claims'!$A:$C,2,)</f>
        <v>2274000</v>
      </c>
      <c r="E406" s="30">
        <f t="shared" si="13"/>
        <v>9000</v>
      </c>
    </row>
    <row r="407" spans="1:5" x14ac:dyDescent="0.2">
      <c r="A407" s="29">
        <v>27293</v>
      </c>
      <c r="B407" s="26">
        <f>VLOOKUP(A407,'Database Claims'!$A:$C,3,)</f>
        <v>370000</v>
      </c>
      <c r="C407" s="30">
        <f t="shared" si="12"/>
        <v>13000</v>
      </c>
      <c r="D407" s="26">
        <f>VLOOKUP(A407,'Database Claims'!$A:$C,2,)</f>
        <v>2273000</v>
      </c>
      <c r="E407" s="30">
        <f t="shared" si="13"/>
        <v>-1000</v>
      </c>
    </row>
    <row r="408" spans="1:5" x14ac:dyDescent="0.2">
      <c r="A408" s="29">
        <v>27300</v>
      </c>
      <c r="B408" s="30">
        <f>VLOOKUP(A408,'Database Claims'!$A:$C,3,)</f>
        <v>366000</v>
      </c>
      <c r="C408" s="30">
        <f t="shared" si="12"/>
        <v>-4000</v>
      </c>
      <c r="D408" s="30">
        <f>VLOOKUP(A408,'Database Claims'!$A:$C,2,)</f>
        <v>2306000</v>
      </c>
      <c r="E408" s="30">
        <f t="shared" si="13"/>
        <v>33000</v>
      </c>
    </row>
    <row r="409" spans="1:5" x14ac:dyDescent="0.2">
      <c r="A409" s="29">
        <v>27307</v>
      </c>
      <c r="B409" s="26">
        <f>VLOOKUP(A409,'Database Claims'!$A:$C,3,)</f>
        <v>371000</v>
      </c>
      <c r="C409" s="30">
        <f t="shared" si="12"/>
        <v>5000</v>
      </c>
      <c r="D409" s="26">
        <f>VLOOKUP(A409,'Database Claims'!$A:$C,2,)</f>
        <v>2360000</v>
      </c>
      <c r="E409" s="30">
        <f t="shared" si="13"/>
        <v>54000</v>
      </c>
    </row>
    <row r="410" spans="1:5" x14ac:dyDescent="0.2">
      <c r="A410" s="29">
        <v>27314</v>
      </c>
      <c r="B410" s="30">
        <f>VLOOKUP(A410,'Database Claims'!$A:$C,3,)</f>
        <v>413000</v>
      </c>
      <c r="C410" s="30">
        <f t="shared" si="12"/>
        <v>42000</v>
      </c>
      <c r="D410" s="30">
        <f>VLOOKUP(A410,'Database Claims'!$A:$C,2,)</f>
        <v>2396000</v>
      </c>
      <c r="E410" s="30">
        <f t="shared" si="13"/>
        <v>36000</v>
      </c>
    </row>
    <row r="411" spans="1:5" x14ac:dyDescent="0.2">
      <c r="A411" s="29">
        <v>27321</v>
      </c>
      <c r="B411" s="26">
        <f>VLOOKUP(A411,'Database Claims'!$A:$C,3,)</f>
        <v>389000</v>
      </c>
      <c r="C411" s="30">
        <f t="shared" si="12"/>
        <v>-24000</v>
      </c>
      <c r="D411" s="26">
        <f>VLOOKUP(A411,'Database Claims'!$A:$C,2,)</f>
        <v>2519000</v>
      </c>
      <c r="E411" s="30">
        <f t="shared" si="13"/>
        <v>123000</v>
      </c>
    </row>
    <row r="412" spans="1:5" x14ac:dyDescent="0.2">
      <c r="A412" s="29">
        <v>27328</v>
      </c>
      <c r="B412" s="30">
        <f>VLOOKUP(A412,'Database Claims'!$A:$C,3,)</f>
        <v>414000</v>
      </c>
      <c r="C412" s="30">
        <f t="shared" si="12"/>
        <v>25000</v>
      </c>
      <c r="D412" s="30">
        <f>VLOOKUP(A412,'Database Claims'!$A:$C,2,)</f>
        <v>2520000</v>
      </c>
      <c r="E412" s="30">
        <f t="shared" si="13"/>
        <v>1000</v>
      </c>
    </row>
    <row r="413" spans="1:5" x14ac:dyDescent="0.2">
      <c r="A413" s="29">
        <v>27335</v>
      </c>
      <c r="B413" s="26">
        <f>VLOOKUP(A413,'Database Claims'!$A:$C,3,)</f>
        <v>406000</v>
      </c>
      <c r="C413" s="30">
        <f t="shared" si="12"/>
        <v>-8000</v>
      </c>
      <c r="D413" s="26">
        <f>VLOOKUP(A413,'Database Claims'!$A:$C,2,)</f>
        <v>2623000</v>
      </c>
      <c r="E413" s="30">
        <f t="shared" si="13"/>
        <v>103000</v>
      </c>
    </row>
    <row r="414" spans="1:5" x14ac:dyDescent="0.2">
      <c r="A414" s="29">
        <v>27342</v>
      </c>
      <c r="B414" s="30">
        <f>VLOOKUP(A414,'Database Claims'!$A:$C,3,)</f>
        <v>441000</v>
      </c>
      <c r="C414" s="30">
        <f t="shared" si="12"/>
        <v>35000</v>
      </c>
      <c r="D414" s="30">
        <f>VLOOKUP(A414,'Database Claims'!$A:$C,2,)</f>
        <v>2699000</v>
      </c>
      <c r="E414" s="30">
        <f t="shared" si="13"/>
        <v>76000</v>
      </c>
    </row>
    <row r="415" spans="1:5" x14ac:dyDescent="0.2">
      <c r="A415" s="29">
        <v>27349</v>
      </c>
      <c r="B415" s="26">
        <f>VLOOKUP(A415,'Database Claims'!$A:$C,3,)</f>
        <v>449000</v>
      </c>
      <c r="C415" s="30">
        <f t="shared" si="12"/>
        <v>8000</v>
      </c>
      <c r="D415" s="26">
        <f>VLOOKUP(A415,'Database Claims'!$A:$C,2,)</f>
        <v>2862000</v>
      </c>
      <c r="E415" s="30">
        <f t="shared" si="13"/>
        <v>163000</v>
      </c>
    </row>
    <row r="416" spans="1:5" x14ac:dyDescent="0.2">
      <c r="A416" s="29">
        <v>27356</v>
      </c>
      <c r="B416" s="30">
        <f>VLOOKUP(A416,'Database Claims'!$A:$C,3,)</f>
        <v>518000</v>
      </c>
      <c r="C416" s="30">
        <f t="shared" si="12"/>
        <v>69000</v>
      </c>
      <c r="D416" s="30">
        <f>VLOOKUP(A416,'Database Claims'!$A:$C,2,)</f>
        <v>2748000</v>
      </c>
      <c r="E416" s="30">
        <f t="shared" si="13"/>
        <v>-114000</v>
      </c>
    </row>
    <row r="417" spans="1:5" x14ac:dyDescent="0.2">
      <c r="A417" s="29">
        <v>27363</v>
      </c>
      <c r="B417" s="26">
        <f>VLOOKUP(A417,'Database Claims'!$A:$C,3,)</f>
        <v>474000</v>
      </c>
      <c r="C417" s="30">
        <f t="shared" si="12"/>
        <v>-44000</v>
      </c>
      <c r="D417" s="26">
        <f>VLOOKUP(A417,'Database Claims'!$A:$C,2,)</f>
        <v>3086000</v>
      </c>
      <c r="E417" s="30">
        <f t="shared" si="13"/>
        <v>338000</v>
      </c>
    </row>
    <row r="418" spans="1:5" x14ac:dyDescent="0.2">
      <c r="A418" s="29">
        <v>27370</v>
      </c>
      <c r="B418" s="30">
        <f>VLOOKUP(A418,'Database Claims'!$A:$C,3,)</f>
        <v>528000</v>
      </c>
      <c r="C418" s="30">
        <f t="shared" si="12"/>
        <v>54000</v>
      </c>
      <c r="D418" s="30">
        <f>VLOOKUP(A418,'Database Claims'!$A:$C,2,)</f>
        <v>3178000</v>
      </c>
      <c r="E418" s="30">
        <f t="shared" si="13"/>
        <v>92000</v>
      </c>
    </row>
    <row r="419" spans="1:5" x14ac:dyDescent="0.2">
      <c r="A419" s="29">
        <v>27377</v>
      </c>
      <c r="B419" s="26">
        <f>VLOOKUP(A419,'Database Claims'!$A:$C,3,)</f>
        <v>510000</v>
      </c>
      <c r="C419" s="30">
        <f t="shared" si="12"/>
        <v>-18000</v>
      </c>
      <c r="D419" s="26">
        <f>VLOOKUP(A419,'Database Claims'!$A:$C,2,)</f>
        <v>3291000</v>
      </c>
      <c r="E419" s="30">
        <f t="shared" si="13"/>
        <v>113000</v>
      </c>
    </row>
    <row r="420" spans="1:5" x14ac:dyDescent="0.2">
      <c r="A420" s="29">
        <v>27384</v>
      </c>
      <c r="B420" s="30">
        <f>VLOOKUP(A420,'Database Claims'!$A:$C,3,)</f>
        <v>521000</v>
      </c>
      <c r="C420" s="30">
        <f t="shared" si="12"/>
        <v>11000</v>
      </c>
      <c r="D420" s="30">
        <f>VLOOKUP(A420,'Database Claims'!$A:$C,2,)</f>
        <v>3300000</v>
      </c>
      <c r="E420" s="30">
        <f t="shared" si="13"/>
        <v>9000</v>
      </c>
    </row>
    <row r="421" spans="1:5" x14ac:dyDescent="0.2">
      <c r="A421" s="29">
        <v>27391</v>
      </c>
      <c r="B421" s="26">
        <f>VLOOKUP(A421,'Database Claims'!$A:$C,3,)</f>
        <v>537000</v>
      </c>
      <c r="C421" s="30">
        <f t="shared" si="12"/>
        <v>16000</v>
      </c>
      <c r="D421" s="26">
        <f>VLOOKUP(A421,'Database Claims'!$A:$C,2,)</f>
        <v>3396000</v>
      </c>
      <c r="E421" s="30">
        <f t="shared" si="13"/>
        <v>96000</v>
      </c>
    </row>
    <row r="422" spans="1:5" x14ac:dyDescent="0.2">
      <c r="A422" s="29">
        <v>27398</v>
      </c>
      <c r="B422" s="30">
        <f>VLOOKUP(A422,'Database Claims'!$A:$C,3,)</f>
        <v>456000</v>
      </c>
      <c r="C422" s="30">
        <f t="shared" si="12"/>
        <v>-81000</v>
      </c>
      <c r="D422" s="30">
        <f>VLOOKUP(A422,'Database Claims'!$A:$C,2,)</f>
        <v>3554000</v>
      </c>
      <c r="E422" s="30">
        <f t="shared" si="13"/>
        <v>158000</v>
      </c>
    </row>
    <row r="423" spans="1:5" x14ac:dyDescent="0.2">
      <c r="A423" s="29">
        <v>27405</v>
      </c>
      <c r="B423" s="26">
        <f>VLOOKUP(A423,'Database Claims'!$A:$C,3,)</f>
        <v>554000</v>
      </c>
      <c r="C423" s="30">
        <f t="shared" si="12"/>
        <v>98000</v>
      </c>
      <c r="D423" s="26">
        <f>VLOOKUP(A423,'Database Claims'!$A:$C,2,)</f>
        <v>3557000</v>
      </c>
      <c r="E423" s="30">
        <f t="shared" si="13"/>
        <v>3000</v>
      </c>
    </row>
    <row r="424" spans="1:5" x14ac:dyDescent="0.2">
      <c r="A424" s="29">
        <v>27412</v>
      </c>
      <c r="B424" s="30">
        <f>VLOOKUP(A424,'Database Claims'!$A:$C,3,)</f>
        <v>575000</v>
      </c>
      <c r="C424" s="30">
        <f t="shared" si="12"/>
        <v>21000</v>
      </c>
      <c r="D424" s="30">
        <f>VLOOKUP(A424,'Database Claims'!$A:$C,2,)</f>
        <v>3658000</v>
      </c>
      <c r="E424" s="30">
        <f t="shared" si="13"/>
        <v>101000</v>
      </c>
    </row>
    <row r="425" spans="1:5" x14ac:dyDescent="0.2">
      <c r="A425" s="29">
        <v>27419</v>
      </c>
      <c r="B425" s="26">
        <f>VLOOKUP(A425,'Database Claims'!$A:$C,3,)</f>
        <v>555000</v>
      </c>
      <c r="C425" s="30">
        <f t="shared" si="12"/>
        <v>-20000</v>
      </c>
      <c r="D425" s="26">
        <f>VLOOKUP(A425,'Database Claims'!$A:$C,2,)</f>
        <v>3708000</v>
      </c>
      <c r="E425" s="30">
        <f t="shared" si="13"/>
        <v>50000</v>
      </c>
    </row>
    <row r="426" spans="1:5" x14ac:dyDescent="0.2">
      <c r="A426" s="29">
        <v>27426</v>
      </c>
      <c r="B426" s="30">
        <f>VLOOKUP(A426,'Database Claims'!$A:$C,3,)</f>
        <v>559000</v>
      </c>
      <c r="C426" s="30">
        <f t="shared" si="12"/>
        <v>4000</v>
      </c>
      <c r="D426" s="30">
        <f>VLOOKUP(A426,'Database Claims'!$A:$C,2,)</f>
        <v>3738000</v>
      </c>
      <c r="E426" s="30">
        <f t="shared" si="13"/>
        <v>30000</v>
      </c>
    </row>
    <row r="427" spans="1:5" x14ac:dyDescent="0.2">
      <c r="A427" s="29">
        <v>27433</v>
      </c>
      <c r="B427" s="26">
        <f>VLOOKUP(A427,'Database Claims'!$A:$C,3,)</f>
        <v>545000</v>
      </c>
      <c r="C427" s="30">
        <f t="shared" si="12"/>
        <v>-14000</v>
      </c>
      <c r="D427" s="26">
        <f>VLOOKUP(A427,'Database Claims'!$A:$C,2,)</f>
        <v>3856000</v>
      </c>
      <c r="E427" s="30">
        <f t="shared" si="13"/>
        <v>118000</v>
      </c>
    </row>
    <row r="428" spans="1:5" x14ac:dyDescent="0.2">
      <c r="A428" s="29">
        <v>27440</v>
      </c>
      <c r="B428" s="30">
        <f>VLOOKUP(A428,'Database Claims'!$A:$C,3,)</f>
        <v>530000</v>
      </c>
      <c r="C428" s="30">
        <f t="shared" si="12"/>
        <v>-15000</v>
      </c>
      <c r="D428" s="30">
        <f>VLOOKUP(A428,'Database Claims'!$A:$C,2,)</f>
        <v>3863000</v>
      </c>
      <c r="E428" s="30">
        <f t="shared" si="13"/>
        <v>7000</v>
      </c>
    </row>
    <row r="429" spans="1:5" x14ac:dyDescent="0.2">
      <c r="A429" s="29">
        <v>27447</v>
      </c>
      <c r="B429" s="26">
        <f>VLOOKUP(A429,'Database Claims'!$A:$C,3,)</f>
        <v>544000</v>
      </c>
      <c r="C429" s="30">
        <f t="shared" si="12"/>
        <v>14000</v>
      </c>
      <c r="D429" s="26">
        <f>VLOOKUP(A429,'Database Claims'!$A:$C,2,)</f>
        <v>3969000</v>
      </c>
      <c r="E429" s="30">
        <f t="shared" si="13"/>
        <v>106000</v>
      </c>
    </row>
    <row r="430" spans="1:5" x14ac:dyDescent="0.2">
      <c r="A430" s="29">
        <v>27454</v>
      </c>
      <c r="B430" s="30">
        <f>VLOOKUP(A430,'Database Claims'!$A:$C,3,)</f>
        <v>546000</v>
      </c>
      <c r="C430" s="30">
        <f t="shared" si="12"/>
        <v>2000</v>
      </c>
      <c r="D430" s="30">
        <f>VLOOKUP(A430,'Database Claims'!$A:$C,2,)</f>
        <v>4023000</v>
      </c>
      <c r="E430" s="30">
        <f t="shared" si="13"/>
        <v>54000</v>
      </c>
    </row>
    <row r="431" spans="1:5" x14ac:dyDescent="0.2">
      <c r="A431" s="29">
        <v>27461</v>
      </c>
      <c r="B431" s="26">
        <f>VLOOKUP(A431,'Database Claims'!$A:$C,3,)</f>
        <v>551000</v>
      </c>
      <c r="C431" s="30">
        <f t="shared" si="12"/>
        <v>5000</v>
      </c>
      <c r="D431" s="26">
        <f>VLOOKUP(A431,'Database Claims'!$A:$C,2,)</f>
        <v>4147000</v>
      </c>
      <c r="E431" s="30">
        <f t="shared" si="13"/>
        <v>124000</v>
      </c>
    </row>
    <row r="432" spans="1:5" x14ac:dyDescent="0.2">
      <c r="A432" s="29">
        <v>27468</v>
      </c>
      <c r="B432" s="30">
        <f>VLOOKUP(A432,'Database Claims'!$A:$C,3,)</f>
        <v>531000</v>
      </c>
      <c r="C432" s="30">
        <f t="shared" si="12"/>
        <v>-20000</v>
      </c>
      <c r="D432" s="30">
        <f>VLOOKUP(A432,'Database Claims'!$A:$C,2,)</f>
        <v>4195000</v>
      </c>
      <c r="E432" s="30">
        <f t="shared" si="13"/>
        <v>48000</v>
      </c>
    </row>
    <row r="433" spans="1:5" x14ac:dyDescent="0.2">
      <c r="A433" s="29">
        <v>27475</v>
      </c>
      <c r="B433" s="26">
        <f>VLOOKUP(A433,'Database Claims'!$A:$C,3,)</f>
        <v>550000</v>
      </c>
      <c r="C433" s="30">
        <f t="shared" si="12"/>
        <v>19000</v>
      </c>
      <c r="D433" s="26">
        <f>VLOOKUP(A433,'Database Claims'!$A:$C,2,)</f>
        <v>4201000</v>
      </c>
      <c r="E433" s="30">
        <f t="shared" si="13"/>
        <v>6000</v>
      </c>
    </row>
    <row r="434" spans="1:5" x14ac:dyDescent="0.2">
      <c r="A434" s="29">
        <v>27482</v>
      </c>
      <c r="B434" s="30">
        <f>VLOOKUP(A434,'Database Claims'!$A:$C,3,)</f>
        <v>555000</v>
      </c>
      <c r="C434" s="30">
        <f t="shared" si="12"/>
        <v>5000</v>
      </c>
      <c r="D434" s="30">
        <f>VLOOKUP(A434,'Database Claims'!$A:$C,2,)</f>
        <v>4310000</v>
      </c>
      <c r="E434" s="30">
        <f t="shared" si="13"/>
        <v>109000</v>
      </c>
    </row>
    <row r="435" spans="1:5" x14ac:dyDescent="0.2">
      <c r="A435" s="29">
        <v>27489</v>
      </c>
      <c r="B435" s="26">
        <f>VLOOKUP(A435,'Database Claims'!$A:$C,3,)</f>
        <v>537000</v>
      </c>
      <c r="C435" s="30">
        <f t="shared" si="12"/>
        <v>-18000</v>
      </c>
      <c r="D435" s="26">
        <f>VLOOKUP(A435,'Database Claims'!$A:$C,2,)</f>
        <v>4428000</v>
      </c>
      <c r="E435" s="30">
        <f t="shared" si="13"/>
        <v>118000</v>
      </c>
    </row>
    <row r="436" spans="1:5" x14ac:dyDescent="0.2">
      <c r="A436" s="29">
        <v>27496</v>
      </c>
      <c r="B436" s="30">
        <f>VLOOKUP(A436,'Database Claims'!$A:$C,3,)</f>
        <v>520000</v>
      </c>
      <c r="C436" s="30">
        <f t="shared" si="12"/>
        <v>-17000</v>
      </c>
      <c r="D436" s="30">
        <f>VLOOKUP(A436,'Database Claims'!$A:$C,2,)</f>
        <v>4449000</v>
      </c>
      <c r="E436" s="30">
        <f t="shared" si="13"/>
        <v>21000</v>
      </c>
    </row>
    <row r="437" spans="1:5" x14ac:dyDescent="0.2">
      <c r="A437" s="29">
        <v>27503</v>
      </c>
      <c r="B437" s="26">
        <f>VLOOKUP(A437,'Database Claims'!$A:$C,3,)</f>
        <v>531000</v>
      </c>
      <c r="C437" s="30">
        <f t="shared" si="12"/>
        <v>11000</v>
      </c>
      <c r="D437" s="26">
        <f>VLOOKUP(A437,'Database Claims'!$A:$C,2,)</f>
        <v>4497000</v>
      </c>
      <c r="E437" s="30">
        <f t="shared" si="13"/>
        <v>48000</v>
      </c>
    </row>
    <row r="438" spans="1:5" x14ac:dyDescent="0.2">
      <c r="A438" s="29">
        <v>27510</v>
      </c>
      <c r="B438" s="30">
        <f>VLOOKUP(A438,'Database Claims'!$A:$C,3,)</f>
        <v>513000</v>
      </c>
      <c r="C438" s="30">
        <f t="shared" si="12"/>
        <v>-18000</v>
      </c>
      <c r="D438" s="30">
        <f>VLOOKUP(A438,'Database Claims'!$A:$C,2,)</f>
        <v>4520000</v>
      </c>
      <c r="E438" s="30">
        <f t="shared" si="13"/>
        <v>23000</v>
      </c>
    </row>
    <row r="439" spans="1:5" x14ac:dyDescent="0.2">
      <c r="A439" s="29">
        <v>27517</v>
      </c>
      <c r="B439" s="26">
        <f>VLOOKUP(A439,'Database Claims'!$A:$C,3,)</f>
        <v>505000</v>
      </c>
      <c r="C439" s="30">
        <f t="shared" si="12"/>
        <v>-8000</v>
      </c>
      <c r="D439" s="26">
        <f>VLOOKUP(A439,'Database Claims'!$A:$C,2,)</f>
        <v>4604000</v>
      </c>
      <c r="E439" s="30">
        <f t="shared" si="13"/>
        <v>84000</v>
      </c>
    </row>
    <row r="440" spans="1:5" x14ac:dyDescent="0.2">
      <c r="A440" s="29">
        <v>27524</v>
      </c>
      <c r="B440" s="30">
        <f>VLOOKUP(A440,'Database Claims'!$A:$C,3,)</f>
        <v>507000</v>
      </c>
      <c r="C440" s="30">
        <f t="shared" si="12"/>
        <v>2000</v>
      </c>
      <c r="D440" s="30">
        <f>VLOOKUP(A440,'Database Claims'!$A:$C,2,)</f>
        <v>4597000</v>
      </c>
      <c r="E440" s="30">
        <f t="shared" si="13"/>
        <v>-7000</v>
      </c>
    </row>
    <row r="441" spans="1:5" x14ac:dyDescent="0.2">
      <c r="A441" s="29">
        <v>27531</v>
      </c>
      <c r="B441" s="26">
        <f>VLOOKUP(A441,'Database Claims'!$A:$C,3,)</f>
        <v>514000</v>
      </c>
      <c r="C441" s="30">
        <f t="shared" si="12"/>
        <v>7000</v>
      </c>
      <c r="D441" s="26">
        <f>VLOOKUP(A441,'Database Claims'!$A:$C,2,)</f>
        <v>4592000</v>
      </c>
      <c r="E441" s="30">
        <f t="shared" si="13"/>
        <v>-5000</v>
      </c>
    </row>
    <row r="442" spans="1:5" x14ac:dyDescent="0.2">
      <c r="A442" s="29">
        <v>27538</v>
      </c>
      <c r="B442" s="30">
        <f>VLOOKUP(A442,'Database Claims'!$A:$C,3,)</f>
        <v>493000</v>
      </c>
      <c r="C442" s="30">
        <f t="shared" si="12"/>
        <v>-21000</v>
      </c>
      <c r="D442" s="30">
        <f>VLOOKUP(A442,'Database Claims'!$A:$C,2,)</f>
        <v>4461000</v>
      </c>
      <c r="E442" s="30">
        <f t="shared" si="13"/>
        <v>-131000</v>
      </c>
    </row>
    <row r="443" spans="1:5" x14ac:dyDescent="0.2">
      <c r="A443" s="29">
        <v>27545</v>
      </c>
      <c r="B443" s="26">
        <f>VLOOKUP(A443,'Database Claims'!$A:$C,3,)</f>
        <v>475000</v>
      </c>
      <c r="C443" s="30">
        <f t="shared" si="12"/>
        <v>-18000</v>
      </c>
      <c r="D443" s="26">
        <f>VLOOKUP(A443,'Database Claims'!$A:$C,2,)</f>
        <v>4637000</v>
      </c>
      <c r="E443" s="30">
        <f t="shared" si="13"/>
        <v>176000</v>
      </c>
    </row>
    <row r="444" spans="1:5" x14ac:dyDescent="0.2">
      <c r="A444" s="29">
        <v>27552</v>
      </c>
      <c r="B444" s="30">
        <f>VLOOKUP(A444,'Database Claims'!$A:$C,3,)</f>
        <v>529000</v>
      </c>
      <c r="C444" s="30">
        <f t="shared" si="12"/>
        <v>54000</v>
      </c>
      <c r="D444" s="30">
        <f>VLOOKUP(A444,'Database Claims'!$A:$C,2,)</f>
        <v>4484000</v>
      </c>
      <c r="E444" s="30">
        <f t="shared" si="13"/>
        <v>-153000</v>
      </c>
    </row>
    <row r="445" spans="1:5" x14ac:dyDescent="0.2">
      <c r="A445" s="29">
        <v>27559</v>
      </c>
      <c r="B445" s="26">
        <f>VLOOKUP(A445,'Database Claims'!$A:$C,3,)</f>
        <v>497000</v>
      </c>
      <c r="C445" s="30">
        <f t="shared" si="12"/>
        <v>-32000</v>
      </c>
      <c r="D445" s="26">
        <f>VLOOKUP(A445,'Database Claims'!$A:$C,2,)</f>
        <v>4529000</v>
      </c>
      <c r="E445" s="30">
        <f t="shared" si="13"/>
        <v>45000</v>
      </c>
    </row>
    <row r="446" spans="1:5" x14ac:dyDescent="0.2">
      <c r="A446" s="29">
        <v>27566</v>
      </c>
      <c r="B446" s="30">
        <f>VLOOKUP(A446,'Database Claims'!$A:$C,3,)</f>
        <v>497000</v>
      </c>
      <c r="C446" s="30">
        <f t="shared" si="12"/>
        <v>0</v>
      </c>
      <c r="D446" s="30">
        <f>VLOOKUP(A446,'Database Claims'!$A:$C,2,)</f>
        <v>4406000</v>
      </c>
      <c r="E446" s="30">
        <f t="shared" si="13"/>
        <v>-123000</v>
      </c>
    </row>
    <row r="447" spans="1:5" x14ac:dyDescent="0.2">
      <c r="A447" s="29">
        <v>27573</v>
      </c>
      <c r="B447" s="26">
        <f>VLOOKUP(A447,'Database Claims'!$A:$C,3,)</f>
        <v>459000</v>
      </c>
      <c r="C447" s="30">
        <f t="shared" si="12"/>
        <v>-38000</v>
      </c>
      <c r="D447" s="26">
        <f>VLOOKUP(A447,'Database Claims'!$A:$C,2,)</f>
        <v>4090000</v>
      </c>
      <c r="E447" s="30">
        <f t="shared" si="13"/>
        <v>-316000</v>
      </c>
    </row>
    <row r="448" spans="1:5" x14ac:dyDescent="0.2">
      <c r="A448" s="29">
        <v>27580</v>
      </c>
      <c r="B448" s="30">
        <f>VLOOKUP(A448,'Database Claims'!$A:$C,3,)</f>
        <v>423000</v>
      </c>
      <c r="C448" s="30">
        <f t="shared" si="12"/>
        <v>-36000</v>
      </c>
      <c r="D448" s="30">
        <f>VLOOKUP(A448,'Database Claims'!$A:$C,2,)</f>
        <v>4239000</v>
      </c>
      <c r="E448" s="30">
        <f t="shared" si="13"/>
        <v>149000</v>
      </c>
    </row>
    <row r="449" spans="1:5" x14ac:dyDescent="0.2">
      <c r="A449" s="29">
        <v>27587</v>
      </c>
      <c r="B449" s="26">
        <f>VLOOKUP(A449,'Database Claims'!$A:$C,3,)</f>
        <v>446000</v>
      </c>
      <c r="C449" s="30">
        <f t="shared" si="12"/>
        <v>23000</v>
      </c>
      <c r="D449" s="26">
        <f>VLOOKUP(A449,'Database Claims'!$A:$C,2,)</f>
        <v>4057000</v>
      </c>
      <c r="E449" s="30">
        <f t="shared" si="13"/>
        <v>-182000</v>
      </c>
    </row>
    <row r="450" spans="1:5" x14ac:dyDescent="0.2">
      <c r="A450" s="29">
        <v>27594</v>
      </c>
      <c r="B450" s="30">
        <f>VLOOKUP(A450,'Database Claims'!$A:$C,3,)</f>
        <v>445000</v>
      </c>
      <c r="C450" s="30">
        <f t="shared" si="12"/>
        <v>-1000</v>
      </c>
      <c r="D450" s="30">
        <f>VLOOKUP(A450,'Database Claims'!$A:$C,2,)</f>
        <v>4208000</v>
      </c>
      <c r="E450" s="30">
        <f t="shared" si="13"/>
        <v>151000</v>
      </c>
    </row>
    <row r="451" spans="1:5" x14ac:dyDescent="0.2">
      <c r="A451" s="29">
        <v>27601</v>
      </c>
      <c r="B451" s="26">
        <f>VLOOKUP(A451,'Database Claims'!$A:$C,3,)</f>
        <v>454000</v>
      </c>
      <c r="C451" s="30">
        <f t="shared" si="12"/>
        <v>9000</v>
      </c>
      <c r="D451" s="26">
        <f>VLOOKUP(A451,'Database Claims'!$A:$C,2,)</f>
        <v>4075000</v>
      </c>
      <c r="E451" s="30">
        <f t="shared" si="13"/>
        <v>-133000</v>
      </c>
    </row>
    <row r="452" spans="1:5" x14ac:dyDescent="0.2">
      <c r="A452" s="29">
        <v>27608</v>
      </c>
      <c r="B452" s="30">
        <f>VLOOKUP(A452,'Database Claims'!$A:$C,3,)</f>
        <v>454000</v>
      </c>
      <c r="C452" s="30">
        <f t="shared" si="12"/>
        <v>0</v>
      </c>
      <c r="D452" s="30">
        <f>VLOOKUP(A452,'Database Claims'!$A:$C,2,)</f>
        <v>4015000</v>
      </c>
      <c r="E452" s="30">
        <f t="shared" si="13"/>
        <v>-60000</v>
      </c>
    </row>
    <row r="453" spans="1:5" x14ac:dyDescent="0.2">
      <c r="A453" s="29">
        <v>27615</v>
      </c>
      <c r="B453" s="26">
        <f>VLOOKUP(A453,'Database Claims'!$A:$C,3,)</f>
        <v>459000</v>
      </c>
      <c r="C453" s="30">
        <f t="shared" si="12"/>
        <v>5000</v>
      </c>
      <c r="D453" s="26">
        <f>VLOOKUP(A453,'Database Claims'!$A:$C,2,)</f>
        <v>4028000</v>
      </c>
      <c r="E453" s="30">
        <f t="shared" si="13"/>
        <v>13000</v>
      </c>
    </row>
    <row r="454" spans="1:5" x14ac:dyDescent="0.2">
      <c r="A454" s="29">
        <v>27622</v>
      </c>
      <c r="B454" s="30">
        <f>VLOOKUP(A454,'Database Claims'!$A:$C,3,)</f>
        <v>444000</v>
      </c>
      <c r="C454" s="30">
        <f t="shared" ref="C454:C517" si="14">B454-B453</f>
        <v>-15000</v>
      </c>
      <c r="D454" s="30">
        <f>VLOOKUP(A454,'Database Claims'!$A:$C,2,)</f>
        <v>3934000</v>
      </c>
      <c r="E454" s="30">
        <f t="shared" ref="E454:E517" si="15">D454-D453</f>
        <v>-94000</v>
      </c>
    </row>
    <row r="455" spans="1:5" x14ac:dyDescent="0.2">
      <c r="A455" s="29">
        <v>27629</v>
      </c>
      <c r="B455" s="26">
        <f>VLOOKUP(A455,'Database Claims'!$A:$C,3,)</f>
        <v>457000</v>
      </c>
      <c r="C455" s="30">
        <f t="shared" si="14"/>
        <v>13000</v>
      </c>
      <c r="D455" s="26">
        <f>VLOOKUP(A455,'Database Claims'!$A:$C,2,)</f>
        <v>3940000</v>
      </c>
      <c r="E455" s="30">
        <f t="shared" si="15"/>
        <v>6000</v>
      </c>
    </row>
    <row r="456" spans="1:5" x14ac:dyDescent="0.2">
      <c r="A456" s="29">
        <v>27636</v>
      </c>
      <c r="B456" s="30">
        <f>VLOOKUP(A456,'Database Claims'!$A:$C,3,)</f>
        <v>446000</v>
      </c>
      <c r="C456" s="30">
        <f t="shared" si="14"/>
        <v>-11000</v>
      </c>
      <c r="D456" s="30">
        <f>VLOOKUP(A456,'Database Claims'!$A:$C,2,)</f>
        <v>3854000</v>
      </c>
      <c r="E456" s="30">
        <f t="shared" si="15"/>
        <v>-86000</v>
      </c>
    </row>
    <row r="457" spans="1:5" x14ac:dyDescent="0.2">
      <c r="A457" s="29">
        <v>27643</v>
      </c>
      <c r="B457" s="26">
        <f>VLOOKUP(A457,'Database Claims'!$A:$C,3,)</f>
        <v>447000</v>
      </c>
      <c r="C457" s="30">
        <f t="shared" si="14"/>
        <v>1000</v>
      </c>
      <c r="D457" s="26">
        <f>VLOOKUP(A457,'Database Claims'!$A:$C,2,)</f>
        <v>3969000</v>
      </c>
      <c r="E457" s="30">
        <f t="shared" si="15"/>
        <v>115000</v>
      </c>
    </row>
    <row r="458" spans="1:5" x14ac:dyDescent="0.2">
      <c r="A458" s="29">
        <v>27650</v>
      </c>
      <c r="B458" s="30">
        <f>VLOOKUP(A458,'Database Claims'!$A:$C,3,)</f>
        <v>456000</v>
      </c>
      <c r="C458" s="30">
        <f t="shared" si="14"/>
        <v>9000</v>
      </c>
      <c r="D458" s="30">
        <f>VLOOKUP(A458,'Database Claims'!$A:$C,2,)</f>
        <v>3880000</v>
      </c>
      <c r="E458" s="30">
        <f t="shared" si="15"/>
        <v>-89000</v>
      </c>
    </row>
    <row r="459" spans="1:5" x14ac:dyDescent="0.2">
      <c r="A459" s="29">
        <v>27657</v>
      </c>
      <c r="B459" s="26">
        <f>VLOOKUP(A459,'Database Claims'!$A:$C,3,)</f>
        <v>433000</v>
      </c>
      <c r="C459" s="30">
        <f t="shared" si="14"/>
        <v>-23000</v>
      </c>
      <c r="D459" s="26">
        <f>VLOOKUP(A459,'Database Claims'!$A:$C,2,)</f>
        <v>3880000</v>
      </c>
      <c r="E459" s="30">
        <f t="shared" si="15"/>
        <v>0</v>
      </c>
    </row>
    <row r="460" spans="1:5" x14ac:dyDescent="0.2">
      <c r="A460" s="29">
        <v>27664</v>
      </c>
      <c r="B460" s="30">
        <f>VLOOKUP(A460,'Database Claims'!$A:$C,3,)</f>
        <v>445000</v>
      </c>
      <c r="C460" s="30">
        <f t="shared" si="14"/>
        <v>12000</v>
      </c>
      <c r="D460" s="30">
        <f>VLOOKUP(A460,'Database Claims'!$A:$C,2,)</f>
        <v>3851000</v>
      </c>
      <c r="E460" s="30">
        <f t="shared" si="15"/>
        <v>-29000</v>
      </c>
    </row>
    <row r="461" spans="1:5" x14ac:dyDescent="0.2">
      <c r="A461" s="29">
        <v>27671</v>
      </c>
      <c r="B461" s="26">
        <f>VLOOKUP(A461,'Database Claims'!$A:$C,3,)</f>
        <v>426000</v>
      </c>
      <c r="C461" s="30">
        <f t="shared" si="14"/>
        <v>-19000</v>
      </c>
      <c r="D461" s="26">
        <f>VLOOKUP(A461,'Database Claims'!$A:$C,2,)</f>
        <v>3868000</v>
      </c>
      <c r="E461" s="30">
        <f t="shared" si="15"/>
        <v>17000</v>
      </c>
    </row>
    <row r="462" spans="1:5" x14ac:dyDescent="0.2">
      <c r="A462" s="29">
        <v>27678</v>
      </c>
      <c r="B462" s="30">
        <f>VLOOKUP(A462,'Database Claims'!$A:$C,3,)</f>
        <v>429000</v>
      </c>
      <c r="C462" s="30">
        <f t="shared" si="14"/>
        <v>3000</v>
      </c>
      <c r="D462" s="30">
        <f>VLOOKUP(A462,'Database Claims'!$A:$C,2,)</f>
        <v>3675000</v>
      </c>
      <c r="E462" s="30">
        <f t="shared" si="15"/>
        <v>-193000</v>
      </c>
    </row>
    <row r="463" spans="1:5" x14ac:dyDescent="0.2">
      <c r="A463" s="29">
        <v>27685</v>
      </c>
      <c r="B463" s="26">
        <f>VLOOKUP(A463,'Database Claims'!$A:$C,3,)</f>
        <v>404000</v>
      </c>
      <c r="C463" s="30">
        <f t="shared" si="14"/>
        <v>-25000</v>
      </c>
      <c r="D463" s="26">
        <f>VLOOKUP(A463,'Database Claims'!$A:$C,2,)</f>
        <v>3720000</v>
      </c>
      <c r="E463" s="30">
        <f t="shared" si="15"/>
        <v>45000</v>
      </c>
    </row>
    <row r="464" spans="1:5" x14ac:dyDescent="0.2">
      <c r="A464" s="29">
        <v>27692</v>
      </c>
      <c r="B464" s="30">
        <f>VLOOKUP(A464,'Database Claims'!$A:$C,3,)</f>
        <v>426000</v>
      </c>
      <c r="C464" s="30">
        <f t="shared" si="14"/>
        <v>22000</v>
      </c>
      <c r="D464" s="30">
        <f>VLOOKUP(A464,'Database Claims'!$A:$C,2,)</f>
        <v>3662000</v>
      </c>
      <c r="E464" s="30">
        <f t="shared" si="15"/>
        <v>-58000</v>
      </c>
    </row>
    <row r="465" spans="1:5" x14ac:dyDescent="0.2">
      <c r="A465" s="29">
        <v>27699</v>
      </c>
      <c r="B465" s="26">
        <f>VLOOKUP(A465,'Database Claims'!$A:$C,3,)</f>
        <v>414000</v>
      </c>
      <c r="C465" s="30">
        <f t="shared" si="14"/>
        <v>-12000</v>
      </c>
      <c r="D465" s="26">
        <f>VLOOKUP(A465,'Database Claims'!$A:$C,2,)</f>
        <v>3607000</v>
      </c>
      <c r="E465" s="30">
        <f t="shared" si="15"/>
        <v>-55000</v>
      </c>
    </row>
    <row r="466" spans="1:5" x14ac:dyDescent="0.2">
      <c r="A466" s="29">
        <v>27706</v>
      </c>
      <c r="B466" s="30">
        <f>VLOOKUP(A466,'Database Claims'!$A:$C,3,)</f>
        <v>415000</v>
      </c>
      <c r="C466" s="30">
        <f t="shared" si="14"/>
        <v>1000</v>
      </c>
      <c r="D466" s="30">
        <f>VLOOKUP(A466,'Database Claims'!$A:$C,2,)</f>
        <v>3546000</v>
      </c>
      <c r="E466" s="30">
        <f t="shared" si="15"/>
        <v>-61000</v>
      </c>
    </row>
    <row r="467" spans="1:5" x14ac:dyDescent="0.2">
      <c r="A467" s="29">
        <v>27713</v>
      </c>
      <c r="B467" s="26">
        <f>VLOOKUP(A467,'Database Claims'!$A:$C,3,)</f>
        <v>386000</v>
      </c>
      <c r="C467" s="30">
        <f t="shared" si="14"/>
        <v>-29000</v>
      </c>
      <c r="D467" s="26">
        <f>VLOOKUP(A467,'Database Claims'!$A:$C,2,)</f>
        <v>3551000</v>
      </c>
      <c r="E467" s="30">
        <f t="shared" si="15"/>
        <v>5000</v>
      </c>
    </row>
    <row r="468" spans="1:5" x14ac:dyDescent="0.2">
      <c r="A468" s="29">
        <v>27720</v>
      </c>
      <c r="B468" s="30">
        <f>VLOOKUP(A468,'Database Claims'!$A:$C,3,)</f>
        <v>401000</v>
      </c>
      <c r="C468" s="30">
        <f t="shared" si="14"/>
        <v>15000</v>
      </c>
      <c r="D468" s="30">
        <f>VLOOKUP(A468,'Database Claims'!$A:$C,2,)</f>
        <v>3377000</v>
      </c>
      <c r="E468" s="30">
        <f t="shared" si="15"/>
        <v>-174000</v>
      </c>
    </row>
    <row r="469" spans="1:5" x14ac:dyDescent="0.2">
      <c r="A469" s="29">
        <v>27727</v>
      </c>
      <c r="B469" s="26">
        <f>VLOOKUP(A469,'Database Claims'!$A:$C,3,)</f>
        <v>387000</v>
      </c>
      <c r="C469" s="30">
        <f t="shared" si="14"/>
        <v>-14000</v>
      </c>
      <c r="D469" s="26">
        <f>VLOOKUP(A469,'Database Claims'!$A:$C,2,)</f>
        <v>3391000</v>
      </c>
      <c r="E469" s="30">
        <f t="shared" si="15"/>
        <v>14000</v>
      </c>
    </row>
    <row r="470" spans="1:5" x14ac:dyDescent="0.2">
      <c r="A470" s="29">
        <v>27734</v>
      </c>
      <c r="B470" s="30">
        <f>VLOOKUP(A470,'Database Claims'!$A:$C,3,)</f>
        <v>373000</v>
      </c>
      <c r="C470" s="30">
        <f t="shared" si="14"/>
        <v>-14000</v>
      </c>
      <c r="D470" s="30">
        <f>VLOOKUP(A470,'Database Claims'!$A:$C,2,)</f>
        <v>3331000</v>
      </c>
      <c r="E470" s="30">
        <f t="shared" si="15"/>
        <v>-60000</v>
      </c>
    </row>
    <row r="471" spans="1:5" x14ac:dyDescent="0.2">
      <c r="A471" s="29">
        <v>27741</v>
      </c>
      <c r="B471" s="26">
        <f>VLOOKUP(A471,'Database Claims'!$A:$C,3,)</f>
        <v>368000</v>
      </c>
      <c r="C471" s="30">
        <f t="shared" si="14"/>
        <v>-5000</v>
      </c>
      <c r="D471" s="26">
        <f>VLOOKUP(A471,'Database Claims'!$A:$C,2,)</f>
        <v>3266000</v>
      </c>
      <c r="E471" s="30">
        <f t="shared" si="15"/>
        <v>-65000</v>
      </c>
    </row>
    <row r="472" spans="1:5" x14ac:dyDescent="0.2">
      <c r="A472" s="29">
        <v>27748</v>
      </c>
      <c r="B472" s="30">
        <f>VLOOKUP(A472,'Database Claims'!$A:$C,3,)</f>
        <v>365000</v>
      </c>
      <c r="C472" s="30">
        <f t="shared" si="14"/>
        <v>-3000</v>
      </c>
      <c r="D472" s="30">
        <f>VLOOKUP(A472,'Database Claims'!$A:$C,2,)</f>
        <v>3124000</v>
      </c>
      <c r="E472" s="30">
        <f t="shared" si="15"/>
        <v>-142000</v>
      </c>
    </row>
    <row r="473" spans="1:5" x14ac:dyDescent="0.2">
      <c r="A473" s="29">
        <v>27755</v>
      </c>
      <c r="B473" s="26">
        <f>VLOOKUP(A473,'Database Claims'!$A:$C,3,)</f>
        <v>391000</v>
      </c>
      <c r="C473" s="30">
        <f t="shared" si="14"/>
        <v>26000</v>
      </c>
      <c r="D473" s="26">
        <f>VLOOKUP(A473,'Database Claims'!$A:$C,2,)</f>
        <v>3072000</v>
      </c>
      <c r="E473" s="30">
        <f t="shared" si="15"/>
        <v>-52000</v>
      </c>
    </row>
    <row r="474" spans="1:5" x14ac:dyDescent="0.2">
      <c r="A474" s="29">
        <v>27762</v>
      </c>
      <c r="B474" s="30">
        <f>VLOOKUP(A474,'Database Claims'!$A:$C,3,)</f>
        <v>362000</v>
      </c>
      <c r="C474" s="30">
        <f t="shared" si="14"/>
        <v>-29000</v>
      </c>
      <c r="D474" s="30">
        <f>VLOOKUP(A474,'Database Claims'!$A:$C,2,)</f>
        <v>3214000</v>
      </c>
      <c r="E474" s="30">
        <f t="shared" si="15"/>
        <v>142000</v>
      </c>
    </row>
    <row r="475" spans="1:5" x14ac:dyDescent="0.2">
      <c r="A475" s="29">
        <v>27769</v>
      </c>
      <c r="B475" s="26">
        <f>VLOOKUP(A475,'Database Claims'!$A:$C,3,)</f>
        <v>402000</v>
      </c>
      <c r="C475" s="30">
        <f t="shared" si="14"/>
        <v>40000</v>
      </c>
      <c r="D475" s="26">
        <f>VLOOKUP(A475,'Database Claims'!$A:$C,2,)</f>
        <v>3084000</v>
      </c>
      <c r="E475" s="30">
        <f t="shared" si="15"/>
        <v>-130000</v>
      </c>
    </row>
    <row r="476" spans="1:5" x14ac:dyDescent="0.2">
      <c r="A476" s="29">
        <v>27776</v>
      </c>
      <c r="B476" s="30">
        <f>VLOOKUP(A476,'Database Claims'!$A:$C,3,)</f>
        <v>370000</v>
      </c>
      <c r="C476" s="30">
        <f t="shared" si="14"/>
        <v>-32000</v>
      </c>
      <c r="D476" s="30">
        <f>VLOOKUP(A476,'Database Claims'!$A:$C,2,)</f>
        <v>3026000</v>
      </c>
      <c r="E476" s="30">
        <f t="shared" si="15"/>
        <v>-58000</v>
      </c>
    </row>
    <row r="477" spans="1:5" x14ac:dyDescent="0.2">
      <c r="A477" s="29">
        <v>27783</v>
      </c>
      <c r="B477" s="26">
        <f>VLOOKUP(A477,'Database Claims'!$A:$C,3,)</f>
        <v>363000</v>
      </c>
      <c r="C477" s="30">
        <f t="shared" si="14"/>
        <v>-7000</v>
      </c>
      <c r="D477" s="26">
        <f>VLOOKUP(A477,'Database Claims'!$A:$C,2,)</f>
        <v>2957000</v>
      </c>
      <c r="E477" s="30">
        <f t="shared" si="15"/>
        <v>-69000</v>
      </c>
    </row>
    <row r="478" spans="1:5" x14ac:dyDescent="0.2">
      <c r="A478" s="29">
        <v>27790</v>
      </c>
      <c r="B478" s="30">
        <f>VLOOKUP(A478,'Database Claims'!$A:$C,3,)</f>
        <v>359000</v>
      </c>
      <c r="C478" s="30">
        <f t="shared" si="14"/>
        <v>-4000</v>
      </c>
      <c r="D478" s="30">
        <f>VLOOKUP(A478,'Database Claims'!$A:$C,2,)</f>
        <v>2895000</v>
      </c>
      <c r="E478" s="30">
        <f t="shared" si="15"/>
        <v>-62000</v>
      </c>
    </row>
    <row r="479" spans="1:5" x14ac:dyDescent="0.2">
      <c r="A479" s="29">
        <v>27797</v>
      </c>
      <c r="B479" s="26">
        <f>VLOOKUP(A479,'Database Claims'!$A:$C,3,)</f>
        <v>353000</v>
      </c>
      <c r="C479" s="30">
        <f t="shared" si="14"/>
        <v>-6000</v>
      </c>
      <c r="D479" s="26">
        <f>VLOOKUP(A479,'Database Claims'!$A:$C,2,)</f>
        <v>2912000</v>
      </c>
      <c r="E479" s="30">
        <f t="shared" si="15"/>
        <v>17000</v>
      </c>
    </row>
    <row r="480" spans="1:5" x14ac:dyDescent="0.2">
      <c r="A480" s="29">
        <v>27804</v>
      </c>
      <c r="B480" s="30">
        <f>VLOOKUP(A480,'Database Claims'!$A:$C,3,)</f>
        <v>344000</v>
      </c>
      <c r="C480" s="30">
        <f t="shared" si="14"/>
        <v>-9000</v>
      </c>
      <c r="D480" s="30">
        <f>VLOOKUP(A480,'Database Claims'!$A:$C,2,)</f>
        <v>2867000</v>
      </c>
      <c r="E480" s="30">
        <f t="shared" si="15"/>
        <v>-45000</v>
      </c>
    </row>
    <row r="481" spans="1:5" x14ac:dyDescent="0.2">
      <c r="A481" s="29">
        <v>27811</v>
      </c>
      <c r="B481" s="26">
        <f>VLOOKUP(A481,'Database Claims'!$A:$C,3,)</f>
        <v>347000</v>
      </c>
      <c r="C481" s="30">
        <f t="shared" si="14"/>
        <v>3000</v>
      </c>
      <c r="D481" s="26">
        <f>VLOOKUP(A481,'Database Claims'!$A:$C,2,)</f>
        <v>2862000</v>
      </c>
      <c r="E481" s="30">
        <f t="shared" si="15"/>
        <v>-5000</v>
      </c>
    </row>
    <row r="482" spans="1:5" x14ac:dyDescent="0.2">
      <c r="A482" s="29">
        <v>27818</v>
      </c>
      <c r="B482" s="30">
        <f>VLOOKUP(A482,'Database Claims'!$A:$C,3,)</f>
        <v>349000</v>
      </c>
      <c r="C482" s="30">
        <f t="shared" si="14"/>
        <v>2000</v>
      </c>
      <c r="D482" s="30">
        <f>VLOOKUP(A482,'Database Claims'!$A:$C,2,)</f>
        <v>2822000</v>
      </c>
      <c r="E482" s="30">
        <f t="shared" si="15"/>
        <v>-40000</v>
      </c>
    </row>
    <row r="483" spans="1:5" x14ac:dyDescent="0.2">
      <c r="A483" s="29">
        <v>27825</v>
      </c>
      <c r="B483" s="26">
        <f>VLOOKUP(A483,'Database Claims'!$A:$C,3,)</f>
        <v>348000</v>
      </c>
      <c r="C483" s="30">
        <f t="shared" si="14"/>
        <v>-1000</v>
      </c>
      <c r="D483" s="26">
        <f>VLOOKUP(A483,'Database Claims'!$A:$C,2,)</f>
        <v>2853000</v>
      </c>
      <c r="E483" s="30">
        <f t="shared" si="15"/>
        <v>31000</v>
      </c>
    </row>
    <row r="484" spans="1:5" x14ac:dyDescent="0.2">
      <c r="A484" s="29">
        <v>27832</v>
      </c>
      <c r="B484" s="30">
        <f>VLOOKUP(A484,'Database Claims'!$A:$C,3,)</f>
        <v>360000</v>
      </c>
      <c r="C484" s="30">
        <f t="shared" si="14"/>
        <v>12000</v>
      </c>
      <c r="D484" s="30">
        <f>VLOOKUP(A484,'Database Claims'!$A:$C,2,)</f>
        <v>2837000</v>
      </c>
      <c r="E484" s="30">
        <f t="shared" si="15"/>
        <v>-16000</v>
      </c>
    </row>
    <row r="485" spans="1:5" x14ac:dyDescent="0.2">
      <c r="A485" s="29">
        <v>27839</v>
      </c>
      <c r="B485" s="26">
        <f>VLOOKUP(A485,'Database Claims'!$A:$C,3,)</f>
        <v>368000</v>
      </c>
      <c r="C485" s="30">
        <f t="shared" si="14"/>
        <v>8000</v>
      </c>
      <c r="D485" s="26">
        <f>VLOOKUP(A485,'Database Claims'!$A:$C,2,)</f>
        <v>2852000</v>
      </c>
      <c r="E485" s="30">
        <f t="shared" si="15"/>
        <v>15000</v>
      </c>
    </row>
    <row r="486" spans="1:5" x14ac:dyDescent="0.2">
      <c r="A486" s="29">
        <v>27846</v>
      </c>
      <c r="B486" s="30">
        <f>VLOOKUP(A486,'Database Claims'!$A:$C,3,)</f>
        <v>366000</v>
      </c>
      <c r="C486" s="30">
        <f t="shared" si="14"/>
        <v>-2000</v>
      </c>
      <c r="D486" s="30">
        <f>VLOOKUP(A486,'Database Claims'!$A:$C,2,)</f>
        <v>2830000</v>
      </c>
      <c r="E486" s="30">
        <f t="shared" si="15"/>
        <v>-22000</v>
      </c>
    </row>
    <row r="487" spans="1:5" x14ac:dyDescent="0.2">
      <c r="A487" s="29">
        <v>27853</v>
      </c>
      <c r="B487" s="26">
        <f>VLOOKUP(A487,'Database Claims'!$A:$C,3,)</f>
        <v>380000</v>
      </c>
      <c r="C487" s="30">
        <f t="shared" si="14"/>
        <v>14000</v>
      </c>
      <c r="D487" s="26">
        <f>VLOOKUP(A487,'Database Claims'!$A:$C,2,)</f>
        <v>2859000</v>
      </c>
      <c r="E487" s="30">
        <f t="shared" si="15"/>
        <v>29000</v>
      </c>
    </row>
    <row r="488" spans="1:5" x14ac:dyDescent="0.2">
      <c r="A488" s="29">
        <v>27860</v>
      </c>
      <c r="B488" s="30">
        <f>VLOOKUP(A488,'Database Claims'!$A:$C,3,)</f>
        <v>373000</v>
      </c>
      <c r="C488" s="30">
        <f t="shared" si="14"/>
        <v>-7000</v>
      </c>
      <c r="D488" s="30">
        <f>VLOOKUP(A488,'Database Claims'!$A:$C,2,)</f>
        <v>2840000</v>
      </c>
      <c r="E488" s="30">
        <f t="shared" si="15"/>
        <v>-19000</v>
      </c>
    </row>
    <row r="489" spans="1:5" x14ac:dyDescent="0.2">
      <c r="A489" s="29">
        <v>27867</v>
      </c>
      <c r="B489" s="26">
        <f>VLOOKUP(A489,'Database Claims'!$A:$C,3,)</f>
        <v>361000</v>
      </c>
      <c r="C489" s="30">
        <f t="shared" si="14"/>
        <v>-12000</v>
      </c>
      <c r="D489" s="26">
        <f>VLOOKUP(A489,'Database Claims'!$A:$C,2,)</f>
        <v>2890000</v>
      </c>
      <c r="E489" s="30">
        <f t="shared" si="15"/>
        <v>50000</v>
      </c>
    </row>
    <row r="490" spans="1:5" x14ac:dyDescent="0.2">
      <c r="A490" s="29">
        <v>27874</v>
      </c>
      <c r="B490" s="30">
        <f>VLOOKUP(A490,'Database Claims'!$A:$C,3,)</f>
        <v>367000</v>
      </c>
      <c r="C490" s="30">
        <f t="shared" si="14"/>
        <v>6000</v>
      </c>
      <c r="D490" s="30">
        <f>VLOOKUP(A490,'Database Claims'!$A:$C,2,)</f>
        <v>2900000</v>
      </c>
      <c r="E490" s="30">
        <f t="shared" si="15"/>
        <v>10000</v>
      </c>
    </row>
    <row r="491" spans="1:5" x14ac:dyDescent="0.2">
      <c r="A491" s="29">
        <v>27881</v>
      </c>
      <c r="B491" s="26">
        <f>VLOOKUP(A491,'Database Claims'!$A:$C,3,)</f>
        <v>385000</v>
      </c>
      <c r="C491" s="30">
        <f t="shared" si="14"/>
        <v>18000</v>
      </c>
      <c r="D491" s="26">
        <f>VLOOKUP(A491,'Database Claims'!$A:$C,2,)</f>
        <v>2940000</v>
      </c>
      <c r="E491" s="30">
        <f t="shared" si="15"/>
        <v>40000</v>
      </c>
    </row>
    <row r="492" spans="1:5" x14ac:dyDescent="0.2">
      <c r="A492" s="29">
        <v>27888</v>
      </c>
      <c r="B492" s="30">
        <f>VLOOKUP(A492,'Database Claims'!$A:$C,3,)</f>
        <v>395000</v>
      </c>
      <c r="C492" s="30">
        <f t="shared" si="14"/>
        <v>10000</v>
      </c>
      <c r="D492" s="30">
        <f>VLOOKUP(A492,'Database Claims'!$A:$C,2,)</f>
        <v>2941000</v>
      </c>
      <c r="E492" s="30">
        <f t="shared" si="15"/>
        <v>1000</v>
      </c>
    </row>
    <row r="493" spans="1:5" x14ac:dyDescent="0.2">
      <c r="A493" s="29">
        <v>27895</v>
      </c>
      <c r="B493" s="26">
        <f>VLOOKUP(A493,'Database Claims'!$A:$C,3,)</f>
        <v>382000</v>
      </c>
      <c r="C493" s="30">
        <f t="shared" si="14"/>
        <v>-13000</v>
      </c>
      <c r="D493" s="26">
        <f>VLOOKUP(A493,'Database Claims'!$A:$C,2,)</f>
        <v>2947000</v>
      </c>
      <c r="E493" s="30">
        <f t="shared" si="15"/>
        <v>6000</v>
      </c>
    </row>
    <row r="494" spans="1:5" x14ac:dyDescent="0.2">
      <c r="A494" s="29">
        <v>27902</v>
      </c>
      <c r="B494" s="30">
        <f>VLOOKUP(A494,'Database Claims'!$A:$C,3,)</f>
        <v>394000</v>
      </c>
      <c r="C494" s="30">
        <f t="shared" si="14"/>
        <v>12000</v>
      </c>
      <c r="D494" s="30">
        <f>VLOOKUP(A494,'Database Claims'!$A:$C,2,)</f>
        <v>2961000</v>
      </c>
      <c r="E494" s="30">
        <f t="shared" si="15"/>
        <v>14000</v>
      </c>
    </row>
    <row r="495" spans="1:5" x14ac:dyDescent="0.2">
      <c r="A495" s="29">
        <v>27909</v>
      </c>
      <c r="B495" s="26">
        <f>VLOOKUP(A495,'Database Claims'!$A:$C,3,)</f>
        <v>402000</v>
      </c>
      <c r="C495" s="30">
        <f t="shared" si="14"/>
        <v>8000</v>
      </c>
      <c r="D495" s="26">
        <f>VLOOKUP(A495,'Database Claims'!$A:$C,2,)</f>
        <v>2916000</v>
      </c>
      <c r="E495" s="30">
        <f t="shared" si="15"/>
        <v>-45000</v>
      </c>
    </row>
    <row r="496" spans="1:5" x14ac:dyDescent="0.2">
      <c r="A496" s="29">
        <v>27916</v>
      </c>
      <c r="B496" s="30">
        <f>VLOOKUP(A496,'Database Claims'!$A:$C,3,)</f>
        <v>382000</v>
      </c>
      <c r="C496" s="30">
        <f t="shared" si="14"/>
        <v>-20000</v>
      </c>
      <c r="D496" s="30">
        <f>VLOOKUP(A496,'Database Claims'!$A:$C,2,)</f>
        <v>2970000</v>
      </c>
      <c r="E496" s="30">
        <f t="shared" si="15"/>
        <v>54000</v>
      </c>
    </row>
    <row r="497" spans="1:5" x14ac:dyDescent="0.2">
      <c r="A497" s="29">
        <v>27923</v>
      </c>
      <c r="B497" s="26">
        <f>VLOOKUP(A497,'Database Claims'!$A:$C,3,)</f>
        <v>407000</v>
      </c>
      <c r="C497" s="30">
        <f t="shared" si="14"/>
        <v>25000</v>
      </c>
      <c r="D497" s="26">
        <f>VLOOKUP(A497,'Database Claims'!$A:$C,2,)</f>
        <v>2950000</v>
      </c>
      <c r="E497" s="30">
        <f t="shared" si="15"/>
        <v>-20000</v>
      </c>
    </row>
    <row r="498" spans="1:5" x14ac:dyDescent="0.2">
      <c r="A498" s="29">
        <v>27930</v>
      </c>
      <c r="B498" s="30">
        <f>VLOOKUP(A498,'Database Claims'!$A:$C,3,)</f>
        <v>399000</v>
      </c>
      <c r="C498" s="30">
        <f t="shared" si="14"/>
        <v>-8000</v>
      </c>
      <c r="D498" s="30">
        <f>VLOOKUP(A498,'Database Claims'!$A:$C,2,)</f>
        <v>3003000</v>
      </c>
      <c r="E498" s="30">
        <f t="shared" si="15"/>
        <v>53000</v>
      </c>
    </row>
    <row r="499" spans="1:5" x14ac:dyDescent="0.2">
      <c r="A499" s="29">
        <v>27937</v>
      </c>
      <c r="B499" s="26">
        <f>VLOOKUP(A499,'Database Claims'!$A:$C,3,)</f>
        <v>387000</v>
      </c>
      <c r="C499" s="30">
        <f t="shared" si="14"/>
        <v>-12000</v>
      </c>
      <c r="D499" s="26">
        <f>VLOOKUP(A499,'Database Claims'!$A:$C,2,)</f>
        <v>3035000</v>
      </c>
      <c r="E499" s="30">
        <f t="shared" si="15"/>
        <v>32000</v>
      </c>
    </row>
    <row r="500" spans="1:5" x14ac:dyDescent="0.2">
      <c r="A500" s="29">
        <v>27944</v>
      </c>
      <c r="B500" s="30">
        <f>VLOOKUP(A500,'Database Claims'!$A:$C,3,)</f>
        <v>394000</v>
      </c>
      <c r="C500" s="30">
        <f t="shared" si="14"/>
        <v>7000</v>
      </c>
      <c r="D500" s="30">
        <f>VLOOKUP(A500,'Database Claims'!$A:$C,2,)</f>
        <v>2958000</v>
      </c>
      <c r="E500" s="30">
        <f t="shared" si="15"/>
        <v>-77000</v>
      </c>
    </row>
    <row r="501" spans="1:5" x14ac:dyDescent="0.2">
      <c r="A501" s="29">
        <v>27951</v>
      </c>
      <c r="B501" s="26">
        <f>VLOOKUP(A501,'Database Claims'!$A:$C,3,)</f>
        <v>372000</v>
      </c>
      <c r="C501" s="30">
        <f t="shared" si="14"/>
        <v>-22000</v>
      </c>
      <c r="D501" s="26">
        <f>VLOOKUP(A501,'Database Claims'!$A:$C,2,)</f>
        <v>2995000</v>
      </c>
      <c r="E501" s="30">
        <f t="shared" si="15"/>
        <v>37000</v>
      </c>
    </row>
    <row r="502" spans="1:5" x14ac:dyDescent="0.2">
      <c r="A502" s="29">
        <v>27958</v>
      </c>
      <c r="B502" s="30">
        <f>VLOOKUP(A502,'Database Claims'!$A:$C,3,)</f>
        <v>406000</v>
      </c>
      <c r="C502" s="30">
        <f t="shared" si="14"/>
        <v>34000</v>
      </c>
      <c r="D502" s="30">
        <f>VLOOKUP(A502,'Database Claims'!$A:$C,2,)</f>
        <v>3011000</v>
      </c>
      <c r="E502" s="30">
        <f t="shared" si="15"/>
        <v>16000</v>
      </c>
    </row>
    <row r="503" spans="1:5" x14ac:dyDescent="0.2">
      <c r="A503" s="29">
        <v>27965</v>
      </c>
      <c r="B503" s="26">
        <f>VLOOKUP(A503,'Database Claims'!$A:$C,3,)</f>
        <v>394000</v>
      </c>
      <c r="C503" s="30">
        <f t="shared" si="14"/>
        <v>-12000</v>
      </c>
      <c r="D503" s="26">
        <f>VLOOKUP(A503,'Database Claims'!$A:$C,2,)</f>
        <v>3019000</v>
      </c>
      <c r="E503" s="30">
        <f t="shared" si="15"/>
        <v>8000</v>
      </c>
    </row>
    <row r="504" spans="1:5" x14ac:dyDescent="0.2">
      <c r="A504" s="29">
        <v>27972</v>
      </c>
      <c r="B504" s="30">
        <f>VLOOKUP(A504,'Database Claims'!$A:$C,3,)</f>
        <v>388000</v>
      </c>
      <c r="C504" s="30">
        <f t="shared" si="14"/>
        <v>-6000</v>
      </c>
      <c r="D504" s="30">
        <f>VLOOKUP(A504,'Database Claims'!$A:$C,2,)</f>
        <v>2996000</v>
      </c>
      <c r="E504" s="30">
        <f t="shared" si="15"/>
        <v>-23000</v>
      </c>
    </row>
    <row r="505" spans="1:5" x14ac:dyDescent="0.2">
      <c r="A505" s="29">
        <v>27979</v>
      </c>
      <c r="B505" s="26">
        <f>VLOOKUP(A505,'Database Claims'!$A:$C,3,)</f>
        <v>378000</v>
      </c>
      <c r="C505" s="30">
        <f t="shared" si="14"/>
        <v>-10000</v>
      </c>
      <c r="D505" s="26">
        <f>VLOOKUP(A505,'Database Claims'!$A:$C,2,)</f>
        <v>3007000</v>
      </c>
      <c r="E505" s="30">
        <f t="shared" si="15"/>
        <v>11000</v>
      </c>
    </row>
    <row r="506" spans="1:5" x14ac:dyDescent="0.2">
      <c r="A506" s="29">
        <v>27986</v>
      </c>
      <c r="B506" s="30">
        <f>VLOOKUP(A506,'Database Claims'!$A:$C,3,)</f>
        <v>382000</v>
      </c>
      <c r="C506" s="30">
        <f t="shared" si="14"/>
        <v>4000</v>
      </c>
      <c r="D506" s="30">
        <f>VLOOKUP(A506,'Database Claims'!$A:$C,2,)</f>
        <v>2990000</v>
      </c>
      <c r="E506" s="30">
        <f t="shared" si="15"/>
        <v>-17000</v>
      </c>
    </row>
    <row r="507" spans="1:5" x14ac:dyDescent="0.2">
      <c r="A507" s="29">
        <v>27993</v>
      </c>
      <c r="B507" s="26">
        <f>VLOOKUP(A507,'Database Claims'!$A:$C,3,)</f>
        <v>400000</v>
      </c>
      <c r="C507" s="30">
        <f t="shared" si="14"/>
        <v>18000</v>
      </c>
      <c r="D507" s="26">
        <f>VLOOKUP(A507,'Database Claims'!$A:$C,2,)</f>
        <v>2983000</v>
      </c>
      <c r="E507" s="30">
        <f t="shared" si="15"/>
        <v>-7000</v>
      </c>
    </row>
    <row r="508" spans="1:5" x14ac:dyDescent="0.2">
      <c r="A508" s="29">
        <v>28000</v>
      </c>
      <c r="B508" s="30">
        <f>VLOOKUP(A508,'Database Claims'!$A:$C,3,)</f>
        <v>394000</v>
      </c>
      <c r="C508" s="30">
        <f t="shared" si="14"/>
        <v>-6000</v>
      </c>
      <c r="D508" s="30">
        <f>VLOOKUP(A508,'Database Claims'!$A:$C,2,)</f>
        <v>3081000</v>
      </c>
      <c r="E508" s="30">
        <f t="shared" si="15"/>
        <v>98000</v>
      </c>
    </row>
    <row r="509" spans="1:5" x14ac:dyDescent="0.2">
      <c r="A509" s="29">
        <v>28007</v>
      </c>
      <c r="B509" s="26">
        <f>VLOOKUP(A509,'Database Claims'!$A:$C,3,)</f>
        <v>421000</v>
      </c>
      <c r="C509" s="30">
        <f t="shared" si="14"/>
        <v>27000</v>
      </c>
      <c r="D509" s="26">
        <f>VLOOKUP(A509,'Database Claims'!$A:$C,2,)</f>
        <v>2988000</v>
      </c>
      <c r="E509" s="30">
        <f t="shared" si="15"/>
        <v>-93000</v>
      </c>
    </row>
    <row r="510" spans="1:5" x14ac:dyDescent="0.2">
      <c r="A510" s="29">
        <v>28014</v>
      </c>
      <c r="B510" s="30">
        <f>VLOOKUP(A510,'Database Claims'!$A:$C,3,)</f>
        <v>383000</v>
      </c>
      <c r="C510" s="30">
        <f t="shared" si="14"/>
        <v>-38000</v>
      </c>
      <c r="D510" s="30">
        <f>VLOOKUP(A510,'Database Claims'!$A:$C,2,)</f>
        <v>3092000</v>
      </c>
      <c r="E510" s="30">
        <f t="shared" si="15"/>
        <v>104000</v>
      </c>
    </row>
    <row r="511" spans="1:5" x14ac:dyDescent="0.2">
      <c r="A511" s="29">
        <v>28021</v>
      </c>
      <c r="B511" s="26">
        <f>VLOOKUP(A511,'Database Claims'!$A:$C,3,)</f>
        <v>403000</v>
      </c>
      <c r="C511" s="30">
        <f t="shared" si="14"/>
        <v>20000</v>
      </c>
      <c r="D511" s="26">
        <f>VLOOKUP(A511,'Database Claims'!$A:$C,2,)</f>
        <v>3097000</v>
      </c>
      <c r="E511" s="30">
        <f t="shared" si="15"/>
        <v>5000</v>
      </c>
    </row>
    <row r="512" spans="1:5" x14ac:dyDescent="0.2">
      <c r="A512" s="29">
        <v>28028</v>
      </c>
      <c r="B512" s="30">
        <f>VLOOKUP(A512,'Database Claims'!$A:$C,3,)</f>
        <v>423000</v>
      </c>
      <c r="C512" s="30">
        <f t="shared" si="14"/>
        <v>20000</v>
      </c>
      <c r="D512" s="30">
        <f>VLOOKUP(A512,'Database Claims'!$A:$C,2,)</f>
        <v>3103000</v>
      </c>
      <c r="E512" s="30">
        <f t="shared" si="15"/>
        <v>6000</v>
      </c>
    </row>
    <row r="513" spans="1:5" x14ac:dyDescent="0.2">
      <c r="A513" s="29">
        <v>28035</v>
      </c>
      <c r="B513" s="26">
        <f>VLOOKUP(A513,'Database Claims'!$A:$C,3,)</f>
        <v>408000</v>
      </c>
      <c r="C513" s="30">
        <f t="shared" si="14"/>
        <v>-15000</v>
      </c>
      <c r="D513" s="26">
        <f>VLOOKUP(A513,'Database Claims'!$A:$C,2,)</f>
        <v>3104000</v>
      </c>
      <c r="E513" s="30">
        <f t="shared" si="15"/>
        <v>1000</v>
      </c>
    </row>
    <row r="514" spans="1:5" x14ac:dyDescent="0.2">
      <c r="A514" s="29">
        <v>28042</v>
      </c>
      <c r="B514" s="30">
        <f>VLOOKUP(A514,'Database Claims'!$A:$C,3,)</f>
        <v>411000</v>
      </c>
      <c r="C514" s="30">
        <f t="shared" si="14"/>
        <v>3000</v>
      </c>
      <c r="D514" s="30">
        <f>VLOOKUP(A514,'Database Claims'!$A:$C,2,)</f>
        <v>3119000</v>
      </c>
      <c r="E514" s="30">
        <f t="shared" si="15"/>
        <v>15000</v>
      </c>
    </row>
    <row r="515" spans="1:5" x14ac:dyDescent="0.2">
      <c r="A515" s="29">
        <v>28049</v>
      </c>
      <c r="B515" s="26">
        <f>VLOOKUP(A515,'Database Claims'!$A:$C,3,)</f>
        <v>403000</v>
      </c>
      <c r="C515" s="30">
        <f t="shared" si="14"/>
        <v>-8000</v>
      </c>
      <c r="D515" s="26">
        <f>VLOOKUP(A515,'Database Claims'!$A:$C,2,)</f>
        <v>3074000</v>
      </c>
      <c r="E515" s="30">
        <f t="shared" si="15"/>
        <v>-45000</v>
      </c>
    </row>
    <row r="516" spans="1:5" x14ac:dyDescent="0.2">
      <c r="A516" s="29">
        <v>28056</v>
      </c>
      <c r="B516" s="30">
        <f>VLOOKUP(A516,'Database Claims'!$A:$C,3,)</f>
        <v>409000</v>
      </c>
      <c r="C516" s="30">
        <f t="shared" si="14"/>
        <v>6000</v>
      </c>
      <c r="D516" s="30">
        <f>VLOOKUP(A516,'Database Claims'!$A:$C,2,)</f>
        <v>3088000</v>
      </c>
      <c r="E516" s="30">
        <f t="shared" si="15"/>
        <v>14000</v>
      </c>
    </row>
    <row r="517" spans="1:5" x14ac:dyDescent="0.2">
      <c r="A517" s="29">
        <v>28063</v>
      </c>
      <c r="B517" s="26">
        <f>VLOOKUP(A517,'Database Claims'!$A:$C,3,)</f>
        <v>414000</v>
      </c>
      <c r="C517" s="30">
        <f t="shared" si="14"/>
        <v>5000</v>
      </c>
      <c r="D517" s="26">
        <f>VLOOKUP(A517,'Database Claims'!$A:$C,2,)</f>
        <v>3080000</v>
      </c>
      <c r="E517" s="30">
        <f t="shared" si="15"/>
        <v>-8000</v>
      </c>
    </row>
    <row r="518" spans="1:5" x14ac:dyDescent="0.2">
      <c r="A518" s="29">
        <v>28070</v>
      </c>
      <c r="B518" s="30">
        <f>VLOOKUP(A518,'Database Claims'!$A:$C,3,)</f>
        <v>390000</v>
      </c>
      <c r="C518" s="30">
        <f t="shared" ref="C518:C581" si="16">B518-B517</f>
        <v>-24000</v>
      </c>
      <c r="D518" s="30">
        <f>VLOOKUP(A518,'Database Claims'!$A:$C,2,)</f>
        <v>3079000</v>
      </c>
      <c r="E518" s="30">
        <f t="shared" ref="E518:E581" si="17">D518-D517</f>
        <v>-1000</v>
      </c>
    </row>
    <row r="519" spans="1:5" x14ac:dyDescent="0.2">
      <c r="A519" s="29">
        <v>28077</v>
      </c>
      <c r="B519" s="26">
        <f>VLOOKUP(A519,'Database Claims'!$A:$C,3,)</f>
        <v>383000</v>
      </c>
      <c r="C519" s="30">
        <f t="shared" si="16"/>
        <v>-7000</v>
      </c>
      <c r="D519" s="26">
        <f>VLOOKUP(A519,'Database Claims'!$A:$C,2,)</f>
        <v>3064000</v>
      </c>
      <c r="E519" s="30">
        <f t="shared" si="17"/>
        <v>-15000</v>
      </c>
    </row>
    <row r="520" spans="1:5" x14ac:dyDescent="0.2">
      <c r="A520" s="29">
        <v>28084</v>
      </c>
      <c r="B520" s="30">
        <f>VLOOKUP(A520,'Database Claims'!$A:$C,3,)</f>
        <v>408000</v>
      </c>
      <c r="C520" s="30">
        <f t="shared" si="16"/>
        <v>25000</v>
      </c>
      <c r="D520" s="30">
        <f>VLOOKUP(A520,'Database Claims'!$A:$C,2,)</f>
        <v>3061000</v>
      </c>
      <c r="E520" s="30">
        <f t="shared" si="17"/>
        <v>-3000</v>
      </c>
    </row>
    <row r="521" spans="1:5" x14ac:dyDescent="0.2">
      <c r="A521" s="29">
        <v>28091</v>
      </c>
      <c r="B521" s="26">
        <f>VLOOKUP(A521,'Database Claims'!$A:$C,3,)</f>
        <v>377000</v>
      </c>
      <c r="C521" s="30">
        <f t="shared" si="16"/>
        <v>-31000</v>
      </c>
      <c r="D521" s="26">
        <f>VLOOKUP(A521,'Database Claims'!$A:$C,2,)</f>
        <v>3019000</v>
      </c>
      <c r="E521" s="30">
        <f t="shared" si="17"/>
        <v>-42000</v>
      </c>
    </row>
    <row r="522" spans="1:5" x14ac:dyDescent="0.2">
      <c r="A522" s="29">
        <v>28098</v>
      </c>
      <c r="B522" s="30">
        <f>VLOOKUP(A522,'Database Claims'!$A:$C,3,)</f>
        <v>402000</v>
      </c>
      <c r="C522" s="30">
        <f t="shared" si="16"/>
        <v>25000</v>
      </c>
      <c r="D522" s="30">
        <f>VLOOKUP(A522,'Database Claims'!$A:$C,2,)</f>
        <v>2994000</v>
      </c>
      <c r="E522" s="30">
        <f t="shared" si="17"/>
        <v>-25000</v>
      </c>
    </row>
    <row r="523" spans="1:5" x14ac:dyDescent="0.2">
      <c r="A523" s="29">
        <v>28105</v>
      </c>
      <c r="B523" s="26">
        <f>VLOOKUP(A523,'Database Claims'!$A:$C,3,)</f>
        <v>395000</v>
      </c>
      <c r="C523" s="30">
        <f t="shared" si="16"/>
        <v>-7000</v>
      </c>
      <c r="D523" s="26">
        <f>VLOOKUP(A523,'Database Claims'!$A:$C,2,)</f>
        <v>2978000</v>
      </c>
      <c r="E523" s="30">
        <f t="shared" si="17"/>
        <v>-16000</v>
      </c>
    </row>
    <row r="524" spans="1:5" x14ac:dyDescent="0.2">
      <c r="A524" s="29">
        <v>28112</v>
      </c>
      <c r="B524" s="30">
        <f>VLOOKUP(A524,'Database Claims'!$A:$C,3,)</f>
        <v>365000</v>
      </c>
      <c r="C524" s="30">
        <f t="shared" si="16"/>
        <v>-30000</v>
      </c>
      <c r="D524" s="30">
        <f>VLOOKUP(A524,'Database Claims'!$A:$C,2,)</f>
        <v>2900000</v>
      </c>
      <c r="E524" s="30">
        <f t="shared" si="17"/>
        <v>-78000</v>
      </c>
    </row>
    <row r="525" spans="1:5" x14ac:dyDescent="0.2">
      <c r="A525" s="29">
        <v>28119</v>
      </c>
      <c r="B525" s="26">
        <f>VLOOKUP(A525,'Database Claims'!$A:$C,3,)</f>
        <v>333000</v>
      </c>
      <c r="C525" s="30">
        <f t="shared" si="16"/>
        <v>-32000</v>
      </c>
      <c r="D525" s="26">
        <f>VLOOKUP(A525,'Database Claims'!$A:$C,2,)</f>
        <v>2822000</v>
      </c>
      <c r="E525" s="30">
        <f t="shared" si="17"/>
        <v>-78000</v>
      </c>
    </row>
    <row r="526" spans="1:5" x14ac:dyDescent="0.2">
      <c r="A526" s="29">
        <v>28126</v>
      </c>
      <c r="B526" s="30">
        <f>VLOOKUP(A526,'Database Claims'!$A:$C,3,)</f>
        <v>380000</v>
      </c>
      <c r="C526" s="30">
        <f t="shared" si="16"/>
        <v>47000</v>
      </c>
      <c r="D526" s="30">
        <f>VLOOKUP(A526,'Database Claims'!$A:$C,2,)</f>
        <v>2818000</v>
      </c>
      <c r="E526" s="30">
        <f t="shared" si="17"/>
        <v>-4000</v>
      </c>
    </row>
    <row r="527" spans="1:5" x14ac:dyDescent="0.2">
      <c r="A527" s="29">
        <v>28133</v>
      </c>
      <c r="B527" s="26">
        <f>VLOOKUP(A527,'Database Claims'!$A:$C,3,)</f>
        <v>416000</v>
      </c>
      <c r="C527" s="30">
        <f t="shared" si="16"/>
        <v>36000</v>
      </c>
      <c r="D527" s="26">
        <f>VLOOKUP(A527,'Database Claims'!$A:$C,2,)</f>
        <v>2764000</v>
      </c>
      <c r="E527" s="30">
        <f t="shared" si="17"/>
        <v>-54000</v>
      </c>
    </row>
    <row r="528" spans="1:5" x14ac:dyDescent="0.2">
      <c r="A528" s="29">
        <v>28140</v>
      </c>
      <c r="B528" s="30">
        <f>VLOOKUP(A528,'Database Claims'!$A:$C,3,)</f>
        <v>368000</v>
      </c>
      <c r="C528" s="30">
        <f t="shared" si="16"/>
        <v>-48000</v>
      </c>
      <c r="D528" s="30">
        <f>VLOOKUP(A528,'Database Claims'!$A:$C,2,)</f>
        <v>2841000</v>
      </c>
      <c r="E528" s="30">
        <f t="shared" si="17"/>
        <v>77000</v>
      </c>
    </row>
    <row r="529" spans="1:5" x14ac:dyDescent="0.2">
      <c r="A529" s="29">
        <v>28147</v>
      </c>
      <c r="B529" s="26">
        <f>VLOOKUP(A529,'Database Claims'!$A:$C,3,)</f>
        <v>423000</v>
      </c>
      <c r="C529" s="30">
        <f t="shared" si="16"/>
        <v>55000</v>
      </c>
      <c r="D529" s="26">
        <f>VLOOKUP(A529,'Database Claims'!$A:$C,2,)</f>
        <v>2834000</v>
      </c>
      <c r="E529" s="30">
        <f t="shared" si="17"/>
        <v>-7000</v>
      </c>
    </row>
    <row r="530" spans="1:5" x14ac:dyDescent="0.2">
      <c r="A530" s="29">
        <v>28154</v>
      </c>
      <c r="B530" s="30">
        <f>VLOOKUP(A530,'Database Claims'!$A:$C,3,)</f>
        <v>422000</v>
      </c>
      <c r="C530" s="30">
        <f t="shared" si="16"/>
        <v>-1000</v>
      </c>
      <c r="D530" s="30">
        <f>VLOOKUP(A530,'Database Claims'!$A:$C,2,)</f>
        <v>2879000</v>
      </c>
      <c r="E530" s="30">
        <f t="shared" si="17"/>
        <v>45000</v>
      </c>
    </row>
    <row r="531" spans="1:5" x14ac:dyDescent="0.2">
      <c r="A531" s="29">
        <v>28161</v>
      </c>
      <c r="B531" s="26">
        <f>VLOOKUP(A531,'Database Claims'!$A:$C,3,)</f>
        <v>565000</v>
      </c>
      <c r="C531" s="30">
        <f t="shared" si="16"/>
        <v>143000</v>
      </c>
      <c r="D531" s="26">
        <f>VLOOKUP(A531,'Database Claims'!$A:$C,2,)</f>
        <v>2956000</v>
      </c>
      <c r="E531" s="30">
        <f t="shared" si="17"/>
        <v>77000</v>
      </c>
    </row>
    <row r="532" spans="1:5" x14ac:dyDescent="0.2">
      <c r="A532" s="29">
        <v>28168</v>
      </c>
      <c r="B532" s="30">
        <f>VLOOKUP(A532,'Database Claims'!$A:$C,3,)</f>
        <v>477000</v>
      </c>
      <c r="C532" s="30">
        <f t="shared" si="16"/>
        <v>-88000</v>
      </c>
      <c r="D532" s="30">
        <f>VLOOKUP(A532,'Database Claims'!$A:$C,2,)</f>
        <v>2904000</v>
      </c>
      <c r="E532" s="30">
        <f t="shared" si="17"/>
        <v>-52000</v>
      </c>
    </row>
    <row r="533" spans="1:5" x14ac:dyDescent="0.2">
      <c r="A533" s="29">
        <v>28175</v>
      </c>
      <c r="B533" s="26">
        <f>VLOOKUP(A533,'Database Claims'!$A:$C,3,)</f>
        <v>399000</v>
      </c>
      <c r="C533" s="30">
        <f t="shared" si="16"/>
        <v>-78000</v>
      </c>
      <c r="D533" s="26">
        <f>VLOOKUP(A533,'Database Claims'!$A:$C,2,)</f>
        <v>2772000</v>
      </c>
      <c r="E533" s="30">
        <f t="shared" si="17"/>
        <v>-132000</v>
      </c>
    </row>
    <row r="534" spans="1:5" x14ac:dyDescent="0.2">
      <c r="A534" s="29">
        <v>28182</v>
      </c>
      <c r="B534" s="30">
        <f>VLOOKUP(A534,'Database Claims'!$A:$C,3,)</f>
        <v>362000</v>
      </c>
      <c r="C534" s="30">
        <f t="shared" si="16"/>
        <v>-37000</v>
      </c>
      <c r="D534" s="30">
        <f>VLOOKUP(A534,'Database Claims'!$A:$C,2,)</f>
        <v>2764000</v>
      </c>
      <c r="E534" s="30">
        <f t="shared" si="17"/>
        <v>-8000</v>
      </c>
    </row>
    <row r="535" spans="1:5" x14ac:dyDescent="0.2">
      <c r="A535" s="29">
        <v>28189</v>
      </c>
      <c r="B535" s="26">
        <f>VLOOKUP(A535,'Database Claims'!$A:$C,3,)</f>
        <v>361000</v>
      </c>
      <c r="C535" s="30">
        <f t="shared" si="16"/>
        <v>-1000</v>
      </c>
      <c r="D535" s="26">
        <f>VLOOKUP(A535,'Database Claims'!$A:$C,2,)</f>
        <v>2717000</v>
      </c>
      <c r="E535" s="30">
        <f t="shared" si="17"/>
        <v>-47000</v>
      </c>
    </row>
    <row r="536" spans="1:5" x14ac:dyDescent="0.2">
      <c r="A536" s="29">
        <v>28196</v>
      </c>
      <c r="B536" s="30">
        <f>VLOOKUP(A536,'Database Claims'!$A:$C,3,)</f>
        <v>355000</v>
      </c>
      <c r="C536" s="30">
        <f t="shared" si="16"/>
        <v>-6000</v>
      </c>
      <c r="D536" s="30">
        <f>VLOOKUP(A536,'Database Claims'!$A:$C,2,)</f>
        <v>2728000</v>
      </c>
      <c r="E536" s="30">
        <f t="shared" si="17"/>
        <v>11000</v>
      </c>
    </row>
    <row r="537" spans="1:5" x14ac:dyDescent="0.2">
      <c r="A537" s="29">
        <v>28203</v>
      </c>
      <c r="B537" s="26">
        <f>VLOOKUP(A537,'Database Claims'!$A:$C,3,)</f>
        <v>369000</v>
      </c>
      <c r="C537" s="30">
        <f t="shared" si="16"/>
        <v>14000</v>
      </c>
      <c r="D537" s="26">
        <f>VLOOKUP(A537,'Database Claims'!$A:$C,2,)</f>
        <v>2695000</v>
      </c>
      <c r="E537" s="30">
        <f t="shared" si="17"/>
        <v>-33000</v>
      </c>
    </row>
    <row r="538" spans="1:5" x14ac:dyDescent="0.2">
      <c r="A538" s="29">
        <v>28210</v>
      </c>
      <c r="B538" s="30">
        <f>VLOOKUP(A538,'Database Claims'!$A:$C,3,)</f>
        <v>356000</v>
      </c>
      <c r="C538" s="30">
        <f t="shared" si="16"/>
        <v>-13000</v>
      </c>
      <c r="D538" s="30">
        <f>VLOOKUP(A538,'Database Claims'!$A:$C,2,)</f>
        <v>2671000</v>
      </c>
      <c r="E538" s="30">
        <f t="shared" si="17"/>
        <v>-24000</v>
      </c>
    </row>
    <row r="539" spans="1:5" x14ac:dyDescent="0.2">
      <c r="A539" s="29">
        <v>28217</v>
      </c>
      <c r="B539" s="26">
        <f>VLOOKUP(A539,'Database Claims'!$A:$C,3,)</f>
        <v>350000</v>
      </c>
      <c r="C539" s="30">
        <f t="shared" si="16"/>
        <v>-6000</v>
      </c>
      <c r="D539" s="26">
        <f>VLOOKUP(A539,'Database Claims'!$A:$C,2,)</f>
        <v>2655000</v>
      </c>
      <c r="E539" s="30">
        <f t="shared" si="17"/>
        <v>-16000</v>
      </c>
    </row>
    <row r="540" spans="1:5" x14ac:dyDescent="0.2">
      <c r="A540" s="29">
        <v>28224</v>
      </c>
      <c r="B540" s="30">
        <f>VLOOKUP(A540,'Database Claims'!$A:$C,3,)</f>
        <v>376000</v>
      </c>
      <c r="C540" s="30">
        <f t="shared" si="16"/>
        <v>26000</v>
      </c>
      <c r="D540" s="30">
        <f>VLOOKUP(A540,'Database Claims'!$A:$C,2,)</f>
        <v>2717000</v>
      </c>
      <c r="E540" s="30">
        <f t="shared" si="17"/>
        <v>62000</v>
      </c>
    </row>
    <row r="541" spans="1:5" x14ac:dyDescent="0.2">
      <c r="A541" s="29">
        <v>28231</v>
      </c>
      <c r="B541" s="26">
        <f>VLOOKUP(A541,'Database Claims'!$A:$C,3,)</f>
        <v>361000</v>
      </c>
      <c r="C541" s="30">
        <f t="shared" si="16"/>
        <v>-15000</v>
      </c>
      <c r="D541" s="26">
        <f>VLOOKUP(A541,'Database Claims'!$A:$C,2,)</f>
        <v>2680000</v>
      </c>
      <c r="E541" s="30">
        <f t="shared" si="17"/>
        <v>-37000</v>
      </c>
    </row>
    <row r="542" spans="1:5" x14ac:dyDescent="0.2">
      <c r="A542" s="29">
        <v>28238</v>
      </c>
      <c r="B542" s="30">
        <f>VLOOKUP(A542,'Database Claims'!$A:$C,3,)</f>
        <v>375000</v>
      </c>
      <c r="C542" s="30">
        <f t="shared" si="16"/>
        <v>14000</v>
      </c>
      <c r="D542" s="30">
        <f>VLOOKUP(A542,'Database Claims'!$A:$C,2,)</f>
        <v>2660000</v>
      </c>
      <c r="E542" s="30">
        <f t="shared" si="17"/>
        <v>-20000</v>
      </c>
    </row>
    <row r="543" spans="1:5" x14ac:dyDescent="0.2">
      <c r="A543" s="29">
        <v>28245</v>
      </c>
      <c r="B543" s="26">
        <f>VLOOKUP(A543,'Database Claims'!$A:$C,3,)</f>
        <v>375000</v>
      </c>
      <c r="C543" s="30">
        <f t="shared" si="16"/>
        <v>0</v>
      </c>
      <c r="D543" s="26">
        <f>VLOOKUP(A543,'Database Claims'!$A:$C,2,)</f>
        <v>2644000</v>
      </c>
      <c r="E543" s="30">
        <f t="shared" si="17"/>
        <v>-16000</v>
      </c>
    </row>
    <row r="544" spans="1:5" x14ac:dyDescent="0.2">
      <c r="A544" s="29">
        <v>28252</v>
      </c>
      <c r="B544" s="30">
        <f>VLOOKUP(A544,'Database Claims'!$A:$C,3,)</f>
        <v>384000</v>
      </c>
      <c r="C544" s="30">
        <f t="shared" si="16"/>
        <v>9000</v>
      </c>
      <c r="D544" s="30">
        <f>VLOOKUP(A544,'Database Claims'!$A:$C,2,)</f>
        <v>2618000</v>
      </c>
      <c r="E544" s="30">
        <f t="shared" si="17"/>
        <v>-26000</v>
      </c>
    </row>
    <row r="545" spans="1:5" x14ac:dyDescent="0.2">
      <c r="A545" s="29">
        <v>28259</v>
      </c>
      <c r="B545" s="26">
        <f>VLOOKUP(A545,'Database Claims'!$A:$C,3,)</f>
        <v>381000</v>
      </c>
      <c r="C545" s="30">
        <f t="shared" si="16"/>
        <v>-3000</v>
      </c>
      <c r="D545" s="26">
        <f>VLOOKUP(A545,'Database Claims'!$A:$C,2,)</f>
        <v>2635000</v>
      </c>
      <c r="E545" s="30">
        <f t="shared" si="17"/>
        <v>17000</v>
      </c>
    </row>
    <row r="546" spans="1:5" x14ac:dyDescent="0.2">
      <c r="A546" s="29">
        <v>28266</v>
      </c>
      <c r="B546" s="30">
        <f>VLOOKUP(A546,'Database Claims'!$A:$C,3,)</f>
        <v>375000</v>
      </c>
      <c r="C546" s="30">
        <f t="shared" si="16"/>
        <v>-6000</v>
      </c>
      <c r="D546" s="30">
        <f>VLOOKUP(A546,'Database Claims'!$A:$C,2,)</f>
        <v>2647000</v>
      </c>
      <c r="E546" s="30">
        <f t="shared" si="17"/>
        <v>12000</v>
      </c>
    </row>
    <row r="547" spans="1:5" x14ac:dyDescent="0.2">
      <c r="A547" s="29">
        <v>28273</v>
      </c>
      <c r="B547" s="26">
        <f>VLOOKUP(A547,'Database Claims'!$A:$C,3,)</f>
        <v>381000</v>
      </c>
      <c r="C547" s="30">
        <f t="shared" si="16"/>
        <v>6000</v>
      </c>
      <c r="D547" s="26">
        <f>VLOOKUP(A547,'Database Claims'!$A:$C,2,)</f>
        <v>2625000</v>
      </c>
      <c r="E547" s="30">
        <f t="shared" si="17"/>
        <v>-22000</v>
      </c>
    </row>
    <row r="548" spans="1:5" x14ac:dyDescent="0.2">
      <c r="A548" s="29">
        <v>28280</v>
      </c>
      <c r="B548" s="30">
        <f>VLOOKUP(A548,'Database Claims'!$A:$C,3,)</f>
        <v>363000</v>
      </c>
      <c r="C548" s="30">
        <f t="shared" si="16"/>
        <v>-18000</v>
      </c>
      <c r="D548" s="30">
        <f>VLOOKUP(A548,'Database Claims'!$A:$C,2,)</f>
        <v>2650000</v>
      </c>
      <c r="E548" s="30">
        <f t="shared" si="17"/>
        <v>25000</v>
      </c>
    </row>
    <row r="549" spans="1:5" x14ac:dyDescent="0.2">
      <c r="A549" s="29">
        <v>28287</v>
      </c>
      <c r="B549" s="26">
        <f>VLOOKUP(A549,'Database Claims'!$A:$C,3,)</f>
        <v>358000</v>
      </c>
      <c r="C549" s="30">
        <f t="shared" si="16"/>
        <v>-5000</v>
      </c>
      <c r="D549" s="26">
        <f>VLOOKUP(A549,'Database Claims'!$A:$C,2,)</f>
        <v>2589000</v>
      </c>
      <c r="E549" s="30">
        <f t="shared" si="17"/>
        <v>-61000</v>
      </c>
    </row>
    <row r="550" spans="1:5" x14ac:dyDescent="0.2">
      <c r="A550" s="29">
        <v>28294</v>
      </c>
      <c r="B550" s="30">
        <f>VLOOKUP(A550,'Database Claims'!$A:$C,3,)</f>
        <v>359000</v>
      </c>
      <c r="C550" s="30">
        <f t="shared" si="16"/>
        <v>1000</v>
      </c>
      <c r="D550" s="30">
        <f>VLOOKUP(A550,'Database Claims'!$A:$C,2,)</f>
        <v>2622000</v>
      </c>
      <c r="E550" s="30">
        <f t="shared" si="17"/>
        <v>33000</v>
      </c>
    </row>
    <row r="551" spans="1:5" x14ac:dyDescent="0.2">
      <c r="A551" s="29">
        <v>28301</v>
      </c>
      <c r="B551" s="26">
        <f>VLOOKUP(A551,'Database Claims'!$A:$C,3,)</f>
        <v>365000</v>
      </c>
      <c r="C551" s="30">
        <f t="shared" si="16"/>
        <v>6000</v>
      </c>
      <c r="D551" s="26">
        <f>VLOOKUP(A551,'Database Claims'!$A:$C,2,)</f>
        <v>2616000</v>
      </c>
      <c r="E551" s="30">
        <f t="shared" si="17"/>
        <v>-6000</v>
      </c>
    </row>
    <row r="552" spans="1:5" x14ac:dyDescent="0.2">
      <c r="A552" s="29">
        <v>28308</v>
      </c>
      <c r="B552" s="30">
        <f>VLOOKUP(A552,'Database Claims'!$A:$C,3,)</f>
        <v>350000</v>
      </c>
      <c r="C552" s="30">
        <f t="shared" si="16"/>
        <v>-15000</v>
      </c>
      <c r="D552" s="30">
        <f>VLOOKUP(A552,'Database Claims'!$A:$C,2,)</f>
        <v>2572000</v>
      </c>
      <c r="E552" s="30">
        <f t="shared" si="17"/>
        <v>-44000</v>
      </c>
    </row>
    <row r="553" spans="1:5" x14ac:dyDescent="0.2">
      <c r="A553" s="29">
        <v>28315</v>
      </c>
      <c r="B553" s="26">
        <f>VLOOKUP(A553,'Database Claims'!$A:$C,3,)</f>
        <v>361000</v>
      </c>
      <c r="C553" s="30">
        <f t="shared" si="16"/>
        <v>11000</v>
      </c>
      <c r="D553" s="26">
        <f>VLOOKUP(A553,'Database Claims'!$A:$C,2,)</f>
        <v>2563000</v>
      </c>
      <c r="E553" s="30">
        <f t="shared" si="17"/>
        <v>-9000</v>
      </c>
    </row>
    <row r="554" spans="1:5" x14ac:dyDescent="0.2">
      <c r="A554" s="29">
        <v>28322</v>
      </c>
      <c r="B554" s="30">
        <f>VLOOKUP(A554,'Database Claims'!$A:$C,3,)</f>
        <v>366000</v>
      </c>
      <c r="C554" s="30">
        <f t="shared" si="16"/>
        <v>5000</v>
      </c>
      <c r="D554" s="30">
        <f>VLOOKUP(A554,'Database Claims'!$A:$C,2,)</f>
        <v>2591000</v>
      </c>
      <c r="E554" s="30">
        <f t="shared" si="17"/>
        <v>28000</v>
      </c>
    </row>
    <row r="555" spans="1:5" x14ac:dyDescent="0.2">
      <c r="A555" s="29">
        <v>28329</v>
      </c>
      <c r="B555" s="26">
        <f>VLOOKUP(A555,'Database Claims'!$A:$C,3,)</f>
        <v>365000</v>
      </c>
      <c r="C555" s="30">
        <f t="shared" si="16"/>
        <v>-1000</v>
      </c>
      <c r="D555" s="26">
        <f>VLOOKUP(A555,'Database Claims'!$A:$C,2,)</f>
        <v>2584000</v>
      </c>
      <c r="E555" s="30">
        <f t="shared" si="17"/>
        <v>-7000</v>
      </c>
    </row>
    <row r="556" spans="1:5" x14ac:dyDescent="0.2">
      <c r="A556" s="29">
        <v>28336</v>
      </c>
      <c r="B556" s="30">
        <f>VLOOKUP(A556,'Database Claims'!$A:$C,3,)</f>
        <v>365000</v>
      </c>
      <c r="C556" s="30">
        <f t="shared" si="16"/>
        <v>0</v>
      </c>
      <c r="D556" s="30">
        <f>VLOOKUP(A556,'Database Claims'!$A:$C,2,)</f>
        <v>2605000</v>
      </c>
      <c r="E556" s="30">
        <f t="shared" si="17"/>
        <v>21000</v>
      </c>
    </row>
    <row r="557" spans="1:5" x14ac:dyDescent="0.2">
      <c r="A557" s="29">
        <v>28343</v>
      </c>
      <c r="B557" s="26">
        <f>VLOOKUP(A557,'Database Claims'!$A:$C,3,)</f>
        <v>378000</v>
      </c>
      <c r="C557" s="30">
        <f t="shared" si="16"/>
        <v>13000</v>
      </c>
      <c r="D557" s="26">
        <f>VLOOKUP(A557,'Database Claims'!$A:$C,2,)</f>
        <v>2605000</v>
      </c>
      <c r="E557" s="30">
        <f t="shared" si="17"/>
        <v>0</v>
      </c>
    </row>
    <row r="558" spans="1:5" x14ac:dyDescent="0.2">
      <c r="A558" s="29">
        <v>28350</v>
      </c>
      <c r="B558" s="30">
        <f>VLOOKUP(A558,'Database Claims'!$A:$C,3,)</f>
        <v>359000</v>
      </c>
      <c r="C558" s="30">
        <f t="shared" si="16"/>
        <v>-19000</v>
      </c>
      <c r="D558" s="30">
        <f>VLOOKUP(A558,'Database Claims'!$A:$C,2,)</f>
        <v>2618000</v>
      </c>
      <c r="E558" s="30">
        <f t="shared" si="17"/>
        <v>13000</v>
      </c>
    </row>
    <row r="559" spans="1:5" x14ac:dyDescent="0.2">
      <c r="A559" s="29">
        <v>28357</v>
      </c>
      <c r="B559" s="26">
        <f>VLOOKUP(A559,'Database Claims'!$A:$C,3,)</f>
        <v>367000</v>
      </c>
      <c r="C559" s="30">
        <f t="shared" si="16"/>
        <v>8000</v>
      </c>
      <c r="D559" s="26">
        <f>VLOOKUP(A559,'Database Claims'!$A:$C,2,)</f>
        <v>2612000</v>
      </c>
      <c r="E559" s="30">
        <f t="shared" si="17"/>
        <v>-6000</v>
      </c>
    </row>
    <row r="560" spans="1:5" x14ac:dyDescent="0.2">
      <c r="A560" s="29">
        <v>28364</v>
      </c>
      <c r="B560" s="30">
        <f>VLOOKUP(A560,'Database Claims'!$A:$C,3,)</f>
        <v>365000</v>
      </c>
      <c r="C560" s="30">
        <f t="shared" si="16"/>
        <v>-2000</v>
      </c>
      <c r="D560" s="30">
        <f>VLOOKUP(A560,'Database Claims'!$A:$C,2,)</f>
        <v>2607000</v>
      </c>
      <c r="E560" s="30">
        <f t="shared" si="17"/>
        <v>-5000</v>
      </c>
    </row>
    <row r="561" spans="1:5" x14ac:dyDescent="0.2">
      <c r="A561" s="29">
        <v>28371</v>
      </c>
      <c r="B561" s="26">
        <f>VLOOKUP(A561,'Database Claims'!$A:$C,3,)</f>
        <v>374000</v>
      </c>
      <c r="C561" s="30">
        <f t="shared" si="16"/>
        <v>9000</v>
      </c>
      <c r="D561" s="26">
        <f>VLOOKUP(A561,'Database Claims'!$A:$C,2,)</f>
        <v>2571000</v>
      </c>
      <c r="E561" s="30">
        <f t="shared" si="17"/>
        <v>-36000</v>
      </c>
    </row>
    <row r="562" spans="1:5" x14ac:dyDescent="0.2">
      <c r="A562" s="29">
        <v>28378</v>
      </c>
      <c r="B562" s="30">
        <f>VLOOKUP(A562,'Database Claims'!$A:$C,3,)</f>
        <v>359000</v>
      </c>
      <c r="C562" s="30">
        <f t="shared" si="16"/>
        <v>-15000</v>
      </c>
      <c r="D562" s="30">
        <f>VLOOKUP(A562,'Database Claims'!$A:$C,2,)</f>
        <v>2601000</v>
      </c>
      <c r="E562" s="30">
        <f t="shared" si="17"/>
        <v>30000</v>
      </c>
    </row>
    <row r="563" spans="1:5" x14ac:dyDescent="0.2">
      <c r="A563" s="29">
        <v>28385</v>
      </c>
      <c r="B563" s="26">
        <f>VLOOKUP(A563,'Database Claims'!$A:$C,3,)</f>
        <v>362000</v>
      </c>
      <c r="C563" s="30">
        <f t="shared" si="16"/>
        <v>3000</v>
      </c>
      <c r="D563" s="26">
        <f>VLOOKUP(A563,'Database Claims'!$A:$C,2,)</f>
        <v>2605000</v>
      </c>
      <c r="E563" s="30">
        <f t="shared" si="17"/>
        <v>4000</v>
      </c>
    </row>
    <row r="564" spans="1:5" x14ac:dyDescent="0.2">
      <c r="A564" s="29">
        <v>28392</v>
      </c>
      <c r="B564" s="30">
        <f>VLOOKUP(A564,'Database Claims'!$A:$C,3,)</f>
        <v>380000</v>
      </c>
      <c r="C564" s="30">
        <f t="shared" si="16"/>
        <v>18000</v>
      </c>
      <c r="D564" s="30">
        <f>VLOOKUP(A564,'Database Claims'!$A:$C,2,)</f>
        <v>2581000</v>
      </c>
      <c r="E564" s="30">
        <f t="shared" si="17"/>
        <v>-24000</v>
      </c>
    </row>
    <row r="565" spans="1:5" x14ac:dyDescent="0.2">
      <c r="A565" s="29">
        <v>28399</v>
      </c>
      <c r="B565" s="26">
        <f>VLOOKUP(A565,'Database Claims'!$A:$C,3,)</f>
        <v>348000</v>
      </c>
      <c r="C565" s="30">
        <f t="shared" si="16"/>
        <v>-32000</v>
      </c>
      <c r="D565" s="26">
        <f>VLOOKUP(A565,'Database Claims'!$A:$C,2,)</f>
        <v>2583000</v>
      </c>
      <c r="E565" s="30">
        <f t="shared" si="17"/>
        <v>2000</v>
      </c>
    </row>
    <row r="566" spans="1:5" x14ac:dyDescent="0.2">
      <c r="A566" s="29">
        <v>28406</v>
      </c>
      <c r="B566" s="30">
        <f>VLOOKUP(A566,'Database Claims'!$A:$C,3,)</f>
        <v>365000</v>
      </c>
      <c r="C566" s="30">
        <f t="shared" si="16"/>
        <v>17000</v>
      </c>
      <c r="D566" s="30">
        <f>VLOOKUP(A566,'Database Claims'!$A:$C,2,)</f>
        <v>2575000</v>
      </c>
      <c r="E566" s="30">
        <f t="shared" si="17"/>
        <v>-8000</v>
      </c>
    </row>
    <row r="567" spans="1:5" x14ac:dyDescent="0.2">
      <c r="A567" s="29">
        <v>28413</v>
      </c>
      <c r="B567" s="26">
        <f>VLOOKUP(A567,'Database Claims'!$A:$C,3,)</f>
        <v>358000</v>
      </c>
      <c r="C567" s="30">
        <f t="shared" si="16"/>
        <v>-7000</v>
      </c>
      <c r="D567" s="26">
        <f>VLOOKUP(A567,'Database Claims'!$A:$C,2,)</f>
        <v>2575000</v>
      </c>
      <c r="E567" s="30">
        <f t="shared" si="17"/>
        <v>0</v>
      </c>
    </row>
    <row r="568" spans="1:5" x14ac:dyDescent="0.2">
      <c r="A568" s="29">
        <v>28420</v>
      </c>
      <c r="B568" s="30">
        <f>VLOOKUP(A568,'Database Claims'!$A:$C,3,)</f>
        <v>375000</v>
      </c>
      <c r="C568" s="30">
        <f t="shared" si="16"/>
        <v>17000</v>
      </c>
      <c r="D568" s="30">
        <f>VLOOKUP(A568,'Database Claims'!$A:$C,2,)</f>
        <v>2561000</v>
      </c>
      <c r="E568" s="30">
        <f t="shared" si="17"/>
        <v>-14000</v>
      </c>
    </row>
    <row r="569" spans="1:5" x14ac:dyDescent="0.2">
      <c r="A569" s="29">
        <v>28427</v>
      </c>
      <c r="B569" s="26">
        <f>VLOOKUP(A569,'Database Claims'!$A:$C,3,)</f>
        <v>349000</v>
      </c>
      <c r="C569" s="30">
        <f t="shared" si="16"/>
        <v>-26000</v>
      </c>
      <c r="D569" s="26">
        <f>VLOOKUP(A569,'Database Claims'!$A:$C,2,)</f>
        <v>2587000</v>
      </c>
      <c r="E569" s="30">
        <f t="shared" si="17"/>
        <v>26000</v>
      </c>
    </row>
    <row r="570" spans="1:5" x14ac:dyDescent="0.2">
      <c r="A570" s="29">
        <v>28434</v>
      </c>
      <c r="B570" s="30">
        <f>VLOOKUP(A570,'Database Claims'!$A:$C,3,)</f>
        <v>366000</v>
      </c>
      <c r="C570" s="30">
        <f t="shared" si="16"/>
        <v>17000</v>
      </c>
      <c r="D570" s="30">
        <f>VLOOKUP(A570,'Database Claims'!$A:$C,2,)</f>
        <v>2535000</v>
      </c>
      <c r="E570" s="30">
        <f t="shared" si="17"/>
        <v>-52000</v>
      </c>
    </row>
    <row r="571" spans="1:5" x14ac:dyDescent="0.2">
      <c r="A571" s="29">
        <v>28441</v>
      </c>
      <c r="B571" s="26">
        <f>VLOOKUP(A571,'Database Claims'!$A:$C,3,)</f>
        <v>334000</v>
      </c>
      <c r="C571" s="30">
        <f t="shared" si="16"/>
        <v>-32000</v>
      </c>
      <c r="D571" s="26">
        <f>VLOOKUP(A571,'Database Claims'!$A:$C,2,)</f>
        <v>2592000</v>
      </c>
      <c r="E571" s="30">
        <f t="shared" si="17"/>
        <v>57000</v>
      </c>
    </row>
    <row r="572" spans="1:5" x14ac:dyDescent="0.2">
      <c r="A572" s="29">
        <v>28448</v>
      </c>
      <c r="B572" s="30">
        <f>VLOOKUP(A572,'Database Claims'!$A:$C,3,)</f>
        <v>360000</v>
      </c>
      <c r="C572" s="30">
        <f t="shared" si="16"/>
        <v>26000</v>
      </c>
      <c r="D572" s="30">
        <f>VLOOKUP(A572,'Database Claims'!$A:$C,2,)</f>
        <v>2527000</v>
      </c>
      <c r="E572" s="30">
        <f t="shared" si="17"/>
        <v>-65000</v>
      </c>
    </row>
    <row r="573" spans="1:5" x14ac:dyDescent="0.2">
      <c r="A573" s="29">
        <v>28455</v>
      </c>
      <c r="B573" s="26">
        <f>VLOOKUP(A573,'Database Claims'!$A:$C,3,)</f>
        <v>354000</v>
      </c>
      <c r="C573" s="30">
        <f t="shared" si="16"/>
        <v>-6000</v>
      </c>
      <c r="D573" s="26">
        <f>VLOOKUP(A573,'Database Claims'!$A:$C,2,)</f>
        <v>2620000</v>
      </c>
      <c r="E573" s="30">
        <f t="shared" si="17"/>
        <v>93000</v>
      </c>
    </row>
    <row r="574" spans="1:5" x14ac:dyDescent="0.2">
      <c r="A574" s="29">
        <v>28462</v>
      </c>
      <c r="B574" s="30">
        <f>VLOOKUP(A574,'Database Claims'!$A:$C,3,)</f>
        <v>367000</v>
      </c>
      <c r="C574" s="30">
        <f t="shared" si="16"/>
        <v>13000</v>
      </c>
      <c r="D574" s="30">
        <f>VLOOKUP(A574,'Database Claims'!$A:$C,2,)</f>
        <v>2505000</v>
      </c>
      <c r="E574" s="30">
        <f t="shared" si="17"/>
        <v>-115000</v>
      </c>
    </row>
    <row r="575" spans="1:5" x14ac:dyDescent="0.2">
      <c r="A575" s="29">
        <v>28469</v>
      </c>
      <c r="B575" s="26">
        <f>VLOOKUP(A575,'Database Claims'!$A:$C,3,)</f>
        <v>364000</v>
      </c>
      <c r="C575" s="30">
        <f t="shared" si="16"/>
        <v>-3000</v>
      </c>
      <c r="D575" s="26">
        <f>VLOOKUP(A575,'Database Claims'!$A:$C,2,)</f>
        <v>2529000</v>
      </c>
      <c r="E575" s="30">
        <f t="shared" si="17"/>
        <v>24000</v>
      </c>
    </row>
    <row r="576" spans="1:5" x14ac:dyDescent="0.2">
      <c r="A576" s="29">
        <v>28476</v>
      </c>
      <c r="B576" s="30">
        <f>VLOOKUP(A576,'Database Claims'!$A:$C,3,)</f>
        <v>359000</v>
      </c>
      <c r="C576" s="30">
        <f t="shared" si="16"/>
        <v>-5000</v>
      </c>
      <c r="D576" s="30">
        <f>VLOOKUP(A576,'Database Claims'!$A:$C,2,)</f>
        <v>2558000</v>
      </c>
      <c r="E576" s="30">
        <f t="shared" si="17"/>
        <v>29000</v>
      </c>
    </row>
    <row r="577" spans="1:5" x14ac:dyDescent="0.2">
      <c r="A577" s="29">
        <v>28483</v>
      </c>
      <c r="B577" s="26">
        <f>VLOOKUP(A577,'Database Claims'!$A:$C,3,)</f>
        <v>344000</v>
      </c>
      <c r="C577" s="30">
        <f t="shared" si="16"/>
        <v>-15000</v>
      </c>
      <c r="D577" s="26">
        <f>VLOOKUP(A577,'Database Claims'!$A:$C,2,)</f>
        <v>2482000</v>
      </c>
      <c r="E577" s="30">
        <f t="shared" si="17"/>
        <v>-76000</v>
      </c>
    </row>
    <row r="578" spans="1:5" x14ac:dyDescent="0.2">
      <c r="A578" s="29">
        <v>28490</v>
      </c>
      <c r="B578" s="30">
        <f>VLOOKUP(A578,'Database Claims'!$A:$C,3,)</f>
        <v>364000</v>
      </c>
      <c r="C578" s="30">
        <f t="shared" si="16"/>
        <v>20000</v>
      </c>
      <c r="D578" s="30">
        <f>VLOOKUP(A578,'Database Claims'!$A:$C,2,)</f>
        <v>2461000</v>
      </c>
      <c r="E578" s="30">
        <f t="shared" si="17"/>
        <v>-21000</v>
      </c>
    </row>
    <row r="579" spans="1:5" x14ac:dyDescent="0.2">
      <c r="A579" s="29">
        <v>28497</v>
      </c>
      <c r="B579" s="26">
        <f>VLOOKUP(A579,'Database Claims'!$A:$C,3,)</f>
        <v>346000</v>
      </c>
      <c r="C579" s="30">
        <f t="shared" si="16"/>
        <v>-18000</v>
      </c>
      <c r="D579" s="26">
        <f>VLOOKUP(A579,'Database Claims'!$A:$C,2,)</f>
        <v>2456000</v>
      </c>
      <c r="E579" s="30">
        <f t="shared" si="17"/>
        <v>-5000</v>
      </c>
    </row>
    <row r="580" spans="1:5" x14ac:dyDescent="0.2">
      <c r="A580" s="29">
        <v>28504</v>
      </c>
      <c r="B580" s="30">
        <f>VLOOKUP(A580,'Database Claims'!$A:$C,3,)</f>
        <v>343000</v>
      </c>
      <c r="C580" s="30">
        <f t="shared" si="16"/>
        <v>-3000</v>
      </c>
      <c r="D580" s="30">
        <f>VLOOKUP(A580,'Database Claims'!$A:$C,2,)</f>
        <v>2418000</v>
      </c>
      <c r="E580" s="30">
        <f t="shared" si="17"/>
        <v>-38000</v>
      </c>
    </row>
    <row r="581" spans="1:5" x14ac:dyDescent="0.2">
      <c r="A581" s="29">
        <v>28511</v>
      </c>
      <c r="B581" s="26">
        <f>VLOOKUP(A581,'Database Claims'!$A:$C,3,)</f>
        <v>352000</v>
      </c>
      <c r="C581" s="30">
        <f t="shared" si="16"/>
        <v>9000</v>
      </c>
      <c r="D581" s="26">
        <f>VLOOKUP(A581,'Database Claims'!$A:$C,2,)</f>
        <v>2522000</v>
      </c>
      <c r="E581" s="30">
        <f t="shared" si="17"/>
        <v>104000</v>
      </c>
    </row>
    <row r="582" spans="1:5" x14ac:dyDescent="0.2">
      <c r="A582" s="29">
        <v>28518</v>
      </c>
      <c r="B582" s="30">
        <f>VLOOKUP(A582,'Database Claims'!$A:$C,3,)</f>
        <v>363000</v>
      </c>
      <c r="C582" s="30">
        <f t="shared" ref="C582:C645" si="18">B582-B581</f>
        <v>11000</v>
      </c>
      <c r="D582" s="30">
        <f>VLOOKUP(A582,'Database Claims'!$A:$C,2,)</f>
        <v>2578000</v>
      </c>
      <c r="E582" s="30">
        <f t="shared" ref="E582:E645" si="19">D582-D581</f>
        <v>56000</v>
      </c>
    </row>
    <row r="583" spans="1:5" x14ac:dyDescent="0.2">
      <c r="A583" s="29">
        <v>28525</v>
      </c>
      <c r="B583" s="26">
        <f>VLOOKUP(A583,'Database Claims'!$A:$C,3,)</f>
        <v>360000</v>
      </c>
      <c r="C583" s="30">
        <f t="shared" si="18"/>
        <v>-3000</v>
      </c>
      <c r="D583" s="26">
        <f>VLOOKUP(A583,'Database Claims'!$A:$C,2,)</f>
        <v>2468000</v>
      </c>
      <c r="E583" s="30">
        <f t="shared" si="19"/>
        <v>-110000</v>
      </c>
    </row>
    <row r="584" spans="1:5" x14ac:dyDescent="0.2">
      <c r="A584" s="29">
        <v>28532</v>
      </c>
      <c r="B584" s="30">
        <f>VLOOKUP(A584,'Database Claims'!$A:$C,3,)</f>
        <v>373000</v>
      </c>
      <c r="C584" s="30">
        <f t="shared" si="18"/>
        <v>13000</v>
      </c>
      <c r="D584" s="30">
        <f>VLOOKUP(A584,'Database Claims'!$A:$C,2,)</f>
        <v>2656000</v>
      </c>
      <c r="E584" s="30">
        <f t="shared" si="19"/>
        <v>188000</v>
      </c>
    </row>
    <row r="585" spans="1:5" x14ac:dyDescent="0.2">
      <c r="A585" s="29">
        <v>28539</v>
      </c>
      <c r="B585" s="26">
        <f>VLOOKUP(A585,'Database Claims'!$A:$C,3,)</f>
        <v>429000</v>
      </c>
      <c r="C585" s="30">
        <f t="shared" si="18"/>
        <v>56000</v>
      </c>
      <c r="D585" s="26">
        <f>VLOOKUP(A585,'Database Claims'!$A:$C,2,)</f>
        <v>2545000</v>
      </c>
      <c r="E585" s="30">
        <f t="shared" si="19"/>
        <v>-111000</v>
      </c>
    </row>
    <row r="586" spans="1:5" x14ac:dyDescent="0.2">
      <c r="A586" s="29">
        <v>28546</v>
      </c>
      <c r="B586" s="30">
        <f>VLOOKUP(A586,'Database Claims'!$A:$C,3,)</f>
        <v>371000</v>
      </c>
      <c r="C586" s="30">
        <f t="shared" si="18"/>
        <v>-58000</v>
      </c>
      <c r="D586" s="30">
        <f>VLOOKUP(A586,'Database Claims'!$A:$C,2,)</f>
        <v>2553000</v>
      </c>
      <c r="E586" s="30">
        <f t="shared" si="19"/>
        <v>8000</v>
      </c>
    </row>
    <row r="587" spans="1:5" x14ac:dyDescent="0.2">
      <c r="A587" s="29">
        <v>28553</v>
      </c>
      <c r="B587" s="26">
        <f>VLOOKUP(A587,'Database Claims'!$A:$C,3,)</f>
        <v>355000</v>
      </c>
      <c r="C587" s="30">
        <f t="shared" si="18"/>
        <v>-16000</v>
      </c>
      <c r="D587" s="26">
        <f>VLOOKUP(A587,'Database Claims'!$A:$C,2,)</f>
        <v>2529000</v>
      </c>
      <c r="E587" s="30">
        <f t="shared" si="19"/>
        <v>-24000</v>
      </c>
    </row>
    <row r="588" spans="1:5" x14ac:dyDescent="0.2">
      <c r="A588" s="29">
        <v>28560</v>
      </c>
      <c r="B588" s="30">
        <f>VLOOKUP(A588,'Database Claims'!$A:$C,3,)</f>
        <v>359000</v>
      </c>
      <c r="C588" s="30">
        <f t="shared" si="18"/>
        <v>4000</v>
      </c>
      <c r="D588" s="30">
        <f>VLOOKUP(A588,'Database Claims'!$A:$C,2,)</f>
        <v>2526000</v>
      </c>
      <c r="E588" s="30">
        <f t="shared" si="19"/>
        <v>-3000</v>
      </c>
    </row>
    <row r="589" spans="1:5" x14ac:dyDescent="0.2">
      <c r="A589" s="29">
        <v>28567</v>
      </c>
      <c r="B589" s="26">
        <f>VLOOKUP(A589,'Database Claims'!$A:$C,3,)</f>
        <v>347000</v>
      </c>
      <c r="C589" s="30">
        <f t="shared" si="18"/>
        <v>-12000</v>
      </c>
      <c r="D589" s="26">
        <f>VLOOKUP(A589,'Database Claims'!$A:$C,2,)</f>
        <v>2471000</v>
      </c>
      <c r="E589" s="30">
        <f t="shared" si="19"/>
        <v>-55000</v>
      </c>
    </row>
    <row r="590" spans="1:5" x14ac:dyDescent="0.2">
      <c r="A590" s="29">
        <v>28574</v>
      </c>
      <c r="B590" s="30">
        <f>VLOOKUP(A590,'Database Claims'!$A:$C,3,)</f>
        <v>335000</v>
      </c>
      <c r="C590" s="30">
        <f t="shared" si="18"/>
        <v>-12000</v>
      </c>
      <c r="D590" s="30">
        <f>VLOOKUP(A590,'Database Claims'!$A:$C,2,)</f>
        <v>2473000</v>
      </c>
      <c r="E590" s="30">
        <f t="shared" si="19"/>
        <v>2000</v>
      </c>
    </row>
    <row r="591" spans="1:5" x14ac:dyDescent="0.2">
      <c r="A591" s="29">
        <v>28581</v>
      </c>
      <c r="B591" s="26">
        <f>VLOOKUP(A591,'Database Claims'!$A:$C,3,)</f>
        <v>333000</v>
      </c>
      <c r="C591" s="30">
        <f t="shared" si="18"/>
        <v>-2000</v>
      </c>
      <c r="D591" s="26">
        <f>VLOOKUP(A591,'Database Claims'!$A:$C,2,)</f>
        <v>2453000</v>
      </c>
      <c r="E591" s="30">
        <f t="shared" si="19"/>
        <v>-20000</v>
      </c>
    </row>
    <row r="592" spans="1:5" x14ac:dyDescent="0.2">
      <c r="A592" s="29">
        <v>28588</v>
      </c>
      <c r="B592" s="30">
        <f>VLOOKUP(A592,'Database Claims'!$A:$C,3,)</f>
        <v>345000</v>
      </c>
      <c r="C592" s="30">
        <f t="shared" si="18"/>
        <v>12000</v>
      </c>
      <c r="D592" s="30">
        <f>VLOOKUP(A592,'Database Claims'!$A:$C,2,)</f>
        <v>2397000</v>
      </c>
      <c r="E592" s="30">
        <f t="shared" si="19"/>
        <v>-56000</v>
      </c>
    </row>
    <row r="593" spans="1:5" x14ac:dyDescent="0.2">
      <c r="A593" s="29">
        <v>28595</v>
      </c>
      <c r="B593" s="26">
        <f>VLOOKUP(A593,'Database Claims'!$A:$C,3,)</f>
        <v>309000</v>
      </c>
      <c r="C593" s="30">
        <f t="shared" si="18"/>
        <v>-36000</v>
      </c>
      <c r="D593" s="26">
        <f>VLOOKUP(A593,'Database Claims'!$A:$C,2,)</f>
        <v>2339000</v>
      </c>
      <c r="E593" s="30">
        <f t="shared" si="19"/>
        <v>-58000</v>
      </c>
    </row>
    <row r="594" spans="1:5" x14ac:dyDescent="0.2">
      <c r="A594" s="29">
        <v>28602</v>
      </c>
      <c r="B594" s="30">
        <f>VLOOKUP(A594,'Database Claims'!$A:$C,3,)</f>
        <v>319000</v>
      </c>
      <c r="C594" s="30">
        <f t="shared" si="18"/>
        <v>10000</v>
      </c>
      <c r="D594" s="30">
        <f>VLOOKUP(A594,'Database Claims'!$A:$C,2,)</f>
        <v>2287000</v>
      </c>
      <c r="E594" s="30">
        <f t="shared" si="19"/>
        <v>-52000</v>
      </c>
    </row>
    <row r="595" spans="1:5" x14ac:dyDescent="0.2">
      <c r="A595" s="29">
        <v>28609</v>
      </c>
      <c r="B595" s="26">
        <f>VLOOKUP(A595,'Database Claims'!$A:$C,3,)</f>
        <v>324000</v>
      </c>
      <c r="C595" s="30">
        <f t="shared" si="18"/>
        <v>5000</v>
      </c>
      <c r="D595" s="26">
        <f>VLOOKUP(A595,'Database Claims'!$A:$C,2,)</f>
        <v>2272000</v>
      </c>
      <c r="E595" s="30">
        <f t="shared" si="19"/>
        <v>-15000</v>
      </c>
    </row>
    <row r="596" spans="1:5" x14ac:dyDescent="0.2">
      <c r="A596" s="29">
        <v>28616</v>
      </c>
      <c r="B596" s="30">
        <f>VLOOKUP(A596,'Database Claims'!$A:$C,3,)</f>
        <v>334000</v>
      </c>
      <c r="C596" s="30">
        <f t="shared" si="18"/>
        <v>10000</v>
      </c>
      <c r="D596" s="30">
        <f>VLOOKUP(A596,'Database Claims'!$A:$C,2,)</f>
        <v>2246000</v>
      </c>
      <c r="E596" s="30">
        <f t="shared" si="19"/>
        <v>-26000</v>
      </c>
    </row>
    <row r="597" spans="1:5" x14ac:dyDescent="0.2">
      <c r="A597" s="29">
        <v>28623</v>
      </c>
      <c r="B597" s="26">
        <f>VLOOKUP(A597,'Database Claims'!$A:$C,3,)</f>
        <v>322000</v>
      </c>
      <c r="C597" s="30">
        <f t="shared" si="18"/>
        <v>-12000</v>
      </c>
      <c r="D597" s="26">
        <f>VLOOKUP(A597,'Database Claims'!$A:$C,2,)</f>
        <v>2231000</v>
      </c>
      <c r="E597" s="30">
        <f t="shared" si="19"/>
        <v>-15000</v>
      </c>
    </row>
    <row r="598" spans="1:5" x14ac:dyDescent="0.2">
      <c r="A598" s="29">
        <v>28630</v>
      </c>
      <c r="B598" s="30">
        <f>VLOOKUP(A598,'Database Claims'!$A:$C,3,)</f>
        <v>334000</v>
      </c>
      <c r="C598" s="30">
        <f t="shared" si="18"/>
        <v>12000</v>
      </c>
      <c r="D598" s="30">
        <f>VLOOKUP(A598,'Database Claims'!$A:$C,2,)</f>
        <v>2238000</v>
      </c>
      <c r="E598" s="30">
        <f t="shared" si="19"/>
        <v>7000</v>
      </c>
    </row>
    <row r="599" spans="1:5" x14ac:dyDescent="0.2">
      <c r="A599" s="29">
        <v>28637</v>
      </c>
      <c r="B599" s="26">
        <f>VLOOKUP(A599,'Database Claims'!$A:$C,3,)</f>
        <v>318000</v>
      </c>
      <c r="C599" s="30">
        <f t="shared" si="18"/>
        <v>-16000</v>
      </c>
      <c r="D599" s="26">
        <f>VLOOKUP(A599,'Database Claims'!$A:$C,2,)</f>
        <v>2211000</v>
      </c>
      <c r="E599" s="30">
        <f t="shared" si="19"/>
        <v>-27000</v>
      </c>
    </row>
    <row r="600" spans="1:5" x14ac:dyDescent="0.2">
      <c r="A600" s="29">
        <v>28644</v>
      </c>
      <c r="B600" s="30">
        <f>VLOOKUP(A600,'Database Claims'!$A:$C,3,)</f>
        <v>310000</v>
      </c>
      <c r="C600" s="30">
        <f t="shared" si="18"/>
        <v>-8000</v>
      </c>
      <c r="D600" s="30">
        <f>VLOOKUP(A600,'Database Claims'!$A:$C,2,)</f>
        <v>2224000</v>
      </c>
      <c r="E600" s="30">
        <f t="shared" si="19"/>
        <v>13000</v>
      </c>
    </row>
    <row r="601" spans="1:5" x14ac:dyDescent="0.2">
      <c r="A601" s="29">
        <v>28651</v>
      </c>
      <c r="B601" s="26">
        <f>VLOOKUP(A601,'Database Claims'!$A:$C,3,)</f>
        <v>331000</v>
      </c>
      <c r="C601" s="30">
        <f t="shared" si="18"/>
        <v>21000</v>
      </c>
      <c r="D601" s="26">
        <f>VLOOKUP(A601,'Database Claims'!$A:$C,2,)</f>
        <v>2189000</v>
      </c>
      <c r="E601" s="30">
        <f t="shared" si="19"/>
        <v>-35000</v>
      </c>
    </row>
    <row r="602" spans="1:5" x14ac:dyDescent="0.2">
      <c r="A602" s="29">
        <v>28658</v>
      </c>
      <c r="B602" s="30">
        <f>VLOOKUP(A602,'Database Claims'!$A:$C,3,)</f>
        <v>326000</v>
      </c>
      <c r="C602" s="30">
        <f t="shared" si="18"/>
        <v>-5000</v>
      </c>
      <c r="D602" s="30">
        <f>VLOOKUP(A602,'Database Claims'!$A:$C,2,)</f>
        <v>2225000</v>
      </c>
      <c r="E602" s="30">
        <f t="shared" si="19"/>
        <v>36000</v>
      </c>
    </row>
    <row r="603" spans="1:5" x14ac:dyDescent="0.2">
      <c r="A603" s="29">
        <v>28665</v>
      </c>
      <c r="B603" s="26">
        <f>VLOOKUP(A603,'Database Claims'!$A:$C,3,)</f>
        <v>330000</v>
      </c>
      <c r="C603" s="30">
        <f t="shared" si="18"/>
        <v>4000</v>
      </c>
      <c r="D603" s="26">
        <f>VLOOKUP(A603,'Database Claims'!$A:$C,2,)</f>
        <v>2249000</v>
      </c>
      <c r="E603" s="30">
        <f t="shared" si="19"/>
        <v>24000</v>
      </c>
    </row>
    <row r="604" spans="1:5" x14ac:dyDescent="0.2">
      <c r="A604" s="29">
        <v>28672</v>
      </c>
      <c r="B604" s="30">
        <f>VLOOKUP(A604,'Database Claims'!$A:$C,3,)</f>
        <v>348000</v>
      </c>
      <c r="C604" s="30">
        <f t="shared" si="18"/>
        <v>18000</v>
      </c>
      <c r="D604" s="30">
        <f>VLOOKUP(A604,'Database Claims'!$A:$C,2,)</f>
        <v>2242000</v>
      </c>
      <c r="E604" s="30">
        <f t="shared" si="19"/>
        <v>-7000</v>
      </c>
    </row>
    <row r="605" spans="1:5" x14ac:dyDescent="0.2">
      <c r="A605" s="29">
        <v>28679</v>
      </c>
      <c r="B605" s="26">
        <f>VLOOKUP(A605,'Database Claims'!$A:$C,3,)</f>
        <v>356000</v>
      </c>
      <c r="C605" s="30">
        <f t="shared" si="18"/>
        <v>8000</v>
      </c>
      <c r="D605" s="26">
        <f>VLOOKUP(A605,'Database Claims'!$A:$C,2,)</f>
        <v>2331000</v>
      </c>
      <c r="E605" s="30">
        <f t="shared" si="19"/>
        <v>89000</v>
      </c>
    </row>
    <row r="606" spans="1:5" x14ac:dyDescent="0.2">
      <c r="A606" s="29">
        <v>28686</v>
      </c>
      <c r="B606" s="30">
        <f>VLOOKUP(A606,'Database Claims'!$A:$C,3,)</f>
        <v>352000</v>
      </c>
      <c r="C606" s="30">
        <f t="shared" si="18"/>
        <v>-4000</v>
      </c>
      <c r="D606" s="30">
        <f>VLOOKUP(A606,'Database Claims'!$A:$C,2,)</f>
        <v>2328000</v>
      </c>
      <c r="E606" s="30">
        <f t="shared" si="19"/>
        <v>-3000</v>
      </c>
    </row>
    <row r="607" spans="1:5" x14ac:dyDescent="0.2">
      <c r="A607" s="29">
        <v>28693</v>
      </c>
      <c r="B607" s="26">
        <f>VLOOKUP(A607,'Database Claims'!$A:$C,3,)</f>
        <v>349000</v>
      </c>
      <c r="C607" s="30">
        <f t="shared" si="18"/>
        <v>-3000</v>
      </c>
      <c r="D607" s="26">
        <f>VLOOKUP(A607,'Database Claims'!$A:$C,2,)</f>
        <v>2321000</v>
      </c>
      <c r="E607" s="30">
        <f t="shared" si="19"/>
        <v>-7000</v>
      </c>
    </row>
    <row r="608" spans="1:5" x14ac:dyDescent="0.2">
      <c r="A608" s="29">
        <v>28700</v>
      </c>
      <c r="B608" s="30">
        <f>VLOOKUP(A608,'Database Claims'!$A:$C,3,)</f>
        <v>346000</v>
      </c>
      <c r="C608" s="30">
        <f t="shared" si="18"/>
        <v>-3000</v>
      </c>
      <c r="D608" s="30">
        <f>VLOOKUP(A608,'Database Claims'!$A:$C,2,)</f>
        <v>2344000</v>
      </c>
      <c r="E608" s="30">
        <f t="shared" si="19"/>
        <v>23000</v>
      </c>
    </row>
    <row r="609" spans="1:5" x14ac:dyDescent="0.2">
      <c r="A609" s="29">
        <v>28707</v>
      </c>
      <c r="B609" s="26">
        <f>VLOOKUP(A609,'Database Claims'!$A:$C,3,)</f>
        <v>365000</v>
      </c>
      <c r="C609" s="30">
        <f t="shared" si="18"/>
        <v>19000</v>
      </c>
      <c r="D609" s="26">
        <f>VLOOKUP(A609,'Database Claims'!$A:$C,2,)</f>
        <v>2395000</v>
      </c>
      <c r="E609" s="30">
        <f t="shared" si="19"/>
        <v>51000</v>
      </c>
    </row>
    <row r="610" spans="1:5" x14ac:dyDescent="0.2">
      <c r="A610" s="29">
        <v>28714</v>
      </c>
      <c r="B610" s="30">
        <f>VLOOKUP(A610,'Database Claims'!$A:$C,3,)</f>
        <v>354000</v>
      </c>
      <c r="C610" s="30">
        <f t="shared" si="18"/>
        <v>-11000</v>
      </c>
      <c r="D610" s="30">
        <f>VLOOKUP(A610,'Database Claims'!$A:$C,2,)</f>
        <v>2422000</v>
      </c>
      <c r="E610" s="30">
        <f t="shared" si="19"/>
        <v>27000</v>
      </c>
    </row>
    <row r="611" spans="1:5" x14ac:dyDescent="0.2">
      <c r="A611" s="29">
        <v>28721</v>
      </c>
      <c r="B611" s="26">
        <f>VLOOKUP(A611,'Database Claims'!$A:$C,3,)</f>
        <v>343000</v>
      </c>
      <c r="C611" s="30">
        <f t="shared" si="18"/>
        <v>-11000</v>
      </c>
      <c r="D611" s="26">
        <f>VLOOKUP(A611,'Database Claims'!$A:$C,2,)</f>
        <v>2405000</v>
      </c>
      <c r="E611" s="30">
        <f t="shared" si="19"/>
        <v>-17000</v>
      </c>
    </row>
    <row r="612" spans="1:5" x14ac:dyDescent="0.2">
      <c r="A612" s="29">
        <v>28728</v>
      </c>
      <c r="B612" s="30">
        <f>VLOOKUP(A612,'Database Claims'!$A:$C,3,)</f>
        <v>333000</v>
      </c>
      <c r="C612" s="30">
        <f t="shared" si="18"/>
        <v>-10000</v>
      </c>
      <c r="D612" s="30">
        <f>VLOOKUP(A612,'Database Claims'!$A:$C,2,)</f>
        <v>2370000</v>
      </c>
      <c r="E612" s="30">
        <f t="shared" si="19"/>
        <v>-35000</v>
      </c>
    </row>
    <row r="613" spans="1:5" x14ac:dyDescent="0.2">
      <c r="A613" s="29">
        <v>28735</v>
      </c>
      <c r="B613" s="26">
        <f>VLOOKUP(A613,'Database Claims'!$A:$C,3,)</f>
        <v>313000</v>
      </c>
      <c r="C613" s="30">
        <f t="shared" si="18"/>
        <v>-20000</v>
      </c>
      <c r="D613" s="26">
        <f>VLOOKUP(A613,'Database Claims'!$A:$C,2,)</f>
        <v>2336000</v>
      </c>
      <c r="E613" s="30">
        <f t="shared" si="19"/>
        <v>-34000</v>
      </c>
    </row>
    <row r="614" spans="1:5" x14ac:dyDescent="0.2">
      <c r="A614" s="29">
        <v>28742</v>
      </c>
      <c r="B614" s="30">
        <f>VLOOKUP(A614,'Database Claims'!$A:$C,3,)</f>
        <v>337000</v>
      </c>
      <c r="C614" s="30">
        <f t="shared" si="18"/>
        <v>24000</v>
      </c>
      <c r="D614" s="30">
        <f>VLOOKUP(A614,'Database Claims'!$A:$C,2,)</f>
        <v>2278000</v>
      </c>
      <c r="E614" s="30">
        <f t="shared" si="19"/>
        <v>-58000</v>
      </c>
    </row>
    <row r="615" spans="1:5" x14ac:dyDescent="0.2">
      <c r="A615" s="29">
        <v>28749</v>
      </c>
      <c r="B615" s="26">
        <f>VLOOKUP(A615,'Database Claims'!$A:$C,3,)</f>
        <v>322000</v>
      </c>
      <c r="C615" s="30">
        <f t="shared" si="18"/>
        <v>-15000</v>
      </c>
      <c r="D615" s="26">
        <f>VLOOKUP(A615,'Database Claims'!$A:$C,2,)</f>
        <v>2271000</v>
      </c>
      <c r="E615" s="30">
        <f t="shared" si="19"/>
        <v>-7000</v>
      </c>
    </row>
    <row r="616" spans="1:5" x14ac:dyDescent="0.2">
      <c r="A616" s="29">
        <v>28756</v>
      </c>
      <c r="B616" s="30">
        <f>VLOOKUP(A616,'Database Claims'!$A:$C,3,)</f>
        <v>323000</v>
      </c>
      <c r="C616" s="30">
        <f t="shared" si="18"/>
        <v>1000</v>
      </c>
      <c r="D616" s="30">
        <f>VLOOKUP(A616,'Database Claims'!$A:$C,2,)</f>
        <v>2247000</v>
      </c>
      <c r="E616" s="30">
        <f t="shared" si="19"/>
        <v>-24000</v>
      </c>
    </row>
    <row r="617" spans="1:5" x14ac:dyDescent="0.2">
      <c r="A617" s="29">
        <v>28763</v>
      </c>
      <c r="B617" s="26">
        <f>VLOOKUP(A617,'Database Claims'!$A:$C,3,)</f>
        <v>318000</v>
      </c>
      <c r="C617" s="30">
        <f t="shared" si="18"/>
        <v>-5000</v>
      </c>
      <c r="D617" s="26">
        <f>VLOOKUP(A617,'Database Claims'!$A:$C,2,)</f>
        <v>2217000</v>
      </c>
      <c r="E617" s="30">
        <f t="shared" si="19"/>
        <v>-30000</v>
      </c>
    </row>
    <row r="618" spans="1:5" x14ac:dyDescent="0.2">
      <c r="A618" s="29">
        <v>28770</v>
      </c>
      <c r="B618" s="30">
        <f>VLOOKUP(A618,'Database Claims'!$A:$C,3,)</f>
        <v>343000</v>
      </c>
      <c r="C618" s="30">
        <f t="shared" si="18"/>
        <v>25000</v>
      </c>
      <c r="D618" s="30">
        <f>VLOOKUP(A618,'Database Claims'!$A:$C,2,)</f>
        <v>2219000</v>
      </c>
      <c r="E618" s="30">
        <f t="shared" si="19"/>
        <v>2000</v>
      </c>
    </row>
    <row r="619" spans="1:5" x14ac:dyDescent="0.2">
      <c r="A619" s="29">
        <v>28777</v>
      </c>
      <c r="B619" s="26">
        <f>VLOOKUP(A619,'Database Claims'!$A:$C,3,)</f>
        <v>316000</v>
      </c>
      <c r="C619" s="30">
        <f t="shared" si="18"/>
        <v>-27000</v>
      </c>
      <c r="D619" s="26">
        <f>VLOOKUP(A619,'Database Claims'!$A:$C,2,)</f>
        <v>2274000</v>
      </c>
      <c r="E619" s="30">
        <f t="shared" si="19"/>
        <v>55000</v>
      </c>
    </row>
    <row r="620" spans="1:5" x14ac:dyDescent="0.2">
      <c r="A620" s="29">
        <v>28784</v>
      </c>
      <c r="B620" s="30">
        <f>VLOOKUP(A620,'Database Claims'!$A:$C,3,)</f>
        <v>338000</v>
      </c>
      <c r="C620" s="30">
        <f t="shared" si="18"/>
        <v>22000</v>
      </c>
      <c r="D620" s="30">
        <f>VLOOKUP(A620,'Database Claims'!$A:$C,2,)</f>
        <v>2207000</v>
      </c>
      <c r="E620" s="30">
        <f t="shared" si="19"/>
        <v>-67000</v>
      </c>
    </row>
    <row r="621" spans="1:5" x14ac:dyDescent="0.2">
      <c r="A621" s="29">
        <v>28791</v>
      </c>
      <c r="B621" s="26">
        <f>VLOOKUP(A621,'Database Claims'!$A:$C,3,)</f>
        <v>316000</v>
      </c>
      <c r="C621" s="30">
        <f t="shared" si="18"/>
        <v>-22000</v>
      </c>
      <c r="D621" s="26">
        <f>VLOOKUP(A621,'Database Claims'!$A:$C,2,)</f>
        <v>2222000</v>
      </c>
      <c r="E621" s="30">
        <f t="shared" si="19"/>
        <v>15000</v>
      </c>
    </row>
    <row r="622" spans="1:5" x14ac:dyDescent="0.2">
      <c r="A622" s="29">
        <v>28798</v>
      </c>
      <c r="B622" s="30">
        <f>VLOOKUP(A622,'Database Claims'!$A:$C,3,)</f>
        <v>317000</v>
      </c>
      <c r="C622" s="30">
        <f t="shared" si="18"/>
        <v>1000</v>
      </c>
      <c r="D622" s="30">
        <f>VLOOKUP(A622,'Database Claims'!$A:$C,2,)</f>
        <v>2188000</v>
      </c>
      <c r="E622" s="30">
        <f t="shared" si="19"/>
        <v>-34000</v>
      </c>
    </row>
    <row r="623" spans="1:5" x14ac:dyDescent="0.2">
      <c r="A623" s="29">
        <v>28805</v>
      </c>
      <c r="B623" s="26">
        <f>VLOOKUP(A623,'Database Claims'!$A:$C,3,)</f>
        <v>304000</v>
      </c>
      <c r="C623" s="30">
        <f t="shared" si="18"/>
        <v>-13000</v>
      </c>
      <c r="D623" s="26">
        <f>VLOOKUP(A623,'Database Claims'!$A:$C,2,)</f>
        <v>2200000</v>
      </c>
      <c r="E623" s="30">
        <f t="shared" si="19"/>
        <v>12000</v>
      </c>
    </row>
    <row r="624" spans="1:5" x14ac:dyDescent="0.2">
      <c r="A624" s="29">
        <v>28812</v>
      </c>
      <c r="B624" s="30">
        <f>VLOOKUP(A624,'Database Claims'!$A:$C,3,)</f>
        <v>342000</v>
      </c>
      <c r="C624" s="30">
        <f t="shared" si="18"/>
        <v>38000</v>
      </c>
      <c r="D624" s="30">
        <f>VLOOKUP(A624,'Database Claims'!$A:$C,2,)</f>
        <v>2158000</v>
      </c>
      <c r="E624" s="30">
        <f t="shared" si="19"/>
        <v>-42000</v>
      </c>
    </row>
    <row r="625" spans="1:5" x14ac:dyDescent="0.2">
      <c r="A625" s="29">
        <v>28819</v>
      </c>
      <c r="B625" s="26">
        <f>VLOOKUP(A625,'Database Claims'!$A:$C,3,)</f>
        <v>359000</v>
      </c>
      <c r="C625" s="30">
        <f t="shared" si="18"/>
        <v>17000</v>
      </c>
      <c r="D625" s="26">
        <f>VLOOKUP(A625,'Database Claims'!$A:$C,2,)</f>
        <v>2349000</v>
      </c>
      <c r="E625" s="30">
        <f t="shared" si="19"/>
        <v>191000</v>
      </c>
    </row>
    <row r="626" spans="1:5" x14ac:dyDescent="0.2">
      <c r="A626" s="29">
        <v>28826</v>
      </c>
      <c r="B626" s="30">
        <f>VLOOKUP(A626,'Database Claims'!$A:$C,3,)</f>
        <v>377000</v>
      </c>
      <c r="C626" s="30">
        <f t="shared" si="18"/>
        <v>18000</v>
      </c>
      <c r="D626" s="30">
        <f>VLOOKUP(A626,'Database Claims'!$A:$C,2,)</f>
        <v>2248000</v>
      </c>
      <c r="E626" s="30">
        <f t="shared" si="19"/>
        <v>-101000</v>
      </c>
    </row>
    <row r="627" spans="1:5" x14ac:dyDescent="0.2">
      <c r="A627" s="29">
        <v>28833</v>
      </c>
      <c r="B627" s="26">
        <f>VLOOKUP(A627,'Database Claims'!$A:$C,3,)</f>
        <v>344000</v>
      </c>
      <c r="C627" s="30">
        <f t="shared" si="18"/>
        <v>-33000</v>
      </c>
      <c r="D627" s="26">
        <f>VLOOKUP(A627,'Database Claims'!$A:$C,2,)</f>
        <v>2292000</v>
      </c>
      <c r="E627" s="30">
        <f t="shared" si="19"/>
        <v>44000</v>
      </c>
    </row>
    <row r="628" spans="1:5" x14ac:dyDescent="0.2">
      <c r="A628" s="29">
        <v>28840</v>
      </c>
      <c r="B628" s="30">
        <f>VLOOKUP(A628,'Database Claims'!$A:$C,3,)</f>
        <v>347000</v>
      </c>
      <c r="C628" s="30">
        <f t="shared" si="18"/>
        <v>3000</v>
      </c>
      <c r="D628" s="30">
        <f>VLOOKUP(A628,'Database Claims'!$A:$C,2,)</f>
        <v>2328000</v>
      </c>
      <c r="E628" s="30">
        <f t="shared" si="19"/>
        <v>36000</v>
      </c>
    </row>
    <row r="629" spans="1:5" x14ac:dyDescent="0.2">
      <c r="A629" s="29">
        <v>28847</v>
      </c>
      <c r="B629" s="26">
        <f>VLOOKUP(A629,'Database Claims'!$A:$C,3,)</f>
        <v>352000</v>
      </c>
      <c r="C629" s="30">
        <f t="shared" si="18"/>
        <v>5000</v>
      </c>
      <c r="D629" s="26">
        <f>VLOOKUP(A629,'Database Claims'!$A:$C,2,)</f>
        <v>2276000</v>
      </c>
      <c r="E629" s="30">
        <f t="shared" si="19"/>
        <v>-52000</v>
      </c>
    </row>
    <row r="630" spans="1:5" x14ac:dyDescent="0.2">
      <c r="A630" s="29">
        <v>28854</v>
      </c>
      <c r="B630" s="30">
        <f>VLOOKUP(A630,'Database Claims'!$A:$C,3,)</f>
        <v>358000</v>
      </c>
      <c r="C630" s="30">
        <f t="shared" si="18"/>
        <v>6000</v>
      </c>
      <c r="D630" s="30">
        <f>VLOOKUP(A630,'Database Claims'!$A:$C,2,)</f>
        <v>2289000</v>
      </c>
      <c r="E630" s="30">
        <f t="shared" si="19"/>
        <v>13000</v>
      </c>
    </row>
    <row r="631" spans="1:5" x14ac:dyDescent="0.2">
      <c r="A631" s="29">
        <v>28861</v>
      </c>
      <c r="B631" s="26">
        <f>VLOOKUP(A631,'Database Claims'!$A:$C,3,)</f>
        <v>359000</v>
      </c>
      <c r="C631" s="30">
        <f t="shared" si="18"/>
        <v>1000</v>
      </c>
      <c r="D631" s="26">
        <f>VLOOKUP(A631,'Database Claims'!$A:$C,2,)</f>
        <v>2366000</v>
      </c>
      <c r="E631" s="30">
        <f t="shared" si="19"/>
        <v>77000</v>
      </c>
    </row>
    <row r="632" spans="1:5" x14ac:dyDescent="0.2">
      <c r="A632" s="29">
        <v>28868</v>
      </c>
      <c r="B632" s="30">
        <f>VLOOKUP(A632,'Database Claims'!$A:$C,3,)</f>
        <v>392000</v>
      </c>
      <c r="C632" s="30">
        <f t="shared" si="18"/>
        <v>33000</v>
      </c>
      <c r="D632" s="30">
        <f>VLOOKUP(A632,'Database Claims'!$A:$C,2,)</f>
        <v>2368000</v>
      </c>
      <c r="E632" s="30">
        <f t="shared" si="19"/>
        <v>2000</v>
      </c>
    </row>
    <row r="633" spans="1:5" x14ac:dyDescent="0.2">
      <c r="A633" s="29">
        <v>28875</v>
      </c>
      <c r="B633" s="26">
        <f>VLOOKUP(A633,'Database Claims'!$A:$C,3,)</f>
        <v>337000</v>
      </c>
      <c r="C633" s="30">
        <f t="shared" si="18"/>
        <v>-55000</v>
      </c>
      <c r="D633" s="26">
        <f>VLOOKUP(A633,'Database Claims'!$A:$C,2,)</f>
        <v>2403000</v>
      </c>
      <c r="E633" s="30">
        <f t="shared" si="19"/>
        <v>35000</v>
      </c>
    </row>
    <row r="634" spans="1:5" x14ac:dyDescent="0.2">
      <c r="A634" s="29">
        <v>28882</v>
      </c>
      <c r="B634" s="30">
        <f>VLOOKUP(A634,'Database Claims'!$A:$C,3,)</f>
        <v>342000</v>
      </c>
      <c r="C634" s="30">
        <f t="shared" si="18"/>
        <v>5000</v>
      </c>
      <c r="D634" s="30">
        <f>VLOOKUP(A634,'Database Claims'!$A:$C,2,)</f>
        <v>2393000</v>
      </c>
      <c r="E634" s="30">
        <f t="shared" si="19"/>
        <v>-10000</v>
      </c>
    </row>
    <row r="635" spans="1:5" x14ac:dyDescent="0.2">
      <c r="A635" s="29">
        <v>28889</v>
      </c>
      <c r="B635" s="26">
        <f>VLOOKUP(A635,'Database Claims'!$A:$C,3,)</f>
        <v>348000</v>
      </c>
      <c r="C635" s="30">
        <f t="shared" si="18"/>
        <v>6000</v>
      </c>
      <c r="D635" s="26">
        <f>VLOOKUP(A635,'Database Claims'!$A:$C,2,)</f>
        <v>2411000</v>
      </c>
      <c r="E635" s="30">
        <f t="shared" si="19"/>
        <v>18000</v>
      </c>
    </row>
    <row r="636" spans="1:5" x14ac:dyDescent="0.2">
      <c r="A636" s="29">
        <v>28896</v>
      </c>
      <c r="B636" s="30">
        <f>VLOOKUP(A636,'Database Claims'!$A:$C,3,)</f>
        <v>359000</v>
      </c>
      <c r="C636" s="30">
        <f t="shared" si="18"/>
        <v>11000</v>
      </c>
      <c r="D636" s="30">
        <f>VLOOKUP(A636,'Database Claims'!$A:$C,2,)</f>
        <v>2412000</v>
      </c>
      <c r="E636" s="30">
        <f t="shared" si="19"/>
        <v>1000</v>
      </c>
    </row>
    <row r="637" spans="1:5" x14ac:dyDescent="0.2">
      <c r="A637" s="29">
        <v>28903</v>
      </c>
      <c r="B637" s="26">
        <f>VLOOKUP(A637,'Database Claims'!$A:$C,3,)</f>
        <v>367000</v>
      </c>
      <c r="C637" s="30">
        <f t="shared" si="18"/>
        <v>8000</v>
      </c>
      <c r="D637" s="26">
        <f>VLOOKUP(A637,'Database Claims'!$A:$C,2,)</f>
        <v>2383000</v>
      </c>
      <c r="E637" s="30">
        <f t="shared" si="19"/>
        <v>-29000</v>
      </c>
    </row>
    <row r="638" spans="1:5" x14ac:dyDescent="0.2">
      <c r="A638" s="29">
        <v>28910</v>
      </c>
      <c r="B638" s="30">
        <f>VLOOKUP(A638,'Database Claims'!$A:$C,3,)</f>
        <v>360000</v>
      </c>
      <c r="C638" s="30">
        <f t="shared" si="18"/>
        <v>-7000</v>
      </c>
      <c r="D638" s="30">
        <f>VLOOKUP(A638,'Database Claims'!$A:$C,2,)</f>
        <v>2451000</v>
      </c>
      <c r="E638" s="30">
        <f t="shared" si="19"/>
        <v>68000</v>
      </c>
    </row>
    <row r="639" spans="1:5" x14ac:dyDescent="0.2">
      <c r="A639" s="29">
        <v>28917</v>
      </c>
      <c r="B639" s="26">
        <f>VLOOKUP(A639,'Database Claims'!$A:$C,3,)</f>
        <v>355000</v>
      </c>
      <c r="C639" s="30">
        <f t="shared" si="18"/>
        <v>-5000</v>
      </c>
      <c r="D639" s="26">
        <f>VLOOKUP(A639,'Database Claims'!$A:$C,2,)</f>
        <v>2451000</v>
      </c>
      <c r="E639" s="30">
        <f t="shared" si="19"/>
        <v>0</v>
      </c>
    </row>
    <row r="640" spans="1:5" x14ac:dyDescent="0.2">
      <c r="A640" s="29">
        <v>28924</v>
      </c>
      <c r="B640" s="30">
        <f>VLOOKUP(A640,'Database Claims'!$A:$C,3,)</f>
        <v>363000</v>
      </c>
      <c r="C640" s="30">
        <f t="shared" si="18"/>
        <v>8000</v>
      </c>
      <c r="D640" s="30">
        <f>VLOOKUP(A640,'Database Claims'!$A:$C,2,)</f>
        <v>2413000</v>
      </c>
      <c r="E640" s="30">
        <f t="shared" si="19"/>
        <v>-38000</v>
      </c>
    </row>
    <row r="641" spans="1:5" x14ac:dyDescent="0.2">
      <c r="A641" s="29">
        <v>28931</v>
      </c>
      <c r="B641" s="26">
        <f>VLOOKUP(A641,'Database Claims'!$A:$C,3,)</f>
        <v>359000</v>
      </c>
      <c r="C641" s="30">
        <f t="shared" si="18"/>
        <v>-4000</v>
      </c>
      <c r="D641" s="26">
        <f>VLOOKUP(A641,'Database Claims'!$A:$C,2,)</f>
        <v>2377000</v>
      </c>
      <c r="E641" s="30">
        <f t="shared" si="19"/>
        <v>-36000</v>
      </c>
    </row>
    <row r="642" spans="1:5" x14ac:dyDescent="0.2">
      <c r="A642" s="29">
        <v>28938</v>
      </c>
      <c r="B642" s="30">
        <f>VLOOKUP(A642,'Database Claims'!$A:$C,3,)</f>
        <v>353000</v>
      </c>
      <c r="C642" s="30">
        <f t="shared" si="18"/>
        <v>-6000</v>
      </c>
      <c r="D642" s="30">
        <f>VLOOKUP(A642,'Database Claims'!$A:$C,2,)</f>
        <v>2353000</v>
      </c>
      <c r="E642" s="30">
        <f t="shared" si="19"/>
        <v>-24000</v>
      </c>
    </row>
    <row r="643" spans="1:5" x14ac:dyDescent="0.2">
      <c r="A643" s="29">
        <v>28945</v>
      </c>
      <c r="B643" s="26">
        <f>VLOOKUP(A643,'Database Claims'!$A:$C,3,)</f>
        <v>360000</v>
      </c>
      <c r="C643" s="30">
        <f t="shared" si="18"/>
        <v>7000</v>
      </c>
      <c r="D643" s="26">
        <f>VLOOKUP(A643,'Database Claims'!$A:$C,2,)</f>
        <v>2335000</v>
      </c>
      <c r="E643" s="30">
        <f t="shared" si="19"/>
        <v>-18000</v>
      </c>
    </row>
    <row r="644" spans="1:5" x14ac:dyDescent="0.2">
      <c r="A644" s="29">
        <v>28952</v>
      </c>
      <c r="B644" s="30">
        <f>VLOOKUP(A644,'Database Claims'!$A:$C,3,)</f>
        <v>465000</v>
      </c>
      <c r="C644" s="30">
        <f t="shared" si="18"/>
        <v>105000</v>
      </c>
      <c r="D644" s="30">
        <f>VLOOKUP(A644,'Database Claims'!$A:$C,2,)</f>
        <v>2368000</v>
      </c>
      <c r="E644" s="30">
        <f t="shared" si="19"/>
        <v>33000</v>
      </c>
    </row>
    <row r="645" spans="1:5" x14ac:dyDescent="0.2">
      <c r="A645" s="29">
        <v>28959</v>
      </c>
      <c r="B645" s="26">
        <f>VLOOKUP(A645,'Database Claims'!$A:$C,3,)</f>
        <v>457000</v>
      </c>
      <c r="C645" s="30">
        <f t="shared" si="18"/>
        <v>-8000</v>
      </c>
      <c r="D645" s="26">
        <f>VLOOKUP(A645,'Database Claims'!$A:$C,2,)</f>
        <v>2467000</v>
      </c>
      <c r="E645" s="30">
        <f t="shared" si="19"/>
        <v>99000</v>
      </c>
    </row>
    <row r="646" spans="1:5" x14ac:dyDescent="0.2">
      <c r="A646" s="29">
        <v>28966</v>
      </c>
      <c r="B646" s="30">
        <f>VLOOKUP(A646,'Database Claims'!$A:$C,3,)</f>
        <v>383000</v>
      </c>
      <c r="C646" s="30">
        <f t="shared" ref="C646:C709" si="20">B646-B645</f>
        <v>-74000</v>
      </c>
      <c r="D646" s="30">
        <f>VLOOKUP(A646,'Database Claims'!$A:$C,2,)</f>
        <v>2408000</v>
      </c>
      <c r="E646" s="30">
        <f t="shared" ref="E646:E709" si="21">D646-D645</f>
        <v>-59000</v>
      </c>
    </row>
    <row r="647" spans="1:5" x14ac:dyDescent="0.2">
      <c r="A647" s="29">
        <v>28973</v>
      </c>
      <c r="B647" s="26">
        <f>VLOOKUP(A647,'Database Claims'!$A:$C,3,)</f>
        <v>357000</v>
      </c>
      <c r="C647" s="30">
        <f t="shared" si="20"/>
        <v>-26000</v>
      </c>
      <c r="D647" s="26">
        <f>VLOOKUP(A647,'Database Claims'!$A:$C,2,)</f>
        <v>2351000</v>
      </c>
      <c r="E647" s="30">
        <f t="shared" si="21"/>
        <v>-57000</v>
      </c>
    </row>
    <row r="648" spans="1:5" x14ac:dyDescent="0.2">
      <c r="A648" s="29">
        <v>28980</v>
      </c>
      <c r="B648" s="30">
        <f>VLOOKUP(A648,'Database Claims'!$A:$C,3,)</f>
        <v>353000</v>
      </c>
      <c r="C648" s="30">
        <f t="shared" si="20"/>
        <v>-4000</v>
      </c>
      <c r="D648" s="30">
        <f>VLOOKUP(A648,'Database Claims'!$A:$C,2,)</f>
        <v>2292000</v>
      </c>
      <c r="E648" s="30">
        <f t="shared" si="21"/>
        <v>-59000</v>
      </c>
    </row>
    <row r="649" spans="1:5" x14ac:dyDescent="0.2">
      <c r="A649" s="29">
        <v>28987</v>
      </c>
      <c r="B649" s="26">
        <f>VLOOKUP(A649,'Database Claims'!$A:$C,3,)</f>
        <v>344000</v>
      </c>
      <c r="C649" s="30">
        <f t="shared" si="20"/>
        <v>-9000</v>
      </c>
      <c r="D649" s="26">
        <f>VLOOKUP(A649,'Database Claims'!$A:$C,2,)</f>
        <v>2261000</v>
      </c>
      <c r="E649" s="30">
        <f t="shared" si="21"/>
        <v>-31000</v>
      </c>
    </row>
    <row r="650" spans="1:5" x14ac:dyDescent="0.2">
      <c r="A650" s="29">
        <v>28994</v>
      </c>
      <c r="B650" s="30">
        <f>VLOOKUP(A650,'Database Claims'!$A:$C,3,)</f>
        <v>346000</v>
      </c>
      <c r="C650" s="30">
        <f t="shared" si="20"/>
        <v>2000</v>
      </c>
      <c r="D650" s="30">
        <f>VLOOKUP(A650,'Database Claims'!$A:$C,2,)</f>
        <v>2238000</v>
      </c>
      <c r="E650" s="30">
        <f t="shared" si="21"/>
        <v>-23000</v>
      </c>
    </row>
    <row r="651" spans="1:5" x14ac:dyDescent="0.2">
      <c r="A651" s="29">
        <v>29001</v>
      </c>
      <c r="B651" s="26">
        <f>VLOOKUP(A651,'Database Claims'!$A:$C,3,)</f>
        <v>349000</v>
      </c>
      <c r="C651" s="30">
        <f t="shared" si="20"/>
        <v>3000</v>
      </c>
      <c r="D651" s="26">
        <f>VLOOKUP(A651,'Database Claims'!$A:$C,2,)</f>
        <v>2246000</v>
      </c>
      <c r="E651" s="30">
        <f t="shared" si="21"/>
        <v>8000</v>
      </c>
    </row>
    <row r="652" spans="1:5" x14ac:dyDescent="0.2">
      <c r="A652" s="29">
        <v>29008</v>
      </c>
      <c r="B652" s="30">
        <f>VLOOKUP(A652,'Database Claims'!$A:$C,3,)</f>
        <v>336000</v>
      </c>
      <c r="C652" s="30">
        <f t="shared" si="20"/>
        <v>-13000</v>
      </c>
      <c r="D652" s="30">
        <f>VLOOKUP(A652,'Database Claims'!$A:$C,2,)</f>
        <v>2260000</v>
      </c>
      <c r="E652" s="30">
        <f t="shared" si="21"/>
        <v>14000</v>
      </c>
    </row>
    <row r="653" spans="1:5" x14ac:dyDescent="0.2">
      <c r="A653" s="29">
        <v>29015</v>
      </c>
      <c r="B653" s="26">
        <f>VLOOKUP(A653,'Database Claims'!$A:$C,3,)</f>
        <v>365000</v>
      </c>
      <c r="C653" s="30">
        <f t="shared" si="20"/>
        <v>29000</v>
      </c>
      <c r="D653" s="26">
        <f>VLOOKUP(A653,'Database Claims'!$A:$C,2,)</f>
        <v>2207000</v>
      </c>
      <c r="E653" s="30">
        <f t="shared" si="21"/>
        <v>-53000</v>
      </c>
    </row>
    <row r="654" spans="1:5" x14ac:dyDescent="0.2">
      <c r="A654" s="29">
        <v>29022</v>
      </c>
      <c r="B654" s="30">
        <f>VLOOKUP(A654,'Database Claims'!$A:$C,3,)</f>
        <v>351000</v>
      </c>
      <c r="C654" s="30">
        <f t="shared" si="20"/>
        <v>-14000</v>
      </c>
      <c r="D654" s="30">
        <f>VLOOKUP(A654,'Database Claims'!$A:$C,2,)</f>
        <v>2234000</v>
      </c>
      <c r="E654" s="30">
        <f t="shared" si="21"/>
        <v>27000</v>
      </c>
    </row>
    <row r="655" spans="1:5" x14ac:dyDescent="0.2">
      <c r="A655" s="29">
        <v>29029</v>
      </c>
      <c r="B655" s="26">
        <f>VLOOKUP(A655,'Database Claims'!$A:$C,3,)</f>
        <v>379000</v>
      </c>
      <c r="C655" s="30">
        <f t="shared" si="20"/>
        <v>28000</v>
      </c>
      <c r="D655" s="26">
        <f>VLOOKUP(A655,'Database Claims'!$A:$C,2,)</f>
        <v>2275000</v>
      </c>
      <c r="E655" s="30">
        <f t="shared" si="21"/>
        <v>41000</v>
      </c>
    </row>
    <row r="656" spans="1:5" x14ac:dyDescent="0.2">
      <c r="A656" s="29">
        <v>29036</v>
      </c>
      <c r="B656" s="30">
        <f>VLOOKUP(A656,'Database Claims'!$A:$C,3,)</f>
        <v>369000</v>
      </c>
      <c r="C656" s="30">
        <f t="shared" si="20"/>
        <v>-10000</v>
      </c>
      <c r="D656" s="30">
        <f>VLOOKUP(A656,'Database Claims'!$A:$C,2,)</f>
        <v>2282000</v>
      </c>
      <c r="E656" s="30">
        <f t="shared" si="21"/>
        <v>7000</v>
      </c>
    </row>
    <row r="657" spans="1:5" x14ac:dyDescent="0.2">
      <c r="A657" s="29">
        <v>29043</v>
      </c>
      <c r="B657" s="26">
        <f>VLOOKUP(A657,'Database Claims'!$A:$C,3,)</f>
        <v>368000</v>
      </c>
      <c r="C657" s="30">
        <f t="shared" si="20"/>
        <v>-1000</v>
      </c>
      <c r="D657" s="26">
        <f>VLOOKUP(A657,'Database Claims'!$A:$C,2,)</f>
        <v>2368000</v>
      </c>
      <c r="E657" s="30">
        <f t="shared" si="21"/>
        <v>86000</v>
      </c>
    </row>
    <row r="658" spans="1:5" x14ac:dyDescent="0.2">
      <c r="A658" s="29">
        <v>29050</v>
      </c>
      <c r="B658" s="30">
        <f>VLOOKUP(A658,'Database Claims'!$A:$C,3,)</f>
        <v>368000</v>
      </c>
      <c r="C658" s="30">
        <f t="shared" si="20"/>
        <v>0</v>
      </c>
      <c r="D658" s="30">
        <f>VLOOKUP(A658,'Database Claims'!$A:$C,2,)</f>
        <v>2356000</v>
      </c>
      <c r="E658" s="30">
        <f t="shared" si="21"/>
        <v>-12000</v>
      </c>
    </row>
    <row r="659" spans="1:5" x14ac:dyDescent="0.2">
      <c r="A659" s="29">
        <v>29057</v>
      </c>
      <c r="B659" s="26">
        <f>VLOOKUP(A659,'Database Claims'!$A:$C,3,)</f>
        <v>395000</v>
      </c>
      <c r="C659" s="30">
        <f t="shared" si="20"/>
        <v>27000</v>
      </c>
      <c r="D659" s="26">
        <f>VLOOKUP(A659,'Database Claims'!$A:$C,2,)</f>
        <v>2335000</v>
      </c>
      <c r="E659" s="30">
        <f t="shared" si="21"/>
        <v>-21000</v>
      </c>
    </row>
    <row r="660" spans="1:5" x14ac:dyDescent="0.2">
      <c r="A660" s="29">
        <v>29064</v>
      </c>
      <c r="B660" s="30">
        <f>VLOOKUP(A660,'Database Claims'!$A:$C,3,)</f>
        <v>386000</v>
      </c>
      <c r="C660" s="30">
        <f t="shared" si="20"/>
        <v>-9000</v>
      </c>
      <c r="D660" s="30">
        <f>VLOOKUP(A660,'Database Claims'!$A:$C,2,)</f>
        <v>2375000</v>
      </c>
      <c r="E660" s="30">
        <f t="shared" si="21"/>
        <v>40000</v>
      </c>
    </row>
    <row r="661" spans="1:5" x14ac:dyDescent="0.2">
      <c r="A661" s="29">
        <v>29071</v>
      </c>
      <c r="B661" s="26">
        <f>VLOOKUP(A661,'Database Claims'!$A:$C,3,)</f>
        <v>412000</v>
      </c>
      <c r="C661" s="30">
        <f t="shared" si="20"/>
        <v>26000</v>
      </c>
      <c r="D661" s="26">
        <f>VLOOKUP(A661,'Database Claims'!$A:$C,2,)</f>
        <v>2422000</v>
      </c>
      <c r="E661" s="30">
        <f t="shared" si="21"/>
        <v>47000</v>
      </c>
    </row>
    <row r="662" spans="1:5" x14ac:dyDescent="0.2">
      <c r="A662" s="29">
        <v>29078</v>
      </c>
      <c r="B662" s="30">
        <f>VLOOKUP(A662,'Database Claims'!$A:$C,3,)</f>
        <v>386000</v>
      </c>
      <c r="C662" s="30">
        <f t="shared" si="20"/>
        <v>-26000</v>
      </c>
      <c r="D662" s="30">
        <f>VLOOKUP(A662,'Database Claims'!$A:$C,2,)</f>
        <v>2466000</v>
      </c>
      <c r="E662" s="30">
        <f t="shared" si="21"/>
        <v>44000</v>
      </c>
    </row>
    <row r="663" spans="1:5" x14ac:dyDescent="0.2">
      <c r="A663" s="29">
        <v>29085</v>
      </c>
      <c r="B663" s="26">
        <f>VLOOKUP(A663,'Database Claims'!$A:$C,3,)</f>
        <v>387000</v>
      </c>
      <c r="C663" s="30">
        <f t="shared" si="20"/>
        <v>1000</v>
      </c>
      <c r="D663" s="26">
        <f>VLOOKUP(A663,'Database Claims'!$A:$C,2,)</f>
        <v>2474000</v>
      </c>
      <c r="E663" s="30">
        <f t="shared" si="21"/>
        <v>8000</v>
      </c>
    </row>
    <row r="664" spans="1:5" x14ac:dyDescent="0.2">
      <c r="A664" s="29">
        <v>29092</v>
      </c>
      <c r="B664" s="30">
        <f>VLOOKUP(A664,'Database Claims'!$A:$C,3,)</f>
        <v>390000</v>
      </c>
      <c r="C664" s="30">
        <f t="shared" si="20"/>
        <v>3000</v>
      </c>
      <c r="D664" s="30">
        <f>VLOOKUP(A664,'Database Claims'!$A:$C,2,)</f>
        <v>2471000</v>
      </c>
      <c r="E664" s="30">
        <f t="shared" si="21"/>
        <v>-3000</v>
      </c>
    </row>
    <row r="665" spans="1:5" x14ac:dyDescent="0.2">
      <c r="A665" s="29">
        <v>29099</v>
      </c>
      <c r="B665" s="26">
        <f>VLOOKUP(A665,'Database Claims'!$A:$C,3,)</f>
        <v>389000</v>
      </c>
      <c r="C665" s="30">
        <f t="shared" si="20"/>
        <v>-1000</v>
      </c>
      <c r="D665" s="26">
        <f>VLOOKUP(A665,'Database Claims'!$A:$C,2,)</f>
        <v>2448000</v>
      </c>
      <c r="E665" s="30">
        <f t="shared" si="21"/>
        <v>-23000</v>
      </c>
    </row>
    <row r="666" spans="1:5" x14ac:dyDescent="0.2">
      <c r="A666" s="29">
        <v>29106</v>
      </c>
      <c r="B666" s="30">
        <f>VLOOKUP(A666,'Database Claims'!$A:$C,3,)</f>
        <v>378000</v>
      </c>
      <c r="C666" s="30">
        <f t="shared" si="20"/>
        <v>-11000</v>
      </c>
      <c r="D666" s="30">
        <f>VLOOKUP(A666,'Database Claims'!$A:$C,2,)</f>
        <v>2432000</v>
      </c>
      <c r="E666" s="30">
        <f t="shared" si="21"/>
        <v>-16000</v>
      </c>
    </row>
    <row r="667" spans="1:5" x14ac:dyDescent="0.2">
      <c r="A667" s="29">
        <v>29113</v>
      </c>
      <c r="B667" s="26">
        <f>VLOOKUP(A667,'Database Claims'!$A:$C,3,)</f>
        <v>384000</v>
      </c>
      <c r="C667" s="30">
        <f t="shared" si="20"/>
        <v>6000</v>
      </c>
      <c r="D667" s="26">
        <f>VLOOKUP(A667,'Database Claims'!$A:$C,2,)</f>
        <v>2431000</v>
      </c>
      <c r="E667" s="30">
        <f t="shared" si="21"/>
        <v>-1000</v>
      </c>
    </row>
    <row r="668" spans="1:5" x14ac:dyDescent="0.2">
      <c r="A668" s="29">
        <v>29120</v>
      </c>
      <c r="B668" s="30">
        <f>VLOOKUP(A668,'Database Claims'!$A:$C,3,)</f>
        <v>388000</v>
      </c>
      <c r="C668" s="30">
        <f t="shared" si="20"/>
        <v>4000</v>
      </c>
      <c r="D668" s="30">
        <f>VLOOKUP(A668,'Database Claims'!$A:$C,2,)</f>
        <v>2404000</v>
      </c>
      <c r="E668" s="30">
        <f t="shared" si="21"/>
        <v>-27000</v>
      </c>
    </row>
    <row r="669" spans="1:5" x14ac:dyDescent="0.2">
      <c r="A669" s="29">
        <v>29127</v>
      </c>
      <c r="B669" s="26">
        <f>VLOOKUP(A669,'Database Claims'!$A:$C,3,)</f>
        <v>390000</v>
      </c>
      <c r="C669" s="30">
        <f t="shared" si="20"/>
        <v>2000</v>
      </c>
      <c r="D669" s="26">
        <f>VLOOKUP(A669,'Database Claims'!$A:$C,2,)</f>
        <v>2426000</v>
      </c>
      <c r="E669" s="30">
        <f t="shared" si="21"/>
        <v>22000</v>
      </c>
    </row>
    <row r="670" spans="1:5" x14ac:dyDescent="0.2">
      <c r="A670" s="29">
        <v>29134</v>
      </c>
      <c r="B670" s="30">
        <f>VLOOKUP(A670,'Database Claims'!$A:$C,3,)</f>
        <v>412000</v>
      </c>
      <c r="C670" s="30">
        <f t="shared" si="20"/>
        <v>22000</v>
      </c>
      <c r="D670" s="30">
        <f>VLOOKUP(A670,'Database Claims'!$A:$C,2,)</f>
        <v>2428000</v>
      </c>
      <c r="E670" s="30">
        <f t="shared" si="21"/>
        <v>2000</v>
      </c>
    </row>
    <row r="671" spans="1:5" x14ac:dyDescent="0.2">
      <c r="A671" s="29">
        <v>29141</v>
      </c>
      <c r="B671" s="26">
        <f>VLOOKUP(A671,'Database Claims'!$A:$C,3,)</f>
        <v>393000</v>
      </c>
      <c r="C671" s="30">
        <f t="shared" si="20"/>
        <v>-19000</v>
      </c>
      <c r="D671" s="26">
        <f>VLOOKUP(A671,'Database Claims'!$A:$C,2,)</f>
        <v>2535000</v>
      </c>
      <c r="E671" s="30">
        <f t="shared" si="21"/>
        <v>107000</v>
      </c>
    </row>
    <row r="672" spans="1:5" x14ac:dyDescent="0.2">
      <c r="A672" s="29">
        <v>29148</v>
      </c>
      <c r="B672" s="30">
        <f>VLOOKUP(A672,'Database Claims'!$A:$C,3,)</f>
        <v>406000</v>
      </c>
      <c r="C672" s="30">
        <f t="shared" si="20"/>
        <v>13000</v>
      </c>
      <c r="D672" s="30">
        <f>VLOOKUP(A672,'Database Claims'!$A:$C,2,)</f>
        <v>2475000</v>
      </c>
      <c r="E672" s="30">
        <f t="shared" si="21"/>
        <v>-60000</v>
      </c>
    </row>
    <row r="673" spans="1:5" x14ac:dyDescent="0.2">
      <c r="A673" s="29">
        <v>29155</v>
      </c>
      <c r="B673" s="26">
        <f>VLOOKUP(A673,'Database Claims'!$A:$C,3,)</f>
        <v>398000</v>
      </c>
      <c r="C673" s="30">
        <f t="shared" si="20"/>
        <v>-8000</v>
      </c>
      <c r="D673" s="26">
        <f>VLOOKUP(A673,'Database Claims'!$A:$C,2,)</f>
        <v>2522000</v>
      </c>
      <c r="E673" s="30">
        <f t="shared" si="21"/>
        <v>47000</v>
      </c>
    </row>
    <row r="674" spans="1:5" x14ac:dyDescent="0.2">
      <c r="A674" s="29">
        <v>29162</v>
      </c>
      <c r="B674" s="30">
        <f>VLOOKUP(A674,'Database Claims'!$A:$C,3,)</f>
        <v>395000</v>
      </c>
      <c r="C674" s="30">
        <f t="shared" si="20"/>
        <v>-3000</v>
      </c>
      <c r="D674" s="30">
        <f>VLOOKUP(A674,'Database Claims'!$A:$C,2,)</f>
        <v>2569000</v>
      </c>
      <c r="E674" s="30">
        <f t="shared" si="21"/>
        <v>47000</v>
      </c>
    </row>
    <row r="675" spans="1:5" x14ac:dyDescent="0.2">
      <c r="A675" s="29">
        <v>29169</v>
      </c>
      <c r="B675" s="26">
        <f>VLOOKUP(A675,'Database Claims'!$A:$C,3,)</f>
        <v>414000</v>
      </c>
      <c r="C675" s="30">
        <f t="shared" si="20"/>
        <v>19000</v>
      </c>
      <c r="D675" s="26">
        <f>VLOOKUP(A675,'Database Claims'!$A:$C,2,)</f>
        <v>2537000</v>
      </c>
      <c r="E675" s="30">
        <f t="shared" si="21"/>
        <v>-32000</v>
      </c>
    </row>
    <row r="676" spans="1:5" x14ac:dyDescent="0.2">
      <c r="A676" s="29">
        <v>29176</v>
      </c>
      <c r="B676" s="30">
        <f>VLOOKUP(A676,'Database Claims'!$A:$C,3,)</f>
        <v>430000</v>
      </c>
      <c r="C676" s="30">
        <f t="shared" si="20"/>
        <v>16000</v>
      </c>
      <c r="D676" s="30">
        <f>VLOOKUP(A676,'Database Claims'!$A:$C,2,)</f>
        <v>2656000</v>
      </c>
      <c r="E676" s="30">
        <f t="shared" si="21"/>
        <v>119000</v>
      </c>
    </row>
    <row r="677" spans="1:5" x14ac:dyDescent="0.2">
      <c r="A677" s="29">
        <v>29183</v>
      </c>
      <c r="B677" s="26">
        <f>VLOOKUP(A677,'Database Claims'!$A:$C,3,)</f>
        <v>414000</v>
      </c>
      <c r="C677" s="30">
        <f t="shared" si="20"/>
        <v>-16000</v>
      </c>
      <c r="D677" s="26">
        <f>VLOOKUP(A677,'Database Claims'!$A:$C,2,)</f>
        <v>2648000</v>
      </c>
      <c r="E677" s="30">
        <f t="shared" si="21"/>
        <v>-8000</v>
      </c>
    </row>
    <row r="678" spans="1:5" x14ac:dyDescent="0.2">
      <c r="A678" s="29">
        <v>29190</v>
      </c>
      <c r="B678" s="30">
        <f>VLOOKUP(A678,'Database Claims'!$A:$C,3,)</f>
        <v>416000</v>
      </c>
      <c r="C678" s="30">
        <f t="shared" si="20"/>
        <v>2000</v>
      </c>
      <c r="D678" s="30">
        <f>VLOOKUP(A678,'Database Claims'!$A:$C,2,)</f>
        <v>2698000</v>
      </c>
      <c r="E678" s="30">
        <f t="shared" si="21"/>
        <v>50000</v>
      </c>
    </row>
    <row r="679" spans="1:5" x14ac:dyDescent="0.2">
      <c r="A679" s="29">
        <v>29197</v>
      </c>
      <c r="B679" s="26">
        <f>VLOOKUP(A679,'Database Claims'!$A:$C,3,)</f>
        <v>415000</v>
      </c>
      <c r="C679" s="30">
        <f t="shared" si="20"/>
        <v>-1000</v>
      </c>
      <c r="D679" s="26">
        <f>VLOOKUP(A679,'Database Claims'!$A:$C,2,)</f>
        <v>2685000</v>
      </c>
      <c r="E679" s="30">
        <f t="shared" si="21"/>
        <v>-13000</v>
      </c>
    </row>
    <row r="680" spans="1:5" x14ac:dyDescent="0.2">
      <c r="A680" s="29">
        <v>29204</v>
      </c>
      <c r="B680" s="30">
        <f>VLOOKUP(A680,'Database Claims'!$A:$C,3,)</f>
        <v>411000</v>
      </c>
      <c r="C680" s="30">
        <f t="shared" si="20"/>
        <v>-4000</v>
      </c>
      <c r="D680" s="30">
        <f>VLOOKUP(A680,'Database Claims'!$A:$C,2,)</f>
        <v>2712000</v>
      </c>
      <c r="E680" s="30">
        <f t="shared" si="21"/>
        <v>27000</v>
      </c>
    </row>
    <row r="681" spans="1:5" x14ac:dyDescent="0.2">
      <c r="A681" s="29">
        <v>29211</v>
      </c>
      <c r="B681" s="26">
        <f>VLOOKUP(A681,'Database Claims'!$A:$C,3,)</f>
        <v>471000</v>
      </c>
      <c r="C681" s="30">
        <f t="shared" si="20"/>
        <v>60000</v>
      </c>
      <c r="D681" s="26">
        <f>VLOOKUP(A681,'Database Claims'!$A:$C,2,)</f>
        <v>2674000</v>
      </c>
      <c r="E681" s="30">
        <f t="shared" si="21"/>
        <v>-38000</v>
      </c>
    </row>
    <row r="682" spans="1:5" x14ac:dyDescent="0.2">
      <c r="A682" s="29">
        <v>29218</v>
      </c>
      <c r="B682" s="30">
        <f>VLOOKUP(A682,'Database Claims'!$A:$C,3,)</f>
        <v>428000</v>
      </c>
      <c r="C682" s="30">
        <f t="shared" si="20"/>
        <v>-43000</v>
      </c>
      <c r="D682" s="30">
        <f>VLOOKUP(A682,'Database Claims'!$A:$C,2,)</f>
        <v>2725000</v>
      </c>
      <c r="E682" s="30">
        <f t="shared" si="21"/>
        <v>51000</v>
      </c>
    </row>
    <row r="683" spans="1:5" x14ac:dyDescent="0.2">
      <c r="A683" s="29">
        <v>29225</v>
      </c>
      <c r="B683" s="26">
        <f>VLOOKUP(A683,'Database Claims'!$A:$C,3,)</f>
        <v>394000</v>
      </c>
      <c r="C683" s="30">
        <f t="shared" si="20"/>
        <v>-34000</v>
      </c>
      <c r="D683" s="26">
        <f>VLOOKUP(A683,'Database Claims'!$A:$C,2,)</f>
        <v>2749000</v>
      </c>
      <c r="E683" s="30">
        <f t="shared" si="21"/>
        <v>24000</v>
      </c>
    </row>
    <row r="684" spans="1:5" x14ac:dyDescent="0.2">
      <c r="A684" s="29">
        <v>29232</v>
      </c>
      <c r="B684" s="30">
        <f>VLOOKUP(A684,'Database Claims'!$A:$C,3,)</f>
        <v>405000</v>
      </c>
      <c r="C684" s="30">
        <f t="shared" si="20"/>
        <v>11000</v>
      </c>
      <c r="D684" s="30">
        <f>VLOOKUP(A684,'Database Claims'!$A:$C,2,)</f>
        <v>2778000</v>
      </c>
      <c r="E684" s="30">
        <f t="shared" si="21"/>
        <v>29000</v>
      </c>
    </row>
    <row r="685" spans="1:5" x14ac:dyDescent="0.2">
      <c r="A685" s="29">
        <v>29239</v>
      </c>
      <c r="B685" s="26">
        <f>VLOOKUP(A685,'Database Claims'!$A:$C,3,)</f>
        <v>446000</v>
      </c>
      <c r="C685" s="30">
        <f t="shared" si="20"/>
        <v>41000</v>
      </c>
      <c r="D685" s="26">
        <f>VLOOKUP(A685,'Database Claims'!$A:$C,2,)</f>
        <v>2783000</v>
      </c>
      <c r="E685" s="30">
        <f t="shared" si="21"/>
        <v>5000</v>
      </c>
    </row>
    <row r="686" spans="1:5" x14ac:dyDescent="0.2">
      <c r="A686" s="29">
        <v>29246</v>
      </c>
      <c r="B686" s="30">
        <f>VLOOKUP(A686,'Database Claims'!$A:$C,3,)</f>
        <v>412000</v>
      </c>
      <c r="C686" s="30">
        <f t="shared" si="20"/>
        <v>-34000</v>
      </c>
      <c r="D686" s="30">
        <f>VLOOKUP(A686,'Database Claims'!$A:$C,2,)</f>
        <v>2817000</v>
      </c>
      <c r="E686" s="30">
        <f t="shared" si="21"/>
        <v>34000</v>
      </c>
    </row>
    <row r="687" spans="1:5" x14ac:dyDescent="0.2">
      <c r="A687" s="29">
        <v>29253</v>
      </c>
      <c r="B687" s="26">
        <f>VLOOKUP(A687,'Database Claims'!$A:$C,3,)</f>
        <v>404000</v>
      </c>
      <c r="C687" s="30">
        <f t="shared" si="20"/>
        <v>-8000</v>
      </c>
      <c r="D687" s="26">
        <f>VLOOKUP(A687,'Database Claims'!$A:$C,2,)</f>
        <v>2864000</v>
      </c>
      <c r="E687" s="30">
        <f t="shared" si="21"/>
        <v>47000</v>
      </c>
    </row>
    <row r="688" spans="1:5" x14ac:dyDescent="0.2">
      <c r="A688" s="29">
        <v>29260</v>
      </c>
      <c r="B688" s="30">
        <f>VLOOKUP(A688,'Database Claims'!$A:$C,3,)</f>
        <v>425000</v>
      </c>
      <c r="C688" s="30">
        <f t="shared" si="20"/>
        <v>21000</v>
      </c>
      <c r="D688" s="30">
        <f>VLOOKUP(A688,'Database Claims'!$A:$C,2,)</f>
        <v>2867000</v>
      </c>
      <c r="E688" s="30">
        <f t="shared" si="21"/>
        <v>3000</v>
      </c>
    </row>
    <row r="689" spans="1:5" x14ac:dyDescent="0.2">
      <c r="A689" s="29">
        <v>29267</v>
      </c>
      <c r="B689" s="26">
        <f>VLOOKUP(A689,'Database Claims'!$A:$C,3,)</f>
        <v>415000</v>
      </c>
      <c r="C689" s="30">
        <f t="shared" si="20"/>
        <v>-10000</v>
      </c>
      <c r="D689" s="26">
        <f>VLOOKUP(A689,'Database Claims'!$A:$C,2,)</f>
        <v>2877000</v>
      </c>
      <c r="E689" s="30">
        <f t="shared" si="21"/>
        <v>10000</v>
      </c>
    </row>
    <row r="690" spans="1:5" x14ac:dyDescent="0.2">
      <c r="A690" s="29">
        <v>29274</v>
      </c>
      <c r="B690" s="30">
        <f>VLOOKUP(A690,'Database Claims'!$A:$C,3,)</f>
        <v>428000</v>
      </c>
      <c r="C690" s="30">
        <f t="shared" si="20"/>
        <v>13000</v>
      </c>
      <c r="D690" s="30">
        <f>VLOOKUP(A690,'Database Claims'!$A:$C,2,)</f>
        <v>2866000</v>
      </c>
      <c r="E690" s="30">
        <f t="shared" si="21"/>
        <v>-11000</v>
      </c>
    </row>
    <row r="691" spans="1:5" x14ac:dyDescent="0.2">
      <c r="A691" s="29">
        <v>29281</v>
      </c>
      <c r="B691" s="26">
        <f>VLOOKUP(A691,'Database Claims'!$A:$C,3,)</f>
        <v>409000</v>
      </c>
      <c r="C691" s="30">
        <f t="shared" si="20"/>
        <v>-19000</v>
      </c>
      <c r="D691" s="26">
        <f>VLOOKUP(A691,'Database Claims'!$A:$C,2,)</f>
        <v>2848000</v>
      </c>
      <c r="E691" s="30">
        <f t="shared" si="21"/>
        <v>-18000</v>
      </c>
    </row>
    <row r="692" spans="1:5" x14ac:dyDescent="0.2">
      <c r="A692" s="29">
        <v>29288</v>
      </c>
      <c r="B692" s="30">
        <f>VLOOKUP(A692,'Database Claims'!$A:$C,3,)</f>
        <v>418000</v>
      </c>
      <c r="C692" s="30">
        <f t="shared" si="20"/>
        <v>9000</v>
      </c>
      <c r="D692" s="30">
        <f>VLOOKUP(A692,'Database Claims'!$A:$C,2,)</f>
        <v>2883000</v>
      </c>
      <c r="E692" s="30">
        <f t="shared" si="21"/>
        <v>35000</v>
      </c>
    </row>
    <row r="693" spans="1:5" x14ac:dyDescent="0.2">
      <c r="A693" s="29">
        <v>29295</v>
      </c>
      <c r="B693" s="26">
        <f>VLOOKUP(A693,'Database Claims'!$A:$C,3,)</f>
        <v>432000</v>
      </c>
      <c r="C693" s="30">
        <f t="shared" si="20"/>
        <v>14000</v>
      </c>
      <c r="D693" s="26">
        <f>VLOOKUP(A693,'Database Claims'!$A:$C,2,)</f>
        <v>2888000</v>
      </c>
      <c r="E693" s="30">
        <f t="shared" si="21"/>
        <v>5000</v>
      </c>
    </row>
    <row r="694" spans="1:5" x14ac:dyDescent="0.2">
      <c r="A694" s="29">
        <v>29302</v>
      </c>
      <c r="B694" s="30">
        <f>VLOOKUP(A694,'Database Claims'!$A:$C,3,)</f>
        <v>435000</v>
      </c>
      <c r="C694" s="30">
        <f t="shared" si="20"/>
        <v>3000</v>
      </c>
      <c r="D694" s="30">
        <f>VLOOKUP(A694,'Database Claims'!$A:$C,2,)</f>
        <v>2921000</v>
      </c>
      <c r="E694" s="30">
        <f t="shared" si="21"/>
        <v>33000</v>
      </c>
    </row>
    <row r="695" spans="1:5" x14ac:dyDescent="0.2">
      <c r="A695" s="29">
        <v>29309</v>
      </c>
      <c r="B695" s="26">
        <f>VLOOKUP(A695,'Database Claims'!$A:$C,3,)</f>
        <v>475000</v>
      </c>
      <c r="C695" s="30">
        <f t="shared" si="20"/>
        <v>40000</v>
      </c>
      <c r="D695" s="26">
        <f>VLOOKUP(A695,'Database Claims'!$A:$C,2,)</f>
        <v>2866000</v>
      </c>
      <c r="E695" s="30">
        <f t="shared" si="21"/>
        <v>-55000</v>
      </c>
    </row>
    <row r="696" spans="1:5" x14ac:dyDescent="0.2">
      <c r="A696" s="29">
        <v>29316</v>
      </c>
      <c r="B696" s="30">
        <f>VLOOKUP(A696,'Database Claims'!$A:$C,3,)</f>
        <v>464000</v>
      </c>
      <c r="C696" s="30">
        <f t="shared" si="20"/>
        <v>-11000</v>
      </c>
      <c r="D696" s="30">
        <f>VLOOKUP(A696,'Database Claims'!$A:$C,2,)</f>
        <v>3007000</v>
      </c>
      <c r="E696" s="30">
        <f t="shared" si="21"/>
        <v>141000</v>
      </c>
    </row>
    <row r="697" spans="1:5" x14ac:dyDescent="0.2">
      <c r="A697" s="29">
        <v>29323</v>
      </c>
      <c r="B697" s="26">
        <f>VLOOKUP(A697,'Database Claims'!$A:$C,3,)</f>
        <v>544000</v>
      </c>
      <c r="C697" s="30">
        <f t="shared" si="20"/>
        <v>80000</v>
      </c>
      <c r="D697" s="26">
        <f>VLOOKUP(A697,'Database Claims'!$A:$C,2,)</f>
        <v>3085000</v>
      </c>
      <c r="E697" s="30">
        <f t="shared" si="21"/>
        <v>78000</v>
      </c>
    </row>
    <row r="698" spans="1:5" x14ac:dyDescent="0.2">
      <c r="A698" s="29">
        <v>29330</v>
      </c>
      <c r="B698" s="30">
        <f>VLOOKUP(A698,'Database Claims'!$A:$C,3,)</f>
        <v>548000</v>
      </c>
      <c r="C698" s="30">
        <f t="shared" si="20"/>
        <v>4000</v>
      </c>
      <c r="D698" s="30">
        <f>VLOOKUP(A698,'Database Claims'!$A:$C,2,)</f>
        <v>3188000</v>
      </c>
      <c r="E698" s="30">
        <f t="shared" si="21"/>
        <v>103000</v>
      </c>
    </row>
    <row r="699" spans="1:5" x14ac:dyDescent="0.2">
      <c r="A699" s="29">
        <v>29337</v>
      </c>
      <c r="B699" s="26">
        <f>VLOOKUP(A699,'Database Claims'!$A:$C,3,)</f>
        <v>563000</v>
      </c>
      <c r="C699" s="30">
        <f t="shared" si="20"/>
        <v>15000</v>
      </c>
      <c r="D699" s="26">
        <f>VLOOKUP(A699,'Database Claims'!$A:$C,2,)</f>
        <v>3226000</v>
      </c>
      <c r="E699" s="30">
        <f t="shared" si="21"/>
        <v>38000</v>
      </c>
    </row>
    <row r="700" spans="1:5" x14ac:dyDescent="0.2">
      <c r="A700" s="29">
        <v>29344</v>
      </c>
      <c r="B700" s="30">
        <f>VLOOKUP(A700,'Database Claims'!$A:$C,3,)</f>
        <v>572000</v>
      </c>
      <c r="C700" s="30">
        <f t="shared" si="20"/>
        <v>9000</v>
      </c>
      <c r="D700" s="30">
        <f>VLOOKUP(A700,'Database Claims'!$A:$C,2,)</f>
        <v>3334000</v>
      </c>
      <c r="E700" s="30">
        <f t="shared" si="21"/>
        <v>108000</v>
      </c>
    </row>
    <row r="701" spans="1:5" x14ac:dyDescent="0.2">
      <c r="A701" s="29">
        <v>29351</v>
      </c>
      <c r="B701" s="26">
        <f>VLOOKUP(A701,'Database Claims'!$A:$C,3,)</f>
        <v>601000</v>
      </c>
      <c r="C701" s="30">
        <f t="shared" si="20"/>
        <v>29000</v>
      </c>
      <c r="D701" s="26">
        <f>VLOOKUP(A701,'Database Claims'!$A:$C,2,)</f>
        <v>3417000</v>
      </c>
      <c r="E701" s="30">
        <f t="shared" si="21"/>
        <v>83000</v>
      </c>
    </row>
    <row r="702" spans="1:5" x14ac:dyDescent="0.2">
      <c r="A702" s="29">
        <v>29358</v>
      </c>
      <c r="B702" s="30">
        <f>VLOOKUP(A702,'Database Claims'!$A:$C,3,)</f>
        <v>642000</v>
      </c>
      <c r="C702" s="30">
        <f t="shared" si="20"/>
        <v>41000</v>
      </c>
      <c r="D702" s="30">
        <f>VLOOKUP(A702,'Database Claims'!$A:$C,2,)</f>
        <v>3544000</v>
      </c>
      <c r="E702" s="30">
        <f t="shared" si="21"/>
        <v>127000</v>
      </c>
    </row>
    <row r="703" spans="1:5" x14ac:dyDescent="0.2">
      <c r="A703" s="29">
        <v>29365</v>
      </c>
      <c r="B703" s="26">
        <f>VLOOKUP(A703,'Database Claims'!$A:$C,3,)</f>
        <v>627000</v>
      </c>
      <c r="C703" s="30">
        <f t="shared" si="20"/>
        <v>-15000</v>
      </c>
      <c r="D703" s="26">
        <f>VLOOKUP(A703,'Database Claims'!$A:$C,2,)</f>
        <v>3698000</v>
      </c>
      <c r="E703" s="30">
        <f t="shared" si="21"/>
        <v>154000</v>
      </c>
    </row>
    <row r="704" spans="1:5" x14ac:dyDescent="0.2">
      <c r="A704" s="29">
        <v>29372</v>
      </c>
      <c r="B704" s="30">
        <f>VLOOKUP(A704,'Database Claims'!$A:$C,3,)</f>
        <v>637000</v>
      </c>
      <c r="C704" s="30">
        <f t="shared" si="20"/>
        <v>10000</v>
      </c>
      <c r="D704" s="30">
        <f>VLOOKUP(A704,'Database Claims'!$A:$C,2,)</f>
        <v>3731000</v>
      </c>
      <c r="E704" s="30">
        <f t="shared" si="21"/>
        <v>33000</v>
      </c>
    </row>
    <row r="705" spans="1:5" x14ac:dyDescent="0.2">
      <c r="A705" s="29">
        <v>29379</v>
      </c>
      <c r="B705" s="26">
        <f>VLOOKUP(A705,'Database Claims'!$A:$C,3,)</f>
        <v>610000</v>
      </c>
      <c r="C705" s="30">
        <f t="shared" si="20"/>
        <v>-27000</v>
      </c>
      <c r="D705" s="26">
        <f>VLOOKUP(A705,'Database Claims'!$A:$C,2,)</f>
        <v>3781000</v>
      </c>
      <c r="E705" s="30">
        <f t="shared" si="21"/>
        <v>50000</v>
      </c>
    </row>
    <row r="706" spans="1:5" x14ac:dyDescent="0.2">
      <c r="A706" s="29">
        <v>29386</v>
      </c>
      <c r="B706" s="30">
        <f>VLOOKUP(A706,'Database Claims'!$A:$C,3,)</f>
        <v>592000</v>
      </c>
      <c r="C706" s="30">
        <f t="shared" si="20"/>
        <v>-18000</v>
      </c>
      <c r="D706" s="30">
        <f>VLOOKUP(A706,'Database Claims'!$A:$C,2,)</f>
        <v>3779000</v>
      </c>
      <c r="E706" s="30">
        <f t="shared" si="21"/>
        <v>-2000</v>
      </c>
    </row>
    <row r="707" spans="1:5" x14ac:dyDescent="0.2">
      <c r="A707" s="29">
        <v>29393</v>
      </c>
      <c r="B707" s="26">
        <f>VLOOKUP(A707,'Database Claims'!$A:$C,3,)</f>
        <v>599000</v>
      </c>
      <c r="C707" s="30">
        <f t="shared" si="20"/>
        <v>7000</v>
      </c>
      <c r="D707" s="26">
        <f>VLOOKUP(A707,'Database Claims'!$A:$C,2,)</f>
        <v>3858000</v>
      </c>
      <c r="E707" s="30">
        <f t="shared" si="21"/>
        <v>79000</v>
      </c>
    </row>
    <row r="708" spans="1:5" x14ac:dyDescent="0.2">
      <c r="A708" s="29">
        <v>29400</v>
      </c>
      <c r="B708" s="30">
        <f>VLOOKUP(A708,'Database Claims'!$A:$C,3,)</f>
        <v>627000</v>
      </c>
      <c r="C708" s="30">
        <f t="shared" si="20"/>
        <v>28000</v>
      </c>
      <c r="D708" s="30">
        <f>VLOOKUP(A708,'Database Claims'!$A:$C,2,)</f>
        <v>3912000</v>
      </c>
      <c r="E708" s="30">
        <f t="shared" si="21"/>
        <v>54000</v>
      </c>
    </row>
    <row r="709" spans="1:5" x14ac:dyDescent="0.2">
      <c r="A709" s="29">
        <v>29407</v>
      </c>
      <c r="B709" s="26">
        <f>VLOOKUP(A709,'Database Claims'!$A:$C,3,)</f>
        <v>579000</v>
      </c>
      <c r="C709" s="30">
        <f t="shared" si="20"/>
        <v>-48000</v>
      </c>
      <c r="D709" s="26">
        <f>VLOOKUP(A709,'Database Claims'!$A:$C,2,)</f>
        <v>3823000</v>
      </c>
      <c r="E709" s="30">
        <f t="shared" si="21"/>
        <v>-89000</v>
      </c>
    </row>
    <row r="710" spans="1:5" x14ac:dyDescent="0.2">
      <c r="A710" s="29">
        <v>29414</v>
      </c>
      <c r="B710" s="30">
        <f>VLOOKUP(A710,'Database Claims'!$A:$C,3,)</f>
        <v>533000</v>
      </c>
      <c r="C710" s="30">
        <f t="shared" ref="C710:C773" si="22">B710-B709</f>
        <v>-46000</v>
      </c>
      <c r="D710" s="30">
        <f>VLOOKUP(A710,'Database Claims'!$A:$C,2,)</f>
        <v>3836000</v>
      </c>
      <c r="E710" s="30">
        <f t="shared" ref="E710:E773" si="23">D710-D709</f>
        <v>13000</v>
      </c>
    </row>
    <row r="711" spans="1:5" x14ac:dyDescent="0.2">
      <c r="A711" s="29">
        <v>29421</v>
      </c>
      <c r="B711" s="26">
        <f>VLOOKUP(A711,'Database Claims'!$A:$C,3,)</f>
        <v>567000</v>
      </c>
      <c r="C711" s="30">
        <f t="shared" si="22"/>
        <v>34000</v>
      </c>
      <c r="D711" s="26">
        <f>VLOOKUP(A711,'Database Claims'!$A:$C,2,)</f>
        <v>3872000</v>
      </c>
      <c r="E711" s="30">
        <f t="shared" si="23"/>
        <v>36000</v>
      </c>
    </row>
    <row r="712" spans="1:5" x14ac:dyDescent="0.2">
      <c r="A712" s="29">
        <v>29428</v>
      </c>
      <c r="B712" s="30">
        <f>VLOOKUP(A712,'Database Claims'!$A:$C,3,)</f>
        <v>558000</v>
      </c>
      <c r="C712" s="30">
        <f t="shared" si="22"/>
        <v>-9000</v>
      </c>
      <c r="D712" s="30">
        <f>VLOOKUP(A712,'Database Claims'!$A:$C,2,)</f>
        <v>3851000</v>
      </c>
      <c r="E712" s="30">
        <f t="shared" si="23"/>
        <v>-21000</v>
      </c>
    </row>
    <row r="713" spans="1:5" x14ac:dyDescent="0.2">
      <c r="A713" s="29">
        <v>29435</v>
      </c>
      <c r="B713" s="26">
        <f>VLOOKUP(A713,'Database Claims'!$A:$C,3,)</f>
        <v>569000</v>
      </c>
      <c r="C713" s="30">
        <f t="shared" si="22"/>
        <v>11000</v>
      </c>
      <c r="D713" s="26">
        <f>VLOOKUP(A713,'Database Claims'!$A:$C,2,)</f>
        <v>3789000</v>
      </c>
      <c r="E713" s="30">
        <f t="shared" si="23"/>
        <v>-62000</v>
      </c>
    </row>
    <row r="714" spans="1:5" x14ac:dyDescent="0.2">
      <c r="A714" s="29">
        <v>29442</v>
      </c>
      <c r="B714" s="30">
        <f>VLOOKUP(A714,'Database Claims'!$A:$C,3,)</f>
        <v>533000</v>
      </c>
      <c r="C714" s="30">
        <f t="shared" si="22"/>
        <v>-36000</v>
      </c>
      <c r="D714" s="30">
        <f>VLOOKUP(A714,'Database Claims'!$A:$C,2,)</f>
        <v>3862000</v>
      </c>
      <c r="E714" s="30">
        <f t="shared" si="23"/>
        <v>73000</v>
      </c>
    </row>
    <row r="715" spans="1:5" x14ac:dyDescent="0.2">
      <c r="A715" s="29">
        <v>29449</v>
      </c>
      <c r="B715" s="26">
        <f>VLOOKUP(A715,'Database Claims'!$A:$C,3,)</f>
        <v>525000</v>
      </c>
      <c r="C715" s="30">
        <f t="shared" si="22"/>
        <v>-8000</v>
      </c>
      <c r="D715" s="26">
        <f>VLOOKUP(A715,'Database Claims'!$A:$C,2,)</f>
        <v>3813000</v>
      </c>
      <c r="E715" s="30">
        <f t="shared" si="23"/>
        <v>-49000</v>
      </c>
    </row>
    <row r="716" spans="1:5" x14ac:dyDescent="0.2">
      <c r="A716" s="29">
        <v>29456</v>
      </c>
      <c r="B716" s="30">
        <f>VLOOKUP(A716,'Database Claims'!$A:$C,3,)</f>
        <v>512000</v>
      </c>
      <c r="C716" s="30">
        <f t="shared" si="22"/>
        <v>-13000</v>
      </c>
      <c r="D716" s="30">
        <f>VLOOKUP(A716,'Database Claims'!$A:$C,2,)</f>
        <v>3754000</v>
      </c>
      <c r="E716" s="30">
        <f t="shared" si="23"/>
        <v>-59000</v>
      </c>
    </row>
    <row r="717" spans="1:5" x14ac:dyDescent="0.2">
      <c r="A717" s="29">
        <v>29463</v>
      </c>
      <c r="B717" s="26">
        <f>VLOOKUP(A717,'Database Claims'!$A:$C,3,)</f>
        <v>502000</v>
      </c>
      <c r="C717" s="30">
        <f t="shared" si="22"/>
        <v>-10000</v>
      </c>
      <c r="D717" s="26">
        <f>VLOOKUP(A717,'Database Claims'!$A:$C,2,)</f>
        <v>3808000</v>
      </c>
      <c r="E717" s="30">
        <f t="shared" si="23"/>
        <v>54000</v>
      </c>
    </row>
    <row r="718" spans="1:5" x14ac:dyDescent="0.2">
      <c r="A718" s="29">
        <v>29470</v>
      </c>
      <c r="B718" s="30">
        <f>VLOOKUP(A718,'Database Claims'!$A:$C,3,)</f>
        <v>511000</v>
      </c>
      <c r="C718" s="30">
        <f t="shared" si="22"/>
        <v>9000</v>
      </c>
      <c r="D718" s="30">
        <f>VLOOKUP(A718,'Database Claims'!$A:$C,2,)</f>
        <v>3698000</v>
      </c>
      <c r="E718" s="30">
        <f t="shared" si="23"/>
        <v>-110000</v>
      </c>
    </row>
    <row r="719" spans="1:5" x14ac:dyDescent="0.2">
      <c r="A719" s="29">
        <v>29477</v>
      </c>
      <c r="B719" s="26">
        <f>VLOOKUP(A719,'Database Claims'!$A:$C,3,)</f>
        <v>492000</v>
      </c>
      <c r="C719" s="30">
        <f t="shared" si="22"/>
        <v>-19000</v>
      </c>
      <c r="D719" s="26">
        <f>VLOOKUP(A719,'Database Claims'!$A:$C,2,)</f>
        <v>3699000</v>
      </c>
      <c r="E719" s="30">
        <f t="shared" si="23"/>
        <v>1000</v>
      </c>
    </row>
    <row r="720" spans="1:5" x14ac:dyDescent="0.2">
      <c r="A720" s="29">
        <v>29484</v>
      </c>
      <c r="B720" s="30">
        <f>VLOOKUP(A720,'Database Claims'!$A:$C,3,)</f>
        <v>465000</v>
      </c>
      <c r="C720" s="30">
        <f t="shared" si="22"/>
        <v>-27000</v>
      </c>
      <c r="D720" s="30">
        <f>VLOOKUP(A720,'Database Claims'!$A:$C,2,)</f>
        <v>3698000</v>
      </c>
      <c r="E720" s="30">
        <f t="shared" si="23"/>
        <v>-1000</v>
      </c>
    </row>
    <row r="721" spans="1:5" x14ac:dyDescent="0.2">
      <c r="A721" s="29">
        <v>29491</v>
      </c>
      <c r="B721" s="26">
        <f>VLOOKUP(A721,'Database Claims'!$A:$C,3,)</f>
        <v>463000</v>
      </c>
      <c r="C721" s="30">
        <f t="shared" si="22"/>
        <v>-2000</v>
      </c>
      <c r="D721" s="26">
        <f>VLOOKUP(A721,'Database Claims'!$A:$C,2,)</f>
        <v>3679000</v>
      </c>
      <c r="E721" s="30">
        <f t="shared" si="23"/>
        <v>-19000</v>
      </c>
    </row>
    <row r="722" spans="1:5" x14ac:dyDescent="0.2">
      <c r="A722" s="29">
        <v>29498</v>
      </c>
      <c r="B722" s="30">
        <f>VLOOKUP(A722,'Database Claims'!$A:$C,3,)</f>
        <v>462000</v>
      </c>
      <c r="C722" s="30">
        <f t="shared" si="22"/>
        <v>-1000</v>
      </c>
      <c r="D722" s="30">
        <f>VLOOKUP(A722,'Database Claims'!$A:$C,2,)</f>
        <v>3672000</v>
      </c>
      <c r="E722" s="30">
        <f t="shared" si="23"/>
        <v>-7000</v>
      </c>
    </row>
    <row r="723" spans="1:5" x14ac:dyDescent="0.2">
      <c r="A723" s="29">
        <v>29505</v>
      </c>
      <c r="B723" s="26">
        <f>VLOOKUP(A723,'Database Claims'!$A:$C,3,)</f>
        <v>447000</v>
      </c>
      <c r="C723" s="30">
        <f t="shared" si="22"/>
        <v>-15000</v>
      </c>
      <c r="D723" s="26">
        <f>VLOOKUP(A723,'Database Claims'!$A:$C,2,)</f>
        <v>3549000</v>
      </c>
      <c r="E723" s="30">
        <f t="shared" si="23"/>
        <v>-123000</v>
      </c>
    </row>
    <row r="724" spans="1:5" x14ac:dyDescent="0.2">
      <c r="A724" s="29">
        <v>29512</v>
      </c>
      <c r="B724" s="30">
        <f>VLOOKUP(A724,'Database Claims'!$A:$C,3,)</f>
        <v>425000</v>
      </c>
      <c r="C724" s="30">
        <f t="shared" si="22"/>
        <v>-22000</v>
      </c>
      <c r="D724" s="30">
        <f>VLOOKUP(A724,'Database Claims'!$A:$C,2,)</f>
        <v>3477000</v>
      </c>
      <c r="E724" s="30">
        <f t="shared" si="23"/>
        <v>-72000</v>
      </c>
    </row>
    <row r="725" spans="1:5" x14ac:dyDescent="0.2">
      <c r="A725" s="29">
        <v>29519</v>
      </c>
      <c r="B725" s="26">
        <f>VLOOKUP(A725,'Database Claims'!$A:$C,3,)</f>
        <v>418000</v>
      </c>
      <c r="C725" s="30">
        <f t="shared" si="22"/>
        <v>-7000</v>
      </c>
      <c r="D725" s="26">
        <f>VLOOKUP(A725,'Database Claims'!$A:$C,2,)</f>
        <v>3527000</v>
      </c>
      <c r="E725" s="30">
        <f t="shared" si="23"/>
        <v>50000</v>
      </c>
    </row>
    <row r="726" spans="1:5" x14ac:dyDescent="0.2">
      <c r="A726" s="29">
        <v>29526</v>
      </c>
      <c r="B726" s="30">
        <f>VLOOKUP(A726,'Database Claims'!$A:$C,3,)</f>
        <v>419000</v>
      </c>
      <c r="C726" s="30">
        <f t="shared" si="22"/>
        <v>1000</v>
      </c>
      <c r="D726" s="30">
        <f>VLOOKUP(A726,'Database Claims'!$A:$C,2,)</f>
        <v>3391000</v>
      </c>
      <c r="E726" s="30">
        <f t="shared" si="23"/>
        <v>-136000</v>
      </c>
    </row>
    <row r="727" spans="1:5" x14ac:dyDescent="0.2">
      <c r="A727" s="29">
        <v>29533</v>
      </c>
      <c r="B727" s="26">
        <f>VLOOKUP(A727,'Database Claims'!$A:$C,3,)</f>
        <v>407000</v>
      </c>
      <c r="C727" s="30">
        <f t="shared" si="22"/>
        <v>-12000</v>
      </c>
      <c r="D727" s="26">
        <f>VLOOKUP(A727,'Database Claims'!$A:$C,2,)</f>
        <v>3380000</v>
      </c>
      <c r="E727" s="30">
        <f t="shared" si="23"/>
        <v>-11000</v>
      </c>
    </row>
    <row r="728" spans="1:5" x14ac:dyDescent="0.2">
      <c r="A728" s="29">
        <v>29540</v>
      </c>
      <c r="B728" s="30">
        <f>VLOOKUP(A728,'Database Claims'!$A:$C,3,)</f>
        <v>427000</v>
      </c>
      <c r="C728" s="30">
        <f t="shared" si="22"/>
        <v>20000</v>
      </c>
      <c r="D728" s="30">
        <f>VLOOKUP(A728,'Database Claims'!$A:$C,2,)</f>
        <v>3260000</v>
      </c>
      <c r="E728" s="30">
        <f t="shared" si="23"/>
        <v>-120000</v>
      </c>
    </row>
    <row r="729" spans="1:5" x14ac:dyDescent="0.2">
      <c r="A729" s="29">
        <v>29547</v>
      </c>
      <c r="B729" s="26">
        <f>VLOOKUP(A729,'Database Claims'!$A:$C,3,)</f>
        <v>398000</v>
      </c>
      <c r="C729" s="30">
        <f t="shared" si="22"/>
        <v>-29000</v>
      </c>
      <c r="D729" s="26">
        <f>VLOOKUP(A729,'Database Claims'!$A:$C,2,)</f>
        <v>3303000</v>
      </c>
      <c r="E729" s="30">
        <f t="shared" si="23"/>
        <v>43000</v>
      </c>
    </row>
    <row r="730" spans="1:5" x14ac:dyDescent="0.2">
      <c r="A730" s="29">
        <v>29554</v>
      </c>
      <c r="B730" s="30">
        <f>VLOOKUP(A730,'Database Claims'!$A:$C,3,)</f>
        <v>412000</v>
      </c>
      <c r="C730" s="30">
        <f t="shared" si="22"/>
        <v>14000</v>
      </c>
      <c r="D730" s="30">
        <f>VLOOKUP(A730,'Database Claims'!$A:$C,2,)</f>
        <v>3169000</v>
      </c>
      <c r="E730" s="30">
        <f t="shared" si="23"/>
        <v>-134000</v>
      </c>
    </row>
    <row r="731" spans="1:5" x14ac:dyDescent="0.2">
      <c r="A731" s="29">
        <v>29561</v>
      </c>
      <c r="B731" s="26">
        <f>VLOOKUP(A731,'Database Claims'!$A:$C,3,)</f>
        <v>416000</v>
      </c>
      <c r="C731" s="30">
        <f t="shared" si="22"/>
        <v>4000</v>
      </c>
      <c r="D731" s="26">
        <f>VLOOKUP(A731,'Database Claims'!$A:$C,2,)</f>
        <v>3185000</v>
      </c>
      <c r="E731" s="30">
        <f t="shared" si="23"/>
        <v>16000</v>
      </c>
    </row>
    <row r="732" spans="1:5" x14ac:dyDescent="0.2">
      <c r="A732" s="29">
        <v>29568</v>
      </c>
      <c r="B732" s="30">
        <f>VLOOKUP(A732,'Database Claims'!$A:$C,3,)</f>
        <v>413000</v>
      </c>
      <c r="C732" s="30">
        <f t="shared" si="22"/>
        <v>-3000</v>
      </c>
      <c r="D732" s="30">
        <f>VLOOKUP(A732,'Database Claims'!$A:$C,2,)</f>
        <v>3125000</v>
      </c>
      <c r="E732" s="30">
        <f t="shared" si="23"/>
        <v>-60000</v>
      </c>
    </row>
    <row r="733" spans="1:5" x14ac:dyDescent="0.2">
      <c r="A733" s="29">
        <v>29575</v>
      </c>
      <c r="B733" s="26">
        <f>VLOOKUP(A733,'Database Claims'!$A:$C,3,)</f>
        <v>412000</v>
      </c>
      <c r="C733" s="30">
        <f t="shared" si="22"/>
        <v>-1000</v>
      </c>
      <c r="D733" s="26">
        <f>VLOOKUP(A733,'Database Claims'!$A:$C,2,)</f>
        <v>3056000</v>
      </c>
      <c r="E733" s="30">
        <f t="shared" si="23"/>
        <v>-69000</v>
      </c>
    </row>
    <row r="734" spans="1:5" x14ac:dyDescent="0.2">
      <c r="A734" s="29">
        <v>29582</v>
      </c>
      <c r="B734" s="30">
        <f>VLOOKUP(A734,'Database Claims'!$A:$C,3,)</f>
        <v>399000</v>
      </c>
      <c r="C734" s="30">
        <f t="shared" si="22"/>
        <v>-13000</v>
      </c>
      <c r="D734" s="30">
        <f>VLOOKUP(A734,'Database Claims'!$A:$C,2,)</f>
        <v>3136000</v>
      </c>
      <c r="E734" s="30">
        <f t="shared" si="23"/>
        <v>80000</v>
      </c>
    </row>
    <row r="735" spans="1:5" x14ac:dyDescent="0.2">
      <c r="A735" s="29">
        <v>29589</v>
      </c>
      <c r="B735" s="26">
        <f>VLOOKUP(A735,'Database Claims'!$A:$C,3,)</f>
        <v>410000</v>
      </c>
      <c r="C735" s="30">
        <f t="shared" si="22"/>
        <v>11000</v>
      </c>
      <c r="D735" s="26">
        <f>VLOOKUP(A735,'Database Claims'!$A:$C,2,)</f>
        <v>3123000</v>
      </c>
      <c r="E735" s="30">
        <f t="shared" si="23"/>
        <v>-13000</v>
      </c>
    </row>
    <row r="736" spans="1:5" x14ac:dyDescent="0.2">
      <c r="A736" s="29">
        <v>29596</v>
      </c>
      <c r="B736" s="30">
        <f>VLOOKUP(A736,'Database Claims'!$A:$C,3,)</f>
        <v>419000</v>
      </c>
      <c r="C736" s="30">
        <f t="shared" si="22"/>
        <v>9000</v>
      </c>
      <c r="D736" s="30">
        <f>VLOOKUP(A736,'Database Claims'!$A:$C,2,)</f>
        <v>3082000</v>
      </c>
      <c r="E736" s="30">
        <f t="shared" si="23"/>
        <v>-41000</v>
      </c>
    </row>
    <row r="737" spans="1:5" x14ac:dyDescent="0.2">
      <c r="A737" s="29">
        <v>29603</v>
      </c>
      <c r="B737" s="26">
        <f>VLOOKUP(A737,'Database Claims'!$A:$C,3,)</f>
        <v>421000</v>
      </c>
      <c r="C737" s="30">
        <f t="shared" si="22"/>
        <v>2000</v>
      </c>
      <c r="D737" s="26">
        <f>VLOOKUP(A737,'Database Claims'!$A:$C,2,)</f>
        <v>3023000</v>
      </c>
      <c r="E737" s="30">
        <f t="shared" si="23"/>
        <v>-59000</v>
      </c>
    </row>
    <row r="738" spans="1:5" x14ac:dyDescent="0.2">
      <c r="A738" s="29">
        <v>29610</v>
      </c>
      <c r="B738" s="30">
        <f>VLOOKUP(A738,'Database Claims'!$A:$C,3,)</f>
        <v>396000</v>
      </c>
      <c r="C738" s="30">
        <f t="shared" si="22"/>
        <v>-25000</v>
      </c>
      <c r="D738" s="30">
        <f>VLOOKUP(A738,'Database Claims'!$A:$C,2,)</f>
        <v>2988000</v>
      </c>
      <c r="E738" s="30">
        <f t="shared" si="23"/>
        <v>-35000</v>
      </c>
    </row>
    <row r="739" spans="1:5" x14ac:dyDescent="0.2">
      <c r="A739" s="29">
        <v>29617</v>
      </c>
      <c r="B739" s="26">
        <f>VLOOKUP(A739,'Database Claims'!$A:$C,3,)</f>
        <v>419000</v>
      </c>
      <c r="C739" s="30">
        <f t="shared" si="22"/>
        <v>23000</v>
      </c>
      <c r="D739" s="26">
        <f>VLOOKUP(A739,'Database Claims'!$A:$C,2,)</f>
        <v>2975000</v>
      </c>
      <c r="E739" s="30">
        <f t="shared" si="23"/>
        <v>-13000</v>
      </c>
    </row>
    <row r="740" spans="1:5" x14ac:dyDescent="0.2">
      <c r="A740" s="29">
        <v>29624</v>
      </c>
      <c r="B740" s="30">
        <f>VLOOKUP(A740,'Database Claims'!$A:$C,3,)</f>
        <v>420000</v>
      </c>
      <c r="C740" s="30">
        <f t="shared" si="22"/>
        <v>1000</v>
      </c>
      <c r="D740" s="30">
        <f>VLOOKUP(A740,'Database Claims'!$A:$C,2,)</f>
        <v>2945000</v>
      </c>
      <c r="E740" s="30">
        <f t="shared" si="23"/>
        <v>-30000</v>
      </c>
    </row>
    <row r="741" spans="1:5" x14ac:dyDescent="0.2">
      <c r="A741" s="29">
        <v>29631</v>
      </c>
      <c r="B741" s="26">
        <f>VLOOKUP(A741,'Database Claims'!$A:$C,3,)</f>
        <v>423000</v>
      </c>
      <c r="C741" s="30">
        <f t="shared" si="22"/>
        <v>3000</v>
      </c>
      <c r="D741" s="26">
        <f>VLOOKUP(A741,'Database Claims'!$A:$C,2,)</f>
        <v>3043000</v>
      </c>
      <c r="E741" s="30">
        <f t="shared" si="23"/>
        <v>98000</v>
      </c>
    </row>
    <row r="742" spans="1:5" x14ac:dyDescent="0.2">
      <c r="A742" s="29">
        <v>29638</v>
      </c>
      <c r="B742" s="30">
        <f>VLOOKUP(A742,'Database Claims'!$A:$C,3,)</f>
        <v>438000</v>
      </c>
      <c r="C742" s="30">
        <f t="shared" si="22"/>
        <v>15000</v>
      </c>
      <c r="D742" s="30">
        <f>VLOOKUP(A742,'Database Claims'!$A:$C,2,)</f>
        <v>3023000</v>
      </c>
      <c r="E742" s="30">
        <f t="shared" si="23"/>
        <v>-20000</v>
      </c>
    </row>
    <row r="743" spans="1:5" x14ac:dyDescent="0.2">
      <c r="A743" s="29">
        <v>29645</v>
      </c>
      <c r="B743" s="26">
        <f>VLOOKUP(A743,'Database Claims'!$A:$C,3,)</f>
        <v>434000</v>
      </c>
      <c r="C743" s="30">
        <f t="shared" si="22"/>
        <v>-4000</v>
      </c>
      <c r="D743" s="26">
        <f>VLOOKUP(A743,'Database Claims'!$A:$C,2,)</f>
        <v>2901000</v>
      </c>
      <c r="E743" s="30">
        <f t="shared" si="23"/>
        <v>-122000</v>
      </c>
    </row>
    <row r="744" spans="1:5" x14ac:dyDescent="0.2">
      <c r="A744" s="29">
        <v>29652</v>
      </c>
      <c r="B744" s="30">
        <f>VLOOKUP(A744,'Database Claims'!$A:$C,3,)</f>
        <v>409000</v>
      </c>
      <c r="C744" s="30">
        <f t="shared" si="22"/>
        <v>-25000</v>
      </c>
      <c r="D744" s="30">
        <f>VLOOKUP(A744,'Database Claims'!$A:$C,2,)</f>
        <v>2931000</v>
      </c>
      <c r="E744" s="30">
        <f t="shared" si="23"/>
        <v>30000</v>
      </c>
    </row>
    <row r="745" spans="1:5" x14ac:dyDescent="0.2">
      <c r="A745" s="29">
        <v>29659</v>
      </c>
      <c r="B745" s="26">
        <f>VLOOKUP(A745,'Database Claims'!$A:$C,3,)</f>
        <v>408000</v>
      </c>
      <c r="C745" s="30">
        <f t="shared" si="22"/>
        <v>-1000</v>
      </c>
      <c r="D745" s="26">
        <f>VLOOKUP(A745,'Database Claims'!$A:$C,2,)</f>
        <v>2905000</v>
      </c>
      <c r="E745" s="30">
        <f t="shared" si="23"/>
        <v>-26000</v>
      </c>
    </row>
    <row r="746" spans="1:5" x14ac:dyDescent="0.2">
      <c r="A746" s="29">
        <v>29666</v>
      </c>
      <c r="B746" s="30">
        <f>VLOOKUP(A746,'Database Claims'!$A:$C,3,)</f>
        <v>401000</v>
      </c>
      <c r="C746" s="30">
        <f t="shared" si="22"/>
        <v>-7000</v>
      </c>
      <c r="D746" s="30">
        <f>VLOOKUP(A746,'Database Claims'!$A:$C,2,)</f>
        <v>2885000</v>
      </c>
      <c r="E746" s="30">
        <f t="shared" si="23"/>
        <v>-20000</v>
      </c>
    </row>
    <row r="747" spans="1:5" x14ac:dyDescent="0.2">
      <c r="A747" s="29">
        <v>29673</v>
      </c>
      <c r="B747" s="26">
        <f>VLOOKUP(A747,'Database Claims'!$A:$C,3,)</f>
        <v>412000</v>
      </c>
      <c r="C747" s="30">
        <f t="shared" si="22"/>
        <v>11000</v>
      </c>
      <c r="D747" s="26">
        <f>VLOOKUP(A747,'Database Claims'!$A:$C,2,)</f>
        <v>2876000</v>
      </c>
      <c r="E747" s="30">
        <f t="shared" si="23"/>
        <v>-9000</v>
      </c>
    </row>
    <row r="748" spans="1:5" x14ac:dyDescent="0.2">
      <c r="A748" s="29">
        <v>29680</v>
      </c>
      <c r="B748" s="30">
        <f>VLOOKUP(A748,'Database Claims'!$A:$C,3,)</f>
        <v>417000</v>
      </c>
      <c r="C748" s="30">
        <f t="shared" si="22"/>
        <v>5000</v>
      </c>
      <c r="D748" s="30">
        <f>VLOOKUP(A748,'Database Claims'!$A:$C,2,)</f>
        <v>2875000</v>
      </c>
      <c r="E748" s="30">
        <f t="shared" si="23"/>
        <v>-1000</v>
      </c>
    </row>
    <row r="749" spans="1:5" x14ac:dyDescent="0.2">
      <c r="A749" s="29">
        <v>29687</v>
      </c>
      <c r="B749" s="26">
        <f>VLOOKUP(A749,'Database Claims'!$A:$C,3,)</f>
        <v>396000</v>
      </c>
      <c r="C749" s="30">
        <f t="shared" si="22"/>
        <v>-21000</v>
      </c>
      <c r="D749" s="26">
        <f>VLOOKUP(A749,'Database Claims'!$A:$C,2,)</f>
        <v>2800000</v>
      </c>
      <c r="E749" s="30">
        <f t="shared" si="23"/>
        <v>-75000</v>
      </c>
    </row>
    <row r="750" spans="1:5" x14ac:dyDescent="0.2">
      <c r="A750" s="29">
        <v>29694</v>
      </c>
      <c r="B750" s="30">
        <f>VLOOKUP(A750,'Database Claims'!$A:$C,3,)</f>
        <v>392000</v>
      </c>
      <c r="C750" s="30">
        <f t="shared" si="22"/>
        <v>-4000</v>
      </c>
      <c r="D750" s="30">
        <f>VLOOKUP(A750,'Database Claims'!$A:$C,2,)</f>
        <v>2860000</v>
      </c>
      <c r="E750" s="30">
        <f t="shared" si="23"/>
        <v>60000</v>
      </c>
    </row>
    <row r="751" spans="1:5" x14ac:dyDescent="0.2">
      <c r="A751" s="29">
        <v>29701</v>
      </c>
      <c r="B751" s="26">
        <f>VLOOKUP(A751,'Database Claims'!$A:$C,3,)</f>
        <v>436000</v>
      </c>
      <c r="C751" s="30">
        <f t="shared" si="22"/>
        <v>44000</v>
      </c>
      <c r="D751" s="26">
        <f>VLOOKUP(A751,'Database Claims'!$A:$C,2,)</f>
        <v>2893000</v>
      </c>
      <c r="E751" s="30">
        <f t="shared" si="23"/>
        <v>33000</v>
      </c>
    </row>
    <row r="752" spans="1:5" x14ac:dyDescent="0.2">
      <c r="A752" s="29">
        <v>29708</v>
      </c>
      <c r="B752" s="30">
        <f>VLOOKUP(A752,'Database Claims'!$A:$C,3,)</f>
        <v>413000</v>
      </c>
      <c r="C752" s="30">
        <f t="shared" si="22"/>
        <v>-23000</v>
      </c>
      <c r="D752" s="30">
        <f>VLOOKUP(A752,'Database Claims'!$A:$C,2,)</f>
        <v>2944000</v>
      </c>
      <c r="E752" s="30">
        <f t="shared" si="23"/>
        <v>51000</v>
      </c>
    </row>
    <row r="753" spans="1:5" x14ac:dyDescent="0.2">
      <c r="A753" s="29">
        <v>29715</v>
      </c>
      <c r="B753" s="26">
        <f>VLOOKUP(A753,'Database Claims'!$A:$C,3,)</f>
        <v>423000</v>
      </c>
      <c r="C753" s="30">
        <f t="shared" si="22"/>
        <v>10000</v>
      </c>
      <c r="D753" s="26">
        <f>VLOOKUP(A753,'Database Claims'!$A:$C,2,)</f>
        <v>2887000</v>
      </c>
      <c r="E753" s="30">
        <f t="shared" si="23"/>
        <v>-57000</v>
      </c>
    </row>
    <row r="754" spans="1:5" x14ac:dyDescent="0.2">
      <c r="A754" s="29">
        <v>29722</v>
      </c>
      <c r="B754" s="30">
        <f>VLOOKUP(A754,'Database Claims'!$A:$C,3,)</f>
        <v>414000</v>
      </c>
      <c r="C754" s="30">
        <f t="shared" si="22"/>
        <v>-9000</v>
      </c>
      <c r="D754" s="30">
        <f>VLOOKUP(A754,'Database Claims'!$A:$C,2,)</f>
        <v>2865000</v>
      </c>
      <c r="E754" s="30">
        <f t="shared" si="23"/>
        <v>-22000</v>
      </c>
    </row>
    <row r="755" spans="1:5" x14ac:dyDescent="0.2">
      <c r="A755" s="29">
        <v>29729</v>
      </c>
      <c r="B755" s="26">
        <f>VLOOKUP(A755,'Database Claims'!$A:$C,3,)</f>
        <v>415000</v>
      </c>
      <c r="C755" s="30">
        <f t="shared" si="22"/>
        <v>1000</v>
      </c>
      <c r="D755" s="26">
        <f>VLOOKUP(A755,'Database Claims'!$A:$C,2,)</f>
        <v>2862000</v>
      </c>
      <c r="E755" s="30">
        <f t="shared" si="23"/>
        <v>-3000</v>
      </c>
    </row>
    <row r="756" spans="1:5" x14ac:dyDescent="0.2">
      <c r="A756" s="29">
        <v>29736</v>
      </c>
      <c r="B756" s="30">
        <f>VLOOKUP(A756,'Database Claims'!$A:$C,3,)</f>
        <v>417000</v>
      </c>
      <c r="C756" s="30">
        <f t="shared" si="22"/>
        <v>2000</v>
      </c>
      <c r="D756" s="30">
        <f>VLOOKUP(A756,'Database Claims'!$A:$C,2,)</f>
        <v>2962000</v>
      </c>
      <c r="E756" s="30">
        <f t="shared" si="23"/>
        <v>100000</v>
      </c>
    </row>
    <row r="757" spans="1:5" x14ac:dyDescent="0.2">
      <c r="A757" s="29">
        <v>29743</v>
      </c>
      <c r="B757" s="26">
        <f>VLOOKUP(A757,'Database Claims'!$A:$C,3,)</f>
        <v>428000</v>
      </c>
      <c r="C757" s="30">
        <f t="shared" si="22"/>
        <v>11000</v>
      </c>
      <c r="D757" s="26">
        <f>VLOOKUP(A757,'Database Claims'!$A:$C,2,)</f>
        <v>2877000</v>
      </c>
      <c r="E757" s="30">
        <f t="shared" si="23"/>
        <v>-85000</v>
      </c>
    </row>
    <row r="758" spans="1:5" x14ac:dyDescent="0.2">
      <c r="A758" s="29">
        <v>29750</v>
      </c>
      <c r="B758" s="30">
        <f>VLOOKUP(A758,'Database Claims'!$A:$C,3,)</f>
        <v>425000</v>
      </c>
      <c r="C758" s="30">
        <f t="shared" si="22"/>
        <v>-3000</v>
      </c>
      <c r="D758" s="30">
        <f>VLOOKUP(A758,'Database Claims'!$A:$C,2,)</f>
        <v>2867000</v>
      </c>
      <c r="E758" s="30">
        <f t="shared" si="23"/>
        <v>-10000</v>
      </c>
    </row>
    <row r="759" spans="1:5" x14ac:dyDescent="0.2">
      <c r="A759" s="29">
        <v>29757</v>
      </c>
      <c r="B759" s="26">
        <f>VLOOKUP(A759,'Database Claims'!$A:$C,3,)</f>
        <v>435000</v>
      </c>
      <c r="C759" s="30">
        <f t="shared" si="22"/>
        <v>10000</v>
      </c>
      <c r="D759" s="26">
        <f>VLOOKUP(A759,'Database Claims'!$A:$C,2,)</f>
        <v>2886000</v>
      </c>
      <c r="E759" s="30">
        <f t="shared" si="23"/>
        <v>19000</v>
      </c>
    </row>
    <row r="760" spans="1:5" x14ac:dyDescent="0.2">
      <c r="A760" s="29">
        <v>29764</v>
      </c>
      <c r="B760" s="30">
        <f>VLOOKUP(A760,'Database Claims'!$A:$C,3,)</f>
        <v>444000</v>
      </c>
      <c r="C760" s="30">
        <f t="shared" si="22"/>
        <v>9000</v>
      </c>
      <c r="D760" s="30">
        <f>VLOOKUP(A760,'Database Claims'!$A:$C,2,)</f>
        <v>2983000</v>
      </c>
      <c r="E760" s="30">
        <f t="shared" si="23"/>
        <v>97000</v>
      </c>
    </row>
    <row r="761" spans="1:5" x14ac:dyDescent="0.2">
      <c r="A761" s="29">
        <v>29771</v>
      </c>
      <c r="B761" s="26">
        <f>VLOOKUP(A761,'Database Claims'!$A:$C,3,)</f>
        <v>460000</v>
      </c>
      <c r="C761" s="30">
        <f t="shared" si="22"/>
        <v>16000</v>
      </c>
      <c r="D761" s="26">
        <f>VLOOKUP(A761,'Database Claims'!$A:$C,2,)</f>
        <v>2886000</v>
      </c>
      <c r="E761" s="30">
        <f t="shared" si="23"/>
        <v>-97000</v>
      </c>
    </row>
    <row r="762" spans="1:5" x14ac:dyDescent="0.2">
      <c r="A762" s="29">
        <v>29778</v>
      </c>
      <c r="B762" s="30">
        <f>VLOOKUP(A762,'Database Claims'!$A:$C,3,)</f>
        <v>426000</v>
      </c>
      <c r="C762" s="30">
        <f t="shared" si="22"/>
        <v>-34000</v>
      </c>
      <c r="D762" s="30">
        <f>VLOOKUP(A762,'Database Claims'!$A:$C,2,)</f>
        <v>2845000</v>
      </c>
      <c r="E762" s="30">
        <f t="shared" si="23"/>
        <v>-41000</v>
      </c>
    </row>
    <row r="763" spans="1:5" x14ac:dyDescent="0.2">
      <c r="A763" s="29">
        <v>29785</v>
      </c>
      <c r="B763" s="26">
        <f>VLOOKUP(A763,'Database Claims'!$A:$C,3,)</f>
        <v>430000</v>
      </c>
      <c r="C763" s="30">
        <f t="shared" si="22"/>
        <v>4000</v>
      </c>
      <c r="D763" s="26">
        <f>VLOOKUP(A763,'Database Claims'!$A:$C,2,)</f>
        <v>2902000</v>
      </c>
      <c r="E763" s="30">
        <f t="shared" si="23"/>
        <v>57000</v>
      </c>
    </row>
    <row r="764" spans="1:5" x14ac:dyDescent="0.2">
      <c r="A764" s="29">
        <v>29792</v>
      </c>
      <c r="B764" s="30">
        <f>VLOOKUP(A764,'Database Claims'!$A:$C,3,)</f>
        <v>407000</v>
      </c>
      <c r="C764" s="30">
        <f t="shared" si="22"/>
        <v>-23000</v>
      </c>
      <c r="D764" s="30">
        <f>VLOOKUP(A764,'Database Claims'!$A:$C,2,)</f>
        <v>2899000</v>
      </c>
      <c r="E764" s="30">
        <f t="shared" si="23"/>
        <v>-3000</v>
      </c>
    </row>
    <row r="765" spans="1:5" x14ac:dyDescent="0.2">
      <c r="A765" s="29">
        <v>29799</v>
      </c>
      <c r="B765" s="26">
        <f>VLOOKUP(A765,'Database Claims'!$A:$C,3,)</f>
        <v>476000</v>
      </c>
      <c r="C765" s="30">
        <f t="shared" si="22"/>
        <v>69000</v>
      </c>
      <c r="D765" s="26">
        <f>VLOOKUP(A765,'Database Claims'!$A:$C,2,)</f>
        <v>2867000</v>
      </c>
      <c r="E765" s="30">
        <f t="shared" si="23"/>
        <v>-32000</v>
      </c>
    </row>
    <row r="766" spans="1:5" x14ac:dyDescent="0.2">
      <c r="A766" s="29">
        <v>29806</v>
      </c>
      <c r="B766" s="30">
        <f>VLOOKUP(A766,'Database Claims'!$A:$C,3,)</f>
        <v>448000</v>
      </c>
      <c r="C766" s="30">
        <f t="shared" si="22"/>
        <v>-28000</v>
      </c>
      <c r="D766" s="30">
        <f>VLOOKUP(A766,'Database Claims'!$A:$C,2,)</f>
        <v>2998000</v>
      </c>
      <c r="E766" s="30">
        <f t="shared" si="23"/>
        <v>131000</v>
      </c>
    </row>
    <row r="767" spans="1:5" x14ac:dyDescent="0.2">
      <c r="A767" s="29">
        <v>29813</v>
      </c>
      <c r="B767" s="26">
        <f>VLOOKUP(A767,'Database Claims'!$A:$C,3,)</f>
        <v>442000</v>
      </c>
      <c r="C767" s="30">
        <f t="shared" si="22"/>
        <v>-6000</v>
      </c>
      <c r="D767" s="26">
        <f>VLOOKUP(A767,'Database Claims'!$A:$C,2,)</f>
        <v>2966000</v>
      </c>
      <c r="E767" s="30">
        <f t="shared" si="23"/>
        <v>-32000</v>
      </c>
    </row>
    <row r="768" spans="1:5" x14ac:dyDescent="0.2">
      <c r="A768" s="29">
        <v>29820</v>
      </c>
      <c r="B768" s="30">
        <f>VLOOKUP(A768,'Database Claims'!$A:$C,3,)</f>
        <v>434000</v>
      </c>
      <c r="C768" s="30">
        <f t="shared" si="22"/>
        <v>-8000</v>
      </c>
      <c r="D768" s="30">
        <f>VLOOKUP(A768,'Database Claims'!$A:$C,2,)</f>
        <v>2957000</v>
      </c>
      <c r="E768" s="30">
        <f t="shared" si="23"/>
        <v>-9000</v>
      </c>
    </row>
    <row r="769" spans="1:5" x14ac:dyDescent="0.2">
      <c r="A769" s="29">
        <v>29827</v>
      </c>
      <c r="B769" s="26">
        <f>VLOOKUP(A769,'Database Claims'!$A:$C,3,)</f>
        <v>451000</v>
      </c>
      <c r="C769" s="30">
        <f t="shared" si="22"/>
        <v>17000</v>
      </c>
      <c r="D769" s="26">
        <f>VLOOKUP(A769,'Database Claims'!$A:$C,2,)</f>
        <v>2954000</v>
      </c>
      <c r="E769" s="30">
        <f t="shared" si="23"/>
        <v>-3000</v>
      </c>
    </row>
    <row r="770" spans="1:5" x14ac:dyDescent="0.2">
      <c r="A770" s="29">
        <v>29834</v>
      </c>
      <c r="B770" s="30">
        <f>VLOOKUP(A770,'Database Claims'!$A:$C,3,)</f>
        <v>473000</v>
      </c>
      <c r="C770" s="30">
        <f t="shared" si="22"/>
        <v>22000</v>
      </c>
      <c r="D770" s="30">
        <f>VLOOKUP(A770,'Database Claims'!$A:$C,2,)</f>
        <v>2914000</v>
      </c>
      <c r="E770" s="30">
        <f t="shared" si="23"/>
        <v>-40000</v>
      </c>
    </row>
    <row r="771" spans="1:5" x14ac:dyDescent="0.2">
      <c r="A771" s="29">
        <v>29841</v>
      </c>
      <c r="B771" s="26">
        <f>VLOOKUP(A771,'Database Claims'!$A:$C,3,)</f>
        <v>454000</v>
      </c>
      <c r="C771" s="30">
        <f t="shared" si="22"/>
        <v>-19000</v>
      </c>
      <c r="D771" s="26">
        <f>VLOOKUP(A771,'Database Claims'!$A:$C,2,)</f>
        <v>3051000</v>
      </c>
      <c r="E771" s="30">
        <f t="shared" si="23"/>
        <v>137000</v>
      </c>
    </row>
    <row r="772" spans="1:5" x14ac:dyDescent="0.2">
      <c r="A772" s="29">
        <v>29848</v>
      </c>
      <c r="B772" s="30">
        <f>VLOOKUP(A772,'Database Claims'!$A:$C,3,)</f>
        <v>475000</v>
      </c>
      <c r="C772" s="30">
        <f t="shared" si="22"/>
        <v>21000</v>
      </c>
      <c r="D772" s="30">
        <f>VLOOKUP(A772,'Database Claims'!$A:$C,2,)</f>
        <v>3014000</v>
      </c>
      <c r="E772" s="30">
        <f t="shared" si="23"/>
        <v>-37000</v>
      </c>
    </row>
    <row r="773" spans="1:5" x14ac:dyDescent="0.2">
      <c r="A773" s="29">
        <v>29855</v>
      </c>
      <c r="B773" s="26">
        <f>VLOOKUP(A773,'Database Claims'!$A:$C,3,)</f>
        <v>491000</v>
      </c>
      <c r="C773" s="30">
        <f t="shared" si="22"/>
        <v>16000</v>
      </c>
      <c r="D773" s="26">
        <f>VLOOKUP(A773,'Database Claims'!$A:$C,2,)</f>
        <v>3073000</v>
      </c>
      <c r="E773" s="30">
        <f t="shared" si="23"/>
        <v>59000</v>
      </c>
    </row>
    <row r="774" spans="1:5" x14ac:dyDescent="0.2">
      <c r="A774" s="29">
        <v>29862</v>
      </c>
      <c r="B774" s="30">
        <f>VLOOKUP(A774,'Database Claims'!$A:$C,3,)</f>
        <v>489000</v>
      </c>
      <c r="C774" s="30">
        <f t="shared" ref="C774:C837" si="24">B774-B773</f>
        <v>-2000</v>
      </c>
      <c r="D774" s="30">
        <f>VLOOKUP(A774,'Database Claims'!$A:$C,2,)</f>
        <v>3069000</v>
      </c>
      <c r="E774" s="30">
        <f t="shared" ref="E774:E837" si="25">D774-D773</f>
        <v>-4000</v>
      </c>
    </row>
    <row r="775" spans="1:5" x14ac:dyDescent="0.2">
      <c r="A775" s="29">
        <v>29869</v>
      </c>
      <c r="B775" s="26">
        <f>VLOOKUP(A775,'Database Claims'!$A:$C,3,)</f>
        <v>491000</v>
      </c>
      <c r="C775" s="30">
        <f t="shared" si="24"/>
        <v>2000</v>
      </c>
      <c r="D775" s="26">
        <f>VLOOKUP(A775,'Database Claims'!$A:$C,2,)</f>
        <v>3098000</v>
      </c>
      <c r="E775" s="30">
        <f t="shared" si="25"/>
        <v>29000</v>
      </c>
    </row>
    <row r="776" spans="1:5" x14ac:dyDescent="0.2">
      <c r="A776" s="29">
        <v>29876</v>
      </c>
      <c r="B776" s="30">
        <f>VLOOKUP(A776,'Database Claims'!$A:$C,3,)</f>
        <v>487000</v>
      </c>
      <c r="C776" s="30">
        <f t="shared" si="24"/>
        <v>-4000</v>
      </c>
      <c r="D776" s="30">
        <f>VLOOKUP(A776,'Database Claims'!$A:$C,2,)</f>
        <v>3104000</v>
      </c>
      <c r="E776" s="30">
        <f t="shared" si="25"/>
        <v>6000</v>
      </c>
    </row>
    <row r="777" spans="1:5" x14ac:dyDescent="0.2">
      <c r="A777" s="29">
        <v>29883</v>
      </c>
      <c r="B777" s="26">
        <f>VLOOKUP(A777,'Database Claims'!$A:$C,3,)</f>
        <v>483000</v>
      </c>
      <c r="C777" s="30">
        <f t="shared" si="24"/>
        <v>-4000</v>
      </c>
      <c r="D777" s="26">
        <f>VLOOKUP(A777,'Database Claims'!$A:$C,2,)</f>
        <v>3181000</v>
      </c>
      <c r="E777" s="30">
        <f t="shared" si="25"/>
        <v>77000</v>
      </c>
    </row>
    <row r="778" spans="1:5" x14ac:dyDescent="0.2">
      <c r="A778" s="29">
        <v>29890</v>
      </c>
      <c r="B778" s="30">
        <f>VLOOKUP(A778,'Database Claims'!$A:$C,3,)</f>
        <v>514000</v>
      </c>
      <c r="C778" s="30">
        <f t="shared" si="24"/>
        <v>31000</v>
      </c>
      <c r="D778" s="30">
        <f>VLOOKUP(A778,'Database Claims'!$A:$C,2,)</f>
        <v>3183000</v>
      </c>
      <c r="E778" s="30">
        <f t="shared" si="25"/>
        <v>2000</v>
      </c>
    </row>
    <row r="779" spans="1:5" x14ac:dyDescent="0.2">
      <c r="A779" s="29">
        <v>29897</v>
      </c>
      <c r="B779" s="26">
        <f>VLOOKUP(A779,'Database Claims'!$A:$C,3,)</f>
        <v>514000</v>
      </c>
      <c r="C779" s="30">
        <f t="shared" si="24"/>
        <v>0</v>
      </c>
      <c r="D779" s="26">
        <f>VLOOKUP(A779,'Database Claims'!$A:$C,2,)</f>
        <v>3282000</v>
      </c>
      <c r="E779" s="30">
        <f t="shared" si="25"/>
        <v>99000</v>
      </c>
    </row>
    <row r="780" spans="1:5" x14ac:dyDescent="0.2">
      <c r="A780" s="29">
        <v>29904</v>
      </c>
      <c r="B780" s="30">
        <f>VLOOKUP(A780,'Database Claims'!$A:$C,3,)</f>
        <v>517000</v>
      </c>
      <c r="C780" s="30">
        <f t="shared" si="24"/>
        <v>3000</v>
      </c>
      <c r="D780" s="30">
        <f>VLOOKUP(A780,'Database Claims'!$A:$C,2,)</f>
        <v>3291000</v>
      </c>
      <c r="E780" s="30">
        <f t="shared" si="25"/>
        <v>9000</v>
      </c>
    </row>
    <row r="781" spans="1:5" x14ac:dyDescent="0.2">
      <c r="A781" s="29">
        <v>29911</v>
      </c>
      <c r="B781" s="26">
        <f>VLOOKUP(A781,'Database Claims'!$A:$C,3,)</f>
        <v>464000</v>
      </c>
      <c r="C781" s="30">
        <f t="shared" si="24"/>
        <v>-53000</v>
      </c>
      <c r="D781" s="26">
        <f>VLOOKUP(A781,'Database Claims'!$A:$C,2,)</f>
        <v>3416000</v>
      </c>
      <c r="E781" s="30">
        <f t="shared" si="25"/>
        <v>125000</v>
      </c>
    </row>
    <row r="782" spans="1:5" x14ac:dyDescent="0.2">
      <c r="A782" s="29">
        <v>29918</v>
      </c>
      <c r="B782" s="30">
        <f>VLOOKUP(A782,'Database Claims'!$A:$C,3,)</f>
        <v>552000</v>
      </c>
      <c r="C782" s="30">
        <f t="shared" si="24"/>
        <v>88000</v>
      </c>
      <c r="D782" s="30">
        <f>VLOOKUP(A782,'Database Claims'!$A:$C,2,)</f>
        <v>3360000</v>
      </c>
      <c r="E782" s="30">
        <f t="shared" si="25"/>
        <v>-56000</v>
      </c>
    </row>
    <row r="783" spans="1:5" x14ac:dyDescent="0.2">
      <c r="A783" s="29">
        <v>29925</v>
      </c>
      <c r="B783" s="26">
        <f>VLOOKUP(A783,'Database Claims'!$A:$C,3,)</f>
        <v>558000</v>
      </c>
      <c r="C783" s="30">
        <f t="shared" si="24"/>
        <v>6000</v>
      </c>
      <c r="D783" s="26">
        <f>VLOOKUP(A783,'Database Claims'!$A:$C,2,)</f>
        <v>3517000</v>
      </c>
      <c r="E783" s="30">
        <f t="shared" si="25"/>
        <v>157000</v>
      </c>
    </row>
    <row r="784" spans="1:5" x14ac:dyDescent="0.2">
      <c r="A784" s="29">
        <v>29932</v>
      </c>
      <c r="B784" s="30">
        <f>VLOOKUP(A784,'Database Claims'!$A:$C,3,)</f>
        <v>551000</v>
      </c>
      <c r="C784" s="30">
        <f t="shared" si="24"/>
        <v>-7000</v>
      </c>
      <c r="D784" s="30">
        <f>VLOOKUP(A784,'Database Claims'!$A:$C,2,)</f>
        <v>3397000</v>
      </c>
      <c r="E784" s="30">
        <f t="shared" si="25"/>
        <v>-120000</v>
      </c>
    </row>
    <row r="785" spans="1:5" x14ac:dyDescent="0.2">
      <c r="A785" s="29">
        <v>29939</v>
      </c>
      <c r="B785" s="26">
        <f>VLOOKUP(A785,'Database Claims'!$A:$C,3,)</f>
        <v>539000</v>
      </c>
      <c r="C785" s="30">
        <f t="shared" si="24"/>
        <v>-12000</v>
      </c>
      <c r="D785" s="26">
        <f>VLOOKUP(A785,'Database Claims'!$A:$C,2,)</f>
        <v>3551000</v>
      </c>
      <c r="E785" s="30">
        <f t="shared" si="25"/>
        <v>154000</v>
      </c>
    </row>
    <row r="786" spans="1:5" x14ac:dyDescent="0.2">
      <c r="A786" s="29">
        <v>29946</v>
      </c>
      <c r="B786" s="30">
        <f>VLOOKUP(A786,'Database Claims'!$A:$C,3,)</f>
        <v>556000</v>
      </c>
      <c r="C786" s="30">
        <f t="shared" si="24"/>
        <v>17000</v>
      </c>
      <c r="D786" s="30">
        <f>VLOOKUP(A786,'Database Claims'!$A:$C,2,)</f>
        <v>3636000</v>
      </c>
      <c r="E786" s="30">
        <f t="shared" si="25"/>
        <v>85000</v>
      </c>
    </row>
    <row r="787" spans="1:5" x14ac:dyDescent="0.2">
      <c r="A787" s="29">
        <v>29953</v>
      </c>
      <c r="B787" s="26">
        <f>VLOOKUP(A787,'Database Claims'!$A:$C,3,)</f>
        <v>495000</v>
      </c>
      <c r="C787" s="30">
        <f t="shared" si="24"/>
        <v>-61000</v>
      </c>
      <c r="D787" s="26">
        <f>VLOOKUP(A787,'Database Claims'!$A:$C,2,)</f>
        <v>3523000</v>
      </c>
      <c r="E787" s="30">
        <f t="shared" si="25"/>
        <v>-113000</v>
      </c>
    </row>
    <row r="788" spans="1:5" x14ac:dyDescent="0.2">
      <c r="A788" s="29">
        <v>29960</v>
      </c>
      <c r="B788" s="30">
        <f>VLOOKUP(A788,'Database Claims'!$A:$C,3,)</f>
        <v>545000</v>
      </c>
      <c r="C788" s="30">
        <f t="shared" si="24"/>
        <v>50000</v>
      </c>
      <c r="D788" s="30">
        <f>VLOOKUP(A788,'Database Claims'!$A:$C,2,)</f>
        <v>3398000</v>
      </c>
      <c r="E788" s="30">
        <f t="shared" si="25"/>
        <v>-125000</v>
      </c>
    </row>
    <row r="789" spans="1:5" x14ac:dyDescent="0.2">
      <c r="A789" s="29">
        <v>29967</v>
      </c>
      <c r="B789" s="26">
        <f>VLOOKUP(A789,'Database Claims'!$A:$C,3,)</f>
        <v>489000</v>
      </c>
      <c r="C789" s="30">
        <f t="shared" si="24"/>
        <v>-56000</v>
      </c>
      <c r="D789" s="26">
        <f>VLOOKUP(A789,'Database Claims'!$A:$C,2,)</f>
        <v>3624000</v>
      </c>
      <c r="E789" s="30">
        <f t="shared" si="25"/>
        <v>226000</v>
      </c>
    </row>
    <row r="790" spans="1:5" x14ac:dyDescent="0.2">
      <c r="A790" s="29">
        <v>29974</v>
      </c>
      <c r="B790" s="30">
        <f>VLOOKUP(A790,'Database Claims'!$A:$C,3,)</f>
        <v>564000</v>
      </c>
      <c r="C790" s="30">
        <f t="shared" si="24"/>
        <v>75000</v>
      </c>
      <c r="D790" s="30">
        <f>VLOOKUP(A790,'Database Claims'!$A:$C,2,)</f>
        <v>3602000</v>
      </c>
      <c r="E790" s="30">
        <f t="shared" si="25"/>
        <v>-22000</v>
      </c>
    </row>
    <row r="791" spans="1:5" x14ac:dyDescent="0.2">
      <c r="A791" s="29">
        <v>29981</v>
      </c>
      <c r="B791" s="26">
        <f>VLOOKUP(A791,'Database Claims'!$A:$C,3,)</f>
        <v>583000</v>
      </c>
      <c r="C791" s="30">
        <f t="shared" si="24"/>
        <v>19000</v>
      </c>
      <c r="D791" s="26">
        <f>VLOOKUP(A791,'Database Claims'!$A:$C,2,)</f>
        <v>3521000</v>
      </c>
      <c r="E791" s="30">
        <f t="shared" si="25"/>
        <v>-81000</v>
      </c>
    </row>
    <row r="792" spans="1:5" x14ac:dyDescent="0.2">
      <c r="A792" s="29">
        <v>29988</v>
      </c>
      <c r="B792" s="30">
        <f>VLOOKUP(A792,'Database Claims'!$A:$C,3,)</f>
        <v>556000</v>
      </c>
      <c r="C792" s="30">
        <f t="shared" si="24"/>
        <v>-27000</v>
      </c>
      <c r="D792" s="30">
        <f>VLOOKUP(A792,'Database Claims'!$A:$C,2,)</f>
        <v>3617000</v>
      </c>
      <c r="E792" s="30">
        <f t="shared" si="25"/>
        <v>96000</v>
      </c>
    </row>
    <row r="793" spans="1:5" x14ac:dyDescent="0.2">
      <c r="A793" s="29">
        <v>29995</v>
      </c>
      <c r="B793" s="26">
        <f>VLOOKUP(A793,'Database Claims'!$A:$C,3,)</f>
        <v>507000</v>
      </c>
      <c r="C793" s="30">
        <f t="shared" si="24"/>
        <v>-49000</v>
      </c>
      <c r="D793" s="26">
        <f>VLOOKUP(A793,'Database Claims'!$A:$C,2,)</f>
        <v>3490000</v>
      </c>
      <c r="E793" s="30">
        <f t="shared" si="25"/>
        <v>-127000</v>
      </c>
    </row>
    <row r="794" spans="1:5" x14ac:dyDescent="0.2">
      <c r="A794" s="29">
        <v>30002</v>
      </c>
      <c r="B794" s="30">
        <f>VLOOKUP(A794,'Database Claims'!$A:$C,3,)</f>
        <v>544000</v>
      </c>
      <c r="C794" s="30">
        <f t="shared" si="24"/>
        <v>37000</v>
      </c>
      <c r="D794" s="30">
        <f>VLOOKUP(A794,'Database Claims'!$A:$C,2,)</f>
        <v>3562000</v>
      </c>
      <c r="E794" s="30">
        <f t="shared" si="25"/>
        <v>72000</v>
      </c>
    </row>
    <row r="795" spans="1:5" x14ac:dyDescent="0.2">
      <c r="A795" s="29">
        <v>30009</v>
      </c>
      <c r="B795" s="26">
        <f>VLOOKUP(A795,'Database Claims'!$A:$C,3,)</f>
        <v>528000</v>
      </c>
      <c r="C795" s="30">
        <f t="shared" si="24"/>
        <v>-16000</v>
      </c>
      <c r="D795" s="26">
        <f>VLOOKUP(A795,'Database Claims'!$A:$C,2,)</f>
        <v>3553000</v>
      </c>
      <c r="E795" s="30">
        <f t="shared" si="25"/>
        <v>-9000</v>
      </c>
    </row>
    <row r="796" spans="1:5" x14ac:dyDescent="0.2">
      <c r="A796" s="29">
        <v>30016</v>
      </c>
      <c r="B796" s="30">
        <f>VLOOKUP(A796,'Database Claims'!$A:$C,3,)</f>
        <v>556000</v>
      </c>
      <c r="C796" s="30">
        <f t="shared" si="24"/>
        <v>28000</v>
      </c>
      <c r="D796" s="30">
        <f>VLOOKUP(A796,'Database Claims'!$A:$C,2,)</f>
        <v>3619000</v>
      </c>
      <c r="E796" s="30">
        <f t="shared" si="25"/>
        <v>66000</v>
      </c>
    </row>
    <row r="797" spans="1:5" x14ac:dyDescent="0.2">
      <c r="A797" s="29">
        <v>30023</v>
      </c>
      <c r="B797" s="26">
        <f>VLOOKUP(A797,'Database Claims'!$A:$C,3,)</f>
        <v>539000</v>
      </c>
      <c r="C797" s="30">
        <f t="shared" si="24"/>
        <v>-17000</v>
      </c>
      <c r="D797" s="26">
        <f>VLOOKUP(A797,'Database Claims'!$A:$C,2,)</f>
        <v>3605000</v>
      </c>
      <c r="E797" s="30">
        <f t="shared" si="25"/>
        <v>-14000</v>
      </c>
    </row>
    <row r="798" spans="1:5" x14ac:dyDescent="0.2">
      <c r="A798" s="29">
        <v>30030</v>
      </c>
      <c r="B798" s="30">
        <f>VLOOKUP(A798,'Database Claims'!$A:$C,3,)</f>
        <v>557000</v>
      </c>
      <c r="C798" s="30">
        <f t="shared" si="24"/>
        <v>18000</v>
      </c>
      <c r="D798" s="30">
        <f>VLOOKUP(A798,'Database Claims'!$A:$C,2,)</f>
        <v>3684000</v>
      </c>
      <c r="E798" s="30">
        <f t="shared" si="25"/>
        <v>79000</v>
      </c>
    </row>
    <row r="799" spans="1:5" x14ac:dyDescent="0.2">
      <c r="A799" s="29">
        <v>30037</v>
      </c>
      <c r="B799" s="26">
        <f>VLOOKUP(A799,'Database Claims'!$A:$C,3,)</f>
        <v>574000</v>
      </c>
      <c r="C799" s="30">
        <f t="shared" si="24"/>
        <v>17000</v>
      </c>
      <c r="D799" s="26">
        <f>VLOOKUP(A799,'Database Claims'!$A:$C,2,)</f>
        <v>3714000</v>
      </c>
      <c r="E799" s="30">
        <f t="shared" si="25"/>
        <v>30000</v>
      </c>
    </row>
    <row r="800" spans="1:5" x14ac:dyDescent="0.2">
      <c r="A800" s="29">
        <v>30044</v>
      </c>
      <c r="B800" s="30">
        <f>VLOOKUP(A800,'Database Claims'!$A:$C,3,)</f>
        <v>578000</v>
      </c>
      <c r="C800" s="30">
        <f t="shared" si="24"/>
        <v>4000</v>
      </c>
      <c r="D800" s="30">
        <f>VLOOKUP(A800,'Database Claims'!$A:$C,2,)</f>
        <v>3720000</v>
      </c>
      <c r="E800" s="30">
        <f t="shared" si="25"/>
        <v>6000</v>
      </c>
    </row>
    <row r="801" spans="1:5" x14ac:dyDescent="0.2">
      <c r="A801" s="29">
        <v>30051</v>
      </c>
      <c r="B801" s="26">
        <f>VLOOKUP(A801,'Database Claims'!$A:$C,3,)</f>
        <v>585000</v>
      </c>
      <c r="C801" s="30">
        <f t="shared" si="24"/>
        <v>7000</v>
      </c>
      <c r="D801" s="26">
        <f>VLOOKUP(A801,'Database Claims'!$A:$C,2,)</f>
        <v>3841000</v>
      </c>
      <c r="E801" s="30">
        <f t="shared" si="25"/>
        <v>121000</v>
      </c>
    </row>
    <row r="802" spans="1:5" x14ac:dyDescent="0.2">
      <c r="A802" s="29">
        <v>30058</v>
      </c>
      <c r="B802" s="30">
        <f>VLOOKUP(A802,'Database Claims'!$A:$C,3,)</f>
        <v>597000</v>
      </c>
      <c r="C802" s="30">
        <f t="shared" si="24"/>
        <v>12000</v>
      </c>
      <c r="D802" s="30">
        <f>VLOOKUP(A802,'Database Claims'!$A:$C,2,)</f>
        <v>3967000</v>
      </c>
      <c r="E802" s="30">
        <f t="shared" si="25"/>
        <v>126000</v>
      </c>
    </row>
    <row r="803" spans="1:5" x14ac:dyDescent="0.2">
      <c r="A803" s="29">
        <v>30065</v>
      </c>
      <c r="B803" s="26">
        <f>VLOOKUP(A803,'Database Claims'!$A:$C,3,)</f>
        <v>588000</v>
      </c>
      <c r="C803" s="30">
        <f t="shared" si="24"/>
        <v>-9000</v>
      </c>
      <c r="D803" s="26">
        <f>VLOOKUP(A803,'Database Claims'!$A:$C,2,)</f>
        <v>3930000</v>
      </c>
      <c r="E803" s="30">
        <f t="shared" si="25"/>
        <v>-37000</v>
      </c>
    </row>
    <row r="804" spans="1:5" x14ac:dyDescent="0.2">
      <c r="A804" s="29">
        <v>30072</v>
      </c>
      <c r="B804" s="30">
        <f>VLOOKUP(A804,'Database Claims'!$A:$C,3,)</f>
        <v>576000</v>
      </c>
      <c r="C804" s="30">
        <f t="shared" si="24"/>
        <v>-12000</v>
      </c>
      <c r="D804" s="30">
        <f>VLOOKUP(A804,'Database Claims'!$A:$C,2,)</f>
        <v>3960000</v>
      </c>
      <c r="E804" s="30">
        <f t="shared" si="25"/>
        <v>30000</v>
      </c>
    </row>
    <row r="805" spans="1:5" x14ac:dyDescent="0.2">
      <c r="A805" s="29">
        <v>30079</v>
      </c>
      <c r="B805" s="26">
        <f>VLOOKUP(A805,'Database Claims'!$A:$C,3,)</f>
        <v>584000</v>
      </c>
      <c r="C805" s="30">
        <f t="shared" si="24"/>
        <v>8000</v>
      </c>
      <c r="D805" s="26">
        <f>VLOOKUP(A805,'Database Claims'!$A:$C,2,)</f>
        <v>3972000</v>
      </c>
      <c r="E805" s="30">
        <f t="shared" si="25"/>
        <v>12000</v>
      </c>
    </row>
    <row r="806" spans="1:5" x14ac:dyDescent="0.2">
      <c r="A806" s="29">
        <v>30086</v>
      </c>
      <c r="B806" s="30">
        <f>VLOOKUP(A806,'Database Claims'!$A:$C,3,)</f>
        <v>585000</v>
      </c>
      <c r="C806" s="30">
        <f t="shared" si="24"/>
        <v>1000</v>
      </c>
      <c r="D806" s="30">
        <f>VLOOKUP(A806,'Database Claims'!$A:$C,2,)</f>
        <v>3968000</v>
      </c>
      <c r="E806" s="30">
        <f t="shared" si="25"/>
        <v>-4000</v>
      </c>
    </row>
    <row r="807" spans="1:5" x14ac:dyDescent="0.2">
      <c r="A807" s="29">
        <v>30093</v>
      </c>
      <c r="B807" s="26">
        <f>VLOOKUP(A807,'Database Claims'!$A:$C,3,)</f>
        <v>586000</v>
      </c>
      <c r="C807" s="30">
        <f t="shared" si="24"/>
        <v>1000</v>
      </c>
      <c r="D807" s="26">
        <f>VLOOKUP(A807,'Database Claims'!$A:$C,2,)</f>
        <v>4103000</v>
      </c>
      <c r="E807" s="30">
        <f t="shared" si="25"/>
        <v>135000</v>
      </c>
    </row>
    <row r="808" spans="1:5" x14ac:dyDescent="0.2">
      <c r="A808" s="29">
        <v>30100</v>
      </c>
      <c r="B808" s="30">
        <f>VLOOKUP(A808,'Database Claims'!$A:$C,3,)</f>
        <v>588000</v>
      </c>
      <c r="C808" s="30">
        <f t="shared" si="24"/>
        <v>2000</v>
      </c>
      <c r="D808" s="30">
        <f>VLOOKUP(A808,'Database Claims'!$A:$C,2,)</f>
        <v>3956000</v>
      </c>
      <c r="E808" s="30">
        <f t="shared" si="25"/>
        <v>-147000</v>
      </c>
    </row>
    <row r="809" spans="1:5" x14ac:dyDescent="0.2">
      <c r="A809" s="29">
        <v>30107</v>
      </c>
      <c r="B809" s="26">
        <f>VLOOKUP(A809,'Database Claims'!$A:$C,3,)</f>
        <v>611000</v>
      </c>
      <c r="C809" s="30">
        <f t="shared" si="24"/>
        <v>23000</v>
      </c>
      <c r="D809" s="26">
        <f>VLOOKUP(A809,'Database Claims'!$A:$C,2,)</f>
        <v>4094000</v>
      </c>
      <c r="E809" s="30">
        <f t="shared" si="25"/>
        <v>138000</v>
      </c>
    </row>
    <row r="810" spans="1:5" x14ac:dyDescent="0.2">
      <c r="A810" s="29">
        <v>30114</v>
      </c>
      <c r="B810" s="30">
        <f>VLOOKUP(A810,'Database Claims'!$A:$C,3,)</f>
        <v>614000</v>
      </c>
      <c r="C810" s="30">
        <f t="shared" si="24"/>
        <v>3000</v>
      </c>
      <c r="D810" s="30">
        <f>VLOOKUP(A810,'Database Claims'!$A:$C,2,)</f>
        <v>4121000</v>
      </c>
      <c r="E810" s="30">
        <f t="shared" si="25"/>
        <v>27000</v>
      </c>
    </row>
    <row r="811" spans="1:5" x14ac:dyDescent="0.2">
      <c r="A811" s="29">
        <v>30121</v>
      </c>
      <c r="B811" s="26">
        <f>VLOOKUP(A811,'Database Claims'!$A:$C,3,)</f>
        <v>591000</v>
      </c>
      <c r="C811" s="30">
        <f t="shared" si="24"/>
        <v>-23000</v>
      </c>
      <c r="D811" s="26">
        <f>VLOOKUP(A811,'Database Claims'!$A:$C,2,)</f>
        <v>4105000</v>
      </c>
      <c r="E811" s="30">
        <f t="shared" si="25"/>
        <v>-16000</v>
      </c>
    </row>
    <row r="812" spans="1:5" x14ac:dyDescent="0.2">
      <c r="A812" s="29">
        <v>30128</v>
      </c>
      <c r="B812" s="30">
        <f>VLOOKUP(A812,'Database Claims'!$A:$C,3,)</f>
        <v>582000</v>
      </c>
      <c r="C812" s="30">
        <f t="shared" si="24"/>
        <v>-9000</v>
      </c>
      <c r="D812" s="30">
        <f>VLOOKUP(A812,'Database Claims'!$A:$C,2,)</f>
        <v>4057000</v>
      </c>
      <c r="E812" s="30">
        <f t="shared" si="25"/>
        <v>-48000</v>
      </c>
    </row>
    <row r="813" spans="1:5" x14ac:dyDescent="0.2">
      <c r="A813" s="29">
        <v>30135</v>
      </c>
      <c r="B813" s="26">
        <f>VLOOKUP(A813,'Database Claims'!$A:$C,3,)</f>
        <v>600000</v>
      </c>
      <c r="C813" s="30">
        <f t="shared" si="24"/>
        <v>18000</v>
      </c>
      <c r="D813" s="26">
        <f>VLOOKUP(A813,'Database Claims'!$A:$C,2,)</f>
        <v>4139000</v>
      </c>
      <c r="E813" s="30">
        <f t="shared" si="25"/>
        <v>82000</v>
      </c>
    </row>
    <row r="814" spans="1:5" x14ac:dyDescent="0.2">
      <c r="A814" s="29">
        <v>30142</v>
      </c>
      <c r="B814" s="30">
        <f>VLOOKUP(A814,'Database Claims'!$A:$C,3,)</f>
        <v>572000</v>
      </c>
      <c r="C814" s="30">
        <f t="shared" si="24"/>
        <v>-28000</v>
      </c>
      <c r="D814" s="30">
        <f>VLOOKUP(A814,'Database Claims'!$A:$C,2,)</f>
        <v>4025000</v>
      </c>
      <c r="E814" s="30">
        <f t="shared" si="25"/>
        <v>-114000</v>
      </c>
    </row>
    <row r="815" spans="1:5" x14ac:dyDescent="0.2">
      <c r="A815" s="29">
        <v>30149</v>
      </c>
      <c r="B815" s="26">
        <f>VLOOKUP(A815,'Database Claims'!$A:$C,3,)</f>
        <v>567000</v>
      </c>
      <c r="C815" s="30">
        <f t="shared" si="24"/>
        <v>-5000</v>
      </c>
      <c r="D815" s="26">
        <f>VLOOKUP(A815,'Database Claims'!$A:$C,2,)</f>
        <v>4148000</v>
      </c>
      <c r="E815" s="30">
        <f t="shared" si="25"/>
        <v>123000</v>
      </c>
    </row>
    <row r="816" spans="1:5" x14ac:dyDescent="0.2">
      <c r="A816" s="29">
        <v>30156</v>
      </c>
      <c r="B816" s="30">
        <f>VLOOKUP(A816,'Database Claims'!$A:$C,3,)</f>
        <v>536000</v>
      </c>
      <c r="C816" s="30">
        <f t="shared" si="24"/>
        <v>-31000</v>
      </c>
      <c r="D816" s="30">
        <f>VLOOKUP(A816,'Database Claims'!$A:$C,2,)</f>
        <v>4155000</v>
      </c>
      <c r="E816" s="30">
        <f t="shared" si="25"/>
        <v>7000</v>
      </c>
    </row>
    <row r="817" spans="1:5" x14ac:dyDescent="0.2">
      <c r="A817" s="29">
        <v>30163</v>
      </c>
      <c r="B817" s="26">
        <f>VLOOKUP(A817,'Database Claims'!$A:$C,3,)</f>
        <v>605000</v>
      </c>
      <c r="C817" s="30">
        <f t="shared" si="24"/>
        <v>69000</v>
      </c>
      <c r="D817" s="26">
        <f>VLOOKUP(A817,'Database Claims'!$A:$C,2,)</f>
        <v>4040000</v>
      </c>
      <c r="E817" s="30">
        <f t="shared" si="25"/>
        <v>-115000</v>
      </c>
    </row>
    <row r="818" spans="1:5" x14ac:dyDescent="0.2">
      <c r="A818" s="29">
        <v>30170</v>
      </c>
      <c r="B818" s="30">
        <f>VLOOKUP(A818,'Database Claims'!$A:$C,3,)</f>
        <v>606000</v>
      </c>
      <c r="C818" s="30">
        <f t="shared" si="24"/>
        <v>1000</v>
      </c>
      <c r="D818" s="30">
        <f>VLOOKUP(A818,'Database Claims'!$A:$C,2,)</f>
        <v>4191000</v>
      </c>
      <c r="E818" s="30">
        <f t="shared" si="25"/>
        <v>151000</v>
      </c>
    </row>
    <row r="819" spans="1:5" x14ac:dyDescent="0.2">
      <c r="A819" s="29">
        <v>30177</v>
      </c>
      <c r="B819" s="26">
        <f>VLOOKUP(A819,'Database Claims'!$A:$C,3,)</f>
        <v>637000</v>
      </c>
      <c r="C819" s="30">
        <f t="shared" si="24"/>
        <v>31000</v>
      </c>
      <c r="D819" s="26">
        <f>VLOOKUP(A819,'Database Claims'!$A:$C,2,)</f>
        <v>4234000</v>
      </c>
      <c r="E819" s="30">
        <f t="shared" si="25"/>
        <v>43000</v>
      </c>
    </row>
    <row r="820" spans="1:5" x14ac:dyDescent="0.2">
      <c r="A820" s="29">
        <v>30184</v>
      </c>
      <c r="B820" s="30">
        <f>VLOOKUP(A820,'Database Claims'!$A:$C,3,)</f>
        <v>628000</v>
      </c>
      <c r="C820" s="30">
        <f t="shared" si="24"/>
        <v>-9000</v>
      </c>
      <c r="D820" s="30">
        <f>VLOOKUP(A820,'Database Claims'!$A:$C,2,)</f>
        <v>4300000</v>
      </c>
      <c r="E820" s="30">
        <f t="shared" si="25"/>
        <v>66000</v>
      </c>
    </row>
    <row r="821" spans="1:5" x14ac:dyDescent="0.2">
      <c r="A821" s="29">
        <v>30191</v>
      </c>
      <c r="B821" s="26">
        <f>VLOOKUP(A821,'Database Claims'!$A:$C,3,)</f>
        <v>647000</v>
      </c>
      <c r="C821" s="30">
        <f t="shared" si="24"/>
        <v>19000</v>
      </c>
      <c r="D821" s="26">
        <f>VLOOKUP(A821,'Database Claims'!$A:$C,2,)</f>
        <v>4316000</v>
      </c>
      <c r="E821" s="30">
        <f t="shared" si="25"/>
        <v>16000</v>
      </c>
    </row>
    <row r="822" spans="1:5" x14ac:dyDescent="0.2">
      <c r="A822" s="29">
        <v>30198</v>
      </c>
      <c r="B822" s="30">
        <f>VLOOKUP(A822,'Database Claims'!$A:$C,3,)</f>
        <v>651000</v>
      </c>
      <c r="C822" s="30">
        <f t="shared" si="24"/>
        <v>4000</v>
      </c>
      <c r="D822" s="30">
        <f>VLOOKUP(A822,'Database Claims'!$A:$C,2,)</f>
        <v>4356000</v>
      </c>
      <c r="E822" s="30">
        <f t="shared" si="25"/>
        <v>40000</v>
      </c>
    </row>
    <row r="823" spans="1:5" x14ac:dyDescent="0.2">
      <c r="A823" s="29">
        <v>30205</v>
      </c>
      <c r="B823" s="26">
        <f>VLOOKUP(A823,'Database Claims'!$A:$C,3,)</f>
        <v>641000</v>
      </c>
      <c r="C823" s="30">
        <f t="shared" si="24"/>
        <v>-10000</v>
      </c>
      <c r="D823" s="26">
        <f>VLOOKUP(A823,'Database Claims'!$A:$C,2,)</f>
        <v>4445000</v>
      </c>
      <c r="E823" s="30">
        <f t="shared" si="25"/>
        <v>89000</v>
      </c>
    </row>
    <row r="824" spans="1:5" x14ac:dyDescent="0.2">
      <c r="A824" s="29">
        <v>30212</v>
      </c>
      <c r="B824" s="30">
        <f>VLOOKUP(A824,'Database Claims'!$A:$C,3,)</f>
        <v>680000</v>
      </c>
      <c r="C824" s="30">
        <f t="shared" si="24"/>
        <v>39000</v>
      </c>
      <c r="D824" s="30">
        <f>VLOOKUP(A824,'Database Claims'!$A:$C,2,)</f>
        <v>4468000</v>
      </c>
      <c r="E824" s="30">
        <f t="shared" si="25"/>
        <v>23000</v>
      </c>
    </row>
    <row r="825" spans="1:5" x14ac:dyDescent="0.2">
      <c r="A825" s="29">
        <v>30219</v>
      </c>
      <c r="B825" s="26">
        <f>VLOOKUP(A825,'Database Claims'!$A:$C,3,)</f>
        <v>671000</v>
      </c>
      <c r="C825" s="30">
        <f t="shared" si="24"/>
        <v>-9000</v>
      </c>
      <c r="D825" s="26">
        <f>VLOOKUP(A825,'Database Claims'!$A:$C,2,)</f>
        <v>4542000</v>
      </c>
      <c r="E825" s="30">
        <f t="shared" si="25"/>
        <v>74000</v>
      </c>
    </row>
    <row r="826" spans="1:5" x14ac:dyDescent="0.2">
      <c r="A826" s="29">
        <v>30226</v>
      </c>
      <c r="B826" s="30">
        <f>VLOOKUP(A826,'Database Claims'!$A:$C,3,)</f>
        <v>695000</v>
      </c>
      <c r="C826" s="30">
        <f t="shared" si="24"/>
        <v>24000</v>
      </c>
      <c r="D826" s="30">
        <f>VLOOKUP(A826,'Database Claims'!$A:$C,2,)</f>
        <v>4629000</v>
      </c>
      <c r="E826" s="30">
        <f t="shared" si="25"/>
        <v>87000</v>
      </c>
    </row>
    <row r="827" spans="1:5" x14ac:dyDescent="0.2">
      <c r="A827" s="29">
        <v>30233</v>
      </c>
      <c r="B827" s="26">
        <f>VLOOKUP(A827,'Database Claims'!$A:$C,3,)</f>
        <v>651000</v>
      </c>
      <c r="C827" s="30">
        <f t="shared" si="24"/>
        <v>-44000</v>
      </c>
      <c r="D827" s="26">
        <f>VLOOKUP(A827,'Database Claims'!$A:$C,2,)</f>
        <v>4689000</v>
      </c>
      <c r="E827" s="30">
        <f t="shared" si="25"/>
        <v>60000</v>
      </c>
    </row>
    <row r="828" spans="1:5" x14ac:dyDescent="0.2">
      <c r="A828" s="29">
        <v>30240</v>
      </c>
      <c r="B828" s="30">
        <f>VLOOKUP(A828,'Database Claims'!$A:$C,3,)</f>
        <v>656000</v>
      </c>
      <c r="C828" s="30">
        <f t="shared" si="24"/>
        <v>5000</v>
      </c>
      <c r="D828" s="30">
        <f>VLOOKUP(A828,'Database Claims'!$A:$C,2,)</f>
        <v>4599000</v>
      </c>
      <c r="E828" s="30">
        <f t="shared" si="25"/>
        <v>-90000</v>
      </c>
    </row>
    <row r="829" spans="1:5" x14ac:dyDescent="0.2">
      <c r="A829" s="29">
        <v>30247</v>
      </c>
      <c r="B829" s="26">
        <f>VLOOKUP(A829,'Database Claims'!$A:$C,3,)</f>
        <v>623000</v>
      </c>
      <c r="C829" s="30">
        <f t="shared" si="24"/>
        <v>-33000</v>
      </c>
      <c r="D829" s="26">
        <f>VLOOKUP(A829,'Database Claims'!$A:$C,2,)</f>
        <v>4686000</v>
      </c>
      <c r="E829" s="30">
        <f t="shared" si="25"/>
        <v>87000</v>
      </c>
    </row>
    <row r="830" spans="1:5" x14ac:dyDescent="0.2">
      <c r="A830" s="29">
        <v>30254</v>
      </c>
      <c r="B830" s="30">
        <f>VLOOKUP(A830,'Database Claims'!$A:$C,3,)</f>
        <v>637000</v>
      </c>
      <c r="C830" s="30">
        <f t="shared" si="24"/>
        <v>14000</v>
      </c>
      <c r="D830" s="30">
        <f>VLOOKUP(A830,'Database Claims'!$A:$C,2,)</f>
        <v>4595000</v>
      </c>
      <c r="E830" s="30">
        <f t="shared" si="25"/>
        <v>-91000</v>
      </c>
    </row>
    <row r="831" spans="1:5" x14ac:dyDescent="0.2">
      <c r="A831" s="29">
        <v>30261</v>
      </c>
      <c r="B831" s="26">
        <f>VLOOKUP(A831,'Database Claims'!$A:$C,3,)</f>
        <v>589000</v>
      </c>
      <c r="C831" s="30">
        <f t="shared" si="24"/>
        <v>-48000</v>
      </c>
      <c r="D831" s="26">
        <f>VLOOKUP(A831,'Database Claims'!$A:$C,2,)</f>
        <v>4713000</v>
      </c>
      <c r="E831" s="30">
        <f t="shared" si="25"/>
        <v>118000</v>
      </c>
    </row>
    <row r="832" spans="1:5" x14ac:dyDescent="0.2">
      <c r="A832" s="29">
        <v>30268</v>
      </c>
      <c r="B832" s="30">
        <f>VLOOKUP(A832,'Database Claims'!$A:$C,3,)</f>
        <v>599000</v>
      </c>
      <c r="C832" s="30">
        <f t="shared" si="24"/>
        <v>10000</v>
      </c>
      <c r="D832" s="30">
        <f>VLOOKUP(A832,'Database Claims'!$A:$C,2,)</f>
        <v>4554000</v>
      </c>
      <c r="E832" s="30">
        <f t="shared" si="25"/>
        <v>-159000</v>
      </c>
    </row>
    <row r="833" spans="1:5" x14ac:dyDescent="0.2">
      <c r="A833" s="29">
        <v>30275</v>
      </c>
      <c r="B833" s="26">
        <f>VLOOKUP(A833,'Database Claims'!$A:$C,3,)</f>
        <v>577000</v>
      </c>
      <c r="C833" s="30">
        <f t="shared" si="24"/>
        <v>-22000</v>
      </c>
      <c r="D833" s="26">
        <f>VLOOKUP(A833,'Database Claims'!$A:$C,2,)</f>
        <v>4695000</v>
      </c>
      <c r="E833" s="30">
        <f t="shared" si="25"/>
        <v>141000</v>
      </c>
    </row>
    <row r="834" spans="1:5" x14ac:dyDescent="0.2">
      <c r="A834" s="29">
        <v>30282</v>
      </c>
      <c r="B834" s="30">
        <f>VLOOKUP(A834,'Database Claims'!$A:$C,3,)</f>
        <v>612000</v>
      </c>
      <c r="C834" s="30">
        <f t="shared" si="24"/>
        <v>35000</v>
      </c>
      <c r="D834" s="30">
        <f>VLOOKUP(A834,'Database Claims'!$A:$C,2,)</f>
        <v>4442000</v>
      </c>
      <c r="E834" s="30">
        <f t="shared" si="25"/>
        <v>-253000</v>
      </c>
    </row>
    <row r="835" spans="1:5" x14ac:dyDescent="0.2">
      <c r="A835" s="29">
        <v>30289</v>
      </c>
      <c r="B835" s="26">
        <f>VLOOKUP(A835,'Database Claims'!$A:$C,3,)</f>
        <v>557000</v>
      </c>
      <c r="C835" s="30">
        <f t="shared" si="24"/>
        <v>-55000</v>
      </c>
      <c r="D835" s="26">
        <f>VLOOKUP(A835,'Database Claims'!$A:$C,2,)</f>
        <v>4509000</v>
      </c>
      <c r="E835" s="30">
        <f t="shared" si="25"/>
        <v>67000</v>
      </c>
    </row>
    <row r="836" spans="1:5" x14ac:dyDescent="0.2">
      <c r="A836" s="29">
        <v>30296</v>
      </c>
      <c r="B836" s="30">
        <f>VLOOKUP(A836,'Database Claims'!$A:$C,3,)</f>
        <v>533000</v>
      </c>
      <c r="C836" s="30">
        <f t="shared" si="24"/>
        <v>-24000</v>
      </c>
      <c r="D836" s="30">
        <f>VLOOKUP(A836,'Database Claims'!$A:$C,2,)</f>
        <v>4339000</v>
      </c>
      <c r="E836" s="30">
        <f t="shared" si="25"/>
        <v>-170000</v>
      </c>
    </row>
    <row r="837" spans="1:5" x14ac:dyDescent="0.2">
      <c r="A837" s="29">
        <v>30303</v>
      </c>
      <c r="B837" s="26">
        <f>VLOOKUP(A837,'Database Claims'!$A:$C,3,)</f>
        <v>516000</v>
      </c>
      <c r="C837" s="30">
        <f t="shared" si="24"/>
        <v>-17000</v>
      </c>
      <c r="D837" s="26">
        <f>VLOOKUP(A837,'Database Claims'!$A:$C,2,)</f>
        <v>4371000</v>
      </c>
      <c r="E837" s="30">
        <f t="shared" si="25"/>
        <v>32000</v>
      </c>
    </row>
    <row r="838" spans="1:5" x14ac:dyDescent="0.2">
      <c r="A838" s="29">
        <v>30310</v>
      </c>
      <c r="B838" s="30">
        <f>VLOOKUP(A838,'Database Claims'!$A:$C,3,)</f>
        <v>489000</v>
      </c>
      <c r="C838" s="30">
        <f t="shared" ref="C838:C901" si="26">B838-B837</f>
        <v>-27000</v>
      </c>
      <c r="D838" s="30">
        <f>VLOOKUP(A838,'Database Claims'!$A:$C,2,)</f>
        <v>4381000</v>
      </c>
      <c r="E838" s="30">
        <f t="shared" ref="E838:E901" si="27">D838-D837</f>
        <v>10000</v>
      </c>
    </row>
    <row r="839" spans="1:5" x14ac:dyDescent="0.2">
      <c r="A839" s="29">
        <v>30317</v>
      </c>
      <c r="B839" s="26">
        <f>VLOOKUP(A839,'Database Claims'!$A:$C,3,)</f>
        <v>534000</v>
      </c>
      <c r="C839" s="30">
        <f t="shared" si="26"/>
        <v>45000</v>
      </c>
      <c r="D839" s="26">
        <f>VLOOKUP(A839,'Database Claims'!$A:$C,2,)</f>
        <v>4010000</v>
      </c>
      <c r="E839" s="30">
        <f t="shared" si="27"/>
        <v>-371000</v>
      </c>
    </row>
    <row r="840" spans="1:5" x14ac:dyDescent="0.2">
      <c r="A840" s="29">
        <v>30324</v>
      </c>
      <c r="B840" s="30">
        <f>VLOOKUP(A840,'Database Claims'!$A:$C,3,)</f>
        <v>510000</v>
      </c>
      <c r="C840" s="30">
        <f t="shared" si="26"/>
        <v>-24000</v>
      </c>
      <c r="D840" s="30">
        <f>VLOOKUP(A840,'Database Claims'!$A:$C,2,)</f>
        <v>3885000</v>
      </c>
      <c r="E840" s="30">
        <f t="shared" si="27"/>
        <v>-125000</v>
      </c>
    </row>
    <row r="841" spans="1:5" x14ac:dyDescent="0.2">
      <c r="A841" s="29">
        <v>30331</v>
      </c>
      <c r="B841" s="26">
        <f>VLOOKUP(A841,'Database Claims'!$A:$C,3,)</f>
        <v>479000</v>
      </c>
      <c r="C841" s="30">
        <f t="shared" si="26"/>
        <v>-31000</v>
      </c>
      <c r="D841" s="26">
        <f>VLOOKUP(A841,'Database Claims'!$A:$C,2,)</f>
        <v>3950000</v>
      </c>
      <c r="E841" s="30">
        <f t="shared" si="27"/>
        <v>65000</v>
      </c>
    </row>
    <row r="842" spans="1:5" x14ac:dyDescent="0.2">
      <c r="A842" s="29">
        <v>30338</v>
      </c>
      <c r="B842" s="30">
        <f>VLOOKUP(A842,'Database Claims'!$A:$C,3,)</f>
        <v>479000</v>
      </c>
      <c r="C842" s="30">
        <f t="shared" si="26"/>
        <v>0</v>
      </c>
      <c r="D842" s="30">
        <f>VLOOKUP(A842,'Database Claims'!$A:$C,2,)</f>
        <v>3860000</v>
      </c>
      <c r="E842" s="30">
        <f t="shared" si="27"/>
        <v>-90000</v>
      </c>
    </row>
    <row r="843" spans="1:5" x14ac:dyDescent="0.2">
      <c r="A843" s="29">
        <v>30345</v>
      </c>
      <c r="B843" s="26">
        <f>VLOOKUP(A843,'Database Claims'!$A:$C,3,)</f>
        <v>503000</v>
      </c>
      <c r="C843" s="30">
        <f t="shared" si="26"/>
        <v>24000</v>
      </c>
      <c r="D843" s="26">
        <f>VLOOKUP(A843,'Database Claims'!$A:$C,2,)</f>
        <v>3890000</v>
      </c>
      <c r="E843" s="30">
        <f t="shared" si="27"/>
        <v>30000</v>
      </c>
    </row>
    <row r="844" spans="1:5" x14ac:dyDescent="0.2">
      <c r="A844" s="29">
        <v>30352</v>
      </c>
      <c r="B844" s="30">
        <f>VLOOKUP(A844,'Database Claims'!$A:$C,3,)</f>
        <v>501000</v>
      </c>
      <c r="C844" s="30">
        <f t="shared" si="26"/>
        <v>-2000</v>
      </c>
      <c r="D844" s="30">
        <f>VLOOKUP(A844,'Database Claims'!$A:$C,2,)</f>
        <v>3877000</v>
      </c>
      <c r="E844" s="30">
        <f t="shared" si="27"/>
        <v>-13000</v>
      </c>
    </row>
    <row r="845" spans="1:5" x14ac:dyDescent="0.2">
      <c r="A845" s="29">
        <v>30359</v>
      </c>
      <c r="B845" s="26">
        <f>VLOOKUP(A845,'Database Claims'!$A:$C,3,)</f>
        <v>486000</v>
      </c>
      <c r="C845" s="30">
        <f t="shared" si="26"/>
        <v>-15000</v>
      </c>
      <c r="D845" s="26">
        <f>VLOOKUP(A845,'Database Claims'!$A:$C,2,)</f>
        <v>3865000</v>
      </c>
      <c r="E845" s="30">
        <f t="shared" si="27"/>
        <v>-12000</v>
      </c>
    </row>
    <row r="846" spans="1:5" x14ac:dyDescent="0.2">
      <c r="A846" s="29">
        <v>30366</v>
      </c>
      <c r="B846" s="30">
        <f>VLOOKUP(A846,'Database Claims'!$A:$C,3,)</f>
        <v>487000</v>
      </c>
      <c r="C846" s="30">
        <f t="shared" si="26"/>
        <v>1000</v>
      </c>
      <c r="D846" s="30">
        <f>VLOOKUP(A846,'Database Claims'!$A:$C,2,)</f>
        <v>3819000</v>
      </c>
      <c r="E846" s="30">
        <f t="shared" si="27"/>
        <v>-46000</v>
      </c>
    </row>
    <row r="847" spans="1:5" x14ac:dyDescent="0.2">
      <c r="A847" s="29">
        <v>30373</v>
      </c>
      <c r="B847" s="26">
        <f>VLOOKUP(A847,'Database Claims'!$A:$C,3,)</f>
        <v>481000</v>
      </c>
      <c r="C847" s="30">
        <f t="shared" si="26"/>
        <v>-6000</v>
      </c>
      <c r="D847" s="26">
        <f>VLOOKUP(A847,'Database Claims'!$A:$C,2,)</f>
        <v>3876000</v>
      </c>
      <c r="E847" s="30">
        <f t="shared" si="27"/>
        <v>57000</v>
      </c>
    </row>
    <row r="848" spans="1:5" x14ac:dyDescent="0.2">
      <c r="A848" s="29">
        <v>30380</v>
      </c>
      <c r="B848" s="30">
        <f>VLOOKUP(A848,'Database Claims'!$A:$C,3,)</f>
        <v>495000</v>
      </c>
      <c r="C848" s="30">
        <f t="shared" si="26"/>
        <v>14000</v>
      </c>
      <c r="D848" s="30">
        <f>VLOOKUP(A848,'Database Claims'!$A:$C,2,)</f>
        <v>3797000</v>
      </c>
      <c r="E848" s="30">
        <f t="shared" si="27"/>
        <v>-79000</v>
      </c>
    </row>
    <row r="849" spans="1:5" x14ac:dyDescent="0.2">
      <c r="A849" s="29">
        <v>30387</v>
      </c>
      <c r="B849" s="26">
        <f>VLOOKUP(A849,'Database Claims'!$A:$C,3,)</f>
        <v>475000</v>
      </c>
      <c r="C849" s="30">
        <f t="shared" si="26"/>
        <v>-20000</v>
      </c>
      <c r="D849" s="26">
        <f>VLOOKUP(A849,'Database Claims'!$A:$C,2,)</f>
        <v>3787000</v>
      </c>
      <c r="E849" s="30">
        <f t="shared" si="27"/>
        <v>-10000</v>
      </c>
    </row>
    <row r="850" spans="1:5" x14ac:dyDescent="0.2">
      <c r="A850" s="29">
        <v>30394</v>
      </c>
      <c r="B850" s="30">
        <f>VLOOKUP(A850,'Database Claims'!$A:$C,3,)</f>
        <v>470000</v>
      </c>
      <c r="C850" s="30">
        <f t="shared" si="26"/>
        <v>-5000</v>
      </c>
      <c r="D850" s="30">
        <f>VLOOKUP(A850,'Database Claims'!$A:$C,2,)</f>
        <v>3752000</v>
      </c>
      <c r="E850" s="30">
        <f t="shared" si="27"/>
        <v>-35000</v>
      </c>
    </row>
    <row r="851" spans="1:5" x14ac:dyDescent="0.2">
      <c r="A851" s="29">
        <v>30401</v>
      </c>
      <c r="B851" s="26">
        <f>VLOOKUP(A851,'Database Claims'!$A:$C,3,)</f>
        <v>481000</v>
      </c>
      <c r="C851" s="30">
        <f t="shared" si="26"/>
        <v>11000</v>
      </c>
      <c r="D851" s="26">
        <f>VLOOKUP(A851,'Database Claims'!$A:$C,2,)</f>
        <v>3734000</v>
      </c>
      <c r="E851" s="30">
        <f t="shared" si="27"/>
        <v>-18000</v>
      </c>
    </row>
    <row r="852" spans="1:5" x14ac:dyDescent="0.2">
      <c r="A852" s="29">
        <v>30408</v>
      </c>
      <c r="B852" s="30">
        <f>VLOOKUP(A852,'Database Claims'!$A:$C,3,)</f>
        <v>491000</v>
      </c>
      <c r="C852" s="30">
        <f t="shared" si="26"/>
        <v>10000</v>
      </c>
      <c r="D852" s="30">
        <f>VLOOKUP(A852,'Database Claims'!$A:$C,2,)</f>
        <v>3759000</v>
      </c>
      <c r="E852" s="30">
        <f t="shared" si="27"/>
        <v>25000</v>
      </c>
    </row>
    <row r="853" spans="1:5" x14ac:dyDescent="0.2">
      <c r="A853" s="29">
        <v>30415</v>
      </c>
      <c r="B853" s="26">
        <f>VLOOKUP(A853,'Database Claims'!$A:$C,3,)</f>
        <v>496000</v>
      </c>
      <c r="C853" s="30">
        <f t="shared" si="26"/>
        <v>5000</v>
      </c>
      <c r="D853" s="26">
        <f>VLOOKUP(A853,'Database Claims'!$A:$C,2,)</f>
        <v>3814000</v>
      </c>
      <c r="E853" s="30">
        <f t="shared" si="27"/>
        <v>55000</v>
      </c>
    </row>
    <row r="854" spans="1:5" x14ac:dyDescent="0.2">
      <c r="A854" s="29">
        <v>30422</v>
      </c>
      <c r="B854" s="30">
        <f>VLOOKUP(A854,'Database Claims'!$A:$C,3,)</f>
        <v>515000</v>
      </c>
      <c r="C854" s="30">
        <f t="shared" si="26"/>
        <v>19000</v>
      </c>
      <c r="D854" s="30">
        <f>VLOOKUP(A854,'Database Claims'!$A:$C,2,)</f>
        <v>3744000</v>
      </c>
      <c r="E854" s="30">
        <f t="shared" si="27"/>
        <v>-70000</v>
      </c>
    </row>
    <row r="855" spans="1:5" x14ac:dyDescent="0.2">
      <c r="A855" s="29">
        <v>30429</v>
      </c>
      <c r="B855" s="26">
        <f>VLOOKUP(A855,'Database Claims'!$A:$C,3,)</f>
        <v>488000</v>
      </c>
      <c r="C855" s="30">
        <f t="shared" si="26"/>
        <v>-27000</v>
      </c>
      <c r="D855" s="26">
        <f>VLOOKUP(A855,'Database Claims'!$A:$C,2,)</f>
        <v>3762000</v>
      </c>
      <c r="E855" s="30">
        <f t="shared" si="27"/>
        <v>18000</v>
      </c>
    </row>
    <row r="856" spans="1:5" x14ac:dyDescent="0.2">
      <c r="A856" s="29">
        <v>30436</v>
      </c>
      <c r="B856" s="30">
        <f>VLOOKUP(A856,'Database Claims'!$A:$C,3,)</f>
        <v>490000</v>
      </c>
      <c r="C856" s="30">
        <f t="shared" si="26"/>
        <v>2000</v>
      </c>
      <c r="D856" s="30">
        <f>VLOOKUP(A856,'Database Claims'!$A:$C,2,)</f>
        <v>3722000</v>
      </c>
      <c r="E856" s="30">
        <f t="shared" si="27"/>
        <v>-40000</v>
      </c>
    </row>
    <row r="857" spans="1:5" x14ac:dyDescent="0.2">
      <c r="A857" s="29">
        <v>30443</v>
      </c>
      <c r="B857" s="26">
        <f>VLOOKUP(A857,'Database Claims'!$A:$C,3,)</f>
        <v>494000</v>
      </c>
      <c r="C857" s="30">
        <f t="shared" si="26"/>
        <v>4000</v>
      </c>
      <c r="D857" s="26">
        <f>VLOOKUP(A857,'Database Claims'!$A:$C,2,)</f>
        <v>3714000</v>
      </c>
      <c r="E857" s="30">
        <f t="shared" si="27"/>
        <v>-8000</v>
      </c>
    </row>
    <row r="858" spans="1:5" x14ac:dyDescent="0.2">
      <c r="A858" s="29">
        <v>30450</v>
      </c>
      <c r="B858" s="30">
        <f>VLOOKUP(A858,'Database Claims'!$A:$C,3,)</f>
        <v>464000</v>
      </c>
      <c r="C858" s="30">
        <f t="shared" si="26"/>
        <v>-30000</v>
      </c>
      <c r="D858" s="30">
        <f>VLOOKUP(A858,'Database Claims'!$A:$C,2,)</f>
        <v>3625000</v>
      </c>
      <c r="E858" s="30">
        <f t="shared" si="27"/>
        <v>-89000</v>
      </c>
    </row>
    <row r="859" spans="1:5" x14ac:dyDescent="0.2">
      <c r="A859" s="29">
        <v>30457</v>
      </c>
      <c r="B859" s="26">
        <f>VLOOKUP(A859,'Database Claims'!$A:$C,3,)</f>
        <v>460000</v>
      </c>
      <c r="C859" s="30">
        <f t="shared" si="26"/>
        <v>-4000</v>
      </c>
      <c r="D859" s="26">
        <f>VLOOKUP(A859,'Database Claims'!$A:$C,2,)</f>
        <v>3701000</v>
      </c>
      <c r="E859" s="30">
        <f t="shared" si="27"/>
        <v>76000</v>
      </c>
    </row>
    <row r="860" spans="1:5" x14ac:dyDescent="0.2">
      <c r="A860" s="29">
        <v>30464</v>
      </c>
      <c r="B860" s="30">
        <f>VLOOKUP(A860,'Database Claims'!$A:$C,3,)</f>
        <v>454000</v>
      </c>
      <c r="C860" s="30">
        <f t="shared" si="26"/>
        <v>-6000</v>
      </c>
      <c r="D860" s="30">
        <f>VLOOKUP(A860,'Database Claims'!$A:$C,2,)</f>
        <v>3457000</v>
      </c>
      <c r="E860" s="30">
        <f t="shared" si="27"/>
        <v>-244000</v>
      </c>
    </row>
    <row r="861" spans="1:5" x14ac:dyDescent="0.2">
      <c r="A861" s="29">
        <v>30471</v>
      </c>
      <c r="B861" s="26">
        <f>VLOOKUP(A861,'Database Claims'!$A:$C,3,)</f>
        <v>459000</v>
      </c>
      <c r="C861" s="30">
        <f t="shared" si="26"/>
        <v>5000</v>
      </c>
      <c r="D861" s="26">
        <f>VLOOKUP(A861,'Database Claims'!$A:$C,2,)</f>
        <v>3548000</v>
      </c>
      <c r="E861" s="30">
        <f t="shared" si="27"/>
        <v>91000</v>
      </c>
    </row>
    <row r="862" spans="1:5" x14ac:dyDescent="0.2">
      <c r="A862" s="29">
        <v>30478</v>
      </c>
      <c r="B862" s="30">
        <f>VLOOKUP(A862,'Database Claims'!$A:$C,3,)</f>
        <v>442000</v>
      </c>
      <c r="C862" s="30">
        <f t="shared" si="26"/>
        <v>-17000</v>
      </c>
      <c r="D862" s="30">
        <f>VLOOKUP(A862,'Database Claims'!$A:$C,2,)</f>
        <v>3453000</v>
      </c>
      <c r="E862" s="30">
        <f t="shared" si="27"/>
        <v>-95000</v>
      </c>
    </row>
    <row r="863" spans="1:5" x14ac:dyDescent="0.2">
      <c r="A863" s="29">
        <v>30485</v>
      </c>
      <c r="B863" s="26">
        <f>VLOOKUP(A863,'Database Claims'!$A:$C,3,)</f>
        <v>434000</v>
      </c>
      <c r="C863" s="30">
        <f t="shared" si="26"/>
        <v>-8000</v>
      </c>
      <c r="D863" s="26">
        <f>VLOOKUP(A863,'Database Claims'!$A:$C,2,)</f>
        <v>3452000</v>
      </c>
      <c r="E863" s="30">
        <f t="shared" si="27"/>
        <v>-1000</v>
      </c>
    </row>
    <row r="864" spans="1:5" x14ac:dyDescent="0.2">
      <c r="A864" s="29">
        <v>30492</v>
      </c>
      <c r="B864" s="30">
        <f>VLOOKUP(A864,'Database Claims'!$A:$C,3,)</f>
        <v>442000</v>
      </c>
      <c r="C864" s="30">
        <f t="shared" si="26"/>
        <v>8000</v>
      </c>
      <c r="D864" s="30">
        <f>VLOOKUP(A864,'Database Claims'!$A:$C,2,)</f>
        <v>3369000</v>
      </c>
      <c r="E864" s="30">
        <f t="shared" si="27"/>
        <v>-83000</v>
      </c>
    </row>
    <row r="865" spans="1:5" x14ac:dyDescent="0.2">
      <c r="A865" s="29">
        <v>30499</v>
      </c>
      <c r="B865" s="26">
        <f>VLOOKUP(A865,'Database Claims'!$A:$C,3,)</f>
        <v>422000</v>
      </c>
      <c r="C865" s="30">
        <f t="shared" si="26"/>
        <v>-20000</v>
      </c>
      <c r="D865" s="26">
        <f>VLOOKUP(A865,'Database Claims'!$A:$C,2,)</f>
        <v>3239000</v>
      </c>
      <c r="E865" s="30">
        <f t="shared" si="27"/>
        <v>-130000</v>
      </c>
    </row>
    <row r="866" spans="1:5" x14ac:dyDescent="0.2">
      <c r="A866" s="29">
        <v>30506</v>
      </c>
      <c r="B866" s="30">
        <f>VLOOKUP(A866,'Database Claims'!$A:$C,3,)</f>
        <v>412000</v>
      </c>
      <c r="C866" s="30">
        <f t="shared" si="26"/>
        <v>-10000</v>
      </c>
      <c r="D866" s="30">
        <f>VLOOKUP(A866,'Database Claims'!$A:$C,2,)</f>
        <v>3226000</v>
      </c>
      <c r="E866" s="30">
        <f t="shared" si="27"/>
        <v>-13000</v>
      </c>
    </row>
    <row r="867" spans="1:5" x14ac:dyDescent="0.2">
      <c r="A867" s="29">
        <v>30513</v>
      </c>
      <c r="B867" s="26">
        <f>VLOOKUP(A867,'Database Claims'!$A:$C,3,)</f>
        <v>396000</v>
      </c>
      <c r="C867" s="30">
        <f t="shared" si="26"/>
        <v>-16000</v>
      </c>
      <c r="D867" s="26">
        <f>VLOOKUP(A867,'Database Claims'!$A:$C,2,)</f>
        <v>3216000</v>
      </c>
      <c r="E867" s="30">
        <f t="shared" si="27"/>
        <v>-10000</v>
      </c>
    </row>
    <row r="868" spans="1:5" x14ac:dyDescent="0.2">
      <c r="A868" s="29">
        <v>30520</v>
      </c>
      <c r="B868" s="30">
        <f>VLOOKUP(A868,'Database Claims'!$A:$C,3,)</f>
        <v>395000</v>
      </c>
      <c r="C868" s="30">
        <f t="shared" si="26"/>
        <v>-1000</v>
      </c>
      <c r="D868" s="30">
        <f>VLOOKUP(A868,'Database Claims'!$A:$C,2,)</f>
        <v>3155000</v>
      </c>
      <c r="E868" s="30">
        <f t="shared" si="27"/>
        <v>-61000</v>
      </c>
    </row>
    <row r="869" spans="1:5" x14ac:dyDescent="0.2">
      <c r="A869" s="29">
        <v>30527</v>
      </c>
      <c r="B869" s="26">
        <f>VLOOKUP(A869,'Database Claims'!$A:$C,3,)</f>
        <v>415000</v>
      </c>
      <c r="C869" s="30">
        <f t="shared" si="26"/>
        <v>20000</v>
      </c>
      <c r="D869" s="26">
        <f>VLOOKUP(A869,'Database Claims'!$A:$C,2,)</f>
        <v>3112000</v>
      </c>
      <c r="E869" s="30">
        <f t="shared" si="27"/>
        <v>-43000</v>
      </c>
    </row>
    <row r="870" spans="1:5" x14ac:dyDescent="0.2">
      <c r="A870" s="29">
        <v>30534</v>
      </c>
      <c r="B870" s="30">
        <f>VLOOKUP(A870,'Database Claims'!$A:$C,3,)</f>
        <v>415000</v>
      </c>
      <c r="C870" s="30">
        <f t="shared" si="26"/>
        <v>0</v>
      </c>
      <c r="D870" s="30">
        <f>VLOOKUP(A870,'Database Claims'!$A:$C,2,)</f>
        <v>3106000</v>
      </c>
      <c r="E870" s="30">
        <f t="shared" si="27"/>
        <v>-6000</v>
      </c>
    </row>
    <row r="871" spans="1:5" x14ac:dyDescent="0.2">
      <c r="A871" s="29">
        <v>30541</v>
      </c>
      <c r="B871" s="26">
        <f>VLOOKUP(A871,'Database Claims'!$A:$C,3,)</f>
        <v>457000</v>
      </c>
      <c r="C871" s="30">
        <f t="shared" si="26"/>
        <v>42000</v>
      </c>
      <c r="D871" s="26">
        <f>VLOOKUP(A871,'Database Claims'!$A:$C,2,)</f>
        <v>3107000</v>
      </c>
      <c r="E871" s="30">
        <f t="shared" si="27"/>
        <v>1000</v>
      </c>
    </row>
    <row r="872" spans="1:5" x14ac:dyDescent="0.2">
      <c r="A872" s="29">
        <v>30548</v>
      </c>
      <c r="B872" s="30">
        <f>VLOOKUP(A872,'Database Claims'!$A:$C,3,)</f>
        <v>445000</v>
      </c>
      <c r="C872" s="30">
        <f t="shared" si="26"/>
        <v>-12000</v>
      </c>
      <c r="D872" s="30">
        <f>VLOOKUP(A872,'Database Claims'!$A:$C,2,)</f>
        <v>3131000</v>
      </c>
      <c r="E872" s="30">
        <f t="shared" si="27"/>
        <v>24000</v>
      </c>
    </row>
    <row r="873" spans="1:5" x14ac:dyDescent="0.2">
      <c r="A873" s="29">
        <v>30555</v>
      </c>
      <c r="B873" s="26">
        <f>VLOOKUP(A873,'Database Claims'!$A:$C,3,)</f>
        <v>426000</v>
      </c>
      <c r="C873" s="30">
        <f t="shared" si="26"/>
        <v>-19000</v>
      </c>
      <c r="D873" s="26">
        <f>VLOOKUP(A873,'Database Claims'!$A:$C,2,)</f>
        <v>3079000</v>
      </c>
      <c r="E873" s="30">
        <f t="shared" si="27"/>
        <v>-52000</v>
      </c>
    </row>
    <row r="874" spans="1:5" x14ac:dyDescent="0.2">
      <c r="A874" s="29">
        <v>30562</v>
      </c>
      <c r="B874" s="30">
        <f>VLOOKUP(A874,'Database Claims'!$A:$C,3,)</f>
        <v>411000</v>
      </c>
      <c r="C874" s="30">
        <f t="shared" si="26"/>
        <v>-15000</v>
      </c>
      <c r="D874" s="30">
        <f>VLOOKUP(A874,'Database Claims'!$A:$C,2,)</f>
        <v>3055000</v>
      </c>
      <c r="E874" s="30">
        <f t="shared" si="27"/>
        <v>-24000</v>
      </c>
    </row>
    <row r="875" spans="1:5" x14ac:dyDescent="0.2">
      <c r="A875" s="29">
        <v>30569</v>
      </c>
      <c r="B875" s="26">
        <f>VLOOKUP(A875,'Database Claims'!$A:$C,3,)</f>
        <v>403000</v>
      </c>
      <c r="C875" s="30">
        <f t="shared" si="26"/>
        <v>-8000</v>
      </c>
      <c r="D875" s="26">
        <f>VLOOKUP(A875,'Database Claims'!$A:$C,2,)</f>
        <v>3007000</v>
      </c>
      <c r="E875" s="30">
        <f t="shared" si="27"/>
        <v>-48000</v>
      </c>
    </row>
    <row r="876" spans="1:5" x14ac:dyDescent="0.2">
      <c r="A876" s="29">
        <v>30576</v>
      </c>
      <c r="B876" s="30">
        <f>VLOOKUP(A876,'Database Claims'!$A:$C,3,)</f>
        <v>405000</v>
      </c>
      <c r="C876" s="30">
        <f t="shared" si="26"/>
        <v>2000</v>
      </c>
      <c r="D876" s="30">
        <f>VLOOKUP(A876,'Database Claims'!$A:$C,2,)</f>
        <v>2993000</v>
      </c>
      <c r="E876" s="30">
        <f t="shared" si="27"/>
        <v>-14000</v>
      </c>
    </row>
    <row r="877" spans="1:5" x14ac:dyDescent="0.2">
      <c r="A877" s="29">
        <v>30583</v>
      </c>
      <c r="B877" s="26">
        <f>VLOOKUP(A877,'Database Claims'!$A:$C,3,)</f>
        <v>416000</v>
      </c>
      <c r="C877" s="30">
        <f t="shared" si="26"/>
        <v>11000</v>
      </c>
      <c r="D877" s="26">
        <f>VLOOKUP(A877,'Database Claims'!$A:$C,2,)</f>
        <v>2973000</v>
      </c>
      <c r="E877" s="30">
        <f t="shared" si="27"/>
        <v>-20000</v>
      </c>
    </row>
    <row r="878" spans="1:5" x14ac:dyDescent="0.2">
      <c r="A878" s="29">
        <v>30590</v>
      </c>
      <c r="B878" s="30">
        <f>VLOOKUP(A878,'Database Claims'!$A:$C,3,)</f>
        <v>413000</v>
      </c>
      <c r="C878" s="30">
        <f t="shared" si="26"/>
        <v>-3000</v>
      </c>
      <c r="D878" s="30">
        <f>VLOOKUP(A878,'Database Claims'!$A:$C,2,)</f>
        <v>2926000</v>
      </c>
      <c r="E878" s="30">
        <f t="shared" si="27"/>
        <v>-47000</v>
      </c>
    </row>
    <row r="879" spans="1:5" x14ac:dyDescent="0.2">
      <c r="A879" s="29">
        <v>30597</v>
      </c>
      <c r="B879" s="26">
        <f>VLOOKUP(A879,'Database Claims'!$A:$C,3,)</f>
        <v>406000</v>
      </c>
      <c r="C879" s="30">
        <f t="shared" si="26"/>
        <v>-7000</v>
      </c>
      <c r="D879" s="26">
        <f>VLOOKUP(A879,'Database Claims'!$A:$C,2,)</f>
        <v>2929000</v>
      </c>
      <c r="E879" s="30">
        <f t="shared" si="27"/>
        <v>3000</v>
      </c>
    </row>
    <row r="880" spans="1:5" x14ac:dyDescent="0.2">
      <c r="A880" s="29">
        <v>30604</v>
      </c>
      <c r="B880" s="30">
        <f>VLOOKUP(A880,'Database Claims'!$A:$C,3,)</f>
        <v>394000</v>
      </c>
      <c r="C880" s="30">
        <f t="shared" si="26"/>
        <v>-12000</v>
      </c>
      <c r="D880" s="30">
        <f>VLOOKUP(A880,'Database Claims'!$A:$C,2,)</f>
        <v>2913000</v>
      </c>
      <c r="E880" s="30">
        <f t="shared" si="27"/>
        <v>-16000</v>
      </c>
    </row>
    <row r="881" spans="1:5" x14ac:dyDescent="0.2">
      <c r="A881" s="29">
        <v>30611</v>
      </c>
      <c r="B881" s="26">
        <f>VLOOKUP(A881,'Database Claims'!$A:$C,3,)</f>
        <v>394000</v>
      </c>
      <c r="C881" s="30">
        <f t="shared" si="26"/>
        <v>0</v>
      </c>
      <c r="D881" s="26">
        <f>VLOOKUP(A881,'Database Claims'!$A:$C,2,)</f>
        <v>2886000</v>
      </c>
      <c r="E881" s="30">
        <f t="shared" si="27"/>
        <v>-27000</v>
      </c>
    </row>
    <row r="882" spans="1:5" x14ac:dyDescent="0.2">
      <c r="A882" s="29">
        <v>30618</v>
      </c>
      <c r="B882" s="30">
        <f>VLOOKUP(A882,'Database Claims'!$A:$C,3,)</f>
        <v>404000</v>
      </c>
      <c r="C882" s="30">
        <f t="shared" si="26"/>
        <v>10000</v>
      </c>
      <c r="D882" s="30">
        <f>VLOOKUP(A882,'Database Claims'!$A:$C,2,)</f>
        <v>2860000</v>
      </c>
      <c r="E882" s="30">
        <f t="shared" si="27"/>
        <v>-26000</v>
      </c>
    </row>
    <row r="883" spans="1:5" x14ac:dyDescent="0.2">
      <c r="A883" s="29">
        <v>30625</v>
      </c>
      <c r="B883" s="26">
        <f>VLOOKUP(A883,'Database Claims'!$A:$C,3,)</f>
        <v>395000</v>
      </c>
      <c r="C883" s="30">
        <f t="shared" si="26"/>
        <v>-9000</v>
      </c>
      <c r="D883" s="26">
        <f>VLOOKUP(A883,'Database Claims'!$A:$C,2,)</f>
        <v>2750000</v>
      </c>
      <c r="E883" s="30">
        <f t="shared" si="27"/>
        <v>-110000</v>
      </c>
    </row>
    <row r="884" spans="1:5" x14ac:dyDescent="0.2">
      <c r="A884" s="29">
        <v>30632</v>
      </c>
      <c r="B884" s="30">
        <f>VLOOKUP(A884,'Database Claims'!$A:$C,3,)</f>
        <v>390000</v>
      </c>
      <c r="C884" s="30">
        <f t="shared" si="26"/>
        <v>-5000</v>
      </c>
      <c r="D884" s="30">
        <f>VLOOKUP(A884,'Database Claims'!$A:$C,2,)</f>
        <v>2789000</v>
      </c>
      <c r="E884" s="30">
        <f t="shared" si="27"/>
        <v>39000</v>
      </c>
    </row>
    <row r="885" spans="1:5" x14ac:dyDescent="0.2">
      <c r="A885" s="29">
        <v>30639</v>
      </c>
      <c r="B885" s="26">
        <f>VLOOKUP(A885,'Database Claims'!$A:$C,3,)</f>
        <v>387000</v>
      </c>
      <c r="C885" s="30">
        <f t="shared" si="26"/>
        <v>-3000</v>
      </c>
      <c r="D885" s="26">
        <f>VLOOKUP(A885,'Database Claims'!$A:$C,2,)</f>
        <v>2879000</v>
      </c>
      <c r="E885" s="30">
        <f t="shared" si="27"/>
        <v>90000</v>
      </c>
    </row>
    <row r="886" spans="1:5" x14ac:dyDescent="0.2">
      <c r="A886" s="29">
        <v>30646</v>
      </c>
      <c r="B886" s="30">
        <f>VLOOKUP(A886,'Database Claims'!$A:$C,3,)</f>
        <v>398000</v>
      </c>
      <c r="C886" s="30">
        <f t="shared" si="26"/>
        <v>11000</v>
      </c>
      <c r="D886" s="30">
        <f>VLOOKUP(A886,'Database Claims'!$A:$C,2,)</f>
        <v>2733000</v>
      </c>
      <c r="E886" s="30">
        <f t="shared" si="27"/>
        <v>-146000</v>
      </c>
    </row>
    <row r="887" spans="1:5" x14ac:dyDescent="0.2">
      <c r="A887" s="29">
        <v>30653</v>
      </c>
      <c r="B887" s="26">
        <f>VLOOKUP(A887,'Database Claims'!$A:$C,3,)</f>
        <v>365000</v>
      </c>
      <c r="C887" s="30">
        <f t="shared" si="26"/>
        <v>-33000</v>
      </c>
      <c r="D887" s="26">
        <f>VLOOKUP(A887,'Database Claims'!$A:$C,2,)</f>
        <v>2737000</v>
      </c>
      <c r="E887" s="30">
        <f t="shared" si="27"/>
        <v>4000</v>
      </c>
    </row>
    <row r="888" spans="1:5" x14ac:dyDescent="0.2">
      <c r="A888" s="29">
        <v>30660</v>
      </c>
      <c r="B888" s="30">
        <f>VLOOKUP(A888,'Database Claims'!$A:$C,3,)</f>
        <v>368000</v>
      </c>
      <c r="C888" s="30">
        <f t="shared" si="26"/>
        <v>3000</v>
      </c>
      <c r="D888" s="30">
        <f>VLOOKUP(A888,'Database Claims'!$A:$C,2,)</f>
        <v>2666000</v>
      </c>
      <c r="E888" s="30">
        <f t="shared" si="27"/>
        <v>-71000</v>
      </c>
    </row>
    <row r="889" spans="1:5" x14ac:dyDescent="0.2">
      <c r="A889" s="29">
        <v>30667</v>
      </c>
      <c r="B889" s="26">
        <f>VLOOKUP(A889,'Database Claims'!$A:$C,3,)</f>
        <v>362000</v>
      </c>
      <c r="C889" s="30">
        <f t="shared" si="26"/>
        <v>-6000</v>
      </c>
      <c r="D889" s="26">
        <f>VLOOKUP(A889,'Database Claims'!$A:$C,2,)</f>
        <v>2796000</v>
      </c>
      <c r="E889" s="30">
        <f t="shared" si="27"/>
        <v>130000</v>
      </c>
    </row>
    <row r="890" spans="1:5" x14ac:dyDescent="0.2">
      <c r="A890" s="29">
        <v>30674</v>
      </c>
      <c r="B890" s="30">
        <f>VLOOKUP(A890,'Database Claims'!$A:$C,3,)</f>
        <v>377000</v>
      </c>
      <c r="C890" s="30">
        <f t="shared" si="26"/>
        <v>15000</v>
      </c>
      <c r="D890" s="30">
        <f>VLOOKUP(A890,'Database Claims'!$A:$C,2,)</f>
        <v>2718000</v>
      </c>
      <c r="E890" s="30">
        <f t="shared" si="27"/>
        <v>-78000</v>
      </c>
    </row>
    <row r="891" spans="1:5" x14ac:dyDescent="0.2">
      <c r="A891" s="29">
        <v>30681</v>
      </c>
      <c r="B891" s="26">
        <f>VLOOKUP(A891,'Database Claims'!$A:$C,3,)</f>
        <v>372000</v>
      </c>
      <c r="C891" s="30">
        <f t="shared" si="26"/>
        <v>-5000</v>
      </c>
      <c r="D891" s="26">
        <f>VLOOKUP(A891,'Database Claims'!$A:$C,2,)</f>
        <v>2644000</v>
      </c>
      <c r="E891" s="30">
        <f t="shared" si="27"/>
        <v>-74000</v>
      </c>
    </row>
    <row r="892" spans="1:5" x14ac:dyDescent="0.2">
      <c r="A892" s="29">
        <v>30688</v>
      </c>
      <c r="B892" s="30">
        <f>VLOOKUP(A892,'Database Claims'!$A:$C,3,)</f>
        <v>356000</v>
      </c>
      <c r="C892" s="30">
        <f t="shared" si="26"/>
        <v>-16000</v>
      </c>
      <c r="D892" s="30">
        <f>VLOOKUP(A892,'Database Claims'!$A:$C,2,)</f>
        <v>2588000</v>
      </c>
      <c r="E892" s="30">
        <f t="shared" si="27"/>
        <v>-56000</v>
      </c>
    </row>
    <row r="893" spans="1:5" x14ac:dyDescent="0.2">
      <c r="A893" s="29">
        <v>30695</v>
      </c>
      <c r="B893" s="26">
        <f>VLOOKUP(A893,'Database Claims'!$A:$C,3,)</f>
        <v>351000</v>
      </c>
      <c r="C893" s="30">
        <f t="shared" si="26"/>
        <v>-5000</v>
      </c>
      <c r="D893" s="26">
        <f>VLOOKUP(A893,'Database Claims'!$A:$C,2,)</f>
        <v>2522000</v>
      </c>
      <c r="E893" s="30">
        <f t="shared" si="27"/>
        <v>-66000</v>
      </c>
    </row>
    <row r="894" spans="1:5" x14ac:dyDescent="0.2">
      <c r="A894" s="29">
        <v>30702</v>
      </c>
      <c r="B894" s="30">
        <f>VLOOKUP(A894,'Database Claims'!$A:$C,3,)</f>
        <v>333000</v>
      </c>
      <c r="C894" s="30">
        <f t="shared" si="26"/>
        <v>-18000</v>
      </c>
      <c r="D894" s="30">
        <f>VLOOKUP(A894,'Database Claims'!$A:$C,2,)</f>
        <v>2531000</v>
      </c>
      <c r="E894" s="30">
        <f t="shared" si="27"/>
        <v>9000</v>
      </c>
    </row>
    <row r="895" spans="1:5" x14ac:dyDescent="0.2">
      <c r="A895" s="29">
        <v>30709</v>
      </c>
      <c r="B895" s="26">
        <f>VLOOKUP(A895,'Database Claims'!$A:$C,3,)</f>
        <v>364000</v>
      </c>
      <c r="C895" s="30">
        <f t="shared" si="26"/>
        <v>31000</v>
      </c>
      <c r="D895" s="26">
        <f>VLOOKUP(A895,'Database Claims'!$A:$C,2,)</f>
        <v>2556000</v>
      </c>
      <c r="E895" s="30">
        <f t="shared" si="27"/>
        <v>25000</v>
      </c>
    </row>
    <row r="896" spans="1:5" x14ac:dyDescent="0.2">
      <c r="A896" s="29">
        <v>30716</v>
      </c>
      <c r="B896" s="30">
        <f>VLOOKUP(A896,'Database Claims'!$A:$C,3,)</f>
        <v>342000</v>
      </c>
      <c r="C896" s="30">
        <f t="shared" si="26"/>
        <v>-22000</v>
      </c>
      <c r="D896" s="30">
        <f>VLOOKUP(A896,'Database Claims'!$A:$C,2,)</f>
        <v>2531000</v>
      </c>
      <c r="E896" s="30">
        <f t="shared" si="27"/>
        <v>-25000</v>
      </c>
    </row>
    <row r="897" spans="1:5" x14ac:dyDescent="0.2">
      <c r="A897" s="29">
        <v>30723</v>
      </c>
      <c r="B897" s="26">
        <f>VLOOKUP(A897,'Database Claims'!$A:$C,3,)</f>
        <v>338000</v>
      </c>
      <c r="C897" s="30">
        <f t="shared" si="26"/>
        <v>-4000</v>
      </c>
      <c r="D897" s="26">
        <f>VLOOKUP(A897,'Database Claims'!$A:$C,2,)</f>
        <v>2453000</v>
      </c>
      <c r="E897" s="30">
        <f t="shared" si="27"/>
        <v>-78000</v>
      </c>
    </row>
    <row r="898" spans="1:5" x14ac:dyDescent="0.2">
      <c r="A898" s="29">
        <v>30730</v>
      </c>
      <c r="B898" s="30">
        <f>VLOOKUP(A898,'Database Claims'!$A:$C,3,)</f>
        <v>334000</v>
      </c>
      <c r="C898" s="30">
        <f t="shared" si="26"/>
        <v>-4000</v>
      </c>
      <c r="D898" s="30">
        <f>VLOOKUP(A898,'Database Claims'!$A:$C,2,)</f>
        <v>2425000</v>
      </c>
      <c r="E898" s="30">
        <f t="shared" si="27"/>
        <v>-28000</v>
      </c>
    </row>
    <row r="899" spans="1:5" x14ac:dyDescent="0.2">
      <c r="A899" s="29">
        <v>30737</v>
      </c>
      <c r="B899" s="26">
        <f>VLOOKUP(A899,'Database Claims'!$A:$C,3,)</f>
        <v>343000</v>
      </c>
      <c r="C899" s="30">
        <f t="shared" si="26"/>
        <v>9000</v>
      </c>
      <c r="D899" s="26">
        <f>VLOOKUP(A899,'Database Claims'!$A:$C,2,)</f>
        <v>2469000</v>
      </c>
      <c r="E899" s="30">
        <f t="shared" si="27"/>
        <v>44000</v>
      </c>
    </row>
    <row r="900" spans="1:5" x14ac:dyDescent="0.2">
      <c r="A900" s="29">
        <v>30744</v>
      </c>
      <c r="B900" s="30">
        <f>VLOOKUP(A900,'Database Claims'!$A:$C,3,)</f>
        <v>347000</v>
      </c>
      <c r="C900" s="30">
        <f t="shared" si="26"/>
        <v>4000</v>
      </c>
      <c r="D900" s="30">
        <f>VLOOKUP(A900,'Database Claims'!$A:$C,2,)</f>
        <v>2441000</v>
      </c>
      <c r="E900" s="30">
        <f t="shared" si="27"/>
        <v>-28000</v>
      </c>
    </row>
    <row r="901" spans="1:5" x14ac:dyDescent="0.2">
      <c r="A901" s="29">
        <v>30751</v>
      </c>
      <c r="B901" s="26">
        <f>VLOOKUP(A901,'Database Claims'!$A:$C,3,)</f>
        <v>346000</v>
      </c>
      <c r="C901" s="30">
        <f t="shared" si="26"/>
        <v>-1000</v>
      </c>
      <c r="D901" s="26">
        <f>VLOOKUP(A901,'Database Claims'!$A:$C,2,)</f>
        <v>2431000</v>
      </c>
      <c r="E901" s="30">
        <f t="shared" si="27"/>
        <v>-10000</v>
      </c>
    </row>
    <row r="902" spans="1:5" x14ac:dyDescent="0.2">
      <c r="A902" s="29">
        <v>30758</v>
      </c>
      <c r="B902" s="30">
        <f>VLOOKUP(A902,'Database Claims'!$A:$C,3,)</f>
        <v>349000</v>
      </c>
      <c r="C902" s="30">
        <f t="shared" ref="C902:C965" si="28">B902-B901</f>
        <v>3000</v>
      </c>
      <c r="D902" s="30">
        <f>VLOOKUP(A902,'Database Claims'!$A:$C,2,)</f>
        <v>2426000</v>
      </c>
      <c r="E902" s="30">
        <f t="shared" ref="E902:E965" si="29">D902-D901</f>
        <v>-5000</v>
      </c>
    </row>
    <row r="903" spans="1:5" x14ac:dyDescent="0.2">
      <c r="A903" s="29">
        <v>30765</v>
      </c>
      <c r="B903" s="26">
        <f>VLOOKUP(A903,'Database Claims'!$A:$C,3,)</f>
        <v>346000</v>
      </c>
      <c r="C903" s="30">
        <f t="shared" si="28"/>
        <v>-3000</v>
      </c>
      <c r="D903" s="26">
        <f>VLOOKUP(A903,'Database Claims'!$A:$C,2,)</f>
        <v>2412000</v>
      </c>
      <c r="E903" s="30">
        <f t="shared" si="29"/>
        <v>-14000</v>
      </c>
    </row>
    <row r="904" spans="1:5" x14ac:dyDescent="0.2">
      <c r="A904" s="29">
        <v>30772</v>
      </c>
      <c r="B904" s="30">
        <f>VLOOKUP(A904,'Database Claims'!$A:$C,3,)</f>
        <v>341000</v>
      </c>
      <c r="C904" s="30">
        <f t="shared" si="28"/>
        <v>-5000</v>
      </c>
      <c r="D904" s="30">
        <f>VLOOKUP(A904,'Database Claims'!$A:$C,2,)</f>
        <v>2412000</v>
      </c>
      <c r="E904" s="30">
        <f t="shared" si="29"/>
        <v>0</v>
      </c>
    </row>
    <row r="905" spans="1:5" x14ac:dyDescent="0.2">
      <c r="A905" s="29">
        <v>30779</v>
      </c>
      <c r="B905" s="26">
        <f>VLOOKUP(A905,'Database Claims'!$A:$C,3,)</f>
        <v>381000</v>
      </c>
      <c r="C905" s="30">
        <f t="shared" si="28"/>
        <v>40000</v>
      </c>
      <c r="D905" s="26">
        <f>VLOOKUP(A905,'Database Claims'!$A:$C,2,)</f>
        <v>2425000</v>
      </c>
      <c r="E905" s="30">
        <f t="shared" si="29"/>
        <v>13000</v>
      </c>
    </row>
    <row r="906" spans="1:5" x14ac:dyDescent="0.2">
      <c r="A906" s="29">
        <v>30786</v>
      </c>
      <c r="B906" s="30">
        <f>VLOOKUP(A906,'Database Claims'!$A:$C,3,)</f>
        <v>357000</v>
      </c>
      <c r="C906" s="30">
        <f t="shared" si="28"/>
        <v>-24000</v>
      </c>
      <c r="D906" s="30">
        <f>VLOOKUP(A906,'Database Claims'!$A:$C,2,)</f>
        <v>2396000</v>
      </c>
      <c r="E906" s="30">
        <f t="shared" si="29"/>
        <v>-29000</v>
      </c>
    </row>
    <row r="907" spans="1:5" x14ac:dyDescent="0.2">
      <c r="A907" s="29">
        <v>30793</v>
      </c>
      <c r="B907" s="26">
        <f>VLOOKUP(A907,'Database Claims'!$A:$C,3,)</f>
        <v>364000</v>
      </c>
      <c r="C907" s="30">
        <f t="shared" si="28"/>
        <v>7000</v>
      </c>
      <c r="D907" s="26">
        <f>VLOOKUP(A907,'Database Claims'!$A:$C,2,)</f>
        <v>2433000</v>
      </c>
      <c r="E907" s="30">
        <f t="shared" si="29"/>
        <v>37000</v>
      </c>
    </row>
    <row r="908" spans="1:5" x14ac:dyDescent="0.2">
      <c r="A908" s="29">
        <v>30800</v>
      </c>
      <c r="B908" s="30">
        <f>VLOOKUP(A908,'Database Claims'!$A:$C,3,)</f>
        <v>375000</v>
      </c>
      <c r="C908" s="30">
        <f t="shared" si="28"/>
        <v>11000</v>
      </c>
      <c r="D908" s="30">
        <f>VLOOKUP(A908,'Database Claims'!$A:$C,2,)</f>
        <v>2435000</v>
      </c>
      <c r="E908" s="30">
        <f t="shared" si="29"/>
        <v>2000</v>
      </c>
    </row>
    <row r="909" spans="1:5" x14ac:dyDescent="0.2">
      <c r="A909" s="29">
        <v>30807</v>
      </c>
      <c r="B909" s="26">
        <f>VLOOKUP(A909,'Database Claims'!$A:$C,3,)</f>
        <v>365000</v>
      </c>
      <c r="C909" s="30">
        <f t="shared" si="28"/>
        <v>-10000</v>
      </c>
      <c r="D909" s="26">
        <f>VLOOKUP(A909,'Database Claims'!$A:$C,2,)</f>
        <v>2430000</v>
      </c>
      <c r="E909" s="30">
        <f t="shared" si="29"/>
        <v>-5000</v>
      </c>
    </row>
    <row r="910" spans="1:5" x14ac:dyDescent="0.2">
      <c r="A910" s="29">
        <v>30814</v>
      </c>
      <c r="B910" s="30">
        <f>VLOOKUP(A910,'Database Claims'!$A:$C,3,)</f>
        <v>368000</v>
      </c>
      <c r="C910" s="30">
        <f t="shared" si="28"/>
        <v>3000</v>
      </c>
      <c r="D910" s="30">
        <f>VLOOKUP(A910,'Database Claims'!$A:$C,2,)</f>
        <v>2386000</v>
      </c>
      <c r="E910" s="30">
        <f t="shared" si="29"/>
        <v>-44000</v>
      </c>
    </row>
    <row r="911" spans="1:5" x14ac:dyDescent="0.2">
      <c r="A911" s="29">
        <v>30821</v>
      </c>
      <c r="B911" s="26">
        <f>VLOOKUP(A911,'Database Claims'!$A:$C,3,)</f>
        <v>354000</v>
      </c>
      <c r="C911" s="30">
        <f t="shared" si="28"/>
        <v>-14000</v>
      </c>
      <c r="D911" s="26">
        <f>VLOOKUP(A911,'Database Claims'!$A:$C,2,)</f>
        <v>2401000</v>
      </c>
      <c r="E911" s="30">
        <f t="shared" si="29"/>
        <v>15000</v>
      </c>
    </row>
    <row r="912" spans="1:5" x14ac:dyDescent="0.2">
      <c r="A912" s="29">
        <v>30828</v>
      </c>
      <c r="B912" s="30">
        <f>VLOOKUP(A912,'Database Claims'!$A:$C,3,)</f>
        <v>354000</v>
      </c>
      <c r="C912" s="30">
        <f t="shared" si="28"/>
        <v>0</v>
      </c>
      <c r="D912" s="30">
        <f>VLOOKUP(A912,'Database Claims'!$A:$C,2,)</f>
        <v>2323000</v>
      </c>
      <c r="E912" s="30">
        <f t="shared" si="29"/>
        <v>-78000</v>
      </c>
    </row>
    <row r="913" spans="1:5" x14ac:dyDescent="0.2">
      <c r="A913" s="29">
        <v>30835</v>
      </c>
      <c r="B913" s="26">
        <f>VLOOKUP(A913,'Database Claims'!$A:$C,3,)</f>
        <v>355000</v>
      </c>
      <c r="C913" s="30">
        <f t="shared" si="28"/>
        <v>1000</v>
      </c>
      <c r="D913" s="26">
        <f>VLOOKUP(A913,'Database Claims'!$A:$C,2,)</f>
        <v>2379000</v>
      </c>
      <c r="E913" s="30">
        <f t="shared" si="29"/>
        <v>56000</v>
      </c>
    </row>
    <row r="914" spans="1:5" x14ac:dyDescent="0.2">
      <c r="A914" s="29">
        <v>30842</v>
      </c>
      <c r="B914" s="30">
        <f>VLOOKUP(A914,'Database Claims'!$A:$C,3,)</f>
        <v>369000</v>
      </c>
      <c r="C914" s="30">
        <f t="shared" si="28"/>
        <v>14000</v>
      </c>
      <c r="D914" s="30">
        <f>VLOOKUP(A914,'Database Claims'!$A:$C,2,)</f>
        <v>2391000</v>
      </c>
      <c r="E914" s="30">
        <f t="shared" si="29"/>
        <v>12000</v>
      </c>
    </row>
    <row r="915" spans="1:5" x14ac:dyDescent="0.2">
      <c r="A915" s="29">
        <v>30849</v>
      </c>
      <c r="B915" s="26">
        <f>VLOOKUP(A915,'Database Claims'!$A:$C,3,)</f>
        <v>361000</v>
      </c>
      <c r="C915" s="30">
        <f t="shared" si="28"/>
        <v>-8000</v>
      </c>
      <c r="D915" s="26">
        <f>VLOOKUP(A915,'Database Claims'!$A:$C,2,)</f>
        <v>2364000</v>
      </c>
      <c r="E915" s="30">
        <f t="shared" si="29"/>
        <v>-27000</v>
      </c>
    </row>
    <row r="916" spans="1:5" x14ac:dyDescent="0.2">
      <c r="A916" s="29">
        <v>30856</v>
      </c>
      <c r="B916" s="30">
        <f>VLOOKUP(A916,'Database Claims'!$A:$C,3,)</f>
        <v>362000</v>
      </c>
      <c r="C916" s="30">
        <f t="shared" si="28"/>
        <v>1000</v>
      </c>
      <c r="D916" s="30">
        <f>VLOOKUP(A916,'Database Claims'!$A:$C,2,)</f>
        <v>2339000</v>
      </c>
      <c r="E916" s="30">
        <f t="shared" si="29"/>
        <v>-25000</v>
      </c>
    </row>
    <row r="917" spans="1:5" x14ac:dyDescent="0.2">
      <c r="A917" s="29">
        <v>30863</v>
      </c>
      <c r="B917" s="26">
        <f>VLOOKUP(A917,'Database Claims'!$A:$C,3,)</f>
        <v>360000</v>
      </c>
      <c r="C917" s="30">
        <f t="shared" si="28"/>
        <v>-2000</v>
      </c>
      <c r="D917" s="26">
        <f>VLOOKUP(A917,'Database Claims'!$A:$C,2,)</f>
        <v>2329000</v>
      </c>
      <c r="E917" s="30">
        <f t="shared" si="29"/>
        <v>-10000</v>
      </c>
    </row>
    <row r="918" spans="1:5" x14ac:dyDescent="0.2">
      <c r="A918" s="29">
        <v>30870</v>
      </c>
      <c r="B918" s="30">
        <f>VLOOKUP(A918,'Database Claims'!$A:$C,3,)</f>
        <v>366000</v>
      </c>
      <c r="C918" s="30">
        <f t="shared" si="28"/>
        <v>6000</v>
      </c>
      <c r="D918" s="30">
        <f>VLOOKUP(A918,'Database Claims'!$A:$C,2,)</f>
        <v>2375000</v>
      </c>
      <c r="E918" s="30">
        <f t="shared" si="29"/>
        <v>46000</v>
      </c>
    </row>
    <row r="919" spans="1:5" x14ac:dyDescent="0.2">
      <c r="A919" s="29">
        <v>30877</v>
      </c>
      <c r="B919" s="26">
        <f>VLOOKUP(A919,'Database Claims'!$A:$C,3,)</f>
        <v>360000</v>
      </c>
      <c r="C919" s="30">
        <f t="shared" si="28"/>
        <v>-6000</v>
      </c>
      <c r="D919" s="26">
        <f>VLOOKUP(A919,'Database Claims'!$A:$C,2,)</f>
        <v>2371000</v>
      </c>
      <c r="E919" s="30">
        <f t="shared" si="29"/>
        <v>-4000</v>
      </c>
    </row>
    <row r="920" spans="1:5" x14ac:dyDescent="0.2">
      <c r="A920" s="29">
        <v>30884</v>
      </c>
      <c r="B920" s="30">
        <f>VLOOKUP(A920,'Database Claims'!$A:$C,3,)</f>
        <v>357000</v>
      </c>
      <c r="C920" s="30">
        <f t="shared" si="28"/>
        <v>-3000</v>
      </c>
      <c r="D920" s="30">
        <f>VLOOKUP(A920,'Database Claims'!$A:$C,2,)</f>
        <v>2337000</v>
      </c>
      <c r="E920" s="30">
        <f t="shared" si="29"/>
        <v>-34000</v>
      </c>
    </row>
    <row r="921" spans="1:5" x14ac:dyDescent="0.2">
      <c r="A921" s="29">
        <v>30891</v>
      </c>
      <c r="B921" s="26">
        <f>VLOOKUP(A921,'Database Claims'!$A:$C,3,)</f>
        <v>359000</v>
      </c>
      <c r="C921" s="30">
        <f t="shared" si="28"/>
        <v>2000</v>
      </c>
      <c r="D921" s="26">
        <f>VLOOKUP(A921,'Database Claims'!$A:$C,2,)</f>
        <v>2329000</v>
      </c>
      <c r="E921" s="30">
        <f t="shared" si="29"/>
        <v>-8000</v>
      </c>
    </row>
    <row r="922" spans="1:5" x14ac:dyDescent="0.2">
      <c r="A922" s="29">
        <v>30898</v>
      </c>
      <c r="B922" s="30">
        <f>VLOOKUP(A922,'Database Claims'!$A:$C,3,)</f>
        <v>382000</v>
      </c>
      <c r="C922" s="30">
        <f t="shared" si="28"/>
        <v>23000</v>
      </c>
      <c r="D922" s="30">
        <f>VLOOKUP(A922,'Database Claims'!$A:$C,2,)</f>
        <v>2332000</v>
      </c>
      <c r="E922" s="30">
        <f t="shared" si="29"/>
        <v>3000</v>
      </c>
    </row>
    <row r="923" spans="1:5" x14ac:dyDescent="0.2">
      <c r="A923" s="29">
        <v>30905</v>
      </c>
      <c r="B923" s="26">
        <f>VLOOKUP(A923,'Database Claims'!$A:$C,3,)</f>
        <v>380000</v>
      </c>
      <c r="C923" s="30">
        <f t="shared" si="28"/>
        <v>-2000</v>
      </c>
      <c r="D923" s="26">
        <f>VLOOKUP(A923,'Database Claims'!$A:$C,2,)</f>
        <v>2390000</v>
      </c>
      <c r="E923" s="30">
        <f t="shared" si="29"/>
        <v>58000</v>
      </c>
    </row>
    <row r="924" spans="1:5" x14ac:dyDescent="0.2">
      <c r="A924" s="29">
        <v>30912</v>
      </c>
      <c r="B924" s="30">
        <f>VLOOKUP(A924,'Database Claims'!$A:$C,3,)</f>
        <v>401000</v>
      </c>
      <c r="C924" s="30">
        <f t="shared" si="28"/>
        <v>21000</v>
      </c>
      <c r="D924" s="30">
        <f>VLOOKUP(A924,'Database Claims'!$A:$C,2,)</f>
        <v>2416000</v>
      </c>
      <c r="E924" s="30">
        <f t="shared" si="29"/>
        <v>26000</v>
      </c>
    </row>
    <row r="925" spans="1:5" x14ac:dyDescent="0.2">
      <c r="A925" s="29">
        <v>30919</v>
      </c>
      <c r="B925" s="26">
        <f>VLOOKUP(A925,'Database Claims'!$A:$C,3,)</f>
        <v>395000</v>
      </c>
      <c r="C925" s="30">
        <f t="shared" si="28"/>
        <v>-6000</v>
      </c>
      <c r="D925" s="26">
        <f>VLOOKUP(A925,'Database Claims'!$A:$C,2,)</f>
        <v>2405000</v>
      </c>
      <c r="E925" s="30">
        <f t="shared" si="29"/>
        <v>-11000</v>
      </c>
    </row>
    <row r="926" spans="1:5" x14ac:dyDescent="0.2">
      <c r="A926" s="29">
        <v>30926</v>
      </c>
      <c r="B926" s="30">
        <f>VLOOKUP(A926,'Database Claims'!$A:$C,3,)</f>
        <v>385000</v>
      </c>
      <c r="C926" s="30">
        <f t="shared" si="28"/>
        <v>-10000</v>
      </c>
      <c r="D926" s="30">
        <f>VLOOKUP(A926,'Database Claims'!$A:$C,2,)</f>
        <v>2410000</v>
      </c>
      <c r="E926" s="30">
        <f t="shared" si="29"/>
        <v>5000</v>
      </c>
    </row>
    <row r="927" spans="1:5" x14ac:dyDescent="0.2">
      <c r="A927" s="29">
        <v>30933</v>
      </c>
      <c r="B927" s="26">
        <f>VLOOKUP(A927,'Database Claims'!$A:$C,3,)</f>
        <v>402000</v>
      </c>
      <c r="C927" s="30">
        <f t="shared" si="28"/>
        <v>17000</v>
      </c>
      <c r="D927" s="26">
        <f>VLOOKUP(A927,'Database Claims'!$A:$C,2,)</f>
        <v>2435000</v>
      </c>
      <c r="E927" s="30">
        <f t="shared" si="29"/>
        <v>25000</v>
      </c>
    </row>
    <row r="928" spans="1:5" x14ac:dyDescent="0.2">
      <c r="A928" s="29">
        <v>30940</v>
      </c>
      <c r="B928" s="30">
        <f>VLOOKUP(A928,'Database Claims'!$A:$C,3,)</f>
        <v>393000</v>
      </c>
      <c r="C928" s="30">
        <f t="shared" si="28"/>
        <v>-9000</v>
      </c>
      <c r="D928" s="30">
        <f>VLOOKUP(A928,'Database Claims'!$A:$C,2,)</f>
        <v>2434000</v>
      </c>
      <c r="E928" s="30">
        <f t="shared" si="29"/>
        <v>-1000</v>
      </c>
    </row>
    <row r="929" spans="1:5" x14ac:dyDescent="0.2">
      <c r="A929" s="29">
        <v>30947</v>
      </c>
      <c r="B929" s="26">
        <f>VLOOKUP(A929,'Database Claims'!$A:$C,3,)</f>
        <v>395000</v>
      </c>
      <c r="C929" s="30">
        <f t="shared" si="28"/>
        <v>2000</v>
      </c>
      <c r="D929" s="26">
        <f>VLOOKUP(A929,'Database Claims'!$A:$C,2,)</f>
        <v>2421000</v>
      </c>
      <c r="E929" s="30">
        <f t="shared" si="29"/>
        <v>-13000</v>
      </c>
    </row>
    <row r="930" spans="1:5" x14ac:dyDescent="0.2">
      <c r="A930" s="29">
        <v>30954</v>
      </c>
      <c r="B930" s="30">
        <f>VLOOKUP(A930,'Database Claims'!$A:$C,3,)</f>
        <v>402000</v>
      </c>
      <c r="C930" s="30">
        <f t="shared" si="28"/>
        <v>7000</v>
      </c>
      <c r="D930" s="30">
        <f>VLOOKUP(A930,'Database Claims'!$A:$C,2,)</f>
        <v>2474000</v>
      </c>
      <c r="E930" s="30">
        <f t="shared" si="29"/>
        <v>53000</v>
      </c>
    </row>
    <row r="931" spans="1:5" x14ac:dyDescent="0.2">
      <c r="A931" s="29">
        <v>30961</v>
      </c>
      <c r="B931" s="26">
        <f>VLOOKUP(A931,'Database Claims'!$A:$C,3,)</f>
        <v>403000</v>
      </c>
      <c r="C931" s="30">
        <f t="shared" si="28"/>
        <v>1000</v>
      </c>
      <c r="D931" s="26">
        <f>VLOOKUP(A931,'Database Claims'!$A:$C,2,)</f>
        <v>2455000</v>
      </c>
      <c r="E931" s="30">
        <f t="shared" si="29"/>
        <v>-19000</v>
      </c>
    </row>
    <row r="932" spans="1:5" x14ac:dyDescent="0.2">
      <c r="A932" s="29">
        <v>30968</v>
      </c>
      <c r="B932" s="30">
        <f>VLOOKUP(A932,'Database Claims'!$A:$C,3,)</f>
        <v>410000</v>
      </c>
      <c r="C932" s="30">
        <f t="shared" si="28"/>
        <v>7000</v>
      </c>
      <c r="D932" s="30">
        <f>VLOOKUP(A932,'Database Claims'!$A:$C,2,)</f>
        <v>2538000</v>
      </c>
      <c r="E932" s="30">
        <f t="shared" si="29"/>
        <v>83000</v>
      </c>
    </row>
    <row r="933" spans="1:5" x14ac:dyDescent="0.2">
      <c r="A933" s="29">
        <v>30975</v>
      </c>
      <c r="B933" s="26">
        <f>VLOOKUP(A933,'Database Claims'!$A:$C,3,)</f>
        <v>439000</v>
      </c>
      <c r="C933" s="30">
        <f t="shared" si="28"/>
        <v>29000</v>
      </c>
      <c r="D933" s="26">
        <f>VLOOKUP(A933,'Database Claims'!$A:$C,2,)</f>
        <v>2529000</v>
      </c>
      <c r="E933" s="30">
        <f t="shared" si="29"/>
        <v>-9000</v>
      </c>
    </row>
    <row r="934" spans="1:5" x14ac:dyDescent="0.2">
      <c r="A934" s="29">
        <v>30982</v>
      </c>
      <c r="B934" s="30">
        <f>VLOOKUP(A934,'Database Claims'!$A:$C,3,)</f>
        <v>425000</v>
      </c>
      <c r="C934" s="30">
        <f t="shared" si="28"/>
        <v>-14000</v>
      </c>
      <c r="D934" s="30">
        <f>VLOOKUP(A934,'Database Claims'!$A:$C,2,)</f>
        <v>2574000</v>
      </c>
      <c r="E934" s="30">
        <f t="shared" si="29"/>
        <v>45000</v>
      </c>
    </row>
    <row r="935" spans="1:5" x14ac:dyDescent="0.2">
      <c r="A935" s="29">
        <v>30989</v>
      </c>
      <c r="B935" s="26">
        <f>VLOOKUP(A935,'Database Claims'!$A:$C,3,)</f>
        <v>423000</v>
      </c>
      <c r="C935" s="30">
        <f t="shared" si="28"/>
        <v>-2000</v>
      </c>
      <c r="D935" s="26">
        <f>VLOOKUP(A935,'Database Claims'!$A:$C,2,)</f>
        <v>2578000</v>
      </c>
      <c r="E935" s="30">
        <f t="shared" si="29"/>
        <v>4000</v>
      </c>
    </row>
    <row r="936" spans="1:5" x14ac:dyDescent="0.2">
      <c r="A936" s="29">
        <v>30996</v>
      </c>
      <c r="B936" s="30">
        <f>VLOOKUP(A936,'Database Claims'!$A:$C,3,)</f>
        <v>393000</v>
      </c>
      <c r="C936" s="30">
        <f t="shared" si="28"/>
        <v>-30000</v>
      </c>
      <c r="D936" s="30">
        <f>VLOOKUP(A936,'Database Claims'!$A:$C,2,)</f>
        <v>2545000</v>
      </c>
      <c r="E936" s="30">
        <f t="shared" si="29"/>
        <v>-33000</v>
      </c>
    </row>
    <row r="937" spans="1:5" x14ac:dyDescent="0.2">
      <c r="A937" s="29">
        <v>31003</v>
      </c>
      <c r="B937" s="26">
        <f>VLOOKUP(A937,'Database Claims'!$A:$C,3,)</f>
        <v>383000</v>
      </c>
      <c r="C937" s="30">
        <f t="shared" si="28"/>
        <v>-10000</v>
      </c>
      <c r="D937" s="26">
        <f>VLOOKUP(A937,'Database Claims'!$A:$C,2,)</f>
        <v>2645000</v>
      </c>
      <c r="E937" s="30">
        <f t="shared" si="29"/>
        <v>100000</v>
      </c>
    </row>
    <row r="938" spans="1:5" x14ac:dyDescent="0.2">
      <c r="A938" s="29">
        <v>31010</v>
      </c>
      <c r="B938" s="30">
        <f>VLOOKUP(A938,'Database Claims'!$A:$C,3,)</f>
        <v>429000</v>
      </c>
      <c r="C938" s="30">
        <f t="shared" si="28"/>
        <v>46000</v>
      </c>
      <c r="D938" s="30">
        <f>VLOOKUP(A938,'Database Claims'!$A:$C,2,)</f>
        <v>2569000</v>
      </c>
      <c r="E938" s="30">
        <f t="shared" si="29"/>
        <v>-76000</v>
      </c>
    </row>
    <row r="939" spans="1:5" x14ac:dyDescent="0.2">
      <c r="A939" s="29">
        <v>31017</v>
      </c>
      <c r="B939" s="26">
        <f>VLOOKUP(A939,'Database Claims'!$A:$C,3,)</f>
        <v>401000</v>
      </c>
      <c r="C939" s="30">
        <f t="shared" si="28"/>
        <v>-28000</v>
      </c>
      <c r="D939" s="26">
        <f>VLOOKUP(A939,'Database Claims'!$A:$C,2,)</f>
        <v>2529000</v>
      </c>
      <c r="E939" s="30">
        <f t="shared" si="29"/>
        <v>-40000</v>
      </c>
    </row>
    <row r="940" spans="1:5" x14ac:dyDescent="0.2">
      <c r="A940" s="29">
        <v>31024</v>
      </c>
      <c r="B940" s="30">
        <f>VLOOKUP(A940,'Database Claims'!$A:$C,3,)</f>
        <v>383000</v>
      </c>
      <c r="C940" s="30">
        <f t="shared" si="28"/>
        <v>-18000</v>
      </c>
      <c r="D940" s="30">
        <f>VLOOKUP(A940,'Database Claims'!$A:$C,2,)</f>
        <v>2589000</v>
      </c>
      <c r="E940" s="30">
        <f t="shared" si="29"/>
        <v>60000</v>
      </c>
    </row>
    <row r="941" spans="1:5" x14ac:dyDescent="0.2">
      <c r="A941" s="29">
        <v>31031</v>
      </c>
      <c r="B941" s="26">
        <f>VLOOKUP(A941,'Database Claims'!$A:$C,3,)</f>
        <v>386000</v>
      </c>
      <c r="C941" s="30">
        <f t="shared" si="28"/>
        <v>3000</v>
      </c>
      <c r="D941" s="26">
        <f>VLOOKUP(A941,'Database Claims'!$A:$C,2,)</f>
        <v>2594000</v>
      </c>
      <c r="E941" s="30">
        <f t="shared" si="29"/>
        <v>5000</v>
      </c>
    </row>
    <row r="942" spans="1:5" x14ac:dyDescent="0.2">
      <c r="A942" s="29">
        <v>31038</v>
      </c>
      <c r="B942" s="30">
        <f>VLOOKUP(A942,'Database Claims'!$A:$C,3,)</f>
        <v>379000</v>
      </c>
      <c r="C942" s="30">
        <f t="shared" si="28"/>
        <v>-7000</v>
      </c>
      <c r="D942" s="30">
        <f>VLOOKUP(A942,'Database Claims'!$A:$C,2,)</f>
        <v>2487000</v>
      </c>
      <c r="E942" s="30">
        <f t="shared" si="29"/>
        <v>-107000</v>
      </c>
    </row>
    <row r="943" spans="1:5" x14ac:dyDescent="0.2">
      <c r="A943" s="29">
        <v>31045</v>
      </c>
      <c r="B943" s="26">
        <f>VLOOKUP(A943,'Database Claims'!$A:$C,3,)</f>
        <v>379000</v>
      </c>
      <c r="C943" s="30">
        <f t="shared" si="28"/>
        <v>0</v>
      </c>
      <c r="D943" s="26">
        <f>VLOOKUP(A943,'Database Claims'!$A:$C,2,)</f>
        <v>2536000</v>
      </c>
      <c r="E943" s="30">
        <f t="shared" si="29"/>
        <v>49000</v>
      </c>
    </row>
    <row r="944" spans="1:5" x14ac:dyDescent="0.2">
      <c r="A944" s="29">
        <v>31052</v>
      </c>
      <c r="B944" s="30">
        <f>VLOOKUP(A944,'Database Claims'!$A:$C,3,)</f>
        <v>369000</v>
      </c>
      <c r="C944" s="30">
        <f t="shared" si="28"/>
        <v>-10000</v>
      </c>
      <c r="D944" s="30">
        <f>VLOOKUP(A944,'Database Claims'!$A:$C,2,)</f>
        <v>2593000</v>
      </c>
      <c r="E944" s="30">
        <f t="shared" si="29"/>
        <v>57000</v>
      </c>
    </row>
    <row r="945" spans="1:5" x14ac:dyDescent="0.2">
      <c r="A945" s="29">
        <v>31059</v>
      </c>
      <c r="B945" s="26">
        <f>VLOOKUP(A945,'Database Claims'!$A:$C,3,)</f>
        <v>387000</v>
      </c>
      <c r="C945" s="30">
        <f t="shared" si="28"/>
        <v>18000</v>
      </c>
      <c r="D945" s="26">
        <f>VLOOKUP(A945,'Database Claims'!$A:$C,2,)</f>
        <v>2543000</v>
      </c>
      <c r="E945" s="30">
        <f t="shared" si="29"/>
        <v>-50000</v>
      </c>
    </row>
    <row r="946" spans="1:5" x14ac:dyDescent="0.2">
      <c r="A946" s="29">
        <v>31066</v>
      </c>
      <c r="B946" s="30">
        <f>VLOOKUP(A946,'Database Claims'!$A:$C,3,)</f>
        <v>359000</v>
      </c>
      <c r="C946" s="30">
        <f t="shared" si="28"/>
        <v>-28000</v>
      </c>
      <c r="D946" s="30">
        <f>VLOOKUP(A946,'Database Claims'!$A:$C,2,)</f>
        <v>2472000</v>
      </c>
      <c r="E946" s="30">
        <f t="shared" si="29"/>
        <v>-71000</v>
      </c>
    </row>
    <row r="947" spans="1:5" x14ac:dyDescent="0.2">
      <c r="A947" s="29">
        <v>31073</v>
      </c>
      <c r="B947" s="26">
        <f>VLOOKUP(A947,'Database Claims'!$A:$C,3,)</f>
        <v>368000</v>
      </c>
      <c r="C947" s="30">
        <f t="shared" si="28"/>
        <v>9000</v>
      </c>
      <c r="D947" s="26">
        <f>VLOOKUP(A947,'Database Claims'!$A:$C,2,)</f>
        <v>2601000</v>
      </c>
      <c r="E947" s="30">
        <f t="shared" si="29"/>
        <v>129000</v>
      </c>
    </row>
    <row r="948" spans="1:5" x14ac:dyDescent="0.2">
      <c r="A948" s="29">
        <v>31080</v>
      </c>
      <c r="B948" s="30">
        <f>VLOOKUP(A948,'Database Claims'!$A:$C,3,)</f>
        <v>386000</v>
      </c>
      <c r="C948" s="30">
        <f t="shared" si="28"/>
        <v>18000</v>
      </c>
      <c r="D948" s="30">
        <f>VLOOKUP(A948,'Database Claims'!$A:$C,2,)</f>
        <v>2632000</v>
      </c>
      <c r="E948" s="30">
        <f t="shared" si="29"/>
        <v>31000</v>
      </c>
    </row>
    <row r="949" spans="1:5" x14ac:dyDescent="0.2">
      <c r="A949" s="29">
        <v>31087</v>
      </c>
      <c r="B949" s="26">
        <f>VLOOKUP(A949,'Database Claims'!$A:$C,3,)</f>
        <v>401000</v>
      </c>
      <c r="C949" s="30">
        <f t="shared" si="28"/>
        <v>15000</v>
      </c>
      <c r="D949" s="26">
        <f>VLOOKUP(A949,'Database Claims'!$A:$C,2,)</f>
        <v>2608000</v>
      </c>
      <c r="E949" s="30">
        <f t="shared" si="29"/>
        <v>-24000</v>
      </c>
    </row>
    <row r="950" spans="1:5" x14ac:dyDescent="0.2">
      <c r="A950" s="29">
        <v>31094</v>
      </c>
      <c r="B950" s="30">
        <f>VLOOKUP(A950,'Database Claims'!$A:$C,3,)</f>
        <v>390000</v>
      </c>
      <c r="C950" s="30">
        <f t="shared" si="28"/>
        <v>-11000</v>
      </c>
      <c r="D950" s="30">
        <f>VLOOKUP(A950,'Database Claims'!$A:$C,2,)</f>
        <v>2613000</v>
      </c>
      <c r="E950" s="30">
        <f t="shared" si="29"/>
        <v>5000</v>
      </c>
    </row>
    <row r="951" spans="1:5" x14ac:dyDescent="0.2">
      <c r="A951" s="29">
        <v>31101</v>
      </c>
      <c r="B951" s="26">
        <f>VLOOKUP(A951,'Database Claims'!$A:$C,3,)</f>
        <v>390000</v>
      </c>
      <c r="C951" s="30">
        <f t="shared" si="28"/>
        <v>0</v>
      </c>
      <c r="D951" s="26">
        <f>VLOOKUP(A951,'Database Claims'!$A:$C,2,)</f>
        <v>2641000</v>
      </c>
      <c r="E951" s="30">
        <f t="shared" si="29"/>
        <v>28000</v>
      </c>
    </row>
    <row r="952" spans="1:5" x14ac:dyDescent="0.2">
      <c r="A952" s="29">
        <v>31108</v>
      </c>
      <c r="B952" s="30">
        <f>VLOOKUP(A952,'Database Claims'!$A:$C,3,)</f>
        <v>374000</v>
      </c>
      <c r="C952" s="30">
        <f t="shared" si="28"/>
        <v>-16000</v>
      </c>
      <c r="D952" s="30">
        <f>VLOOKUP(A952,'Database Claims'!$A:$C,2,)</f>
        <v>2571000</v>
      </c>
      <c r="E952" s="30">
        <f t="shared" si="29"/>
        <v>-70000</v>
      </c>
    </row>
    <row r="953" spans="1:5" x14ac:dyDescent="0.2">
      <c r="A953" s="29">
        <v>31115</v>
      </c>
      <c r="B953" s="26">
        <f>VLOOKUP(A953,'Database Claims'!$A:$C,3,)</f>
        <v>385000</v>
      </c>
      <c r="C953" s="30">
        <f t="shared" si="28"/>
        <v>11000</v>
      </c>
      <c r="D953" s="26">
        <f>VLOOKUP(A953,'Database Claims'!$A:$C,2,)</f>
        <v>2591000</v>
      </c>
      <c r="E953" s="30">
        <f t="shared" si="29"/>
        <v>20000</v>
      </c>
    </row>
    <row r="954" spans="1:5" x14ac:dyDescent="0.2">
      <c r="A954" s="29">
        <v>31122</v>
      </c>
      <c r="B954" s="30">
        <f>VLOOKUP(A954,'Database Claims'!$A:$C,3,)</f>
        <v>386000</v>
      </c>
      <c r="C954" s="30">
        <f t="shared" si="28"/>
        <v>1000</v>
      </c>
      <c r="D954" s="30">
        <f>VLOOKUP(A954,'Database Claims'!$A:$C,2,)</f>
        <v>2578000</v>
      </c>
      <c r="E954" s="30">
        <f t="shared" si="29"/>
        <v>-13000</v>
      </c>
    </row>
    <row r="955" spans="1:5" x14ac:dyDescent="0.2">
      <c r="A955" s="29">
        <v>31129</v>
      </c>
      <c r="B955" s="26">
        <f>VLOOKUP(A955,'Database Claims'!$A:$C,3,)</f>
        <v>373000</v>
      </c>
      <c r="C955" s="30">
        <f t="shared" si="28"/>
        <v>-13000</v>
      </c>
      <c r="D955" s="26">
        <f>VLOOKUP(A955,'Database Claims'!$A:$C,2,)</f>
        <v>2556000</v>
      </c>
      <c r="E955" s="30">
        <f t="shared" si="29"/>
        <v>-22000</v>
      </c>
    </row>
    <row r="956" spans="1:5" x14ac:dyDescent="0.2">
      <c r="A956" s="29">
        <v>31136</v>
      </c>
      <c r="B956" s="30">
        <f>VLOOKUP(A956,'Database Claims'!$A:$C,3,)</f>
        <v>386000</v>
      </c>
      <c r="C956" s="30">
        <f t="shared" si="28"/>
        <v>13000</v>
      </c>
      <c r="D956" s="30">
        <f>VLOOKUP(A956,'Database Claims'!$A:$C,2,)</f>
        <v>2526000</v>
      </c>
      <c r="E956" s="30">
        <f t="shared" si="29"/>
        <v>-30000</v>
      </c>
    </row>
    <row r="957" spans="1:5" x14ac:dyDescent="0.2">
      <c r="A957" s="29">
        <v>31143</v>
      </c>
      <c r="B957" s="26">
        <f>VLOOKUP(A957,'Database Claims'!$A:$C,3,)</f>
        <v>405000</v>
      </c>
      <c r="C957" s="30">
        <f t="shared" si="28"/>
        <v>19000</v>
      </c>
      <c r="D957" s="26">
        <f>VLOOKUP(A957,'Database Claims'!$A:$C,2,)</f>
        <v>2569000</v>
      </c>
      <c r="E957" s="30">
        <f t="shared" si="29"/>
        <v>43000</v>
      </c>
    </row>
    <row r="958" spans="1:5" x14ac:dyDescent="0.2">
      <c r="A958" s="29">
        <v>31150</v>
      </c>
      <c r="B958" s="30">
        <f>VLOOKUP(A958,'Database Claims'!$A:$C,3,)</f>
        <v>411000</v>
      </c>
      <c r="C958" s="30">
        <f t="shared" si="28"/>
        <v>6000</v>
      </c>
      <c r="D958" s="30">
        <f>VLOOKUP(A958,'Database Claims'!$A:$C,2,)</f>
        <v>2600000</v>
      </c>
      <c r="E958" s="30">
        <f t="shared" si="29"/>
        <v>31000</v>
      </c>
    </row>
    <row r="959" spans="1:5" x14ac:dyDescent="0.2">
      <c r="A959" s="29">
        <v>31157</v>
      </c>
      <c r="B959" s="26">
        <f>VLOOKUP(A959,'Database Claims'!$A:$C,3,)</f>
        <v>391000</v>
      </c>
      <c r="C959" s="30">
        <f t="shared" si="28"/>
        <v>-20000</v>
      </c>
      <c r="D959" s="26">
        <f>VLOOKUP(A959,'Database Claims'!$A:$C,2,)</f>
        <v>2584000</v>
      </c>
      <c r="E959" s="30">
        <f t="shared" si="29"/>
        <v>-16000</v>
      </c>
    </row>
    <row r="960" spans="1:5" x14ac:dyDescent="0.2">
      <c r="A960" s="29">
        <v>31164</v>
      </c>
      <c r="B960" s="30">
        <f>VLOOKUP(A960,'Database Claims'!$A:$C,3,)</f>
        <v>386000</v>
      </c>
      <c r="C960" s="30">
        <f t="shared" si="28"/>
        <v>-5000</v>
      </c>
      <c r="D960" s="30">
        <f>VLOOKUP(A960,'Database Claims'!$A:$C,2,)</f>
        <v>2562000</v>
      </c>
      <c r="E960" s="30">
        <f t="shared" si="29"/>
        <v>-22000</v>
      </c>
    </row>
    <row r="961" spans="1:5" x14ac:dyDescent="0.2">
      <c r="A961" s="29">
        <v>31171</v>
      </c>
      <c r="B961" s="26">
        <f>VLOOKUP(A961,'Database Claims'!$A:$C,3,)</f>
        <v>390000</v>
      </c>
      <c r="C961" s="30">
        <f t="shared" si="28"/>
        <v>4000</v>
      </c>
      <c r="D961" s="26">
        <f>VLOOKUP(A961,'Database Claims'!$A:$C,2,)</f>
        <v>2582000</v>
      </c>
      <c r="E961" s="30">
        <f t="shared" si="29"/>
        <v>20000</v>
      </c>
    </row>
    <row r="962" spans="1:5" x14ac:dyDescent="0.2">
      <c r="A962" s="29">
        <v>31178</v>
      </c>
      <c r="B962" s="30">
        <f>VLOOKUP(A962,'Database Claims'!$A:$C,3,)</f>
        <v>394000</v>
      </c>
      <c r="C962" s="30">
        <f t="shared" si="28"/>
        <v>4000</v>
      </c>
      <c r="D962" s="30">
        <f>VLOOKUP(A962,'Database Claims'!$A:$C,2,)</f>
        <v>2569000</v>
      </c>
      <c r="E962" s="30">
        <f t="shared" si="29"/>
        <v>-13000</v>
      </c>
    </row>
    <row r="963" spans="1:5" x14ac:dyDescent="0.2">
      <c r="A963" s="29">
        <v>31185</v>
      </c>
      <c r="B963" s="26">
        <f>VLOOKUP(A963,'Database Claims'!$A:$C,3,)</f>
        <v>391000</v>
      </c>
      <c r="C963" s="30">
        <f t="shared" si="28"/>
        <v>-3000</v>
      </c>
      <c r="D963" s="26">
        <f>VLOOKUP(A963,'Database Claims'!$A:$C,2,)</f>
        <v>2547000</v>
      </c>
      <c r="E963" s="30">
        <f t="shared" si="29"/>
        <v>-22000</v>
      </c>
    </row>
    <row r="964" spans="1:5" x14ac:dyDescent="0.2">
      <c r="A964" s="29">
        <v>31192</v>
      </c>
      <c r="B964" s="30">
        <f>VLOOKUP(A964,'Database Claims'!$A:$C,3,)</f>
        <v>396000</v>
      </c>
      <c r="C964" s="30">
        <f t="shared" si="28"/>
        <v>5000</v>
      </c>
      <c r="D964" s="30">
        <f>VLOOKUP(A964,'Database Claims'!$A:$C,2,)</f>
        <v>2545000</v>
      </c>
      <c r="E964" s="30">
        <f t="shared" si="29"/>
        <v>-2000</v>
      </c>
    </row>
    <row r="965" spans="1:5" x14ac:dyDescent="0.2">
      <c r="A965" s="29">
        <v>31199</v>
      </c>
      <c r="B965" s="26">
        <f>VLOOKUP(A965,'Database Claims'!$A:$C,3,)</f>
        <v>393000</v>
      </c>
      <c r="C965" s="30">
        <f t="shared" si="28"/>
        <v>-3000</v>
      </c>
      <c r="D965" s="26">
        <f>VLOOKUP(A965,'Database Claims'!$A:$C,2,)</f>
        <v>2591000</v>
      </c>
      <c r="E965" s="30">
        <f t="shared" si="29"/>
        <v>46000</v>
      </c>
    </row>
    <row r="966" spans="1:5" x14ac:dyDescent="0.2">
      <c r="A966" s="29">
        <v>31206</v>
      </c>
      <c r="B966" s="30">
        <f>VLOOKUP(A966,'Database Claims'!$A:$C,3,)</f>
        <v>403000</v>
      </c>
      <c r="C966" s="30">
        <f t="shared" ref="C966:C1029" si="30">B966-B965</f>
        <v>10000</v>
      </c>
      <c r="D966" s="30">
        <f>VLOOKUP(A966,'Database Claims'!$A:$C,2,)</f>
        <v>2564000</v>
      </c>
      <c r="E966" s="30">
        <f t="shared" ref="E966:E1029" si="31">D966-D965</f>
        <v>-27000</v>
      </c>
    </row>
    <row r="967" spans="1:5" x14ac:dyDescent="0.2">
      <c r="A967" s="29">
        <v>31213</v>
      </c>
      <c r="B967" s="26">
        <f>VLOOKUP(A967,'Database Claims'!$A:$C,3,)</f>
        <v>390000</v>
      </c>
      <c r="C967" s="30">
        <f t="shared" si="30"/>
        <v>-13000</v>
      </c>
      <c r="D967" s="26">
        <f>VLOOKUP(A967,'Database Claims'!$A:$C,2,)</f>
        <v>2549000</v>
      </c>
      <c r="E967" s="30">
        <f t="shared" si="31"/>
        <v>-15000</v>
      </c>
    </row>
    <row r="968" spans="1:5" x14ac:dyDescent="0.2">
      <c r="A968" s="29">
        <v>31220</v>
      </c>
      <c r="B968" s="30">
        <f>VLOOKUP(A968,'Database Claims'!$A:$C,3,)</f>
        <v>386000</v>
      </c>
      <c r="C968" s="30">
        <f t="shared" si="30"/>
        <v>-4000</v>
      </c>
      <c r="D968" s="30">
        <f>VLOOKUP(A968,'Database Claims'!$A:$C,2,)</f>
        <v>2550000</v>
      </c>
      <c r="E968" s="30">
        <f t="shared" si="31"/>
        <v>1000</v>
      </c>
    </row>
    <row r="969" spans="1:5" x14ac:dyDescent="0.2">
      <c r="A969" s="29">
        <v>31227</v>
      </c>
      <c r="B969" s="26">
        <f>VLOOKUP(A969,'Database Claims'!$A:$C,3,)</f>
        <v>390000</v>
      </c>
      <c r="C969" s="30">
        <f t="shared" si="30"/>
        <v>4000</v>
      </c>
      <c r="D969" s="26">
        <f>VLOOKUP(A969,'Database Claims'!$A:$C,2,)</f>
        <v>2505000</v>
      </c>
      <c r="E969" s="30">
        <f t="shared" si="31"/>
        <v>-45000</v>
      </c>
    </row>
    <row r="970" spans="1:5" x14ac:dyDescent="0.2">
      <c r="A970" s="29">
        <v>31234</v>
      </c>
      <c r="B970" s="30">
        <f>VLOOKUP(A970,'Database Claims'!$A:$C,3,)</f>
        <v>395000</v>
      </c>
      <c r="C970" s="30">
        <f t="shared" si="30"/>
        <v>5000</v>
      </c>
      <c r="D970" s="30">
        <f>VLOOKUP(A970,'Database Claims'!$A:$C,2,)</f>
        <v>2609000</v>
      </c>
      <c r="E970" s="30">
        <f t="shared" si="31"/>
        <v>104000</v>
      </c>
    </row>
    <row r="971" spans="1:5" x14ac:dyDescent="0.2">
      <c r="A971" s="29">
        <v>31241</v>
      </c>
      <c r="B971" s="26">
        <f>VLOOKUP(A971,'Database Claims'!$A:$C,3,)</f>
        <v>386000</v>
      </c>
      <c r="C971" s="30">
        <f t="shared" si="30"/>
        <v>-9000</v>
      </c>
      <c r="D971" s="26">
        <f>VLOOKUP(A971,'Database Claims'!$A:$C,2,)</f>
        <v>2519000</v>
      </c>
      <c r="E971" s="30">
        <f t="shared" si="31"/>
        <v>-90000</v>
      </c>
    </row>
    <row r="972" spans="1:5" x14ac:dyDescent="0.2">
      <c r="A972" s="29">
        <v>31248</v>
      </c>
      <c r="B972" s="30">
        <f>VLOOKUP(A972,'Database Claims'!$A:$C,3,)</f>
        <v>370000</v>
      </c>
      <c r="C972" s="30">
        <f t="shared" si="30"/>
        <v>-16000</v>
      </c>
      <c r="D972" s="30">
        <f>VLOOKUP(A972,'Database Claims'!$A:$C,2,)</f>
        <v>2520000</v>
      </c>
      <c r="E972" s="30">
        <f t="shared" si="31"/>
        <v>1000</v>
      </c>
    </row>
    <row r="973" spans="1:5" x14ac:dyDescent="0.2">
      <c r="A973" s="29">
        <v>31255</v>
      </c>
      <c r="B973" s="26">
        <f>VLOOKUP(A973,'Database Claims'!$A:$C,3,)</f>
        <v>362000</v>
      </c>
      <c r="C973" s="30">
        <f t="shared" si="30"/>
        <v>-8000</v>
      </c>
      <c r="D973" s="26">
        <f>VLOOKUP(A973,'Database Claims'!$A:$C,2,)</f>
        <v>2522000</v>
      </c>
      <c r="E973" s="30">
        <f t="shared" si="31"/>
        <v>2000</v>
      </c>
    </row>
    <row r="974" spans="1:5" x14ac:dyDescent="0.2">
      <c r="A974" s="29">
        <v>31262</v>
      </c>
      <c r="B974" s="30">
        <f>VLOOKUP(A974,'Database Claims'!$A:$C,3,)</f>
        <v>407000</v>
      </c>
      <c r="C974" s="30">
        <f t="shared" si="30"/>
        <v>45000</v>
      </c>
      <c r="D974" s="30">
        <f>VLOOKUP(A974,'Database Claims'!$A:$C,2,)</f>
        <v>2518000</v>
      </c>
      <c r="E974" s="30">
        <f t="shared" si="31"/>
        <v>-4000</v>
      </c>
    </row>
    <row r="975" spans="1:5" x14ac:dyDescent="0.2">
      <c r="A975" s="29">
        <v>31269</v>
      </c>
      <c r="B975" s="26">
        <f>VLOOKUP(A975,'Database Claims'!$A:$C,3,)</f>
        <v>402000</v>
      </c>
      <c r="C975" s="30">
        <f t="shared" si="30"/>
        <v>-5000</v>
      </c>
      <c r="D975" s="26">
        <f>VLOOKUP(A975,'Database Claims'!$A:$C,2,)</f>
        <v>2565000</v>
      </c>
      <c r="E975" s="30">
        <f t="shared" si="31"/>
        <v>47000</v>
      </c>
    </row>
    <row r="976" spans="1:5" x14ac:dyDescent="0.2">
      <c r="A976" s="29">
        <v>31276</v>
      </c>
      <c r="B976" s="30">
        <f>VLOOKUP(A976,'Database Claims'!$A:$C,3,)</f>
        <v>399000</v>
      </c>
      <c r="C976" s="30">
        <f t="shared" si="30"/>
        <v>-3000</v>
      </c>
      <c r="D976" s="30">
        <f>VLOOKUP(A976,'Database Claims'!$A:$C,2,)</f>
        <v>2574000</v>
      </c>
      <c r="E976" s="30">
        <f t="shared" si="31"/>
        <v>9000</v>
      </c>
    </row>
    <row r="977" spans="1:5" x14ac:dyDescent="0.2">
      <c r="A977" s="29">
        <v>31283</v>
      </c>
      <c r="B977" s="26">
        <f>VLOOKUP(A977,'Database Claims'!$A:$C,3,)</f>
        <v>405000</v>
      </c>
      <c r="C977" s="30">
        <f t="shared" si="30"/>
        <v>6000</v>
      </c>
      <c r="D977" s="26">
        <f>VLOOKUP(A977,'Database Claims'!$A:$C,2,)</f>
        <v>2561000</v>
      </c>
      <c r="E977" s="30">
        <f t="shared" si="31"/>
        <v>-13000</v>
      </c>
    </row>
    <row r="978" spans="1:5" x14ac:dyDescent="0.2">
      <c r="A978" s="29">
        <v>31290</v>
      </c>
      <c r="B978" s="30">
        <f>VLOOKUP(A978,'Database Claims'!$A:$C,3,)</f>
        <v>409000</v>
      </c>
      <c r="C978" s="30">
        <f t="shared" si="30"/>
        <v>4000</v>
      </c>
      <c r="D978" s="30">
        <f>VLOOKUP(A978,'Database Claims'!$A:$C,2,)</f>
        <v>2595000</v>
      </c>
      <c r="E978" s="30">
        <f t="shared" si="31"/>
        <v>34000</v>
      </c>
    </row>
    <row r="979" spans="1:5" x14ac:dyDescent="0.2">
      <c r="A979" s="29">
        <v>31297</v>
      </c>
      <c r="B979" s="26">
        <f>VLOOKUP(A979,'Database Claims'!$A:$C,3,)</f>
        <v>426000</v>
      </c>
      <c r="C979" s="30">
        <f t="shared" si="30"/>
        <v>17000</v>
      </c>
      <c r="D979" s="26">
        <f>VLOOKUP(A979,'Database Claims'!$A:$C,2,)</f>
        <v>2596000</v>
      </c>
      <c r="E979" s="30">
        <f t="shared" si="31"/>
        <v>1000</v>
      </c>
    </row>
    <row r="980" spans="1:5" x14ac:dyDescent="0.2">
      <c r="A980" s="29">
        <v>31304</v>
      </c>
      <c r="B980" s="30">
        <f>VLOOKUP(A980,'Database Claims'!$A:$C,3,)</f>
        <v>408000</v>
      </c>
      <c r="C980" s="30">
        <f t="shared" si="30"/>
        <v>-18000</v>
      </c>
      <c r="D980" s="30">
        <f>VLOOKUP(A980,'Database Claims'!$A:$C,2,)</f>
        <v>2590000</v>
      </c>
      <c r="E980" s="30">
        <f t="shared" si="31"/>
        <v>-6000</v>
      </c>
    </row>
    <row r="981" spans="1:5" x14ac:dyDescent="0.2">
      <c r="A981" s="29">
        <v>31311</v>
      </c>
      <c r="B981" s="26">
        <f>VLOOKUP(A981,'Database Claims'!$A:$C,3,)</f>
        <v>401000</v>
      </c>
      <c r="C981" s="30">
        <f t="shared" si="30"/>
        <v>-7000</v>
      </c>
      <c r="D981" s="26">
        <f>VLOOKUP(A981,'Database Claims'!$A:$C,2,)</f>
        <v>2513000</v>
      </c>
      <c r="E981" s="30">
        <f t="shared" si="31"/>
        <v>-77000</v>
      </c>
    </row>
    <row r="982" spans="1:5" x14ac:dyDescent="0.2">
      <c r="A982" s="29">
        <v>31318</v>
      </c>
      <c r="B982" s="30">
        <f>VLOOKUP(A982,'Database Claims'!$A:$C,3,)</f>
        <v>399000</v>
      </c>
      <c r="C982" s="30">
        <f t="shared" si="30"/>
        <v>-2000</v>
      </c>
      <c r="D982" s="30">
        <f>VLOOKUP(A982,'Database Claims'!$A:$C,2,)</f>
        <v>2623000</v>
      </c>
      <c r="E982" s="30">
        <f t="shared" si="31"/>
        <v>110000</v>
      </c>
    </row>
    <row r="983" spans="1:5" x14ac:dyDescent="0.2">
      <c r="A983" s="29">
        <v>31325</v>
      </c>
      <c r="B983" s="26">
        <f>VLOOKUP(A983,'Database Claims'!$A:$C,3,)</f>
        <v>405000</v>
      </c>
      <c r="C983" s="30">
        <f t="shared" si="30"/>
        <v>6000</v>
      </c>
      <c r="D983" s="26">
        <f>VLOOKUP(A983,'Database Claims'!$A:$C,2,)</f>
        <v>2657000</v>
      </c>
      <c r="E983" s="30">
        <f t="shared" si="31"/>
        <v>34000</v>
      </c>
    </row>
    <row r="984" spans="1:5" x14ac:dyDescent="0.2">
      <c r="A984" s="29">
        <v>31332</v>
      </c>
      <c r="B984" s="30">
        <f>VLOOKUP(A984,'Database Claims'!$A:$C,3,)</f>
        <v>400000</v>
      </c>
      <c r="C984" s="30">
        <f t="shared" si="30"/>
        <v>-5000</v>
      </c>
      <c r="D984" s="30">
        <f>VLOOKUP(A984,'Database Claims'!$A:$C,2,)</f>
        <v>2569000</v>
      </c>
      <c r="E984" s="30">
        <f t="shared" si="31"/>
        <v>-88000</v>
      </c>
    </row>
    <row r="985" spans="1:5" x14ac:dyDescent="0.2">
      <c r="A985" s="29">
        <v>31339</v>
      </c>
      <c r="B985" s="26">
        <f>VLOOKUP(A985,'Database Claims'!$A:$C,3,)</f>
        <v>400000</v>
      </c>
      <c r="C985" s="30">
        <f t="shared" si="30"/>
        <v>0</v>
      </c>
      <c r="D985" s="26">
        <f>VLOOKUP(A985,'Database Claims'!$A:$C,2,)</f>
        <v>2644000</v>
      </c>
      <c r="E985" s="30">
        <f t="shared" si="31"/>
        <v>75000</v>
      </c>
    </row>
    <row r="986" spans="1:5" x14ac:dyDescent="0.2">
      <c r="A986" s="29">
        <v>31346</v>
      </c>
      <c r="B986" s="30">
        <f>VLOOKUP(A986,'Database Claims'!$A:$C,3,)</f>
        <v>418000</v>
      </c>
      <c r="C986" s="30">
        <f t="shared" si="30"/>
        <v>18000</v>
      </c>
      <c r="D986" s="30">
        <f>VLOOKUP(A986,'Database Claims'!$A:$C,2,)</f>
        <v>2657000</v>
      </c>
      <c r="E986" s="30">
        <f t="shared" si="31"/>
        <v>13000</v>
      </c>
    </row>
    <row r="987" spans="1:5" x14ac:dyDescent="0.2">
      <c r="A987" s="29">
        <v>31353</v>
      </c>
      <c r="B987" s="26">
        <f>VLOOKUP(A987,'Database Claims'!$A:$C,3,)</f>
        <v>398000</v>
      </c>
      <c r="C987" s="30">
        <f t="shared" si="30"/>
        <v>-20000</v>
      </c>
      <c r="D987" s="26">
        <f>VLOOKUP(A987,'Database Claims'!$A:$C,2,)</f>
        <v>2673000</v>
      </c>
      <c r="E987" s="30">
        <f t="shared" si="31"/>
        <v>16000</v>
      </c>
    </row>
    <row r="988" spans="1:5" x14ac:dyDescent="0.2">
      <c r="A988" s="29">
        <v>31360</v>
      </c>
      <c r="B988" s="30">
        <f>VLOOKUP(A988,'Database Claims'!$A:$C,3,)</f>
        <v>397000</v>
      </c>
      <c r="C988" s="30">
        <f t="shared" si="30"/>
        <v>-1000</v>
      </c>
      <c r="D988" s="30">
        <f>VLOOKUP(A988,'Database Claims'!$A:$C,2,)</f>
        <v>2612000</v>
      </c>
      <c r="E988" s="30">
        <f t="shared" si="31"/>
        <v>-61000</v>
      </c>
    </row>
    <row r="989" spans="1:5" x14ac:dyDescent="0.2">
      <c r="A989" s="29">
        <v>31367</v>
      </c>
      <c r="B989" s="26">
        <f>VLOOKUP(A989,'Database Claims'!$A:$C,3,)</f>
        <v>397000</v>
      </c>
      <c r="C989" s="30">
        <f t="shared" si="30"/>
        <v>0</v>
      </c>
      <c r="D989" s="26">
        <f>VLOOKUP(A989,'Database Claims'!$A:$C,2,)</f>
        <v>2618000</v>
      </c>
      <c r="E989" s="30">
        <f t="shared" si="31"/>
        <v>6000</v>
      </c>
    </row>
    <row r="990" spans="1:5" x14ac:dyDescent="0.2">
      <c r="A990" s="29">
        <v>31374</v>
      </c>
      <c r="B990" s="30">
        <f>VLOOKUP(A990,'Database Claims'!$A:$C,3,)</f>
        <v>382000</v>
      </c>
      <c r="C990" s="30">
        <f t="shared" si="30"/>
        <v>-15000</v>
      </c>
      <c r="D990" s="30">
        <f>VLOOKUP(A990,'Database Claims'!$A:$C,2,)</f>
        <v>2585000</v>
      </c>
      <c r="E990" s="30">
        <f t="shared" si="31"/>
        <v>-33000</v>
      </c>
    </row>
    <row r="991" spans="1:5" x14ac:dyDescent="0.2">
      <c r="A991" s="29">
        <v>31381</v>
      </c>
      <c r="B991" s="26">
        <f>VLOOKUP(A991,'Database Claims'!$A:$C,3,)</f>
        <v>393000</v>
      </c>
      <c r="C991" s="30">
        <f t="shared" si="30"/>
        <v>11000</v>
      </c>
      <c r="D991" s="26">
        <f>VLOOKUP(A991,'Database Claims'!$A:$C,2,)</f>
        <v>2638000</v>
      </c>
      <c r="E991" s="30">
        <f t="shared" si="31"/>
        <v>53000</v>
      </c>
    </row>
    <row r="992" spans="1:5" x14ac:dyDescent="0.2">
      <c r="A992" s="29">
        <v>31388</v>
      </c>
      <c r="B992" s="30">
        <f>VLOOKUP(A992,'Database Claims'!$A:$C,3,)</f>
        <v>399000</v>
      </c>
      <c r="C992" s="30">
        <f t="shared" si="30"/>
        <v>6000</v>
      </c>
      <c r="D992" s="30">
        <f>VLOOKUP(A992,'Database Claims'!$A:$C,2,)</f>
        <v>2744000</v>
      </c>
      <c r="E992" s="30">
        <f t="shared" si="31"/>
        <v>106000</v>
      </c>
    </row>
    <row r="993" spans="1:5" x14ac:dyDescent="0.2">
      <c r="A993" s="29">
        <v>31395</v>
      </c>
      <c r="B993" s="26">
        <f>VLOOKUP(A993,'Database Claims'!$A:$C,3,)</f>
        <v>382000</v>
      </c>
      <c r="C993" s="30">
        <f t="shared" si="30"/>
        <v>-17000</v>
      </c>
      <c r="D993" s="26">
        <f>VLOOKUP(A993,'Database Claims'!$A:$C,2,)</f>
        <v>2680000</v>
      </c>
      <c r="E993" s="30">
        <f t="shared" si="31"/>
        <v>-64000</v>
      </c>
    </row>
    <row r="994" spans="1:5" x14ac:dyDescent="0.2">
      <c r="A994" s="29">
        <v>31402</v>
      </c>
      <c r="B994" s="30">
        <f>VLOOKUP(A994,'Database Claims'!$A:$C,3,)</f>
        <v>370000</v>
      </c>
      <c r="C994" s="30">
        <f t="shared" si="30"/>
        <v>-12000</v>
      </c>
      <c r="D994" s="30">
        <f>VLOOKUP(A994,'Database Claims'!$A:$C,2,)</f>
        <v>2543000</v>
      </c>
      <c r="E994" s="30">
        <f t="shared" si="31"/>
        <v>-137000</v>
      </c>
    </row>
    <row r="995" spans="1:5" x14ac:dyDescent="0.2">
      <c r="A995" s="29">
        <v>31409</v>
      </c>
      <c r="B995" s="26">
        <f>VLOOKUP(A995,'Database Claims'!$A:$C,3,)</f>
        <v>390000</v>
      </c>
      <c r="C995" s="30">
        <f t="shared" si="30"/>
        <v>20000</v>
      </c>
      <c r="D995" s="26">
        <f>VLOOKUP(A995,'Database Claims'!$A:$C,2,)</f>
        <v>2608000</v>
      </c>
      <c r="E995" s="30">
        <f t="shared" si="31"/>
        <v>65000</v>
      </c>
    </row>
    <row r="996" spans="1:5" x14ac:dyDescent="0.2">
      <c r="A996" s="29">
        <v>31416</v>
      </c>
      <c r="B996" s="30">
        <f>VLOOKUP(A996,'Database Claims'!$A:$C,3,)</f>
        <v>362000</v>
      </c>
      <c r="C996" s="30">
        <f t="shared" si="30"/>
        <v>-28000</v>
      </c>
      <c r="D996" s="30">
        <f>VLOOKUP(A996,'Database Claims'!$A:$C,2,)</f>
        <v>2694000</v>
      </c>
      <c r="E996" s="30">
        <f t="shared" si="31"/>
        <v>86000</v>
      </c>
    </row>
    <row r="997" spans="1:5" x14ac:dyDescent="0.2">
      <c r="A997" s="29">
        <v>31423</v>
      </c>
      <c r="B997" s="26">
        <f>VLOOKUP(A997,'Database Claims'!$A:$C,3,)</f>
        <v>397000</v>
      </c>
      <c r="C997" s="30">
        <f t="shared" si="30"/>
        <v>35000</v>
      </c>
      <c r="D997" s="26">
        <f>VLOOKUP(A997,'Database Claims'!$A:$C,2,)</f>
        <v>2636000</v>
      </c>
      <c r="E997" s="30">
        <f t="shared" si="31"/>
        <v>-58000</v>
      </c>
    </row>
    <row r="998" spans="1:5" x14ac:dyDescent="0.2">
      <c r="A998" s="29">
        <v>31430</v>
      </c>
      <c r="B998" s="30">
        <f>VLOOKUP(A998,'Database Claims'!$A:$C,3,)</f>
        <v>364000</v>
      </c>
      <c r="C998" s="30">
        <f t="shared" si="30"/>
        <v>-33000</v>
      </c>
      <c r="D998" s="30">
        <f>VLOOKUP(A998,'Database Claims'!$A:$C,2,)</f>
        <v>2516000</v>
      </c>
      <c r="E998" s="30">
        <f t="shared" si="31"/>
        <v>-120000</v>
      </c>
    </row>
    <row r="999" spans="1:5" x14ac:dyDescent="0.2">
      <c r="A999" s="29">
        <v>31437</v>
      </c>
      <c r="B999" s="26">
        <f>VLOOKUP(A999,'Database Claims'!$A:$C,3,)</f>
        <v>344000</v>
      </c>
      <c r="C999" s="30">
        <f t="shared" si="30"/>
        <v>-20000</v>
      </c>
      <c r="D999" s="26">
        <f>VLOOKUP(A999,'Database Claims'!$A:$C,2,)</f>
        <v>2570000</v>
      </c>
      <c r="E999" s="30">
        <f t="shared" si="31"/>
        <v>54000</v>
      </c>
    </row>
    <row r="1000" spans="1:5" x14ac:dyDescent="0.2">
      <c r="A1000" s="29">
        <v>31444</v>
      </c>
      <c r="B1000" s="30">
        <f>VLOOKUP(A1000,'Database Claims'!$A:$C,3,)</f>
        <v>364000</v>
      </c>
      <c r="C1000" s="30">
        <f t="shared" si="30"/>
        <v>20000</v>
      </c>
      <c r="D1000" s="30">
        <f>VLOOKUP(A1000,'Database Claims'!$A:$C,2,)</f>
        <v>2531000</v>
      </c>
      <c r="E1000" s="30">
        <f t="shared" si="31"/>
        <v>-39000</v>
      </c>
    </row>
    <row r="1001" spans="1:5" x14ac:dyDescent="0.2">
      <c r="A1001" s="29">
        <v>31451</v>
      </c>
      <c r="B1001" s="26">
        <f>VLOOKUP(A1001,'Database Claims'!$A:$C,3,)</f>
        <v>366000</v>
      </c>
      <c r="C1001" s="30">
        <f t="shared" si="30"/>
        <v>2000</v>
      </c>
      <c r="D1001" s="26">
        <f>VLOOKUP(A1001,'Database Claims'!$A:$C,2,)</f>
        <v>2548000</v>
      </c>
      <c r="E1001" s="30">
        <f t="shared" si="31"/>
        <v>17000</v>
      </c>
    </row>
    <row r="1002" spans="1:5" x14ac:dyDescent="0.2">
      <c r="A1002" s="29">
        <v>31458</v>
      </c>
      <c r="B1002" s="30">
        <f>VLOOKUP(A1002,'Database Claims'!$A:$C,3,)</f>
        <v>358000</v>
      </c>
      <c r="C1002" s="30">
        <f t="shared" si="30"/>
        <v>-8000</v>
      </c>
      <c r="D1002" s="30">
        <f>VLOOKUP(A1002,'Database Claims'!$A:$C,2,)</f>
        <v>2569000</v>
      </c>
      <c r="E1002" s="30">
        <f t="shared" si="31"/>
        <v>21000</v>
      </c>
    </row>
    <row r="1003" spans="1:5" x14ac:dyDescent="0.2">
      <c r="A1003" s="29">
        <v>31465</v>
      </c>
      <c r="B1003" s="26">
        <f>VLOOKUP(A1003,'Database Claims'!$A:$C,3,)</f>
        <v>390000</v>
      </c>
      <c r="C1003" s="30">
        <f t="shared" si="30"/>
        <v>32000</v>
      </c>
      <c r="D1003" s="26">
        <f>VLOOKUP(A1003,'Database Claims'!$A:$C,2,)</f>
        <v>2626000</v>
      </c>
      <c r="E1003" s="30">
        <f t="shared" si="31"/>
        <v>57000</v>
      </c>
    </row>
    <row r="1004" spans="1:5" x14ac:dyDescent="0.2">
      <c r="A1004" s="29">
        <v>31472</v>
      </c>
      <c r="B1004" s="30">
        <f>VLOOKUP(A1004,'Database Claims'!$A:$C,3,)</f>
        <v>375000</v>
      </c>
      <c r="C1004" s="30">
        <f t="shared" si="30"/>
        <v>-15000</v>
      </c>
      <c r="D1004" s="30">
        <f>VLOOKUP(A1004,'Database Claims'!$A:$C,2,)</f>
        <v>2570000</v>
      </c>
      <c r="E1004" s="30">
        <f t="shared" si="31"/>
        <v>-56000</v>
      </c>
    </row>
    <row r="1005" spans="1:5" x14ac:dyDescent="0.2">
      <c r="A1005" s="29">
        <v>31479</v>
      </c>
      <c r="B1005" s="26">
        <f>VLOOKUP(A1005,'Database Claims'!$A:$C,3,)</f>
        <v>366000</v>
      </c>
      <c r="C1005" s="30">
        <f t="shared" si="30"/>
        <v>-9000</v>
      </c>
      <c r="D1005" s="26">
        <f>VLOOKUP(A1005,'Database Claims'!$A:$C,2,)</f>
        <v>2603000</v>
      </c>
      <c r="E1005" s="30">
        <f t="shared" si="31"/>
        <v>33000</v>
      </c>
    </row>
    <row r="1006" spans="1:5" x14ac:dyDescent="0.2">
      <c r="A1006" s="29">
        <v>31486</v>
      </c>
      <c r="B1006" s="30">
        <f>VLOOKUP(A1006,'Database Claims'!$A:$C,3,)</f>
        <v>382000</v>
      </c>
      <c r="C1006" s="30">
        <f t="shared" si="30"/>
        <v>16000</v>
      </c>
      <c r="D1006" s="30">
        <f>VLOOKUP(A1006,'Database Claims'!$A:$C,2,)</f>
        <v>2589000</v>
      </c>
      <c r="E1006" s="30">
        <f t="shared" si="31"/>
        <v>-14000</v>
      </c>
    </row>
    <row r="1007" spans="1:5" x14ac:dyDescent="0.2">
      <c r="A1007" s="29">
        <v>31493</v>
      </c>
      <c r="B1007" s="26">
        <f>VLOOKUP(A1007,'Database Claims'!$A:$C,3,)</f>
        <v>387000</v>
      </c>
      <c r="C1007" s="30">
        <f t="shared" si="30"/>
        <v>5000</v>
      </c>
      <c r="D1007" s="26">
        <f>VLOOKUP(A1007,'Database Claims'!$A:$C,2,)</f>
        <v>2592000</v>
      </c>
      <c r="E1007" s="30">
        <f t="shared" si="31"/>
        <v>3000</v>
      </c>
    </row>
    <row r="1008" spans="1:5" x14ac:dyDescent="0.2">
      <c r="A1008" s="29">
        <v>31500</v>
      </c>
      <c r="B1008" s="30">
        <f>VLOOKUP(A1008,'Database Claims'!$A:$C,3,)</f>
        <v>396000</v>
      </c>
      <c r="C1008" s="30">
        <f t="shared" si="30"/>
        <v>9000</v>
      </c>
      <c r="D1008" s="30">
        <f>VLOOKUP(A1008,'Database Claims'!$A:$C,2,)</f>
        <v>2614000</v>
      </c>
      <c r="E1008" s="30">
        <f t="shared" si="31"/>
        <v>22000</v>
      </c>
    </row>
    <row r="1009" spans="1:5" x14ac:dyDescent="0.2">
      <c r="A1009" s="29">
        <v>31507</v>
      </c>
      <c r="B1009" s="26">
        <f>VLOOKUP(A1009,'Database Claims'!$A:$C,3,)</f>
        <v>381000</v>
      </c>
      <c r="C1009" s="30">
        <f t="shared" si="30"/>
        <v>-15000</v>
      </c>
      <c r="D1009" s="26">
        <f>VLOOKUP(A1009,'Database Claims'!$A:$C,2,)</f>
        <v>2625000</v>
      </c>
      <c r="E1009" s="30">
        <f t="shared" si="31"/>
        <v>11000</v>
      </c>
    </row>
    <row r="1010" spans="1:5" x14ac:dyDescent="0.2">
      <c r="A1010" s="29">
        <v>31514</v>
      </c>
      <c r="B1010" s="30">
        <f>VLOOKUP(A1010,'Database Claims'!$A:$C,3,)</f>
        <v>388000</v>
      </c>
      <c r="C1010" s="30">
        <f t="shared" si="30"/>
        <v>7000</v>
      </c>
      <c r="D1010" s="30">
        <f>VLOOKUP(A1010,'Database Claims'!$A:$C,2,)</f>
        <v>2570000</v>
      </c>
      <c r="E1010" s="30">
        <f t="shared" si="31"/>
        <v>-55000</v>
      </c>
    </row>
    <row r="1011" spans="1:5" x14ac:dyDescent="0.2">
      <c r="A1011" s="29">
        <v>31521</v>
      </c>
      <c r="B1011" s="26">
        <f>VLOOKUP(A1011,'Database Claims'!$A:$C,3,)</f>
        <v>383000</v>
      </c>
      <c r="C1011" s="30">
        <f t="shared" si="30"/>
        <v>-5000</v>
      </c>
      <c r="D1011" s="26">
        <f>VLOOKUP(A1011,'Database Claims'!$A:$C,2,)</f>
        <v>2613000</v>
      </c>
      <c r="E1011" s="30">
        <f t="shared" si="31"/>
        <v>43000</v>
      </c>
    </row>
    <row r="1012" spans="1:5" x14ac:dyDescent="0.2">
      <c r="A1012" s="29">
        <v>31528</v>
      </c>
      <c r="B1012" s="30">
        <f>VLOOKUP(A1012,'Database Claims'!$A:$C,3,)</f>
        <v>391000</v>
      </c>
      <c r="C1012" s="30">
        <f t="shared" si="30"/>
        <v>8000</v>
      </c>
      <c r="D1012" s="30">
        <f>VLOOKUP(A1012,'Database Claims'!$A:$C,2,)</f>
        <v>2627000</v>
      </c>
      <c r="E1012" s="30">
        <f t="shared" si="31"/>
        <v>14000</v>
      </c>
    </row>
    <row r="1013" spans="1:5" x14ac:dyDescent="0.2">
      <c r="A1013" s="29">
        <v>31535</v>
      </c>
      <c r="B1013" s="26">
        <f>VLOOKUP(A1013,'Database Claims'!$A:$C,3,)</f>
        <v>392000</v>
      </c>
      <c r="C1013" s="30">
        <f t="shared" si="30"/>
        <v>1000</v>
      </c>
      <c r="D1013" s="26">
        <f>VLOOKUP(A1013,'Database Claims'!$A:$C,2,)</f>
        <v>2670000</v>
      </c>
      <c r="E1013" s="30">
        <f t="shared" si="31"/>
        <v>43000</v>
      </c>
    </row>
    <row r="1014" spans="1:5" x14ac:dyDescent="0.2">
      <c r="A1014" s="29">
        <v>31542</v>
      </c>
      <c r="B1014" s="30">
        <f>VLOOKUP(A1014,'Database Claims'!$A:$C,3,)</f>
        <v>395000</v>
      </c>
      <c r="C1014" s="30">
        <f t="shared" si="30"/>
        <v>3000</v>
      </c>
      <c r="D1014" s="30">
        <f>VLOOKUP(A1014,'Database Claims'!$A:$C,2,)</f>
        <v>2670000</v>
      </c>
      <c r="E1014" s="30">
        <f t="shared" si="31"/>
        <v>0</v>
      </c>
    </row>
    <row r="1015" spans="1:5" x14ac:dyDescent="0.2">
      <c r="A1015" s="29">
        <v>31549</v>
      </c>
      <c r="B1015" s="26">
        <f>VLOOKUP(A1015,'Database Claims'!$A:$C,3,)</f>
        <v>384000</v>
      </c>
      <c r="C1015" s="30">
        <f t="shared" si="30"/>
        <v>-11000</v>
      </c>
      <c r="D1015" s="26">
        <f>VLOOKUP(A1015,'Database Claims'!$A:$C,2,)</f>
        <v>2669000</v>
      </c>
      <c r="E1015" s="30">
        <f t="shared" si="31"/>
        <v>-1000</v>
      </c>
    </row>
    <row r="1016" spans="1:5" x14ac:dyDescent="0.2">
      <c r="A1016" s="29">
        <v>31556</v>
      </c>
      <c r="B1016" s="30">
        <f>VLOOKUP(A1016,'Database Claims'!$A:$C,3,)</f>
        <v>386000</v>
      </c>
      <c r="C1016" s="30">
        <f t="shared" si="30"/>
        <v>2000</v>
      </c>
      <c r="D1016" s="30">
        <f>VLOOKUP(A1016,'Database Claims'!$A:$C,2,)</f>
        <v>2638000</v>
      </c>
      <c r="E1016" s="30">
        <f t="shared" si="31"/>
        <v>-31000</v>
      </c>
    </row>
    <row r="1017" spans="1:5" x14ac:dyDescent="0.2">
      <c r="A1017" s="29">
        <v>31563</v>
      </c>
      <c r="B1017" s="26">
        <f>VLOOKUP(A1017,'Database Claims'!$A:$C,3,)</f>
        <v>373000</v>
      </c>
      <c r="C1017" s="30">
        <f t="shared" si="30"/>
        <v>-13000</v>
      </c>
      <c r="D1017" s="26">
        <f>VLOOKUP(A1017,'Database Claims'!$A:$C,2,)</f>
        <v>2708000</v>
      </c>
      <c r="E1017" s="30">
        <f t="shared" si="31"/>
        <v>70000</v>
      </c>
    </row>
    <row r="1018" spans="1:5" x14ac:dyDescent="0.2">
      <c r="A1018" s="29">
        <v>31570</v>
      </c>
      <c r="B1018" s="30">
        <f>VLOOKUP(A1018,'Database Claims'!$A:$C,3,)</f>
        <v>375000</v>
      </c>
      <c r="C1018" s="30">
        <f t="shared" si="30"/>
        <v>2000</v>
      </c>
      <c r="D1018" s="30">
        <f>VLOOKUP(A1018,'Database Claims'!$A:$C,2,)</f>
        <v>2653000</v>
      </c>
      <c r="E1018" s="30">
        <f t="shared" si="31"/>
        <v>-55000</v>
      </c>
    </row>
    <row r="1019" spans="1:5" x14ac:dyDescent="0.2">
      <c r="A1019" s="29">
        <v>31577</v>
      </c>
      <c r="B1019" s="26">
        <f>VLOOKUP(A1019,'Database Claims'!$A:$C,3,)</f>
        <v>369000</v>
      </c>
      <c r="C1019" s="30">
        <f t="shared" si="30"/>
        <v>-6000</v>
      </c>
      <c r="D1019" s="26">
        <f>VLOOKUP(A1019,'Database Claims'!$A:$C,2,)</f>
        <v>2644000</v>
      </c>
      <c r="E1019" s="30">
        <f t="shared" si="31"/>
        <v>-9000</v>
      </c>
    </row>
    <row r="1020" spans="1:5" x14ac:dyDescent="0.2">
      <c r="A1020" s="29">
        <v>31584</v>
      </c>
      <c r="B1020" s="30">
        <f>VLOOKUP(A1020,'Database Claims'!$A:$C,3,)</f>
        <v>367000</v>
      </c>
      <c r="C1020" s="30">
        <f t="shared" si="30"/>
        <v>-2000</v>
      </c>
      <c r="D1020" s="30">
        <f>VLOOKUP(A1020,'Database Claims'!$A:$C,2,)</f>
        <v>2637000</v>
      </c>
      <c r="E1020" s="30">
        <f t="shared" si="31"/>
        <v>-7000</v>
      </c>
    </row>
    <row r="1021" spans="1:5" x14ac:dyDescent="0.2">
      <c r="A1021" s="29">
        <v>31591</v>
      </c>
      <c r="B1021" s="26">
        <f>VLOOKUP(A1021,'Database Claims'!$A:$C,3,)</f>
        <v>371000</v>
      </c>
      <c r="C1021" s="30">
        <f t="shared" si="30"/>
        <v>4000</v>
      </c>
      <c r="D1021" s="26">
        <f>VLOOKUP(A1021,'Database Claims'!$A:$C,2,)</f>
        <v>2606000</v>
      </c>
      <c r="E1021" s="30">
        <f t="shared" si="31"/>
        <v>-31000</v>
      </c>
    </row>
    <row r="1022" spans="1:5" x14ac:dyDescent="0.2">
      <c r="A1022" s="29">
        <v>31598</v>
      </c>
      <c r="B1022" s="30">
        <f>VLOOKUP(A1022,'Database Claims'!$A:$C,3,)</f>
        <v>371000</v>
      </c>
      <c r="C1022" s="30">
        <f t="shared" si="30"/>
        <v>0</v>
      </c>
      <c r="D1022" s="30">
        <f>VLOOKUP(A1022,'Database Claims'!$A:$C,2,)</f>
        <v>2669000</v>
      </c>
      <c r="E1022" s="30">
        <f t="shared" si="31"/>
        <v>63000</v>
      </c>
    </row>
    <row r="1023" spans="1:5" x14ac:dyDescent="0.2">
      <c r="A1023" s="29">
        <v>31605</v>
      </c>
      <c r="B1023" s="26">
        <f>VLOOKUP(A1023,'Database Claims'!$A:$C,3,)</f>
        <v>361000</v>
      </c>
      <c r="C1023" s="30">
        <f t="shared" si="30"/>
        <v>-10000</v>
      </c>
      <c r="D1023" s="26">
        <f>VLOOKUP(A1023,'Database Claims'!$A:$C,2,)</f>
        <v>2552000</v>
      </c>
      <c r="E1023" s="30">
        <f t="shared" si="31"/>
        <v>-117000</v>
      </c>
    </row>
    <row r="1024" spans="1:5" x14ac:dyDescent="0.2">
      <c r="A1024" s="29">
        <v>31612</v>
      </c>
      <c r="B1024" s="30">
        <f>VLOOKUP(A1024,'Database Claims'!$A:$C,3,)</f>
        <v>354000</v>
      </c>
      <c r="C1024" s="30">
        <f t="shared" si="30"/>
        <v>-7000</v>
      </c>
      <c r="D1024" s="30">
        <f>VLOOKUP(A1024,'Database Claims'!$A:$C,2,)</f>
        <v>2593000</v>
      </c>
      <c r="E1024" s="30">
        <f t="shared" si="31"/>
        <v>41000</v>
      </c>
    </row>
    <row r="1025" spans="1:5" x14ac:dyDescent="0.2">
      <c r="A1025" s="29">
        <v>31619</v>
      </c>
      <c r="B1025" s="26">
        <f>VLOOKUP(A1025,'Database Claims'!$A:$C,3,)</f>
        <v>362000</v>
      </c>
      <c r="C1025" s="30">
        <f t="shared" si="30"/>
        <v>8000</v>
      </c>
      <c r="D1025" s="26">
        <f>VLOOKUP(A1025,'Database Claims'!$A:$C,2,)</f>
        <v>2618000</v>
      </c>
      <c r="E1025" s="30">
        <f t="shared" si="31"/>
        <v>25000</v>
      </c>
    </row>
    <row r="1026" spans="1:5" x14ac:dyDescent="0.2">
      <c r="A1026" s="29">
        <v>31626</v>
      </c>
      <c r="B1026" s="30">
        <f>VLOOKUP(A1026,'Database Claims'!$A:$C,3,)</f>
        <v>416000</v>
      </c>
      <c r="C1026" s="30">
        <f t="shared" si="30"/>
        <v>54000</v>
      </c>
      <c r="D1026" s="30">
        <f>VLOOKUP(A1026,'Database Claims'!$A:$C,2,)</f>
        <v>2583000</v>
      </c>
      <c r="E1026" s="30">
        <f t="shared" si="31"/>
        <v>-35000</v>
      </c>
    </row>
    <row r="1027" spans="1:5" x14ac:dyDescent="0.2">
      <c r="A1027" s="29">
        <v>31633</v>
      </c>
      <c r="B1027" s="26">
        <f>VLOOKUP(A1027,'Database Claims'!$A:$C,3,)</f>
        <v>416000</v>
      </c>
      <c r="C1027" s="30">
        <f t="shared" si="30"/>
        <v>0</v>
      </c>
      <c r="D1027" s="26">
        <f>VLOOKUP(A1027,'Database Claims'!$A:$C,2,)</f>
        <v>2686000</v>
      </c>
      <c r="E1027" s="30">
        <f t="shared" si="31"/>
        <v>103000</v>
      </c>
    </row>
    <row r="1028" spans="1:5" x14ac:dyDescent="0.2">
      <c r="A1028" s="29">
        <v>31640</v>
      </c>
      <c r="B1028" s="30">
        <f>VLOOKUP(A1028,'Database Claims'!$A:$C,3,)</f>
        <v>407000</v>
      </c>
      <c r="C1028" s="30">
        <f t="shared" si="30"/>
        <v>-9000</v>
      </c>
      <c r="D1028" s="30">
        <f>VLOOKUP(A1028,'Database Claims'!$A:$C,2,)</f>
        <v>2658000</v>
      </c>
      <c r="E1028" s="30">
        <f t="shared" si="31"/>
        <v>-28000</v>
      </c>
    </row>
    <row r="1029" spans="1:5" x14ac:dyDescent="0.2">
      <c r="A1029" s="29">
        <v>31647</v>
      </c>
      <c r="B1029" s="26">
        <f>VLOOKUP(A1029,'Database Claims'!$A:$C,3,)</f>
        <v>397000</v>
      </c>
      <c r="C1029" s="30">
        <f t="shared" si="30"/>
        <v>-10000</v>
      </c>
      <c r="D1029" s="26">
        <f>VLOOKUP(A1029,'Database Claims'!$A:$C,2,)</f>
        <v>2687000</v>
      </c>
      <c r="E1029" s="30">
        <f t="shared" si="31"/>
        <v>29000</v>
      </c>
    </row>
    <row r="1030" spans="1:5" x14ac:dyDescent="0.2">
      <c r="A1030" s="29">
        <v>31654</v>
      </c>
      <c r="B1030" s="30">
        <f>VLOOKUP(A1030,'Database Claims'!$A:$C,3,)</f>
        <v>401000</v>
      </c>
      <c r="C1030" s="30">
        <f t="shared" ref="C1030:C1093" si="32">B1030-B1029</f>
        <v>4000</v>
      </c>
      <c r="D1030" s="30">
        <f>VLOOKUP(A1030,'Database Claims'!$A:$C,2,)</f>
        <v>2664000</v>
      </c>
      <c r="E1030" s="30">
        <f t="shared" ref="E1030:E1093" si="33">D1030-D1029</f>
        <v>-23000</v>
      </c>
    </row>
    <row r="1031" spans="1:5" x14ac:dyDescent="0.2">
      <c r="A1031" s="29">
        <v>31661</v>
      </c>
      <c r="B1031" s="26">
        <f>VLOOKUP(A1031,'Database Claims'!$A:$C,3,)</f>
        <v>400000</v>
      </c>
      <c r="C1031" s="30">
        <f t="shared" si="32"/>
        <v>-1000</v>
      </c>
      <c r="D1031" s="26">
        <f>VLOOKUP(A1031,'Database Claims'!$A:$C,2,)</f>
        <v>2756000</v>
      </c>
      <c r="E1031" s="30">
        <f t="shared" si="33"/>
        <v>92000</v>
      </c>
    </row>
    <row r="1032" spans="1:5" x14ac:dyDescent="0.2">
      <c r="A1032" s="29">
        <v>31668</v>
      </c>
      <c r="B1032" s="30">
        <f>VLOOKUP(A1032,'Database Claims'!$A:$C,3,)</f>
        <v>394000</v>
      </c>
      <c r="C1032" s="30">
        <f t="shared" si="32"/>
        <v>-6000</v>
      </c>
      <c r="D1032" s="30">
        <f>VLOOKUP(A1032,'Database Claims'!$A:$C,2,)</f>
        <v>2671000</v>
      </c>
      <c r="E1032" s="30">
        <f t="shared" si="33"/>
        <v>-85000</v>
      </c>
    </row>
    <row r="1033" spans="1:5" x14ac:dyDescent="0.2">
      <c r="A1033" s="29">
        <v>31675</v>
      </c>
      <c r="B1033" s="26">
        <f>VLOOKUP(A1033,'Database Claims'!$A:$C,3,)</f>
        <v>399000</v>
      </c>
      <c r="C1033" s="30">
        <f t="shared" si="32"/>
        <v>5000</v>
      </c>
      <c r="D1033" s="26">
        <f>VLOOKUP(A1033,'Database Claims'!$A:$C,2,)</f>
        <v>2703000</v>
      </c>
      <c r="E1033" s="30">
        <f t="shared" si="33"/>
        <v>32000</v>
      </c>
    </row>
    <row r="1034" spans="1:5" x14ac:dyDescent="0.2">
      <c r="A1034" s="29">
        <v>31682</v>
      </c>
      <c r="B1034" s="30">
        <f>VLOOKUP(A1034,'Database Claims'!$A:$C,3,)</f>
        <v>389000</v>
      </c>
      <c r="C1034" s="30">
        <f t="shared" si="32"/>
        <v>-10000</v>
      </c>
      <c r="D1034" s="30">
        <f>VLOOKUP(A1034,'Database Claims'!$A:$C,2,)</f>
        <v>2698000</v>
      </c>
      <c r="E1034" s="30">
        <f t="shared" si="33"/>
        <v>-5000</v>
      </c>
    </row>
    <row r="1035" spans="1:5" x14ac:dyDescent="0.2">
      <c r="A1035" s="29">
        <v>31689</v>
      </c>
      <c r="B1035" s="26">
        <f>VLOOKUP(A1035,'Database Claims'!$A:$C,3,)</f>
        <v>391000</v>
      </c>
      <c r="C1035" s="30">
        <f t="shared" si="32"/>
        <v>2000</v>
      </c>
      <c r="D1035" s="26">
        <f>VLOOKUP(A1035,'Database Claims'!$A:$C,2,)</f>
        <v>2780000</v>
      </c>
      <c r="E1035" s="30">
        <f t="shared" si="33"/>
        <v>82000</v>
      </c>
    </row>
    <row r="1036" spans="1:5" x14ac:dyDescent="0.2">
      <c r="A1036" s="29">
        <v>31696</v>
      </c>
      <c r="B1036" s="30">
        <f>VLOOKUP(A1036,'Database Claims'!$A:$C,3,)</f>
        <v>387000</v>
      </c>
      <c r="C1036" s="30">
        <f t="shared" si="32"/>
        <v>-4000</v>
      </c>
      <c r="D1036" s="30">
        <f>VLOOKUP(A1036,'Database Claims'!$A:$C,2,)</f>
        <v>2665000</v>
      </c>
      <c r="E1036" s="30">
        <f t="shared" si="33"/>
        <v>-115000</v>
      </c>
    </row>
    <row r="1037" spans="1:5" x14ac:dyDescent="0.2">
      <c r="A1037" s="29">
        <v>31703</v>
      </c>
      <c r="B1037" s="26">
        <f>VLOOKUP(A1037,'Database Claims'!$A:$C,3,)</f>
        <v>385000</v>
      </c>
      <c r="C1037" s="30">
        <f t="shared" si="32"/>
        <v>-2000</v>
      </c>
      <c r="D1037" s="26">
        <f>VLOOKUP(A1037,'Database Claims'!$A:$C,2,)</f>
        <v>2723000</v>
      </c>
      <c r="E1037" s="30">
        <f t="shared" si="33"/>
        <v>58000</v>
      </c>
    </row>
    <row r="1038" spans="1:5" x14ac:dyDescent="0.2">
      <c r="A1038" s="29">
        <v>31710</v>
      </c>
      <c r="B1038" s="30">
        <f>VLOOKUP(A1038,'Database Claims'!$A:$C,3,)</f>
        <v>370000</v>
      </c>
      <c r="C1038" s="30">
        <f t="shared" si="32"/>
        <v>-15000</v>
      </c>
      <c r="D1038" s="30">
        <f>VLOOKUP(A1038,'Database Claims'!$A:$C,2,)</f>
        <v>2707000</v>
      </c>
      <c r="E1038" s="30">
        <f t="shared" si="33"/>
        <v>-16000</v>
      </c>
    </row>
    <row r="1039" spans="1:5" x14ac:dyDescent="0.2">
      <c r="A1039" s="29">
        <v>31717</v>
      </c>
      <c r="B1039" s="26">
        <f>VLOOKUP(A1039,'Database Claims'!$A:$C,3,)</f>
        <v>364000</v>
      </c>
      <c r="C1039" s="30">
        <f t="shared" si="32"/>
        <v>-6000</v>
      </c>
      <c r="D1039" s="26">
        <f>VLOOKUP(A1039,'Database Claims'!$A:$C,2,)</f>
        <v>2646000</v>
      </c>
      <c r="E1039" s="30">
        <f t="shared" si="33"/>
        <v>-61000</v>
      </c>
    </row>
    <row r="1040" spans="1:5" x14ac:dyDescent="0.2">
      <c r="A1040" s="29">
        <v>31724</v>
      </c>
      <c r="B1040" s="30">
        <f>VLOOKUP(A1040,'Database Claims'!$A:$C,3,)</f>
        <v>349000</v>
      </c>
      <c r="C1040" s="30">
        <f t="shared" si="32"/>
        <v>-15000</v>
      </c>
      <c r="D1040" s="30">
        <f>VLOOKUP(A1040,'Database Claims'!$A:$C,2,)</f>
        <v>2614000</v>
      </c>
      <c r="E1040" s="30">
        <f t="shared" si="33"/>
        <v>-32000</v>
      </c>
    </row>
    <row r="1041" spans="1:5" x14ac:dyDescent="0.2">
      <c r="A1041" s="29">
        <v>31731</v>
      </c>
      <c r="B1041" s="26">
        <f>VLOOKUP(A1041,'Database Claims'!$A:$C,3,)</f>
        <v>368000</v>
      </c>
      <c r="C1041" s="30">
        <f t="shared" si="32"/>
        <v>19000</v>
      </c>
      <c r="D1041" s="26">
        <f>VLOOKUP(A1041,'Database Claims'!$A:$C,2,)</f>
        <v>2653000</v>
      </c>
      <c r="E1041" s="30">
        <f t="shared" si="33"/>
        <v>39000</v>
      </c>
    </row>
    <row r="1042" spans="1:5" x14ac:dyDescent="0.2">
      <c r="A1042" s="29">
        <v>31738</v>
      </c>
      <c r="B1042" s="30">
        <f>VLOOKUP(A1042,'Database Claims'!$A:$C,3,)</f>
        <v>369000</v>
      </c>
      <c r="C1042" s="30">
        <f t="shared" si="32"/>
        <v>1000</v>
      </c>
      <c r="D1042" s="30">
        <f>VLOOKUP(A1042,'Database Claims'!$A:$C,2,)</f>
        <v>2555000</v>
      </c>
      <c r="E1042" s="30">
        <f t="shared" si="33"/>
        <v>-98000</v>
      </c>
    </row>
    <row r="1043" spans="1:5" x14ac:dyDescent="0.2">
      <c r="A1043" s="29">
        <v>31745</v>
      </c>
      <c r="B1043" s="26">
        <f>VLOOKUP(A1043,'Database Claims'!$A:$C,3,)</f>
        <v>366000</v>
      </c>
      <c r="C1043" s="30">
        <f t="shared" si="32"/>
        <v>-3000</v>
      </c>
      <c r="D1043" s="26">
        <f>VLOOKUP(A1043,'Database Claims'!$A:$C,2,)</f>
        <v>2686000</v>
      </c>
      <c r="E1043" s="30">
        <f t="shared" si="33"/>
        <v>131000</v>
      </c>
    </row>
    <row r="1044" spans="1:5" x14ac:dyDescent="0.2">
      <c r="A1044" s="29">
        <v>31752</v>
      </c>
      <c r="B1044" s="30">
        <f>VLOOKUP(A1044,'Database Claims'!$A:$C,3,)</f>
        <v>363000</v>
      </c>
      <c r="C1044" s="30">
        <f t="shared" si="32"/>
        <v>-3000</v>
      </c>
      <c r="D1044" s="30">
        <f>VLOOKUP(A1044,'Database Claims'!$A:$C,2,)</f>
        <v>2634000</v>
      </c>
      <c r="E1044" s="30">
        <f t="shared" si="33"/>
        <v>-52000</v>
      </c>
    </row>
    <row r="1045" spans="1:5" x14ac:dyDescent="0.2">
      <c r="A1045" s="29">
        <v>31759</v>
      </c>
      <c r="B1045" s="26">
        <f>VLOOKUP(A1045,'Database Claims'!$A:$C,3,)</f>
        <v>375000</v>
      </c>
      <c r="C1045" s="30">
        <f t="shared" si="32"/>
        <v>12000</v>
      </c>
      <c r="D1045" s="26">
        <f>VLOOKUP(A1045,'Database Claims'!$A:$C,2,)</f>
        <v>2587000</v>
      </c>
      <c r="E1045" s="30">
        <f t="shared" si="33"/>
        <v>-47000</v>
      </c>
    </row>
    <row r="1046" spans="1:5" x14ac:dyDescent="0.2">
      <c r="A1046" s="29">
        <v>31766</v>
      </c>
      <c r="B1046" s="30">
        <f>VLOOKUP(A1046,'Database Claims'!$A:$C,3,)</f>
        <v>350000</v>
      </c>
      <c r="C1046" s="30">
        <f t="shared" si="32"/>
        <v>-25000</v>
      </c>
      <c r="D1046" s="30">
        <f>VLOOKUP(A1046,'Database Claims'!$A:$C,2,)</f>
        <v>2499000</v>
      </c>
      <c r="E1046" s="30">
        <f t="shared" si="33"/>
        <v>-88000</v>
      </c>
    </row>
    <row r="1047" spans="1:5" x14ac:dyDescent="0.2">
      <c r="A1047" s="29">
        <v>31773</v>
      </c>
      <c r="B1047" s="26">
        <f>VLOOKUP(A1047,'Database Claims'!$A:$C,3,)</f>
        <v>345000</v>
      </c>
      <c r="C1047" s="30">
        <f t="shared" si="32"/>
        <v>-5000</v>
      </c>
      <c r="D1047" s="26">
        <f>VLOOKUP(A1047,'Database Claims'!$A:$C,2,)</f>
        <v>2565000</v>
      </c>
      <c r="E1047" s="30">
        <f t="shared" si="33"/>
        <v>66000</v>
      </c>
    </row>
    <row r="1048" spans="1:5" x14ac:dyDescent="0.2">
      <c r="A1048" s="29">
        <v>31780</v>
      </c>
      <c r="B1048" s="30">
        <f>VLOOKUP(A1048,'Database Claims'!$A:$C,3,)</f>
        <v>323000</v>
      </c>
      <c r="C1048" s="30">
        <f t="shared" si="32"/>
        <v>-22000</v>
      </c>
      <c r="D1048" s="30">
        <f>VLOOKUP(A1048,'Database Claims'!$A:$C,2,)</f>
        <v>2590000</v>
      </c>
      <c r="E1048" s="30">
        <f t="shared" si="33"/>
        <v>25000</v>
      </c>
    </row>
    <row r="1049" spans="1:5" x14ac:dyDescent="0.2">
      <c r="A1049" s="29">
        <v>31787</v>
      </c>
      <c r="B1049" s="26">
        <f>VLOOKUP(A1049,'Database Claims'!$A:$C,3,)</f>
        <v>348000</v>
      </c>
      <c r="C1049" s="30">
        <f t="shared" si="32"/>
        <v>25000</v>
      </c>
      <c r="D1049" s="26">
        <f>VLOOKUP(A1049,'Database Claims'!$A:$C,2,)</f>
        <v>2508000</v>
      </c>
      <c r="E1049" s="30">
        <f t="shared" si="33"/>
        <v>-82000</v>
      </c>
    </row>
    <row r="1050" spans="1:5" x14ac:dyDescent="0.2">
      <c r="A1050" s="29">
        <v>31794</v>
      </c>
      <c r="B1050" s="30">
        <f>VLOOKUP(A1050,'Database Claims'!$A:$C,3,)</f>
        <v>341000</v>
      </c>
      <c r="C1050" s="30">
        <f t="shared" si="32"/>
        <v>-7000</v>
      </c>
      <c r="D1050" s="30">
        <f>VLOOKUP(A1050,'Database Claims'!$A:$C,2,)</f>
        <v>2443000</v>
      </c>
      <c r="E1050" s="30">
        <f t="shared" si="33"/>
        <v>-65000</v>
      </c>
    </row>
    <row r="1051" spans="1:5" x14ac:dyDescent="0.2">
      <c r="A1051" s="29">
        <v>31801</v>
      </c>
      <c r="B1051" s="26">
        <f>VLOOKUP(A1051,'Database Claims'!$A:$C,3,)</f>
        <v>346000</v>
      </c>
      <c r="C1051" s="30">
        <f t="shared" si="32"/>
        <v>5000</v>
      </c>
      <c r="D1051" s="26">
        <f>VLOOKUP(A1051,'Database Claims'!$A:$C,2,)</f>
        <v>2506000</v>
      </c>
      <c r="E1051" s="30">
        <f t="shared" si="33"/>
        <v>63000</v>
      </c>
    </row>
    <row r="1052" spans="1:5" x14ac:dyDescent="0.2">
      <c r="A1052" s="29">
        <v>31808</v>
      </c>
      <c r="B1052" s="30">
        <f>VLOOKUP(A1052,'Database Claims'!$A:$C,3,)</f>
        <v>370000</v>
      </c>
      <c r="C1052" s="30">
        <f t="shared" si="32"/>
        <v>24000</v>
      </c>
      <c r="D1052" s="30">
        <f>VLOOKUP(A1052,'Database Claims'!$A:$C,2,)</f>
        <v>2515000</v>
      </c>
      <c r="E1052" s="30">
        <f t="shared" si="33"/>
        <v>9000</v>
      </c>
    </row>
    <row r="1053" spans="1:5" x14ac:dyDescent="0.2">
      <c r="A1053" s="29">
        <v>31815</v>
      </c>
      <c r="B1053" s="26">
        <f>VLOOKUP(A1053,'Database Claims'!$A:$C,3,)</f>
        <v>368000</v>
      </c>
      <c r="C1053" s="30">
        <f t="shared" si="32"/>
        <v>-2000</v>
      </c>
      <c r="D1053" s="26">
        <f>VLOOKUP(A1053,'Database Claims'!$A:$C,2,)</f>
        <v>2496000</v>
      </c>
      <c r="E1053" s="30">
        <f t="shared" si="33"/>
        <v>-19000</v>
      </c>
    </row>
    <row r="1054" spans="1:5" x14ac:dyDescent="0.2">
      <c r="A1054" s="29">
        <v>31822</v>
      </c>
      <c r="B1054" s="30">
        <f>VLOOKUP(A1054,'Database Claims'!$A:$C,3,)</f>
        <v>338000</v>
      </c>
      <c r="C1054" s="30">
        <f t="shared" si="32"/>
        <v>-30000</v>
      </c>
      <c r="D1054" s="30">
        <f>VLOOKUP(A1054,'Database Claims'!$A:$C,2,)</f>
        <v>2451000</v>
      </c>
      <c r="E1054" s="30">
        <f t="shared" si="33"/>
        <v>-45000</v>
      </c>
    </row>
    <row r="1055" spans="1:5" x14ac:dyDescent="0.2">
      <c r="A1055" s="29">
        <v>31829</v>
      </c>
      <c r="B1055" s="26">
        <f>VLOOKUP(A1055,'Database Claims'!$A:$C,3,)</f>
        <v>341000</v>
      </c>
      <c r="C1055" s="30">
        <f t="shared" si="32"/>
        <v>3000</v>
      </c>
      <c r="D1055" s="26">
        <f>VLOOKUP(A1055,'Database Claims'!$A:$C,2,)</f>
        <v>2481000</v>
      </c>
      <c r="E1055" s="30">
        <f t="shared" si="33"/>
        <v>30000</v>
      </c>
    </row>
    <row r="1056" spans="1:5" x14ac:dyDescent="0.2">
      <c r="A1056" s="29">
        <v>31836</v>
      </c>
      <c r="B1056" s="30">
        <f>VLOOKUP(A1056,'Database Claims'!$A:$C,3,)</f>
        <v>348000</v>
      </c>
      <c r="C1056" s="30">
        <f t="shared" si="32"/>
        <v>7000</v>
      </c>
      <c r="D1056" s="30">
        <f>VLOOKUP(A1056,'Database Claims'!$A:$C,2,)</f>
        <v>2460000</v>
      </c>
      <c r="E1056" s="30">
        <f t="shared" si="33"/>
        <v>-21000</v>
      </c>
    </row>
    <row r="1057" spans="1:5" x14ac:dyDescent="0.2">
      <c r="A1057" s="29">
        <v>31843</v>
      </c>
      <c r="B1057" s="26">
        <f>VLOOKUP(A1057,'Database Claims'!$A:$C,3,)</f>
        <v>337000</v>
      </c>
      <c r="C1057" s="30">
        <f t="shared" si="32"/>
        <v>-11000</v>
      </c>
      <c r="D1057" s="26">
        <f>VLOOKUP(A1057,'Database Claims'!$A:$C,2,)</f>
        <v>2456000</v>
      </c>
      <c r="E1057" s="30">
        <f t="shared" si="33"/>
        <v>-4000</v>
      </c>
    </row>
    <row r="1058" spans="1:5" x14ac:dyDescent="0.2">
      <c r="A1058" s="29">
        <v>31850</v>
      </c>
      <c r="B1058" s="30">
        <f>VLOOKUP(A1058,'Database Claims'!$A:$C,3,)</f>
        <v>335000</v>
      </c>
      <c r="C1058" s="30">
        <f t="shared" si="32"/>
        <v>-2000</v>
      </c>
      <c r="D1058" s="30">
        <f>VLOOKUP(A1058,'Database Claims'!$A:$C,2,)</f>
        <v>2450000</v>
      </c>
      <c r="E1058" s="30">
        <f t="shared" si="33"/>
        <v>-6000</v>
      </c>
    </row>
    <row r="1059" spans="1:5" x14ac:dyDescent="0.2">
      <c r="A1059" s="29">
        <v>31857</v>
      </c>
      <c r="B1059" s="26">
        <f>VLOOKUP(A1059,'Database Claims'!$A:$C,3,)</f>
        <v>335000</v>
      </c>
      <c r="C1059" s="30">
        <f t="shared" si="32"/>
        <v>0</v>
      </c>
      <c r="D1059" s="26">
        <f>VLOOKUP(A1059,'Database Claims'!$A:$C,2,)</f>
        <v>2401000</v>
      </c>
      <c r="E1059" s="30">
        <f t="shared" si="33"/>
        <v>-49000</v>
      </c>
    </row>
    <row r="1060" spans="1:5" x14ac:dyDescent="0.2">
      <c r="A1060" s="29">
        <v>31864</v>
      </c>
      <c r="B1060" s="30">
        <f>VLOOKUP(A1060,'Database Claims'!$A:$C,3,)</f>
        <v>326000</v>
      </c>
      <c r="C1060" s="30">
        <f t="shared" si="32"/>
        <v>-9000</v>
      </c>
      <c r="D1060" s="30">
        <f>VLOOKUP(A1060,'Database Claims'!$A:$C,2,)</f>
        <v>2410000</v>
      </c>
      <c r="E1060" s="30">
        <f t="shared" si="33"/>
        <v>9000</v>
      </c>
    </row>
    <row r="1061" spans="1:5" x14ac:dyDescent="0.2">
      <c r="A1061" s="29">
        <v>31871</v>
      </c>
      <c r="B1061" s="26">
        <f>VLOOKUP(A1061,'Database Claims'!$A:$C,3,)</f>
        <v>330000</v>
      </c>
      <c r="C1061" s="30">
        <f t="shared" si="32"/>
        <v>4000</v>
      </c>
      <c r="D1061" s="26">
        <f>VLOOKUP(A1061,'Database Claims'!$A:$C,2,)</f>
        <v>2482000</v>
      </c>
      <c r="E1061" s="30">
        <f t="shared" si="33"/>
        <v>72000</v>
      </c>
    </row>
    <row r="1062" spans="1:5" x14ac:dyDescent="0.2">
      <c r="A1062" s="29">
        <v>31878</v>
      </c>
      <c r="B1062" s="30">
        <f>VLOOKUP(A1062,'Database Claims'!$A:$C,3,)</f>
        <v>338000</v>
      </c>
      <c r="C1062" s="30">
        <f t="shared" si="32"/>
        <v>8000</v>
      </c>
      <c r="D1062" s="30">
        <f>VLOOKUP(A1062,'Database Claims'!$A:$C,2,)</f>
        <v>2366000</v>
      </c>
      <c r="E1062" s="30">
        <f t="shared" si="33"/>
        <v>-116000</v>
      </c>
    </row>
    <row r="1063" spans="1:5" x14ac:dyDescent="0.2">
      <c r="A1063" s="29">
        <v>31885</v>
      </c>
      <c r="B1063" s="26">
        <f>VLOOKUP(A1063,'Database Claims'!$A:$C,3,)</f>
        <v>349000</v>
      </c>
      <c r="C1063" s="30">
        <f t="shared" si="32"/>
        <v>11000</v>
      </c>
      <c r="D1063" s="26">
        <f>VLOOKUP(A1063,'Database Claims'!$A:$C,2,)</f>
        <v>2410000</v>
      </c>
      <c r="E1063" s="30">
        <f t="shared" si="33"/>
        <v>44000</v>
      </c>
    </row>
    <row r="1064" spans="1:5" x14ac:dyDescent="0.2">
      <c r="A1064" s="29">
        <v>31892</v>
      </c>
      <c r="B1064" s="30">
        <f>VLOOKUP(A1064,'Database Claims'!$A:$C,3,)</f>
        <v>328000</v>
      </c>
      <c r="C1064" s="30">
        <f t="shared" si="32"/>
        <v>-21000</v>
      </c>
      <c r="D1064" s="30">
        <f>VLOOKUP(A1064,'Database Claims'!$A:$C,2,)</f>
        <v>2386000</v>
      </c>
      <c r="E1064" s="30">
        <f t="shared" si="33"/>
        <v>-24000</v>
      </c>
    </row>
    <row r="1065" spans="1:5" x14ac:dyDescent="0.2">
      <c r="A1065" s="29">
        <v>31899</v>
      </c>
      <c r="B1065" s="26">
        <f>VLOOKUP(A1065,'Database Claims'!$A:$C,3,)</f>
        <v>330000</v>
      </c>
      <c r="C1065" s="30">
        <f t="shared" si="32"/>
        <v>2000</v>
      </c>
      <c r="D1065" s="26">
        <f>VLOOKUP(A1065,'Database Claims'!$A:$C,2,)</f>
        <v>2302000</v>
      </c>
      <c r="E1065" s="30">
        <f t="shared" si="33"/>
        <v>-84000</v>
      </c>
    </row>
    <row r="1066" spans="1:5" x14ac:dyDescent="0.2">
      <c r="A1066" s="29">
        <v>31906</v>
      </c>
      <c r="B1066" s="30">
        <f>VLOOKUP(A1066,'Database Claims'!$A:$C,3,)</f>
        <v>315000</v>
      </c>
      <c r="C1066" s="30">
        <f t="shared" si="32"/>
        <v>-15000</v>
      </c>
      <c r="D1066" s="30">
        <f>VLOOKUP(A1066,'Database Claims'!$A:$C,2,)</f>
        <v>2347000</v>
      </c>
      <c r="E1066" s="30">
        <f t="shared" si="33"/>
        <v>45000</v>
      </c>
    </row>
    <row r="1067" spans="1:5" x14ac:dyDescent="0.2">
      <c r="A1067" s="29">
        <v>31913</v>
      </c>
      <c r="B1067" s="26">
        <f>VLOOKUP(A1067,'Database Claims'!$A:$C,3,)</f>
        <v>341000</v>
      </c>
      <c r="C1067" s="30">
        <f t="shared" si="32"/>
        <v>26000</v>
      </c>
      <c r="D1067" s="26">
        <f>VLOOKUP(A1067,'Database Claims'!$A:$C,2,)</f>
        <v>2326000</v>
      </c>
      <c r="E1067" s="30">
        <f t="shared" si="33"/>
        <v>-21000</v>
      </c>
    </row>
    <row r="1068" spans="1:5" x14ac:dyDescent="0.2">
      <c r="A1068" s="29">
        <v>31920</v>
      </c>
      <c r="B1068" s="30">
        <f>VLOOKUP(A1068,'Database Claims'!$A:$C,3,)</f>
        <v>343000</v>
      </c>
      <c r="C1068" s="30">
        <f t="shared" si="32"/>
        <v>2000</v>
      </c>
      <c r="D1068" s="30">
        <f>VLOOKUP(A1068,'Database Claims'!$A:$C,2,)</f>
        <v>2275000</v>
      </c>
      <c r="E1068" s="30">
        <f t="shared" si="33"/>
        <v>-51000</v>
      </c>
    </row>
    <row r="1069" spans="1:5" x14ac:dyDescent="0.2">
      <c r="A1069" s="29">
        <v>31927</v>
      </c>
      <c r="B1069" s="26">
        <f>VLOOKUP(A1069,'Database Claims'!$A:$C,3,)</f>
        <v>326000</v>
      </c>
      <c r="C1069" s="30">
        <f t="shared" si="32"/>
        <v>-17000</v>
      </c>
      <c r="D1069" s="26">
        <f>VLOOKUP(A1069,'Database Claims'!$A:$C,2,)</f>
        <v>2370000</v>
      </c>
      <c r="E1069" s="30">
        <f t="shared" si="33"/>
        <v>95000</v>
      </c>
    </row>
    <row r="1070" spans="1:5" x14ac:dyDescent="0.2">
      <c r="A1070" s="29">
        <v>31934</v>
      </c>
      <c r="B1070" s="30">
        <f>VLOOKUP(A1070,'Database Claims'!$A:$C,3,)</f>
        <v>328000</v>
      </c>
      <c r="C1070" s="30">
        <f t="shared" si="32"/>
        <v>2000</v>
      </c>
      <c r="D1070" s="30">
        <f>VLOOKUP(A1070,'Database Claims'!$A:$C,2,)</f>
        <v>2259000</v>
      </c>
      <c r="E1070" s="30">
        <f t="shared" si="33"/>
        <v>-111000</v>
      </c>
    </row>
    <row r="1071" spans="1:5" x14ac:dyDescent="0.2">
      <c r="A1071" s="29">
        <v>31941</v>
      </c>
      <c r="B1071" s="26">
        <f>VLOOKUP(A1071,'Database Claims'!$A:$C,3,)</f>
        <v>316000</v>
      </c>
      <c r="C1071" s="30">
        <f t="shared" si="32"/>
        <v>-12000</v>
      </c>
      <c r="D1071" s="26">
        <f>VLOOKUP(A1071,'Database Claims'!$A:$C,2,)</f>
        <v>2278000</v>
      </c>
      <c r="E1071" s="30">
        <f t="shared" si="33"/>
        <v>19000</v>
      </c>
    </row>
    <row r="1072" spans="1:5" x14ac:dyDescent="0.2">
      <c r="A1072" s="29">
        <v>31948</v>
      </c>
      <c r="B1072" s="30">
        <f>VLOOKUP(A1072,'Database Claims'!$A:$C,3,)</f>
        <v>319000</v>
      </c>
      <c r="C1072" s="30">
        <f t="shared" si="32"/>
        <v>3000</v>
      </c>
      <c r="D1072" s="30">
        <f>VLOOKUP(A1072,'Database Claims'!$A:$C,2,)</f>
        <v>2258000</v>
      </c>
      <c r="E1072" s="30">
        <f t="shared" si="33"/>
        <v>-20000</v>
      </c>
    </row>
    <row r="1073" spans="1:5" x14ac:dyDescent="0.2">
      <c r="A1073" s="29">
        <v>31955</v>
      </c>
      <c r="B1073" s="26">
        <f>VLOOKUP(A1073,'Database Claims'!$A:$C,3,)</f>
        <v>326000</v>
      </c>
      <c r="C1073" s="30">
        <f t="shared" si="32"/>
        <v>7000</v>
      </c>
      <c r="D1073" s="26">
        <f>VLOOKUP(A1073,'Database Claims'!$A:$C,2,)</f>
        <v>2321000</v>
      </c>
      <c r="E1073" s="30">
        <f t="shared" si="33"/>
        <v>63000</v>
      </c>
    </row>
    <row r="1074" spans="1:5" x14ac:dyDescent="0.2">
      <c r="A1074" s="29">
        <v>31962</v>
      </c>
      <c r="B1074" s="30">
        <f>VLOOKUP(A1074,'Database Claims'!$A:$C,3,)</f>
        <v>326000</v>
      </c>
      <c r="C1074" s="30">
        <f t="shared" si="32"/>
        <v>0</v>
      </c>
      <c r="D1074" s="30">
        <f>VLOOKUP(A1074,'Database Claims'!$A:$C,2,)</f>
        <v>2173000</v>
      </c>
      <c r="E1074" s="30">
        <f t="shared" si="33"/>
        <v>-148000</v>
      </c>
    </row>
    <row r="1075" spans="1:5" x14ac:dyDescent="0.2">
      <c r="A1075" s="29">
        <v>31969</v>
      </c>
      <c r="B1075" s="26">
        <f>VLOOKUP(A1075,'Database Claims'!$A:$C,3,)</f>
        <v>317000</v>
      </c>
      <c r="C1075" s="30">
        <f t="shared" si="32"/>
        <v>-9000</v>
      </c>
      <c r="D1075" s="26">
        <f>VLOOKUP(A1075,'Database Claims'!$A:$C,2,)</f>
        <v>2155000</v>
      </c>
      <c r="E1075" s="30">
        <f t="shared" si="33"/>
        <v>-18000</v>
      </c>
    </row>
    <row r="1076" spans="1:5" x14ac:dyDescent="0.2">
      <c r="A1076" s="29">
        <v>31976</v>
      </c>
      <c r="B1076" s="30">
        <f>VLOOKUP(A1076,'Database Claims'!$A:$C,3,)</f>
        <v>310000</v>
      </c>
      <c r="C1076" s="30">
        <f t="shared" si="32"/>
        <v>-7000</v>
      </c>
      <c r="D1076" s="30">
        <f>VLOOKUP(A1076,'Database Claims'!$A:$C,2,)</f>
        <v>2211000</v>
      </c>
      <c r="E1076" s="30">
        <f t="shared" si="33"/>
        <v>56000</v>
      </c>
    </row>
    <row r="1077" spans="1:5" x14ac:dyDescent="0.2">
      <c r="A1077" s="29">
        <v>31983</v>
      </c>
      <c r="B1077" s="26">
        <f>VLOOKUP(A1077,'Database Claims'!$A:$C,3,)</f>
        <v>324000</v>
      </c>
      <c r="C1077" s="30">
        <f t="shared" si="32"/>
        <v>14000</v>
      </c>
      <c r="D1077" s="26">
        <f>VLOOKUP(A1077,'Database Claims'!$A:$C,2,)</f>
        <v>2247000</v>
      </c>
      <c r="E1077" s="30">
        <f t="shared" si="33"/>
        <v>36000</v>
      </c>
    </row>
    <row r="1078" spans="1:5" x14ac:dyDescent="0.2">
      <c r="A1078" s="29">
        <v>31990</v>
      </c>
      <c r="B1078" s="30">
        <f>VLOOKUP(A1078,'Database Claims'!$A:$C,3,)</f>
        <v>348000</v>
      </c>
      <c r="C1078" s="30">
        <f t="shared" si="32"/>
        <v>24000</v>
      </c>
      <c r="D1078" s="30">
        <f>VLOOKUP(A1078,'Database Claims'!$A:$C,2,)</f>
        <v>2232000</v>
      </c>
      <c r="E1078" s="30">
        <f t="shared" si="33"/>
        <v>-15000</v>
      </c>
    </row>
    <row r="1079" spans="1:5" x14ac:dyDescent="0.2">
      <c r="A1079" s="29">
        <v>31997</v>
      </c>
      <c r="B1079" s="26">
        <f>VLOOKUP(A1079,'Database Claims'!$A:$C,3,)</f>
        <v>327000</v>
      </c>
      <c r="C1079" s="30">
        <f t="shared" si="32"/>
        <v>-21000</v>
      </c>
      <c r="D1079" s="26">
        <f>VLOOKUP(A1079,'Database Claims'!$A:$C,2,)</f>
        <v>2263000</v>
      </c>
      <c r="E1079" s="30">
        <f t="shared" si="33"/>
        <v>31000</v>
      </c>
    </row>
    <row r="1080" spans="1:5" x14ac:dyDescent="0.2">
      <c r="A1080" s="29">
        <v>32004</v>
      </c>
      <c r="B1080" s="30">
        <f>VLOOKUP(A1080,'Database Claims'!$A:$C,3,)</f>
        <v>319000</v>
      </c>
      <c r="C1080" s="30">
        <f t="shared" si="32"/>
        <v>-8000</v>
      </c>
      <c r="D1080" s="30">
        <f>VLOOKUP(A1080,'Database Claims'!$A:$C,2,)</f>
        <v>2194000</v>
      </c>
      <c r="E1080" s="30">
        <f t="shared" si="33"/>
        <v>-69000</v>
      </c>
    </row>
    <row r="1081" spans="1:5" x14ac:dyDescent="0.2">
      <c r="A1081" s="29">
        <v>32011</v>
      </c>
      <c r="B1081" s="26">
        <f>VLOOKUP(A1081,'Database Claims'!$A:$C,3,)</f>
        <v>312000</v>
      </c>
      <c r="C1081" s="30">
        <f t="shared" si="32"/>
        <v>-7000</v>
      </c>
      <c r="D1081" s="26">
        <f>VLOOKUP(A1081,'Database Claims'!$A:$C,2,)</f>
        <v>2190000</v>
      </c>
      <c r="E1081" s="30">
        <f t="shared" si="33"/>
        <v>-4000</v>
      </c>
    </row>
    <row r="1082" spans="1:5" x14ac:dyDescent="0.2">
      <c r="A1082" s="29">
        <v>32018</v>
      </c>
      <c r="B1082" s="30">
        <f>VLOOKUP(A1082,'Database Claims'!$A:$C,3,)</f>
        <v>322000</v>
      </c>
      <c r="C1082" s="30">
        <f t="shared" si="32"/>
        <v>10000</v>
      </c>
      <c r="D1082" s="30">
        <f>VLOOKUP(A1082,'Database Claims'!$A:$C,2,)</f>
        <v>2179000</v>
      </c>
      <c r="E1082" s="30">
        <f t="shared" si="33"/>
        <v>-11000</v>
      </c>
    </row>
    <row r="1083" spans="1:5" x14ac:dyDescent="0.2">
      <c r="A1083" s="29">
        <v>32025</v>
      </c>
      <c r="B1083" s="26">
        <f>VLOOKUP(A1083,'Database Claims'!$A:$C,3,)</f>
        <v>316000</v>
      </c>
      <c r="C1083" s="30">
        <f t="shared" si="32"/>
        <v>-6000</v>
      </c>
      <c r="D1083" s="26">
        <f>VLOOKUP(A1083,'Database Claims'!$A:$C,2,)</f>
        <v>2125000</v>
      </c>
      <c r="E1083" s="30">
        <f t="shared" si="33"/>
        <v>-54000</v>
      </c>
    </row>
    <row r="1084" spans="1:5" x14ac:dyDescent="0.2">
      <c r="A1084" s="29">
        <v>32032</v>
      </c>
      <c r="B1084" s="30">
        <f>VLOOKUP(A1084,'Database Claims'!$A:$C,3,)</f>
        <v>297000</v>
      </c>
      <c r="C1084" s="30">
        <f t="shared" si="32"/>
        <v>-19000</v>
      </c>
      <c r="D1084" s="30">
        <f>VLOOKUP(A1084,'Database Claims'!$A:$C,2,)</f>
        <v>2172000</v>
      </c>
      <c r="E1084" s="30">
        <f t="shared" si="33"/>
        <v>47000</v>
      </c>
    </row>
    <row r="1085" spans="1:5" x14ac:dyDescent="0.2">
      <c r="A1085" s="29">
        <v>32039</v>
      </c>
      <c r="B1085" s="26">
        <f>VLOOKUP(A1085,'Database Claims'!$A:$C,3,)</f>
        <v>309000</v>
      </c>
      <c r="C1085" s="30">
        <f t="shared" si="32"/>
        <v>12000</v>
      </c>
      <c r="D1085" s="26">
        <f>VLOOKUP(A1085,'Database Claims'!$A:$C,2,)</f>
        <v>2351000</v>
      </c>
      <c r="E1085" s="30">
        <f t="shared" si="33"/>
        <v>179000</v>
      </c>
    </row>
    <row r="1086" spans="1:5" x14ac:dyDescent="0.2">
      <c r="A1086" s="29">
        <v>32046</v>
      </c>
      <c r="B1086" s="30">
        <f>VLOOKUP(A1086,'Database Claims'!$A:$C,3,)</f>
        <v>317000</v>
      </c>
      <c r="C1086" s="30">
        <f t="shared" si="32"/>
        <v>8000</v>
      </c>
      <c r="D1086" s="30">
        <f>VLOOKUP(A1086,'Database Claims'!$A:$C,2,)</f>
        <v>2139000</v>
      </c>
      <c r="E1086" s="30">
        <f t="shared" si="33"/>
        <v>-212000</v>
      </c>
    </row>
    <row r="1087" spans="1:5" x14ac:dyDescent="0.2">
      <c r="A1087" s="29">
        <v>32053</v>
      </c>
      <c r="B1087" s="26">
        <f>VLOOKUP(A1087,'Database Claims'!$A:$C,3,)</f>
        <v>301000</v>
      </c>
      <c r="C1087" s="30">
        <f t="shared" si="32"/>
        <v>-16000</v>
      </c>
      <c r="D1087" s="26">
        <f>VLOOKUP(A1087,'Database Claims'!$A:$C,2,)</f>
        <v>2151000</v>
      </c>
      <c r="E1087" s="30">
        <f t="shared" si="33"/>
        <v>12000</v>
      </c>
    </row>
    <row r="1088" spans="1:5" x14ac:dyDescent="0.2">
      <c r="A1088" s="29">
        <v>32060</v>
      </c>
      <c r="B1088" s="30">
        <f>VLOOKUP(A1088,'Database Claims'!$A:$C,3,)</f>
        <v>308000</v>
      </c>
      <c r="C1088" s="30">
        <f t="shared" si="32"/>
        <v>7000</v>
      </c>
      <c r="D1088" s="30">
        <f>VLOOKUP(A1088,'Database Claims'!$A:$C,2,)</f>
        <v>2101000</v>
      </c>
      <c r="E1088" s="30">
        <f t="shared" si="33"/>
        <v>-50000</v>
      </c>
    </row>
    <row r="1089" spans="1:5" x14ac:dyDescent="0.2">
      <c r="A1089" s="29">
        <v>32067</v>
      </c>
      <c r="B1089" s="26">
        <f>VLOOKUP(A1089,'Database Claims'!$A:$C,3,)</f>
        <v>301000</v>
      </c>
      <c r="C1089" s="30">
        <f t="shared" si="32"/>
        <v>-7000</v>
      </c>
      <c r="D1089" s="26">
        <f>VLOOKUP(A1089,'Database Claims'!$A:$C,2,)</f>
        <v>2074000</v>
      </c>
      <c r="E1089" s="30">
        <f t="shared" si="33"/>
        <v>-27000</v>
      </c>
    </row>
    <row r="1090" spans="1:5" x14ac:dyDescent="0.2">
      <c r="A1090" s="29">
        <v>32074</v>
      </c>
      <c r="B1090" s="30">
        <f>VLOOKUP(A1090,'Database Claims'!$A:$C,3,)</f>
        <v>301000</v>
      </c>
      <c r="C1090" s="30">
        <f t="shared" si="32"/>
        <v>0</v>
      </c>
      <c r="D1090" s="30">
        <f>VLOOKUP(A1090,'Database Claims'!$A:$C,2,)</f>
        <v>1966000</v>
      </c>
      <c r="E1090" s="30">
        <f t="shared" si="33"/>
        <v>-108000</v>
      </c>
    </row>
    <row r="1091" spans="1:5" x14ac:dyDescent="0.2">
      <c r="A1091" s="29">
        <v>32081</v>
      </c>
      <c r="B1091" s="26">
        <f>VLOOKUP(A1091,'Database Claims'!$A:$C,3,)</f>
        <v>289000</v>
      </c>
      <c r="C1091" s="30">
        <f t="shared" si="32"/>
        <v>-12000</v>
      </c>
      <c r="D1091" s="26">
        <f>VLOOKUP(A1091,'Database Claims'!$A:$C,2,)</f>
        <v>1942000</v>
      </c>
      <c r="E1091" s="30">
        <f t="shared" si="33"/>
        <v>-24000</v>
      </c>
    </row>
    <row r="1092" spans="1:5" x14ac:dyDescent="0.2">
      <c r="A1092" s="29">
        <v>32088</v>
      </c>
      <c r="B1092" s="30">
        <f>VLOOKUP(A1092,'Database Claims'!$A:$C,3,)</f>
        <v>297000</v>
      </c>
      <c r="C1092" s="30">
        <f t="shared" si="32"/>
        <v>8000</v>
      </c>
      <c r="D1092" s="30">
        <f>VLOOKUP(A1092,'Database Claims'!$A:$C,2,)</f>
        <v>2054000</v>
      </c>
      <c r="E1092" s="30">
        <f t="shared" si="33"/>
        <v>112000</v>
      </c>
    </row>
    <row r="1093" spans="1:5" x14ac:dyDescent="0.2">
      <c r="A1093" s="29">
        <v>32095</v>
      </c>
      <c r="B1093" s="26">
        <f>VLOOKUP(A1093,'Database Claims'!$A:$C,3,)</f>
        <v>307000</v>
      </c>
      <c r="C1093" s="30">
        <f t="shared" si="32"/>
        <v>10000</v>
      </c>
      <c r="D1093" s="26">
        <f>VLOOKUP(A1093,'Database Claims'!$A:$C,2,)</f>
        <v>2109000</v>
      </c>
      <c r="E1093" s="30">
        <f t="shared" si="33"/>
        <v>55000</v>
      </c>
    </row>
    <row r="1094" spans="1:5" x14ac:dyDescent="0.2">
      <c r="A1094" s="29">
        <v>32102</v>
      </c>
      <c r="B1094" s="30">
        <f>VLOOKUP(A1094,'Database Claims'!$A:$C,3,)</f>
        <v>317000</v>
      </c>
      <c r="C1094" s="30">
        <f t="shared" ref="C1094:C1157" si="34">B1094-B1093</f>
        <v>10000</v>
      </c>
      <c r="D1094" s="30">
        <f>VLOOKUP(A1094,'Database Claims'!$A:$C,2,)</f>
        <v>2064000</v>
      </c>
      <c r="E1094" s="30">
        <f t="shared" ref="E1094:E1157" si="35">D1094-D1093</f>
        <v>-45000</v>
      </c>
    </row>
    <row r="1095" spans="1:5" x14ac:dyDescent="0.2">
      <c r="A1095" s="29">
        <v>32109</v>
      </c>
      <c r="B1095" s="26">
        <f>VLOOKUP(A1095,'Database Claims'!$A:$C,3,)</f>
        <v>306000</v>
      </c>
      <c r="C1095" s="30">
        <f t="shared" si="34"/>
        <v>-11000</v>
      </c>
      <c r="D1095" s="26">
        <f>VLOOKUP(A1095,'Database Claims'!$A:$C,2,)</f>
        <v>2102000</v>
      </c>
      <c r="E1095" s="30">
        <f t="shared" si="35"/>
        <v>38000</v>
      </c>
    </row>
    <row r="1096" spans="1:5" x14ac:dyDescent="0.2">
      <c r="A1096" s="29">
        <v>32116</v>
      </c>
      <c r="B1096" s="30">
        <f>VLOOKUP(A1096,'Database Claims'!$A:$C,3,)</f>
        <v>319000</v>
      </c>
      <c r="C1096" s="30">
        <f t="shared" si="34"/>
        <v>13000</v>
      </c>
      <c r="D1096" s="30">
        <f>VLOOKUP(A1096,'Database Claims'!$A:$C,2,)</f>
        <v>2125000</v>
      </c>
      <c r="E1096" s="30">
        <f t="shared" si="35"/>
        <v>23000</v>
      </c>
    </row>
    <row r="1097" spans="1:5" x14ac:dyDescent="0.2">
      <c r="A1097" s="29">
        <v>32123</v>
      </c>
      <c r="B1097" s="26">
        <f>VLOOKUP(A1097,'Database Claims'!$A:$C,3,)</f>
        <v>317000</v>
      </c>
      <c r="C1097" s="30">
        <f t="shared" si="34"/>
        <v>-2000</v>
      </c>
      <c r="D1097" s="26">
        <f>VLOOKUP(A1097,'Database Claims'!$A:$C,2,)</f>
        <v>2092000</v>
      </c>
      <c r="E1097" s="30">
        <f t="shared" si="35"/>
        <v>-33000</v>
      </c>
    </row>
    <row r="1098" spans="1:5" x14ac:dyDescent="0.2">
      <c r="A1098" s="29">
        <v>32130</v>
      </c>
      <c r="B1098" s="30">
        <f>VLOOKUP(A1098,'Database Claims'!$A:$C,3,)</f>
        <v>323000</v>
      </c>
      <c r="C1098" s="30">
        <f t="shared" si="34"/>
        <v>6000</v>
      </c>
      <c r="D1098" s="30">
        <f>VLOOKUP(A1098,'Database Claims'!$A:$C,2,)</f>
        <v>2105000</v>
      </c>
      <c r="E1098" s="30">
        <f t="shared" si="35"/>
        <v>13000</v>
      </c>
    </row>
    <row r="1099" spans="1:5" x14ac:dyDescent="0.2">
      <c r="A1099" s="29">
        <v>32137</v>
      </c>
      <c r="B1099" s="26">
        <f>VLOOKUP(A1099,'Database Claims'!$A:$C,3,)</f>
        <v>316000</v>
      </c>
      <c r="C1099" s="30">
        <f t="shared" si="34"/>
        <v>-7000</v>
      </c>
      <c r="D1099" s="26">
        <f>VLOOKUP(A1099,'Database Claims'!$A:$C,2,)</f>
        <v>2140000</v>
      </c>
      <c r="E1099" s="30">
        <f t="shared" si="35"/>
        <v>35000</v>
      </c>
    </row>
    <row r="1100" spans="1:5" x14ac:dyDescent="0.2">
      <c r="A1100" s="29">
        <v>32144</v>
      </c>
      <c r="B1100" s="30">
        <f>VLOOKUP(A1100,'Database Claims'!$A:$C,3,)</f>
        <v>315000</v>
      </c>
      <c r="C1100" s="30">
        <f t="shared" si="34"/>
        <v>-1000</v>
      </c>
      <c r="D1100" s="30">
        <f>VLOOKUP(A1100,'Database Claims'!$A:$C,2,)</f>
        <v>2096000</v>
      </c>
      <c r="E1100" s="30">
        <f t="shared" si="35"/>
        <v>-44000</v>
      </c>
    </row>
    <row r="1101" spans="1:5" x14ac:dyDescent="0.2">
      <c r="A1101" s="29">
        <v>32151</v>
      </c>
      <c r="B1101" s="26">
        <f>VLOOKUP(A1101,'Database Claims'!$A:$C,3,)</f>
        <v>325000</v>
      </c>
      <c r="C1101" s="30">
        <f t="shared" si="34"/>
        <v>10000</v>
      </c>
      <c r="D1101" s="26">
        <f>VLOOKUP(A1101,'Database Claims'!$A:$C,2,)</f>
        <v>2231000</v>
      </c>
      <c r="E1101" s="30">
        <f t="shared" si="35"/>
        <v>135000</v>
      </c>
    </row>
    <row r="1102" spans="1:5" x14ac:dyDescent="0.2">
      <c r="A1102" s="29">
        <v>32158</v>
      </c>
      <c r="B1102" s="30">
        <f>VLOOKUP(A1102,'Database Claims'!$A:$C,3,)</f>
        <v>361000</v>
      </c>
      <c r="C1102" s="30">
        <f t="shared" si="34"/>
        <v>36000</v>
      </c>
      <c r="D1102" s="30">
        <f>VLOOKUP(A1102,'Database Claims'!$A:$C,2,)</f>
        <v>2186000</v>
      </c>
      <c r="E1102" s="30">
        <f t="shared" si="35"/>
        <v>-45000</v>
      </c>
    </row>
    <row r="1103" spans="1:5" x14ac:dyDescent="0.2">
      <c r="A1103" s="29">
        <v>32165</v>
      </c>
      <c r="B1103" s="26">
        <f>VLOOKUP(A1103,'Database Claims'!$A:$C,3,)</f>
        <v>335000</v>
      </c>
      <c r="C1103" s="30">
        <f t="shared" si="34"/>
        <v>-26000</v>
      </c>
      <c r="D1103" s="26">
        <f>VLOOKUP(A1103,'Database Claims'!$A:$C,2,)</f>
        <v>2214000</v>
      </c>
      <c r="E1103" s="30">
        <f t="shared" si="35"/>
        <v>28000</v>
      </c>
    </row>
    <row r="1104" spans="1:5" x14ac:dyDescent="0.2">
      <c r="A1104" s="29">
        <v>32172</v>
      </c>
      <c r="B1104" s="30">
        <f>VLOOKUP(A1104,'Database Claims'!$A:$C,3,)</f>
        <v>342000</v>
      </c>
      <c r="C1104" s="30">
        <f t="shared" si="34"/>
        <v>7000</v>
      </c>
      <c r="D1104" s="30">
        <f>VLOOKUP(A1104,'Database Claims'!$A:$C,2,)</f>
        <v>2213000</v>
      </c>
      <c r="E1104" s="30">
        <f t="shared" si="35"/>
        <v>-1000</v>
      </c>
    </row>
    <row r="1105" spans="1:5" x14ac:dyDescent="0.2">
      <c r="A1105" s="29">
        <v>32179</v>
      </c>
      <c r="B1105" s="26">
        <f>VLOOKUP(A1105,'Database Claims'!$A:$C,3,)</f>
        <v>318000</v>
      </c>
      <c r="C1105" s="30">
        <f t="shared" si="34"/>
        <v>-24000</v>
      </c>
      <c r="D1105" s="26">
        <f>VLOOKUP(A1105,'Database Claims'!$A:$C,2,)</f>
        <v>2180000</v>
      </c>
      <c r="E1105" s="30">
        <f t="shared" si="35"/>
        <v>-33000</v>
      </c>
    </row>
    <row r="1106" spans="1:5" x14ac:dyDescent="0.2">
      <c r="A1106" s="29">
        <v>32186</v>
      </c>
      <c r="B1106" s="30">
        <f>VLOOKUP(A1106,'Database Claims'!$A:$C,3,)</f>
        <v>311000</v>
      </c>
      <c r="C1106" s="30">
        <f t="shared" si="34"/>
        <v>-7000</v>
      </c>
      <c r="D1106" s="30">
        <f>VLOOKUP(A1106,'Database Claims'!$A:$C,2,)</f>
        <v>2184000</v>
      </c>
      <c r="E1106" s="30">
        <f t="shared" si="35"/>
        <v>4000</v>
      </c>
    </row>
    <row r="1107" spans="1:5" x14ac:dyDescent="0.2">
      <c r="A1107" s="29">
        <v>32193</v>
      </c>
      <c r="B1107" s="26">
        <f>VLOOKUP(A1107,'Database Claims'!$A:$C,3,)</f>
        <v>327000</v>
      </c>
      <c r="C1107" s="30">
        <f t="shared" si="34"/>
        <v>16000</v>
      </c>
      <c r="D1107" s="26">
        <f>VLOOKUP(A1107,'Database Claims'!$A:$C,2,)</f>
        <v>2091000</v>
      </c>
      <c r="E1107" s="30">
        <f t="shared" si="35"/>
        <v>-93000</v>
      </c>
    </row>
    <row r="1108" spans="1:5" x14ac:dyDescent="0.2">
      <c r="A1108" s="29">
        <v>32200</v>
      </c>
      <c r="B1108" s="30">
        <f>VLOOKUP(A1108,'Database Claims'!$A:$C,3,)</f>
        <v>319000</v>
      </c>
      <c r="C1108" s="30">
        <f t="shared" si="34"/>
        <v>-8000</v>
      </c>
      <c r="D1108" s="30">
        <f>VLOOKUP(A1108,'Database Claims'!$A:$C,2,)</f>
        <v>2111000</v>
      </c>
      <c r="E1108" s="30">
        <f t="shared" si="35"/>
        <v>20000</v>
      </c>
    </row>
    <row r="1109" spans="1:5" x14ac:dyDescent="0.2">
      <c r="A1109" s="29">
        <v>32207</v>
      </c>
      <c r="B1109" s="26">
        <f>VLOOKUP(A1109,'Database Claims'!$A:$C,3,)</f>
        <v>307000</v>
      </c>
      <c r="C1109" s="30">
        <f t="shared" si="34"/>
        <v>-12000</v>
      </c>
      <c r="D1109" s="26">
        <f>VLOOKUP(A1109,'Database Claims'!$A:$C,2,)</f>
        <v>2147000</v>
      </c>
      <c r="E1109" s="30">
        <f t="shared" si="35"/>
        <v>36000</v>
      </c>
    </row>
    <row r="1110" spans="1:5" x14ac:dyDescent="0.2">
      <c r="A1110" s="29">
        <v>32214</v>
      </c>
      <c r="B1110" s="30">
        <f>VLOOKUP(A1110,'Database Claims'!$A:$C,3,)</f>
        <v>304000</v>
      </c>
      <c r="C1110" s="30">
        <f t="shared" si="34"/>
        <v>-3000</v>
      </c>
      <c r="D1110" s="30">
        <f>VLOOKUP(A1110,'Database Claims'!$A:$C,2,)</f>
        <v>2112000</v>
      </c>
      <c r="E1110" s="30">
        <f t="shared" si="35"/>
        <v>-35000</v>
      </c>
    </row>
    <row r="1111" spans="1:5" x14ac:dyDescent="0.2">
      <c r="A1111" s="29">
        <v>32221</v>
      </c>
      <c r="B1111" s="26">
        <f>VLOOKUP(A1111,'Database Claims'!$A:$C,3,)</f>
        <v>307000</v>
      </c>
      <c r="C1111" s="30">
        <f t="shared" si="34"/>
        <v>3000</v>
      </c>
      <c r="D1111" s="26">
        <f>VLOOKUP(A1111,'Database Claims'!$A:$C,2,)</f>
        <v>2112000</v>
      </c>
      <c r="E1111" s="30">
        <f t="shared" si="35"/>
        <v>0</v>
      </c>
    </row>
    <row r="1112" spans="1:5" x14ac:dyDescent="0.2">
      <c r="A1112" s="29">
        <v>32228</v>
      </c>
      <c r="B1112" s="30">
        <f>VLOOKUP(A1112,'Database Claims'!$A:$C,3,)</f>
        <v>304000</v>
      </c>
      <c r="C1112" s="30">
        <f t="shared" si="34"/>
        <v>-3000</v>
      </c>
      <c r="D1112" s="30">
        <f>VLOOKUP(A1112,'Database Claims'!$A:$C,2,)</f>
        <v>2077000</v>
      </c>
      <c r="E1112" s="30">
        <f t="shared" si="35"/>
        <v>-35000</v>
      </c>
    </row>
    <row r="1113" spans="1:5" x14ac:dyDescent="0.2">
      <c r="A1113" s="29">
        <v>32235</v>
      </c>
      <c r="B1113" s="26">
        <f>VLOOKUP(A1113,'Database Claims'!$A:$C,3,)</f>
        <v>309000</v>
      </c>
      <c r="C1113" s="30">
        <f t="shared" si="34"/>
        <v>5000</v>
      </c>
      <c r="D1113" s="26">
        <f>VLOOKUP(A1113,'Database Claims'!$A:$C,2,)</f>
        <v>2086000</v>
      </c>
      <c r="E1113" s="30">
        <f t="shared" si="35"/>
        <v>9000</v>
      </c>
    </row>
    <row r="1114" spans="1:5" x14ac:dyDescent="0.2">
      <c r="A1114" s="29">
        <v>32242</v>
      </c>
      <c r="B1114" s="30">
        <f>VLOOKUP(A1114,'Database Claims'!$A:$C,3,)</f>
        <v>313000</v>
      </c>
      <c r="C1114" s="30">
        <f t="shared" si="34"/>
        <v>4000</v>
      </c>
      <c r="D1114" s="30">
        <f>VLOOKUP(A1114,'Database Claims'!$A:$C,2,)</f>
        <v>2104000</v>
      </c>
      <c r="E1114" s="30">
        <f t="shared" si="35"/>
        <v>18000</v>
      </c>
    </row>
    <row r="1115" spans="1:5" x14ac:dyDescent="0.2">
      <c r="A1115" s="29">
        <v>32249</v>
      </c>
      <c r="B1115" s="26">
        <f>VLOOKUP(A1115,'Database Claims'!$A:$C,3,)</f>
        <v>314000</v>
      </c>
      <c r="C1115" s="30">
        <f t="shared" si="34"/>
        <v>1000</v>
      </c>
      <c r="D1115" s="26">
        <f>VLOOKUP(A1115,'Database Claims'!$A:$C,2,)</f>
        <v>2072000</v>
      </c>
      <c r="E1115" s="30">
        <f t="shared" si="35"/>
        <v>-32000</v>
      </c>
    </row>
    <row r="1116" spans="1:5" x14ac:dyDescent="0.2">
      <c r="A1116" s="29">
        <v>32256</v>
      </c>
      <c r="B1116" s="30">
        <f>VLOOKUP(A1116,'Database Claims'!$A:$C,3,)</f>
        <v>312000</v>
      </c>
      <c r="C1116" s="30">
        <f t="shared" si="34"/>
        <v>-2000</v>
      </c>
      <c r="D1116" s="30">
        <f>VLOOKUP(A1116,'Database Claims'!$A:$C,2,)</f>
        <v>2067000</v>
      </c>
      <c r="E1116" s="30">
        <f t="shared" si="35"/>
        <v>-5000</v>
      </c>
    </row>
    <row r="1117" spans="1:5" x14ac:dyDescent="0.2">
      <c r="A1117" s="29">
        <v>32263</v>
      </c>
      <c r="B1117" s="26">
        <f>VLOOKUP(A1117,'Database Claims'!$A:$C,3,)</f>
        <v>313000</v>
      </c>
      <c r="C1117" s="30">
        <f t="shared" si="34"/>
        <v>1000</v>
      </c>
      <c r="D1117" s="26">
        <f>VLOOKUP(A1117,'Database Claims'!$A:$C,2,)</f>
        <v>2077000</v>
      </c>
      <c r="E1117" s="30">
        <f t="shared" si="35"/>
        <v>10000</v>
      </c>
    </row>
    <row r="1118" spans="1:5" x14ac:dyDescent="0.2">
      <c r="A1118" s="29">
        <v>32270</v>
      </c>
      <c r="B1118" s="30">
        <f>VLOOKUP(A1118,'Database Claims'!$A:$C,3,)</f>
        <v>309000</v>
      </c>
      <c r="C1118" s="30">
        <f t="shared" si="34"/>
        <v>-4000</v>
      </c>
      <c r="D1118" s="30">
        <f>VLOOKUP(A1118,'Database Claims'!$A:$C,2,)</f>
        <v>2059000</v>
      </c>
      <c r="E1118" s="30">
        <f t="shared" si="35"/>
        <v>-18000</v>
      </c>
    </row>
    <row r="1119" spans="1:5" x14ac:dyDescent="0.2">
      <c r="A1119" s="29">
        <v>32277</v>
      </c>
      <c r="B1119" s="26">
        <f>VLOOKUP(A1119,'Database Claims'!$A:$C,3,)</f>
        <v>314000</v>
      </c>
      <c r="C1119" s="30">
        <f t="shared" si="34"/>
        <v>5000</v>
      </c>
      <c r="D1119" s="26">
        <f>VLOOKUP(A1119,'Database Claims'!$A:$C,2,)</f>
        <v>2068000</v>
      </c>
      <c r="E1119" s="30">
        <f t="shared" si="35"/>
        <v>9000</v>
      </c>
    </row>
    <row r="1120" spans="1:5" x14ac:dyDescent="0.2">
      <c r="A1120" s="29">
        <v>32284</v>
      </c>
      <c r="B1120" s="30">
        <f>VLOOKUP(A1120,'Database Claims'!$A:$C,3,)</f>
        <v>319000</v>
      </c>
      <c r="C1120" s="30">
        <f t="shared" si="34"/>
        <v>5000</v>
      </c>
      <c r="D1120" s="30">
        <f>VLOOKUP(A1120,'Database Claims'!$A:$C,2,)</f>
        <v>2099000</v>
      </c>
      <c r="E1120" s="30">
        <f t="shared" si="35"/>
        <v>31000</v>
      </c>
    </row>
    <row r="1121" spans="1:5" x14ac:dyDescent="0.2">
      <c r="A1121" s="29">
        <v>32291</v>
      </c>
      <c r="B1121" s="26">
        <f>VLOOKUP(A1121,'Database Claims'!$A:$C,3,)</f>
        <v>313000</v>
      </c>
      <c r="C1121" s="30">
        <f t="shared" si="34"/>
        <v>-6000</v>
      </c>
      <c r="D1121" s="26">
        <f>VLOOKUP(A1121,'Database Claims'!$A:$C,2,)</f>
        <v>2045000</v>
      </c>
      <c r="E1121" s="30">
        <f t="shared" si="35"/>
        <v>-54000</v>
      </c>
    </row>
    <row r="1122" spans="1:5" x14ac:dyDescent="0.2">
      <c r="A1122" s="29">
        <v>32298</v>
      </c>
      <c r="B1122" s="30">
        <f>VLOOKUP(A1122,'Database Claims'!$A:$C,3,)</f>
        <v>310000</v>
      </c>
      <c r="C1122" s="30">
        <f t="shared" si="34"/>
        <v>-3000</v>
      </c>
      <c r="D1122" s="30">
        <f>VLOOKUP(A1122,'Database Claims'!$A:$C,2,)</f>
        <v>2040000</v>
      </c>
      <c r="E1122" s="30">
        <f t="shared" si="35"/>
        <v>-5000</v>
      </c>
    </row>
    <row r="1123" spans="1:5" x14ac:dyDescent="0.2">
      <c r="A1123" s="29">
        <v>32305</v>
      </c>
      <c r="B1123" s="26">
        <f>VLOOKUP(A1123,'Database Claims'!$A:$C,3,)</f>
        <v>305000</v>
      </c>
      <c r="C1123" s="30">
        <f t="shared" si="34"/>
        <v>-5000</v>
      </c>
      <c r="D1123" s="26">
        <f>VLOOKUP(A1123,'Database Claims'!$A:$C,2,)</f>
        <v>2068000</v>
      </c>
      <c r="E1123" s="30">
        <f t="shared" si="35"/>
        <v>28000</v>
      </c>
    </row>
    <row r="1124" spans="1:5" x14ac:dyDescent="0.2">
      <c r="A1124" s="29">
        <v>32312</v>
      </c>
      <c r="B1124" s="30">
        <f>VLOOKUP(A1124,'Database Claims'!$A:$C,3,)</f>
        <v>311000</v>
      </c>
      <c r="C1124" s="30">
        <f t="shared" si="34"/>
        <v>6000</v>
      </c>
      <c r="D1124" s="30">
        <f>VLOOKUP(A1124,'Database Claims'!$A:$C,2,)</f>
        <v>2034000</v>
      </c>
      <c r="E1124" s="30">
        <f t="shared" si="35"/>
        <v>-34000</v>
      </c>
    </row>
    <row r="1125" spans="1:5" x14ac:dyDescent="0.2">
      <c r="A1125" s="29">
        <v>32319</v>
      </c>
      <c r="B1125" s="26">
        <f>VLOOKUP(A1125,'Database Claims'!$A:$C,3,)</f>
        <v>307000</v>
      </c>
      <c r="C1125" s="30">
        <f t="shared" si="34"/>
        <v>-4000</v>
      </c>
      <c r="D1125" s="26">
        <f>VLOOKUP(A1125,'Database Claims'!$A:$C,2,)</f>
        <v>2030000</v>
      </c>
      <c r="E1125" s="30">
        <f t="shared" si="35"/>
        <v>-4000</v>
      </c>
    </row>
    <row r="1126" spans="1:5" x14ac:dyDescent="0.2">
      <c r="A1126" s="29">
        <v>32326</v>
      </c>
      <c r="B1126" s="30">
        <f>VLOOKUP(A1126,'Database Claims'!$A:$C,3,)</f>
        <v>305000</v>
      </c>
      <c r="C1126" s="30">
        <f t="shared" si="34"/>
        <v>-2000</v>
      </c>
      <c r="D1126" s="30">
        <f>VLOOKUP(A1126,'Database Claims'!$A:$C,2,)</f>
        <v>2035000</v>
      </c>
      <c r="E1126" s="30">
        <f t="shared" si="35"/>
        <v>5000</v>
      </c>
    </row>
    <row r="1127" spans="1:5" x14ac:dyDescent="0.2">
      <c r="A1127" s="29">
        <v>32333</v>
      </c>
      <c r="B1127" s="26">
        <f>VLOOKUP(A1127,'Database Claims'!$A:$C,3,)</f>
        <v>303000</v>
      </c>
      <c r="C1127" s="30">
        <f t="shared" si="34"/>
        <v>-2000</v>
      </c>
      <c r="D1127" s="26">
        <f>VLOOKUP(A1127,'Database Claims'!$A:$C,2,)</f>
        <v>2027000</v>
      </c>
      <c r="E1127" s="30">
        <f t="shared" si="35"/>
        <v>-8000</v>
      </c>
    </row>
    <row r="1128" spans="1:5" x14ac:dyDescent="0.2">
      <c r="A1128" s="29">
        <v>32340</v>
      </c>
      <c r="B1128" s="30">
        <f>VLOOKUP(A1128,'Database Claims'!$A:$C,3,)</f>
        <v>315000</v>
      </c>
      <c r="C1128" s="30">
        <f t="shared" si="34"/>
        <v>12000</v>
      </c>
      <c r="D1128" s="30">
        <f>VLOOKUP(A1128,'Database Claims'!$A:$C,2,)</f>
        <v>2073000</v>
      </c>
      <c r="E1128" s="30">
        <f t="shared" si="35"/>
        <v>46000</v>
      </c>
    </row>
    <row r="1129" spans="1:5" x14ac:dyDescent="0.2">
      <c r="A1129" s="29">
        <v>32347</v>
      </c>
      <c r="B1129" s="26">
        <f>VLOOKUP(A1129,'Database Claims'!$A:$C,3,)</f>
        <v>354000</v>
      </c>
      <c r="C1129" s="30">
        <f t="shared" si="34"/>
        <v>39000</v>
      </c>
      <c r="D1129" s="26">
        <f>VLOOKUP(A1129,'Database Claims'!$A:$C,2,)</f>
        <v>2083000</v>
      </c>
      <c r="E1129" s="30">
        <f t="shared" si="35"/>
        <v>10000</v>
      </c>
    </row>
    <row r="1130" spans="1:5" x14ac:dyDescent="0.2">
      <c r="A1130" s="29">
        <v>32354</v>
      </c>
      <c r="B1130" s="30">
        <f>VLOOKUP(A1130,'Database Claims'!$A:$C,3,)</f>
        <v>331000</v>
      </c>
      <c r="C1130" s="30">
        <f t="shared" si="34"/>
        <v>-23000</v>
      </c>
      <c r="D1130" s="30">
        <f>VLOOKUP(A1130,'Database Claims'!$A:$C,2,)</f>
        <v>2108000</v>
      </c>
      <c r="E1130" s="30">
        <f t="shared" si="35"/>
        <v>25000</v>
      </c>
    </row>
    <row r="1131" spans="1:5" x14ac:dyDescent="0.2">
      <c r="A1131" s="29">
        <v>32361</v>
      </c>
      <c r="B1131" s="26">
        <f>VLOOKUP(A1131,'Database Claims'!$A:$C,3,)</f>
        <v>316000</v>
      </c>
      <c r="C1131" s="30">
        <f t="shared" si="34"/>
        <v>-15000</v>
      </c>
      <c r="D1131" s="26">
        <f>VLOOKUP(A1131,'Database Claims'!$A:$C,2,)</f>
        <v>2101000</v>
      </c>
      <c r="E1131" s="30">
        <f t="shared" si="35"/>
        <v>-7000</v>
      </c>
    </row>
    <row r="1132" spans="1:5" x14ac:dyDescent="0.2">
      <c r="A1132" s="29">
        <v>32368</v>
      </c>
      <c r="B1132" s="30">
        <f>VLOOKUP(A1132,'Database Claims'!$A:$C,3,)</f>
        <v>312000</v>
      </c>
      <c r="C1132" s="30">
        <f t="shared" si="34"/>
        <v>-4000</v>
      </c>
      <c r="D1132" s="30">
        <f>VLOOKUP(A1132,'Database Claims'!$A:$C,2,)</f>
        <v>2070000</v>
      </c>
      <c r="E1132" s="30">
        <f t="shared" si="35"/>
        <v>-31000</v>
      </c>
    </row>
    <row r="1133" spans="1:5" x14ac:dyDescent="0.2">
      <c r="A1133" s="29">
        <v>32375</v>
      </c>
      <c r="B1133" s="26">
        <f>VLOOKUP(A1133,'Database Claims'!$A:$C,3,)</f>
        <v>316000</v>
      </c>
      <c r="C1133" s="30">
        <f t="shared" si="34"/>
        <v>4000</v>
      </c>
      <c r="D1133" s="26">
        <f>VLOOKUP(A1133,'Database Claims'!$A:$C,2,)</f>
        <v>2099000</v>
      </c>
      <c r="E1133" s="30">
        <f t="shared" si="35"/>
        <v>29000</v>
      </c>
    </row>
    <row r="1134" spans="1:5" x14ac:dyDescent="0.2">
      <c r="A1134" s="29">
        <v>32382</v>
      </c>
      <c r="B1134" s="30">
        <f>VLOOKUP(A1134,'Database Claims'!$A:$C,3,)</f>
        <v>315000</v>
      </c>
      <c r="C1134" s="30">
        <f t="shared" si="34"/>
        <v>-1000</v>
      </c>
      <c r="D1134" s="30">
        <f>VLOOKUP(A1134,'Database Claims'!$A:$C,2,)</f>
        <v>2082000</v>
      </c>
      <c r="E1134" s="30">
        <f t="shared" si="35"/>
        <v>-17000</v>
      </c>
    </row>
    <row r="1135" spans="1:5" x14ac:dyDescent="0.2">
      <c r="A1135" s="29">
        <v>32389</v>
      </c>
      <c r="B1135" s="26">
        <f>VLOOKUP(A1135,'Database Claims'!$A:$C,3,)</f>
        <v>306000</v>
      </c>
      <c r="C1135" s="30">
        <f t="shared" si="34"/>
        <v>-9000</v>
      </c>
      <c r="D1135" s="26">
        <f>VLOOKUP(A1135,'Database Claims'!$A:$C,2,)</f>
        <v>2091000</v>
      </c>
      <c r="E1135" s="30">
        <f t="shared" si="35"/>
        <v>9000</v>
      </c>
    </row>
    <row r="1136" spans="1:5" x14ac:dyDescent="0.2">
      <c r="A1136" s="29">
        <v>32396</v>
      </c>
      <c r="B1136" s="30">
        <f>VLOOKUP(A1136,'Database Claims'!$A:$C,3,)</f>
        <v>305000</v>
      </c>
      <c r="C1136" s="30">
        <f t="shared" si="34"/>
        <v>-1000</v>
      </c>
      <c r="D1136" s="30">
        <f>VLOOKUP(A1136,'Database Claims'!$A:$C,2,)</f>
        <v>2053000</v>
      </c>
      <c r="E1136" s="30">
        <f t="shared" si="35"/>
        <v>-38000</v>
      </c>
    </row>
    <row r="1137" spans="1:5" x14ac:dyDescent="0.2">
      <c r="A1137" s="29">
        <v>32403</v>
      </c>
      <c r="B1137" s="26">
        <f>VLOOKUP(A1137,'Database Claims'!$A:$C,3,)</f>
        <v>306000</v>
      </c>
      <c r="C1137" s="30">
        <f t="shared" si="34"/>
        <v>1000</v>
      </c>
      <c r="D1137" s="26">
        <f>VLOOKUP(A1137,'Database Claims'!$A:$C,2,)</f>
        <v>2106000</v>
      </c>
      <c r="E1137" s="30">
        <f t="shared" si="35"/>
        <v>53000</v>
      </c>
    </row>
    <row r="1138" spans="1:5" x14ac:dyDescent="0.2">
      <c r="A1138" s="29">
        <v>32410</v>
      </c>
      <c r="B1138" s="30">
        <f>VLOOKUP(A1138,'Database Claims'!$A:$C,3,)</f>
        <v>301000</v>
      </c>
      <c r="C1138" s="30">
        <f t="shared" si="34"/>
        <v>-5000</v>
      </c>
      <c r="D1138" s="30">
        <f>VLOOKUP(A1138,'Database Claims'!$A:$C,2,)</f>
        <v>2053000</v>
      </c>
      <c r="E1138" s="30">
        <f t="shared" si="35"/>
        <v>-53000</v>
      </c>
    </row>
    <row r="1139" spans="1:5" x14ac:dyDescent="0.2">
      <c r="A1139" s="29">
        <v>32417</v>
      </c>
      <c r="B1139" s="26">
        <f>VLOOKUP(A1139,'Database Claims'!$A:$C,3,)</f>
        <v>292000</v>
      </c>
      <c r="C1139" s="30">
        <f t="shared" si="34"/>
        <v>-9000</v>
      </c>
      <c r="D1139" s="26">
        <f>VLOOKUP(A1139,'Database Claims'!$A:$C,2,)</f>
        <v>2041000</v>
      </c>
      <c r="E1139" s="30">
        <f t="shared" si="35"/>
        <v>-12000</v>
      </c>
    </row>
    <row r="1140" spans="1:5" x14ac:dyDescent="0.2">
      <c r="A1140" s="29">
        <v>32424</v>
      </c>
      <c r="B1140" s="30">
        <f>VLOOKUP(A1140,'Database Claims'!$A:$C,3,)</f>
        <v>292000</v>
      </c>
      <c r="C1140" s="30">
        <f t="shared" si="34"/>
        <v>0</v>
      </c>
      <c r="D1140" s="30">
        <f>VLOOKUP(A1140,'Database Claims'!$A:$C,2,)</f>
        <v>2017000</v>
      </c>
      <c r="E1140" s="30">
        <f t="shared" si="35"/>
        <v>-24000</v>
      </c>
    </row>
    <row r="1141" spans="1:5" x14ac:dyDescent="0.2">
      <c r="A1141" s="29">
        <v>32431</v>
      </c>
      <c r="B1141" s="26">
        <f>VLOOKUP(A1141,'Database Claims'!$A:$C,3,)</f>
        <v>293000</v>
      </c>
      <c r="C1141" s="30">
        <f t="shared" si="34"/>
        <v>1000</v>
      </c>
      <c r="D1141" s="26">
        <f>VLOOKUP(A1141,'Database Claims'!$A:$C,2,)</f>
        <v>1994000</v>
      </c>
      <c r="E1141" s="30">
        <f t="shared" si="35"/>
        <v>-23000</v>
      </c>
    </row>
    <row r="1142" spans="1:5" x14ac:dyDescent="0.2">
      <c r="A1142" s="29">
        <v>32438</v>
      </c>
      <c r="B1142" s="30">
        <f>VLOOKUP(A1142,'Database Claims'!$A:$C,3,)</f>
        <v>286000</v>
      </c>
      <c r="C1142" s="30">
        <f t="shared" si="34"/>
        <v>-7000</v>
      </c>
      <c r="D1142" s="30">
        <f>VLOOKUP(A1142,'Database Claims'!$A:$C,2,)</f>
        <v>2011000</v>
      </c>
      <c r="E1142" s="30">
        <f t="shared" si="35"/>
        <v>17000</v>
      </c>
    </row>
    <row r="1143" spans="1:5" x14ac:dyDescent="0.2">
      <c r="A1143" s="29">
        <v>32445</v>
      </c>
      <c r="B1143" s="26">
        <f>VLOOKUP(A1143,'Database Claims'!$A:$C,3,)</f>
        <v>294000</v>
      </c>
      <c r="C1143" s="30">
        <f t="shared" si="34"/>
        <v>8000</v>
      </c>
      <c r="D1143" s="26">
        <f>VLOOKUP(A1143,'Database Claims'!$A:$C,2,)</f>
        <v>2015000</v>
      </c>
      <c r="E1143" s="30">
        <f t="shared" si="35"/>
        <v>4000</v>
      </c>
    </row>
    <row r="1144" spans="1:5" x14ac:dyDescent="0.2">
      <c r="A1144" s="29">
        <v>32452</v>
      </c>
      <c r="B1144" s="30">
        <f>VLOOKUP(A1144,'Database Claims'!$A:$C,3,)</f>
        <v>285000</v>
      </c>
      <c r="C1144" s="30">
        <f t="shared" si="34"/>
        <v>-9000</v>
      </c>
      <c r="D1144" s="30">
        <f>VLOOKUP(A1144,'Database Claims'!$A:$C,2,)</f>
        <v>1898000</v>
      </c>
      <c r="E1144" s="30">
        <f t="shared" si="35"/>
        <v>-117000</v>
      </c>
    </row>
    <row r="1145" spans="1:5" x14ac:dyDescent="0.2">
      <c r="A1145" s="29">
        <v>32459</v>
      </c>
      <c r="B1145" s="26">
        <f>VLOOKUP(A1145,'Database Claims'!$A:$C,3,)</f>
        <v>284000</v>
      </c>
      <c r="C1145" s="30">
        <f t="shared" si="34"/>
        <v>-1000</v>
      </c>
      <c r="D1145" s="26">
        <f>VLOOKUP(A1145,'Database Claims'!$A:$C,2,)</f>
        <v>2011000</v>
      </c>
      <c r="E1145" s="30">
        <f t="shared" si="35"/>
        <v>113000</v>
      </c>
    </row>
    <row r="1146" spans="1:5" x14ac:dyDescent="0.2">
      <c r="A1146" s="29">
        <v>32466</v>
      </c>
      <c r="B1146" s="30">
        <f>VLOOKUP(A1146,'Database Claims'!$A:$C,3,)</f>
        <v>294000</v>
      </c>
      <c r="C1146" s="30">
        <f t="shared" si="34"/>
        <v>10000</v>
      </c>
      <c r="D1146" s="30">
        <f>VLOOKUP(A1146,'Database Claims'!$A:$C,2,)</f>
        <v>1981000</v>
      </c>
      <c r="E1146" s="30">
        <f t="shared" si="35"/>
        <v>-30000</v>
      </c>
    </row>
    <row r="1147" spans="1:5" x14ac:dyDescent="0.2">
      <c r="A1147" s="29">
        <v>32473</v>
      </c>
      <c r="B1147" s="26">
        <f>VLOOKUP(A1147,'Database Claims'!$A:$C,3,)</f>
        <v>299000</v>
      </c>
      <c r="C1147" s="30">
        <f t="shared" si="34"/>
        <v>5000</v>
      </c>
      <c r="D1147" s="26">
        <f>VLOOKUP(A1147,'Database Claims'!$A:$C,2,)</f>
        <v>2023000</v>
      </c>
      <c r="E1147" s="30">
        <f t="shared" si="35"/>
        <v>42000</v>
      </c>
    </row>
    <row r="1148" spans="1:5" x14ac:dyDescent="0.2">
      <c r="A1148" s="29">
        <v>32480</v>
      </c>
      <c r="B1148" s="30">
        <f>VLOOKUP(A1148,'Database Claims'!$A:$C,3,)</f>
        <v>298000</v>
      </c>
      <c r="C1148" s="30">
        <f t="shared" si="34"/>
        <v>-1000</v>
      </c>
      <c r="D1148" s="30">
        <f>VLOOKUP(A1148,'Database Claims'!$A:$C,2,)</f>
        <v>2006000</v>
      </c>
      <c r="E1148" s="30">
        <f t="shared" si="35"/>
        <v>-17000</v>
      </c>
    </row>
    <row r="1149" spans="1:5" x14ac:dyDescent="0.2">
      <c r="A1149" s="29">
        <v>32487</v>
      </c>
      <c r="B1149" s="26">
        <f>VLOOKUP(A1149,'Database Claims'!$A:$C,3,)</f>
        <v>285000</v>
      </c>
      <c r="C1149" s="30">
        <f t="shared" si="34"/>
        <v>-13000</v>
      </c>
      <c r="D1149" s="26">
        <f>VLOOKUP(A1149,'Database Claims'!$A:$C,2,)</f>
        <v>2013000</v>
      </c>
      <c r="E1149" s="30">
        <f t="shared" si="35"/>
        <v>7000</v>
      </c>
    </row>
    <row r="1150" spans="1:5" x14ac:dyDescent="0.2">
      <c r="A1150" s="29">
        <v>32494</v>
      </c>
      <c r="B1150" s="30">
        <f>VLOOKUP(A1150,'Database Claims'!$A:$C,3,)</f>
        <v>293000</v>
      </c>
      <c r="C1150" s="30">
        <f t="shared" si="34"/>
        <v>8000</v>
      </c>
      <c r="D1150" s="30">
        <f>VLOOKUP(A1150,'Database Claims'!$A:$C,2,)</f>
        <v>2054000</v>
      </c>
      <c r="E1150" s="30">
        <f t="shared" si="35"/>
        <v>41000</v>
      </c>
    </row>
    <row r="1151" spans="1:5" x14ac:dyDescent="0.2">
      <c r="A1151" s="29">
        <v>32501</v>
      </c>
      <c r="B1151" s="26">
        <f>VLOOKUP(A1151,'Database Claims'!$A:$C,3,)</f>
        <v>286000</v>
      </c>
      <c r="C1151" s="30">
        <f t="shared" si="34"/>
        <v>-7000</v>
      </c>
      <c r="D1151" s="26">
        <f>VLOOKUP(A1151,'Database Claims'!$A:$C,2,)</f>
        <v>2061000</v>
      </c>
      <c r="E1151" s="30">
        <f t="shared" si="35"/>
        <v>7000</v>
      </c>
    </row>
    <row r="1152" spans="1:5" x14ac:dyDescent="0.2">
      <c r="A1152" s="29">
        <v>32508</v>
      </c>
      <c r="B1152" s="30">
        <f>VLOOKUP(A1152,'Database Claims'!$A:$C,3,)</f>
        <v>304000</v>
      </c>
      <c r="C1152" s="30">
        <f t="shared" si="34"/>
        <v>18000</v>
      </c>
      <c r="D1152" s="30">
        <f>VLOOKUP(A1152,'Database Claims'!$A:$C,2,)</f>
        <v>2092000</v>
      </c>
      <c r="E1152" s="30">
        <f t="shared" si="35"/>
        <v>31000</v>
      </c>
    </row>
    <row r="1153" spans="1:5" x14ac:dyDescent="0.2">
      <c r="A1153" s="29">
        <v>32515</v>
      </c>
      <c r="B1153" s="26">
        <f>VLOOKUP(A1153,'Database Claims'!$A:$C,3,)</f>
        <v>299000</v>
      </c>
      <c r="C1153" s="30">
        <f t="shared" si="34"/>
        <v>-5000</v>
      </c>
      <c r="D1153" s="26">
        <f>VLOOKUP(A1153,'Database Claims'!$A:$C,2,)</f>
        <v>2056000</v>
      </c>
      <c r="E1153" s="30">
        <f t="shared" si="35"/>
        <v>-36000</v>
      </c>
    </row>
    <row r="1154" spans="1:5" x14ac:dyDescent="0.2">
      <c r="A1154" s="29">
        <v>32522</v>
      </c>
      <c r="B1154" s="30">
        <f>VLOOKUP(A1154,'Database Claims'!$A:$C,3,)</f>
        <v>283000</v>
      </c>
      <c r="C1154" s="30">
        <f t="shared" si="34"/>
        <v>-16000</v>
      </c>
      <c r="D1154" s="30">
        <f>VLOOKUP(A1154,'Database Claims'!$A:$C,2,)</f>
        <v>2069000</v>
      </c>
      <c r="E1154" s="30">
        <f t="shared" si="35"/>
        <v>13000</v>
      </c>
    </row>
    <row r="1155" spans="1:5" x14ac:dyDescent="0.2">
      <c r="A1155" s="29">
        <v>32529</v>
      </c>
      <c r="B1155" s="26">
        <f>VLOOKUP(A1155,'Database Claims'!$A:$C,3,)</f>
        <v>282000</v>
      </c>
      <c r="C1155" s="30">
        <f t="shared" si="34"/>
        <v>-1000</v>
      </c>
      <c r="D1155" s="26">
        <f>VLOOKUP(A1155,'Database Claims'!$A:$C,2,)</f>
        <v>2048000</v>
      </c>
      <c r="E1155" s="30">
        <f t="shared" si="35"/>
        <v>-21000</v>
      </c>
    </row>
    <row r="1156" spans="1:5" x14ac:dyDescent="0.2">
      <c r="A1156" s="29">
        <v>32536</v>
      </c>
      <c r="B1156" s="30">
        <f>VLOOKUP(A1156,'Database Claims'!$A:$C,3,)</f>
        <v>295000</v>
      </c>
      <c r="C1156" s="30">
        <f t="shared" si="34"/>
        <v>13000</v>
      </c>
      <c r="D1156" s="30">
        <f>VLOOKUP(A1156,'Database Claims'!$A:$C,2,)</f>
        <v>2071000</v>
      </c>
      <c r="E1156" s="30">
        <f t="shared" si="35"/>
        <v>23000</v>
      </c>
    </row>
    <row r="1157" spans="1:5" x14ac:dyDescent="0.2">
      <c r="A1157" s="29">
        <v>32543</v>
      </c>
      <c r="B1157" s="26">
        <f>VLOOKUP(A1157,'Database Claims'!$A:$C,3,)</f>
        <v>288000</v>
      </c>
      <c r="C1157" s="30">
        <f t="shared" si="34"/>
        <v>-7000</v>
      </c>
      <c r="D1157" s="26">
        <f>VLOOKUP(A1157,'Database Claims'!$A:$C,2,)</f>
        <v>2074000</v>
      </c>
      <c r="E1157" s="30">
        <f t="shared" si="35"/>
        <v>3000</v>
      </c>
    </row>
    <row r="1158" spans="1:5" x14ac:dyDescent="0.2">
      <c r="A1158" s="29">
        <v>32550</v>
      </c>
      <c r="B1158" s="30">
        <f>VLOOKUP(A1158,'Database Claims'!$A:$C,3,)</f>
        <v>322000</v>
      </c>
      <c r="C1158" s="30">
        <f t="shared" ref="C1158:C1221" si="36">B1158-B1157</f>
        <v>34000</v>
      </c>
      <c r="D1158" s="30">
        <f>VLOOKUP(A1158,'Database Claims'!$A:$C,2,)</f>
        <v>2103000</v>
      </c>
      <c r="E1158" s="30">
        <f t="shared" ref="E1158:E1221" si="37">D1158-D1157</f>
        <v>29000</v>
      </c>
    </row>
    <row r="1159" spans="1:5" x14ac:dyDescent="0.2">
      <c r="A1159" s="29">
        <v>32557</v>
      </c>
      <c r="B1159" s="26">
        <f>VLOOKUP(A1159,'Database Claims'!$A:$C,3,)</f>
        <v>305000</v>
      </c>
      <c r="C1159" s="30">
        <f t="shared" si="36"/>
        <v>-17000</v>
      </c>
      <c r="D1159" s="26">
        <f>VLOOKUP(A1159,'Database Claims'!$A:$C,2,)</f>
        <v>2111000</v>
      </c>
      <c r="E1159" s="30">
        <f t="shared" si="37"/>
        <v>8000</v>
      </c>
    </row>
    <row r="1160" spans="1:5" x14ac:dyDescent="0.2">
      <c r="A1160" s="29">
        <v>32564</v>
      </c>
      <c r="B1160" s="30">
        <f>VLOOKUP(A1160,'Database Claims'!$A:$C,3,)</f>
        <v>300000</v>
      </c>
      <c r="C1160" s="30">
        <f t="shared" si="36"/>
        <v>-5000</v>
      </c>
      <c r="D1160" s="30">
        <f>VLOOKUP(A1160,'Database Claims'!$A:$C,2,)</f>
        <v>2167000</v>
      </c>
      <c r="E1160" s="30">
        <f t="shared" si="37"/>
        <v>56000</v>
      </c>
    </row>
    <row r="1161" spans="1:5" x14ac:dyDescent="0.2">
      <c r="A1161" s="29">
        <v>32571</v>
      </c>
      <c r="B1161" s="26">
        <f>VLOOKUP(A1161,'Database Claims'!$A:$C,3,)</f>
        <v>325000</v>
      </c>
      <c r="C1161" s="30">
        <f t="shared" si="36"/>
        <v>25000</v>
      </c>
      <c r="D1161" s="26">
        <f>VLOOKUP(A1161,'Database Claims'!$A:$C,2,)</f>
        <v>2110000</v>
      </c>
      <c r="E1161" s="30">
        <f t="shared" si="37"/>
        <v>-57000</v>
      </c>
    </row>
    <row r="1162" spans="1:5" x14ac:dyDescent="0.2">
      <c r="A1162" s="29">
        <v>32578</v>
      </c>
      <c r="B1162" s="30">
        <f>VLOOKUP(A1162,'Database Claims'!$A:$C,3,)</f>
        <v>325000</v>
      </c>
      <c r="C1162" s="30">
        <f t="shared" si="36"/>
        <v>0</v>
      </c>
      <c r="D1162" s="30">
        <f>VLOOKUP(A1162,'Database Claims'!$A:$C,2,)</f>
        <v>2163000</v>
      </c>
      <c r="E1162" s="30">
        <f t="shared" si="37"/>
        <v>53000</v>
      </c>
    </row>
    <row r="1163" spans="1:5" x14ac:dyDescent="0.2">
      <c r="A1163" s="29">
        <v>32585</v>
      </c>
      <c r="B1163" s="26">
        <f>VLOOKUP(A1163,'Database Claims'!$A:$C,3,)</f>
        <v>319000</v>
      </c>
      <c r="C1163" s="30">
        <f t="shared" si="36"/>
        <v>-6000</v>
      </c>
      <c r="D1163" s="26">
        <f>VLOOKUP(A1163,'Database Claims'!$A:$C,2,)</f>
        <v>2108000</v>
      </c>
      <c r="E1163" s="30">
        <f t="shared" si="37"/>
        <v>-55000</v>
      </c>
    </row>
    <row r="1164" spans="1:5" x14ac:dyDescent="0.2">
      <c r="A1164" s="29">
        <v>32592</v>
      </c>
      <c r="B1164" s="30">
        <f>VLOOKUP(A1164,'Database Claims'!$A:$C,3,)</f>
        <v>319000</v>
      </c>
      <c r="C1164" s="30">
        <f t="shared" si="36"/>
        <v>0</v>
      </c>
      <c r="D1164" s="30">
        <f>VLOOKUP(A1164,'Database Claims'!$A:$C,2,)</f>
        <v>2145000</v>
      </c>
      <c r="E1164" s="30">
        <f t="shared" si="37"/>
        <v>37000</v>
      </c>
    </row>
    <row r="1165" spans="1:5" x14ac:dyDescent="0.2">
      <c r="A1165" s="29">
        <v>32599</v>
      </c>
      <c r="B1165" s="26">
        <f>VLOOKUP(A1165,'Database Claims'!$A:$C,3,)</f>
        <v>323000</v>
      </c>
      <c r="C1165" s="30">
        <f t="shared" si="36"/>
        <v>4000</v>
      </c>
      <c r="D1165" s="26">
        <f>VLOOKUP(A1165,'Database Claims'!$A:$C,2,)</f>
        <v>2117000</v>
      </c>
      <c r="E1165" s="30">
        <f t="shared" si="37"/>
        <v>-28000</v>
      </c>
    </row>
    <row r="1166" spans="1:5" x14ac:dyDescent="0.2">
      <c r="A1166" s="29">
        <v>32606</v>
      </c>
      <c r="B1166" s="30">
        <f>VLOOKUP(A1166,'Database Claims'!$A:$C,3,)</f>
        <v>314000</v>
      </c>
      <c r="C1166" s="30">
        <f t="shared" si="36"/>
        <v>-9000</v>
      </c>
      <c r="D1166" s="30">
        <f>VLOOKUP(A1166,'Database Claims'!$A:$C,2,)</f>
        <v>2117000</v>
      </c>
      <c r="E1166" s="30">
        <f t="shared" si="37"/>
        <v>0</v>
      </c>
    </row>
    <row r="1167" spans="1:5" x14ac:dyDescent="0.2">
      <c r="A1167" s="29">
        <v>32613</v>
      </c>
      <c r="B1167" s="26">
        <f>VLOOKUP(A1167,'Database Claims'!$A:$C,3,)</f>
        <v>307000</v>
      </c>
      <c r="C1167" s="30">
        <f t="shared" si="36"/>
        <v>-7000</v>
      </c>
      <c r="D1167" s="26">
        <f>VLOOKUP(A1167,'Database Claims'!$A:$C,2,)</f>
        <v>2092000</v>
      </c>
      <c r="E1167" s="30">
        <f t="shared" si="37"/>
        <v>-25000</v>
      </c>
    </row>
    <row r="1168" spans="1:5" x14ac:dyDescent="0.2">
      <c r="A1168" s="29">
        <v>32620</v>
      </c>
      <c r="B1168" s="30">
        <f>VLOOKUP(A1168,'Database Claims'!$A:$C,3,)</f>
        <v>304000</v>
      </c>
      <c r="C1168" s="30">
        <f t="shared" si="36"/>
        <v>-3000</v>
      </c>
      <c r="D1168" s="30">
        <f>VLOOKUP(A1168,'Database Claims'!$A:$C,2,)</f>
        <v>2104000</v>
      </c>
      <c r="E1168" s="30">
        <f t="shared" si="37"/>
        <v>12000</v>
      </c>
    </row>
    <row r="1169" spans="1:5" x14ac:dyDescent="0.2">
      <c r="A1169" s="29">
        <v>32627</v>
      </c>
      <c r="B1169" s="26">
        <f>VLOOKUP(A1169,'Database Claims'!$A:$C,3,)</f>
        <v>311000</v>
      </c>
      <c r="C1169" s="30">
        <f t="shared" si="36"/>
        <v>7000</v>
      </c>
      <c r="D1169" s="26">
        <f>VLOOKUP(A1169,'Database Claims'!$A:$C,2,)</f>
        <v>2064000</v>
      </c>
      <c r="E1169" s="30">
        <f t="shared" si="37"/>
        <v>-40000</v>
      </c>
    </row>
    <row r="1170" spans="1:5" x14ac:dyDescent="0.2">
      <c r="A1170" s="29">
        <v>32634</v>
      </c>
      <c r="B1170" s="30">
        <f>VLOOKUP(A1170,'Database Claims'!$A:$C,3,)</f>
        <v>320000</v>
      </c>
      <c r="C1170" s="30">
        <f t="shared" si="36"/>
        <v>9000</v>
      </c>
      <c r="D1170" s="30">
        <f>VLOOKUP(A1170,'Database Claims'!$A:$C,2,)</f>
        <v>2089000</v>
      </c>
      <c r="E1170" s="30">
        <f t="shared" si="37"/>
        <v>25000</v>
      </c>
    </row>
    <row r="1171" spans="1:5" x14ac:dyDescent="0.2">
      <c r="A1171" s="29">
        <v>32641</v>
      </c>
      <c r="B1171" s="26">
        <f>VLOOKUP(A1171,'Database Claims'!$A:$C,3,)</f>
        <v>332000</v>
      </c>
      <c r="C1171" s="30">
        <f t="shared" si="36"/>
        <v>12000</v>
      </c>
      <c r="D1171" s="26">
        <f>VLOOKUP(A1171,'Database Claims'!$A:$C,2,)</f>
        <v>2144000</v>
      </c>
      <c r="E1171" s="30">
        <f t="shared" si="37"/>
        <v>55000</v>
      </c>
    </row>
    <row r="1172" spans="1:5" x14ac:dyDescent="0.2">
      <c r="A1172" s="29">
        <v>32648</v>
      </c>
      <c r="B1172" s="30">
        <f>VLOOKUP(A1172,'Database Claims'!$A:$C,3,)</f>
        <v>321000</v>
      </c>
      <c r="C1172" s="30">
        <f t="shared" si="36"/>
        <v>-11000</v>
      </c>
      <c r="D1172" s="30">
        <f>VLOOKUP(A1172,'Database Claims'!$A:$C,2,)</f>
        <v>2085000</v>
      </c>
      <c r="E1172" s="30">
        <f t="shared" si="37"/>
        <v>-59000</v>
      </c>
    </row>
    <row r="1173" spans="1:5" x14ac:dyDescent="0.2">
      <c r="A1173" s="29">
        <v>32655</v>
      </c>
      <c r="B1173" s="26">
        <f>VLOOKUP(A1173,'Database Claims'!$A:$C,3,)</f>
        <v>325000</v>
      </c>
      <c r="C1173" s="30">
        <f t="shared" si="36"/>
        <v>4000</v>
      </c>
      <c r="D1173" s="26">
        <f>VLOOKUP(A1173,'Database Claims'!$A:$C,2,)</f>
        <v>2056000</v>
      </c>
      <c r="E1173" s="30">
        <f t="shared" si="37"/>
        <v>-29000</v>
      </c>
    </row>
    <row r="1174" spans="1:5" x14ac:dyDescent="0.2">
      <c r="A1174" s="29">
        <v>32662</v>
      </c>
      <c r="B1174" s="30">
        <f>VLOOKUP(A1174,'Database Claims'!$A:$C,3,)</f>
        <v>325000</v>
      </c>
      <c r="C1174" s="30">
        <f t="shared" si="36"/>
        <v>0</v>
      </c>
      <c r="D1174" s="30">
        <f>VLOOKUP(A1174,'Database Claims'!$A:$C,2,)</f>
        <v>2117000</v>
      </c>
      <c r="E1174" s="30">
        <f t="shared" si="37"/>
        <v>61000</v>
      </c>
    </row>
    <row r="1175" spans="1:5" x14ac:dyDescent="0.2">
      <c r="A1175" s="29">
        <v>32669</v>
      </c>
      <c r="B1175" s="26">
        <f>VLOOKUP(A1175,'Database Claims'!$A:$C,3,)</f>
        <v>332000</v>
      </c>
      <c r="C1175" s="30">
        <f t="shared" si="36"/>
        <v>7000</v>
      </c>
      <c r="D1175" s="26">
        <f>VLOOKUP(A1175,'Database Claims'!$A:$C,2,)</f>
        <v>2110000</v>
      </c>
      <c r="E1175" s="30">
        <f t="shared" si="37"/>
        <v>-7000</v>
      </c>
    </row>
    <row r="1176" spans="1:5" x14ac:dyDescent="0.2">
      <c r="A1176" s="29">
        <v>32676</v>
      </c>
      <c r="B1176" s="30">
        <f>VLOOKUP(A1176,'Database Claims'!$A:$C,3,)</f>
        <v>337000</v>
      </c>
      <c r="C1176" s="30">
        <f t="shared" si="36"/>
        <v>5000</v>
      </c>
      <c r="D1176" s="30">
        <f>VLOOKUP(A1176,'Database Claims'!$A:$C,2,)</f>
        <v>2113000</v>
      </c>
      <c r="E1176" s="30">
        <f t="shared" si="37"/>
        <v>3000</v>
      </c>
    </row>
    <row r="1177" spans="1:5" x14ac:dyDescent="0.2">
      <c r="A1177" s="29">
        <v>32683</v>
      </c>
      <c r="B1177" s="26">
        <f>VLOOKUP(A1177,'Database Claims'!$A:$C,3,)</f>
        <v>338000</v>
      </c>
      <c r="C1177" s="30">
        <f t="shared" si="36"/>
        <v>1000</v>
      </c>
      <c r="D1177" s="26">
        <f>VLOOKUP(A1177,'Database Claims'!$A:$C,2,)</f>
        <v>2151000</v>
      </c>
      <c r="E1177" s="30">
        <f t="shared" si="37"/>
        <v>38000</v>
      </c>
    </row>
    <row r="1178" spans="1:5" x14ac:dyDescent="0.2">
      <c r="A1178" s="29">
        <v>32690</v>
      </c>
      <c r="B1178" s="30">
        <f>VLOOKUP(A1178,'Database Claims'!$A:$C,3,)</f>
        <v>349000</v>
      </c>
      <c r="C1178" s="30">
        <f t="shared" si="36"/>
        <v>11000</v>
      </c>
      <c r="D1178" s="30">
        <f>VLOOKUP(A1178,'Database Claims'!$A:$C,2,)</f>
        <v>2133000</v>
      </c>
      <c r="E1178" s="30">
        <f t="shared" si="37"/>
        <v>-18000</v>
      </c>
    </row>
    <row r="1179" spans="1:5" x14ac:dyDescent="0.2">
      <c r="A1179" s="29">
        <v>32697</v>
      </c>
      <c r="B1179" s="26">
        <f>VLOOKUP(A1179,'Database Claims'!$A:$C,3,)</f>
        <v>341000</v>
      </c>
      <c r="C1179" s="30">
        <f t="shared" si="36"/>
        <v>-8000</v>
      </c>
      <c r="D1179" s="26">
        <f>VLOOKUP(A1179,'Database Claims'!$A:$C,2,)</f>
        <v>2207000</v>
      </c>
      <c r="E1179" s="30">
        <f t="shared" si="37"/>
        <v>74000</v>
      </c>
    </row>
    <row r="1180" spans="1:5" x14ac:dyDescent="0.2">
      <c r="A1180" s="29">
        <v>32704</v>
      </c>
      <c r="B1180" s="30">
        <f>VLOOKUP(A1180,'Database Claims'!$A:$C,3,)</f>
        <v>349000</v>
      </c>
      <c r="C1180" s="30">
        <f t="shared" si="36"/>
        <v>8000</v>
      </c>
      <c r="D1180" s="30">
        <f>VLOOKUP(A1180,'Database Claims'!$A:$C,2,)</f>
        <v>2217000</v>
      </c>
      <c r="E1180" s="30">
        <f t="shared" si="37"/>
        <v>10000</v>
      </c>
    </row>
    <row r="1181" spans="1:5" x14ac:dyDescent="0.2">
      <c r="A1181" s="29">
        <v>32711</v>
      </c>
      <c r="B1181" s="26">
        <f>VLOOKUP(A1181,'Database Claims'!$A:$C,3,)</f>
        <v>332000</v>
      </c>
      <c r="C1181" s="30">
        <f t="shared" si="36"/>
        <v>-17000</v>
      </c>
      <c r="D1181" s="26">
        <f>VLOOKUP(A1181,'Database Claims'!$A:$C,2,)</f>
        <v>2159000</v>
      </c>
      <c r="E1181" s="30">
        <f t="shared" si="37"/>
        <v>-58000</v>
      </c>
    </row>
    <row r="1182" spans="1:5" x14ac:dyDescent="0.2">
      <c r="A1182" s="29">
        <v>32718</v>
      </c>
      <c r="B1182" s="30">
        <f>VLOOKUP(A1182,'Database Claims'!$A:$C,3,)</f>
        <v>337000</v>
      </c>
      <c r="C1182" s="30">
        <f t="shared" si="36"/>
        <v>5000</v>
      </c>
      <c r="D1182" s="30">
        <f>VLOOKUP(A1182,'Database Claims'!$A:$C,2,)</f>
        <v>2181000</v>
      </c>
      <c r="E1182" s="30">
        <f t="shared" si="37"/>
        <v>22000</v>
      </c>
    </row>
    <row r="1183" spans="1:5" x14ac:dyDescent="0.2">
      <c r="A1183" s="29">
        <v>32725</v>
      </c>
      <c r="B1183" s="26">
        <f>VLOOKUP(A1183,'Database Claims'!$A:$C,3,)</f>
        <v>338000</v>
      </c>
      <c r="C1183" s="30">
        <f t="shared" si="36"/>
        <v>1000</v>
      </c>
      <c r="D1183" s="26">
        <f>VLOOKUP(A1183,'Database Claims'!$A:$C,2,)</f>
        <v>2236000</v>
      </c>
      <c r="E1183" s="30">
        <f t="shared" si="37"/>
        <v>55000</v>
      </c>
    </row>
    <row r="1184" spans="1:5" x14ac:dyDescent="0.2">
      <c r="A1184" s="29">
        <v>32732</v>
      </c>
      <c r="B1184" s="30">
        <f>VLOOKUP(A1184,'Database Claims'!$A:$C,3,)</f>
        <v>341000</v>
      </c>
      <c r="C1184" s="30">
        <f t="shared" si="36"/>
        <v>3000</v>
      </c>
      <c r="D1184" s="30">
        <f>VLOOKUP(A1184,'Database Claims'!$A:$C,2,)</f>
        <v>2214000</v>
      </c>
      <c r="E1184" s="30">
        <f t="shared" si="37"/>
        <v>-22000</v>
      </c>
    </row>
    <row r="1185" spans="1:5" x14ac:dyDescent="0.2">
      <c r="A1185" s="29">
        <v>32739</v>
      </c>
      <c r="B1185" s="26">
        <f>VLOOKUP(A1185,'Database Claims'!$A:$C,3,)</f>
        <v>327000</v>
      </c>
      <c r="C1185" s="30">
        <f t="shared" si="36"/>
        <v>-14000</v>
      </c>
      <c r="D1185" s="26">
        <f>VLOOKUP(A1185,'Database Claims'!$A:$C,2,)</f>
        <v>2195000</v>
      </c>
      <c r="E1185" s="30">
        <f t="shared" si="37"/>
        <v>-19000</v>
      </c>
    </row>
    <row r="1186" spans="1:5" x14ac:dyDescent="0.2">
      <c r="A1186" s="29">
        <v>32746</v>
      </c>
      <c r="B1186" s="30">
        <f>VLOOKUP(A1186,'Database Claims'!$A:$C,3,)</f>
        <v>332000</v>
      </c>
      <c r="C1186" s="30">
        <f t="shared" si="36"/>
        <v>5000</v>
      </c>
      <c r="D1186" s="30">
        <f>VLOOKUP(A1186,'Database Claims'!$A:$C,2,)</f>
        <v>2184000</v>
      </c>
      <c r="E1186" s="30">
        <f t="shared" si="37"/>
        <v>-11000</v>
      </c>
    </row>
    <row r="1187" spans="1:5" x14ac:dyDescent="0.2">
      <c r="A1187" s="29">
        <v>32753</v>
      </c>
      <c r="B1187" s="26">
        <f>VLOOKUP(A1187,'Database Claims'!$A:$C,3,)</f>
        <v>329000</v>
      </c>
      <c r="C1187" s="30">
        <f t="shared" si="36"/>
        <v>-3000</v>
      </c>
      <c r="D1187" s="26">
        <f>VLOOKUP(A1187,'Database Claims'!$A:$C,2,)</f>
        <v>2199000</v>
      </c>
      <c r="E1187" s="30">
        <f t="shared" si="37"/>
        <v>15000</v>
      </c>
    </row>
    <row r="1188" spans="1:5" x14ac:dyDescent="0.2">
      <c r="A1188" s="29">
        <v>32760</v>
      </c>
      <c r="B1188" s="30">
        <f>VLOOKUP(A1188,'Database Claims'!$A:$C,3,)</f>
        <v>336000</v>
      </c>
      <c r="C1188" s="30">
        <f t="shared" si="36"/>
        <v>7000</v>
      </c>
      <c r="D1188" s="30">
        <f>VLOOKUP(A1188,'Database Claims'!$A:$C,2,)</f>
        <v>2207000</v>
      </c>
      <c r="E1188" s="30">
        <f t="shared" si="37"/>
        <v>8000</v>
      </c>
    </row>
    <row r="1189" spans="1:5" x14ac:dyDescent="0.2">
      <c r="A1189" s="29">
        <v>32767</v>
      </c>
      <c r="B1189" s="26">
        <f>VLOOKUP(A1189,'Database Claims'!$A:$C,3,)</f>
        <v>334000</v>
      </c>
      <c r="C1189" s="30">
        <f t="shared" si="36"/>
        <v>-2000</v>
      </c>
      <c r="D1189" s="26">
        <f>VLOOKUP(A1189,'Database Claims'!$A:$C,2,)</f>
        <v>2169000</v>
      </c>
      <c r="E1189" s="30">
        <f t="shared" si="37"/>
        <v>-38000</v>
      </c>
    </row>
    <row r="1190" spans="1:5" x14ac:dyDescent="0.2">
      <c r="A1190" s="29">
        <v>32774</v>
      </c>
      <c r="B1190" s="30">
        <f>VLOOKUP(A1190,'Database Claims'!$A:$C,3,)</f>
        <v>334000</v>
      </c>
      <c r="C1190" s="30">
        <f t="shared" si="36"/>
        <v>0</v>
      </c>
      <c r="D1190" s="30">
        <f>VLOOKUP(A1190,'Database Claims'!$A:$C,2,)</f>
        <v>2249000</v>
      </c>
      <c r="E1190" s="30">
        <f t="shared" si="37"/>
        <v>80000</v>
      </c>
    </row>
    <row r="1191" spans="1:5" x14ac:dyDescent="0.2">
      <c r="A1191" s="29">
        <v>32781</v>
      </c>
      <c r="B1191" s="26">
        <f>VLOOKUP(A1191,'Database Claims'!$A:$C,3,)</f>
        <v>347000</v>
      </c>
      <c r="C1191" s="30">
        <f t="shared" si="36"/>
        <v>13000</v>
      </c>
      <c r="D1191" s="26">
        <f>VLOOKUP(A1191,'Database Claims'!$A:$C,2,)</f>
        <v>2220000</v>
      </c>
      <c r="E1191" s="30">
        <f t="shared" si="37"/>
        <v>-29000</v>
      </c>
    </row>
    <row r="1192" spans="1:5" x14ac:dyDescent="0.2">
      <c r="A1192" s="29">
        <v>32788</v>
      </c>
      <c r="B1192" s="30">
        <f>VLOOKUP(A1192,'Database Claims'!$A:$C,3,)</f>
        <v>407000</v>
      </c>
      <c r="C1192" s="30">
        <f t="shared" si="36"/>
        <v>60000</v>
      </c>
      <c r="D1192" s="30">
        <f>VLOOKUP(A1192,'Database Claims'!$A:$C,2,)</f>
        <v>2279000</v>
      </c>
      <c r="E1192" s="30">
        <f t="shared" si="37"/>
        <v>59000</v>
      </c>
    </row>
    <row r="1193" spans="1:5" x14ac:dyDescent="0.2">
      <c r="A1193" s="29">
        <v>32795</v>
      </c>
      <c r="B1193" s="26">
        <f>VLOOKUP(A1193,'Database Claims'!$A:$C,3,)</f>
        <v>345000</v>
      </c>
      <c r="C1193" s="30">
        <f t="shared" si="36"/>
        <v>-62000</v>
      </c>
      <c r="D1193" s="26">
        <f>VLOOKUP(A1193,'Database Claims'!$A:$C,2,)</f>
        <v>2293000</v>
      </c>
      <c r="E1193" s="30">
        <f t="shared" si="37"/>
        <v>14000</v>
      </c>
    </row>
    <row r="1194" spans="1:5" x14ac:dyDescent="0.2">
      <c r="A1194" s="29">
        <v>32802</v>
      </c>
      <c r="B1194" s="30">
        <f>VLOOKUP(A1194,'Database Claims'!$A:$C,3,)</f>
        <v>347000</v>
      </c>
      <c r="C1194" s="30">
        <f t="shared" si="36"/>
        <v>2000</v>
      </c>
      <c r="D1194" s="30">
        <f>VLOOKUP(A1194,'Database Claims'!$A:$C,2,)</f>
        <v>2295000</v>
      </c>
      <c r="E1194" s="30">
        <f t="shared" si="37"/>
        <v>2000</v>
      </c>
    </row>
    <row r="1195" spans="1:5" x14ac:dyDescent="0.2">
      <c r="A1195" s="29">
        <v>32809</v>
      </c>
      <c r="B1195" s="26">
        <f>VLOOKUP(A1195,'Database Claims'!$A:$C,3,)</f>
        <v>354000</v>
      </c>
      <c r="C1195" s="30">
        <f t="shared" si="36"/>
        <v>7000</v>
      </c>
      <c r="D1195" s="26">
        <f>VLOOKUP(A1195,'Database Claims'!$A:$C,2,)</f>
        <v>2257000</v>
      </c>
      <c r="E1195" s="30">
        <f t="shared" si="37"/>
        <v>-38000</v>
      </c>
    </row>
    <row r="1196" spans="1:5" x14ac:dyDescent="0.2">
      <c r="A1196" s="29">
        <v>32816</v>
      </c>
      <c r="B1196" s="30">
        <f>VLOOKUP(A1196,'Database Claims'!$A:$C,3,)</f>
        <v>333000</v>
      </c>
      <c r="C1196" s="30">
        <f t="shared" si="36"/>
        <v>-21000</v>
      </c>
      <c r="D1196" s="30">
        <f>VLOOKUP(A1196,'Database Claims'!$A:$C,2,)</f>
        <v>2280000</v>
      </c>
      <c r="E1196" s="30">
        <f t="shared" si="37"/>
        <v>23000</v>
      </c>
    </row>
    <row r="1197" spans="1:5" x14ac:dyDescent="0.2">
      <c r="A1197" s="29">
        <v>32823</v>
      </c>
      <c r="B1197" s="26">
        <f>VLOOKUP(A1197,'Database Claims'!$A:$C,3,)</f>
        <v>336000</v>
      </c>
      <c r="C1197" s="30">
        <f t="shared" si="36"/>
        <v>3000</v>
      </c>
      <c r="D1197" s="26">
        <f>VLOOKUP(A1197,'Database Claims'!$A:$C,2,)</f>
        <v>2271000</v>
      </c>
      <c r="E1197" s="30">
        <f t="shared" si="37"/>
        <v>-9000</v>
      </c>
    </row>
    <row r="1198" spans="1:5" x14ac:dyDescent="0.2">
      <c r="A1198" s="29">
        <v>32830</v>
      </c>
      <c r="B1198" s="30">
        <f>VLOOKUP(A1198,'Database Claims'!$A:$C,3,)</f>
        <v>336000</v>
      </c>
      <c r="C1198" s="30">
        <f t="shared" si="36"/>
        <v>0</v>
      </c>
      <c r="D1198" s="30">
        <f>VLOOKUP(A1198,'Database Claims'!$A:$C,2,)</f>
        <v>2289000</v>
      </c>
      <c r="E1198" s="30">
        <f t="shared" si="37"/>
        <v>18000</v>
      </c>
    </row>
    <row r="1199" spans="1:5" x14ac:dyDescent="0.2">
      <c r="A1199" s="29">
        <v>32837</v>
      </c>
      <c r="B1199" s="26">
        <f>VLOOKUP(A1199,'Database Claims'!$A:$C,3,)</f>
        <v>342000</v>
      </c>
      <c r="C1199" s="30">
        <f t="shared" si="36"/>
        <v>6000</v>
      </c>
      <c r="D1199" s="26">
        <f>VLOOKUP(A1199,'Database Claims'!$A:$C,2,)</f>
        <v>2300000</v>
      </c>
      <c r="E1199" s="30">
        <f t="shared" si="37"/>
        <v>11000</v>
      </c>
    </row>
    <row r="1200" spans="1:5" x14ac:dyDescent="0.2">
      <c r="A1200" s="29">
        <v>32844</v>
      </c>
      <c r="B1200" s="30">
        <f>VLOOKUP(A1200,'Database Claims'!$A:$C,3,)</f>
        <v>344000</v>
      </c>
      <c r="C1200" s="30">
        <f t="shared" si="36"/>
        <v>2000</v>
      </c>
      <c r="D1200" s="30">
        <f>VLOOKUP(A1200,'Database Claims'!$A:$C,2,)</f>
        <v>2271000</v>
      </c>
      <c r="E1200" s="30">
        <f t="shared" si="37"/>
        <v>-29000</v>
      </c>
    </row>
    <row r="1201" spans="1:5" x14ac:dyDescent="0.2">
      <c r="A1201" s="29">
        <v>32851</v>
      </c>
      <c r="B1201" s="26">
        <f>VLOOKUP(A1201,'Database Claims'!$A:$C,3,)</f>
        <v>338000</v>
      </c>
      <c r="C1201" s="30">
        <f t="shared" si="36"/>
        <v>-6000</v>
      </c>
      <c r="D1201" s="26">
        <f>VLOOKUP(A1201,'Database Claims'!$A:$C,2,)</f>
        <v>2265000</v>
      </c>
      <c r="E1201" s="30">
        <f t="shared" si="37"/>
        <v>-6000</v>
      </c>
    </row>
    <row r="1202" spans="1:5" x14ac:dyDescent="0.2">
      <c r="A1202" s="29">
        <v>32858</v>
      </c>
      <c r="B1202" s="30">
        <f>VLOOKUP(A1202,'Database Claims'!$A:$C,3,)</f>
        <v>355000</v>
      </c>
      <c r="C1202" s="30">
        <f t="shared" si="36"/>
        <v>17000</v>
      </c>
      <c r="D1202" s="30">
        <f>VLOOKUP(A1202,'Database Claims'!$A:$C,2,)</f>
        <v>2295000</v>
      </c>
      <c r="E1202" s="30">
        <f t="shared" si="37"/>
        <v>30000</v>
      </c>
    </row>
    <row r="1203" spans="1:5" x14ac:dyDescent="0.2">
      <c r="A1203" s="29">
        <v>32865</v>
      </c>
      <c r="B1203" s="26">
        <f>VLOOKUP(A1203,'Database Claims'!$A:$C,3,)</f>
        <v>381000</v>
      </c>
      <c r="C1203" s="30">
        <f t="shared" si="36"/>
        <v>26000</v>
      </c>
      <c r="D1203" s="26">
        <f>VLOOKUP(A1203,'Database Claims'!$A:$C,2,)</f>
        <v>2292000</v>
      </c>
      <c r="E1203" s="30">
        <f t="shared" si="37"/>
        <v>-3000</v>
      </c>
    </row>
    <row r="1204" spans="1:5" x14ac:dyDescent="0.2">
      <c r="A1204" s="29">
        <v>32872</v>
      </c>
      <c r="B1204" s="30">
        <f>VLOOKUP(A1204,'Database Claims'!$A:$C,3,)</f>
        <v>358000</v>
      </c>
      <c r="C1204" s="30">
        <f t="shared" si="36"/>
        <v>-23000</v>
      </c>
      <c r="D1204" s="30">
        <f>VLOOKUP(A1204,'Database Claims'!$A:$C,2,)</f>
        <v>2302000</v>
      </c>
      <c r="E1204" s="30">
        <f t="shared" si="37"/>
        <v>10000</v>
      </c>
    </row>
    <row r="1205" spans="1:5" x14ac:dyDescent="0.2">
      <c r="A1205" s="29">
        <v>32879</v>
      </c>
      <c r="B1205" s="26">
        <f>VLOOKUP(A1205,'Database Claims'!$A:$C,3,)</f>
        <v>355000</v>
      </c>
      <c r="C1205" s="30">
        <f t="shared" si="36"/>
        <v>-3000</v>
      </c>
      <c r="D1205" s="26">
        <f>VLOOKUP(A1205,'Database Claims'!$A:$C,2,)</f>
        <v>2347000</v>
      </c>
      <c r="E1205" s="30">
        <f t="shared" si="37"/>
        <v>45000</v>
      </c>
    </row>
    <row r="1206" spans="1:5" x14ac:dyDescent="0.2">
      <c r="A1206" s="29">
        <v>32886</v>
      </c>
      <c r="B1206" s="30">
        <f>VLOOKUP(A1206,'Database Claims'!$A:$C,3,)</f>
        <v>369000</v>
      </c>
      <c r="C1206" s="30">
        <f t="shared" si="36"/>
        <v>14000</v>
      </c>
      <c r="D1206" s="30">
        <f>VLOOKUP(A1206,'Database Claims'!$A:$C,2,)</f>
        <v>2349000</v>
      </c>
      <c r="E1206" s="30">
        <f t="shared" si="37"/>
        <v>2000</v>
      </c>
    </row>
    <row r="1207" spans="1:5" x14ac:dyDescent="0.2">
      <c r="A1207" s="29">
        <v>32893</v>
      </c>
      <c r="B1207" s="26">
        <f>VLOOKUP(A1207,'Database Claims'!$A:$C,3,)</f>
        <v>375000</v>
      </c>
      <c r="C1207" s="30">
        <f t="shared" si="36"/>
        <v>6000</v>
      </c>
      <c r="D1207" s="26">
        <f>VLOOKUP(A1207,'Database Claims'!$A:$C,2,)</f>
        <v>2407000</v>
      </c>
      <c r="E1207" s="30">
        <f t="shared" si="37"/>
        <v>58000</v>
      </c>
    </row>
    <row r="1208" spans="1:5" x14ac:dyDescent="0.2">
      <c r="A1208" s="29">
        <v>32900</v>
      </c>
      <c r="B1208" s="30">
        <f>VLOOKUP(A1208,'Database Claims'!$A:$C,3,)</f>
        <v>345000</v>
      </c>
      <c r="C1208" s="30">
        <f t="shared" si="36"/>
        <v>-30000</v>
      </c>
      <c r="D1208" s="30">
        <f>VLOOKUP(A1208,'Database Claims'!$A:$C,2,)</f>
        <v>2316000</v>
      </c>
      <c r="E1208" s="30">
        <f t="shared" si="37"/>
        <v>-91000</v>
      </c>
    </row>
    <row r="1209" spans="1:5" x14ac:dyDescent="0.2">
      <c r="A1209" s="29">
        <v>32907</v>
      </c>
      <c r="B1209" s="26">
        <f>VLOOKUP(A1209,'Database Claims'!$A:$C,3,)</f>
        <v>368000</v>
      </c>
      <c r="C1209" s="30">
        <f t="shared" si="36"/>
        <v>23000</v>
      </c>
      <c r="D1209" s="26">
        <f>VLOOKUP(A1209,'Database Claims'!$A:$C,2,)</f>
        <v>2364000</v>
      </c>
      <c r="E1209" s="30">
        <f t="shared" si="37"/>
        <v>48000</v>
      </c>
    </row>
    <row r="1210" spans="1:5" x14ac:dyDescent="0.2">
      <c r="A1210" s="29">
        <v>32914</v>
      </c>
      <c r="B1210" s="30">
        <f>VLOOKUP(A1210,'Database Claims'!$A:$C,3,)</f>
        <v>367000</v>
      </c>
      <c r="C1210" s="30">
        <f t="shared" si="36"/>
        <v>-1000</v>
      </c>
      <c r="D1210" s="30">
        <f>VLOOKUP(A1210,'Database Claims'!$A:$C,2,)</f>
        <v>2323000</v>
      </c>
      <c r="E1210" s="30">
        <f t="shared" si="37"/>
        <v>-41000</v>
      </c>
    </row>
    <row r="1211" spans="1:5" x14ac:dyDescent="0.2">
      <c r="A1211" s="29">
        <v>32921</v>
      </c>
      <c r="B1211" s="26">
        <f>VLOOKUP(A1211,'Database Claims'!$A:$C,3,)</f>
        <v>348000</v>
      </c>
      <c r="C1211" s="30">
        <f t="shared" si="36"/>
        <v>-19000</v>
      </c>
      <c r="D1211" s="26">
        <f>VLOOKUP(A1211,'Database Claims'!$A:$C,2,)</f>
        <v>2382000</v>
      </c>
      <c r="E1211" s="30">
        <f t="shared" si="37"/>
        <v>59000</v>
      </c>
    </row>
    <row r="1212" spans="1:5" x14ac:dyDescent="0.2">
      <c r="A1212" s="29">
        <v>32928</v>
      </c>
      <c r="B1212" s="30">
        <f>VLOOKUP(A1212,'Database Claims'!$A:$C,3,)</f>
        <v>350000</v>
      </c>
      <c r="C1212" s="30">
        <f t="shared" si="36"/>
        <v>2000</v>
      </c>
      <c r="D1212" s="30">
        <f>VLOOKUP(A1212,'Database Claims'!$A:$C,2,)</f>
        <v>2347000</v>
      </c>
      <c r="E1212" s="30">
        <f t="shared" si="37"/>
        <v>-35000</v>
      </c>
    </row>
    <row r="1213" spans="1:5" x14ac:dyDescent="0.2">
      <c r="A1213" s="29">
        <v>32935</v>
      </c>
      <c r="B1213" s="26">
        <f>VLOOKUP(A1213,'Database Claims'!$A:$C,3,)</f>
        <v>351000</v>
      </c>
      <c r="C1213" s="30">
        <f t="shared" si="36"/>
        <v>1000</v>
      </c>
      <c r="D1213" s="26">
        <f>VLOOKUP(A1213,'Database Claims'!$A:$C,2,)</f>
        <v>2385000</v>
      </c>
      <c r="E1213" s="30">
        <f t="shared" si="37"/>
        <v>38000</v>
      </c>
    </row>
    <row r="1214" spans="1:5" x14ac:dyDescent="0.2">
      <c r="A1214" s="29">
        <v>32942</v>
      </c>
      <c r="B1214" s="30">
        <f>VLOOKUP(A1214,'Database Claims'!$A:$C,3,)</f>
        <v>349000</v>
      </c>
      <c r="C1214" s="30">
        <f t="shared" si="36"/>
        <v>-2000</v>
      </c>
      <c r="D1214" s="30">
        <f>VLOOKUP(A1214,'Database Claims'!$A:$C,2,)</f>
        <v>2341000</v>
      </c>
      <c r="E1214" s="30">
        <f t="shared" si="37"/>
        <v>-44000</v>
      </c>
    </row>
    <row r="1215" spans="1:5" x14ac:dyDescent="0.2">
      <c r="A1215" s="29">
        <v>32949</v>
      </c>
      <c r="B1215" s="26">
        <f>VLOOKUP(A1215,'Database Claims'!$A:$C,3,)</f>
        <v>349000</v>
      </c>
      <c r="C1215" s="30">
        <f t="shared" si="36"/>
        <v>0</v>
      </c>
      <c r="D1215" s="26">
        <f>VLOOKUP(A1215,'Database Claims'!$A:$C,2,)</f>
        <v>2384000</v>
      </c>
      <c r="E1215" s="30">
        <f t="shared" si="37"/>
        <v>43000</v>
      </c>
    </row>
    <row r="1216" spans="1:5" x14ac:dyDescent="0.2">
      <c r="A1216" s="29">
        <v>32956</v>
      </c>
      <c r="B1216" s="30">
        <f>VLOOKUP(A1216,'Database Claims'!$A:$C,3,)</f>
        <v>331000</v>
      </c>
      <c r="C1216" s="30">
        <f t="shared" si="36"/>
        <v>-18000</v>
      </c>
      <c r="D1216" s="30">
        <f>VLOOKUP(A1216,'Database Claims'!$A:$C,2,)</f>
        <v>2344000</v>
      </c>
      <c r="E1216" s="30">
        <f t="shared" si="37"/>
        <v>-40000</v>
      </c>
    </row>
    <row r="1217" spans="1:5" x14ac:dyDescent="0.2">
      <c r="A1217" s="29">
        <v>32963</v>
      </c>
      <c r="B1217" s="26">
        <f>VLOOKUP(A1217,'Database Claims'!$A:$C,3,)</f>
        <v>346000</v>
      </c>
      <c r="C1217" s="30">
        <f t="shared" si="36"/>
        <v>15000</v>
      </c>
      <c r="D1217" s="26">
        <f>VLOOKUP(A1217,'Database Claims'!$A:$C,2,)</f>
        <v>2365000</v>
      </c>
      <c r="E1217" s="30">
        <f t="shared" si="37"/>
        <v>21000</v>
      </c>
    </row>
    <row r="1218" spans="1:5" x14ac:dyDescent="0.2">
      <c r="A1218" s="29">
        <v>32970</v>
      </c>
      <c r="B1218" s="30">
        <f>VLOOKUP(A1218,'Database Claims'!$A:$C,3,)</f>
        <v>367000</v>
      </c>
      <c r="C1218" s="30">
        <f t="shared" si="36"/>
        <v>21000</v>
      </c>
      <c r="D1218" s="30">
        <f>VLOOKUP(A1218,'Database Claims'!$A:$C,2,)</f>
        <v>2323000</v>
      </c>
      <c r="E1218" s="30">
        <f t="shared" si="37"/>
        <v>-42000</v>
      </c>
    </row>
    <row r="1219" spans="1:5" x14ac:dyDescent="0.2">
      <c r="A1219" s="29">
        <v>32977</v>
      </c>
      <c r="B1219" s="26">
        <f>VLOOKUP(A1219,'Database Claims'!$A:$C,3,)</f>
        <v>357000</v>
      </c>
      <c r="C1219" s="30">
        <f t="shared" si="36"/>
        <v>-10000</v>
      </c>
      <c r="D1219" s="26">
        <f>VLOOKUP(A1219,'Database Claims'!$A:$C,2,)</f>
        <v>2410000</v>
      </c>
      <c r="E1219" s="30">
        <f t="shared" si="37"/>
        <v>87000</v>
      </c>
    </row>
    <row r="1220" spans="1:5" x14ac:dyDescent="0.2">
      <c r="A1220" s="29">
        <v>32984</v>
      </c>
      <c r="B1220" s="30">
        <f>VLOOKUP(A1220,'Database Claims'!$A:$C,3,)</f>
        <v>360000</v>
      </c>
      <c r="C1220" s="30">
        <f t="shared" si="36"/>
        <v>3000</v>
      </c>
      <c r="D1220" s="30">
        <f>VLOOKUP(A1220,'Database Claims'!$A:$C,2,)</f>
        <v>2385000</v>
      </c>
      <c r="E1220" s="30">
        <f t="shared" si="37"/>
        <v>-25000</v>
      </c>
    </row>
    <row r="1221" spans="1:5" x14ac:dyDescent="0.2">
      <c r="A1221" s="29">
        <v>32991</v>
      </c>
      <c r="B1221" s="26">
        <f>VLOOKUP(A1221,'Database Claims'!$A:$C,3,)</f>
        <v>363000</v>
      </c>
      <c r="C1221" s="30">
        <f t="shared" si="36"/>
        <v>3000</v>
      </c>
      <c r="D1221" s="26">
        <f>VLOOKUP(A1221,'Database Claims'!$A:$C,2,)</f>
        <v>2403000</v>
      </c>
      <c r="E1221" s="30">
        <f t="shared" si="37"/>
        <v>18000</v>
      </c>
    </row>
    <row r="1222" spans="1:5" x14ac:dyDescent="0.2">
      <c r="A1222" s="29">
        <v>32998</v>
      </c>
      <c r="B1222" s="30">
        <f>VLOOKUP(A1222,'Database Claims'!$A:$C,3,)</f>
        <v>354000</v>
      </c>
      <c r="C1222" s="30">
        <f t="shared" ref="C1222:C1285" si="38">B1222-B1221</f>
        <v>-9000</v>
      </c>
      <c r="D1222" s="30">
        <f>VLOOKUP(A1222,'Database Claims'!$A:$C,2,)</f>
        <v>2374000</v>
      </c>
      <c r="E1222" s="30">
        <f t="shared" ref="E1222:E1285" si="39">D1222-D1221</f>
        <v>-29000</v>
      </c>
    </row>
    <row r="1223" spans="1:5" x14ac:dyDescent="0.2">
      <c r="A1223" s="29">
        <v>33005</v>
      </c>
      <c r="B1223" s="26">
        <f>VLOOKUP(A1223,'Database Claims'!$A:$C,3,)</f>
        <v>355000</v>
      </c>
      <c r="C1223" s="30">
        <f t="shared" si="38"/>
        <v>1000</v>
      </c>
      <c r="D1223" s="26">
        <f>VLOOKUP(A1223,'Database Claims'!$A:$C,2,)</f>
        <v>2374000</v>
      </c>
      <c r="E1223" s="30">
        <f t="shared" si="39"/>
        <v>0</v>
      </c>
    </row>
    <row r="1224" spans="1:5" x14ac:dyDescent="0.2">
      <c r="A1224" s="29">
        <v>33012</v>
      </c>
      <c r="B1224" s="30">
        <f>VLOOKUP(A1224,'Database Claims'!$A:$C,3,)</f>
        <v>353000</v>
      </c>
      <c r="C1224" s="30">
        <f t="shared" si="38"/>
        <v>-2000</v>
      </c>
      <c r="D1224" s="30">
        <f>VLOOKUP(A1224,'Database Claims'!$A:$C,2,)</f>
        <v>2381000</v>
      </c>
      <c r="E1224" s="30">
        <f t="shared" si="39"/>
        <v>7000</v>
      </c>
    </row>
    <row r="1225" spans="1:5" x14ac:dyDescent="0.2">
      <c r="A1225" s="29">
        <v>33019</v>
      </c>
      <c r="B1225" s="26">
        <f>VLOOKUP(A1225,'Database Claims'!$A:$C,3,)</f>
        <v>359000</v>
      </c>
      <c r="C1225" s="30">
        <f t="shared" si="38"/>
        <v>6000</v>
      </c>
      <c r="D1225" s="26">
        <f>VLOOKUP(A1225,'Database Claims'!$A:$C,2,)</f>
        <v>2431000</v>
      </c>
      <c r="E1225" s="30">
        <f t="shared" si="39"/>
        <v>50000</v>
      </c>
    </row>
    <row r="1226" spans="1:5" x14ac:dyDescent="0.2">
      <c r="A1226" s="29">
        <v>33026</v>
      </c>
      <c r="B1226" s="30">
        <f>VLOOKUP(A1226,'Database Claims'!$A:$C,3,)</f>
        <v>368000</v>
      </c>
      <c r="C1226" s="30">
        <f t="shared" si="38"/>
        <v>9000</v>
      </c>
      <c r="D1226" s="30">
        <f>VLOOKUP(A1226,'Database Claims'!$A:$C,2,)</f>
        <v>2406000</v>
      </c>
      <c r="E1226" s="30">
        <f t="shared" si="39"/>
        <v>-25000</v>
      </c>
    </row>
    <row r="1227" spans="1:5" x14ac:dyDescent="0.2">
      <c r="A1227" s="29">
        <v>33033</v>
      </c>
      <c r="B1227" s="26">
        <f>VLOOKUP(A1227,'Database Claims'!$A:$C,3,)</f>
        <v>359000</v>
      </c>
      <c r="C1227" s="30">
        <f t="shared" si="38"/>
        <v>-9000</v>
      </c>
      <c r="D1227" s="26">
        <f>VLOOKUP(A1227,'Database Claims'!$A:$C,2,)</f>
        <v>2438000</v>
      </c>
      <c r="E1227" s="30">
        <f t="shared" si="39"/>
        <v>32000</v>
      </c>
    </row>
    <row r="1228" spans="1:5" x14ac:dyDescent="0.2">
      <c r="A1228" s="29">
        <v>33040</v>
      </c>
      <c r="B1228" s="30">
        <f>VLOOKUP(A1228,'Database Claims'!$A:$C,3,)</f>
        <v>359000</v>
      </c>
      <c r="C1228" s="30">
        <f t="shared" si="38"/>
        <v>0</v>
      </c>
      <c r="D1228" s="30">
        <f>VLOOKUP(A1228,'Database Claims'!$A:$C,2,)</f>
        <v>2402000</v>
      </c>
      <c r="E1228" s="30">
        <f t="shared" si="39"/>
        <v>-36000</v>
      </c>
    </row>
    <row r="1229" spans="1:5" x14ac:dyDescent="0.2">
      <c r="A1229" s="29">
        <v>33047</v>
      </c>
      <c r="B1229" s="26">
        <f>VLOOKUP(A1229,'Database Claims'!$A:$C,3,)</f>
        <v>362000</v>
      </c>
      <c r="C1229" s="30">
        <f t="shared" si="38"/>
        <v>3000</v>
      </c>
      <c r="D1229" s="26">
        <f>VLOOKUP(A1229,'Database Claims'!$A:$C,2,)</f>
        <v>2431000</v>
      </c>
      <c r="E1229" s="30">
        <f t="shared" si="39"/>
        <v>29000</v>
      </c>
    </row>
    <row r="1230" spans="1:5" x14ac:dyDescent="0.2">
      <c r="A1230" s="29">
        <v>33054</v>
      </c>
      <c r="B1230" s="30">
        <f>VLOOKUP(A1230,'Database Claims'!$A:$C,3,)</f>
        <v>364000</v>
      </c>
      <c r="C1230" s="30">
        <f t="shared" si="38"/>
        <v>2000</v>
      </c>
      <c r="D1230" s="30">
        <f>VLOOKUP(A1230,'Database Claims'!$A:$C,2,)</f>
        <v>2442000</v>
      </c>
      <c r="E1230" s="30">
        <f t="shared" si="39"/>
        <v>11000</v>
      </c>
    </row>
    <row r="1231" spans="1:5" x14ac:dyDescent="0.2">
      <c r="A1231" s="29">
        <v>33061</v>
      </c>
      <c r="B1231" s="26">
        <f>VLOOKUP(A1231,'Database Claims'!$A:$C,3,)</f>
        <v>362000</v>
      </c>
      <c r="C1231" s="30">
        <f t="shared" si="38"/>
        <v>-2000</v>
      </c>
      <c r="D1231" s="26">
        <f>VLOOKUP(A1231,'Database Claims'!$A:$C,2,)</f>
        <v>2487000</v>
      </c>
      <c r="E1231" s="30">
        <f t="shared" si="39"/>
        <v>45000</v>
      </c>
    </row>
    <row r="1232" spans="1:5" x14ac:dyDescent="0.2">
      <c r="A1232" s="29">
        <v>33068</v>
      </c>
      <c r="B1232" s="30">
        <f>VLOOKUP(A1232,'Database Claims'!$A:$C,3,)</f>
        <v>367000</v>
      </c>
      <c r="C1232" s="30">
        <f t="shared" si="38"/>
        <v>5000</v>
      </c>
      <c r="D1232" s="30">
        <f>VLOOKUP(A1232,'Database Claims'!$A:$C,2,)</f>
        <v>2498000</v>
      </c>
      <c r="E1232" s="30">
        <f t="shared" si="39"/>
        <v>11000</v>
      </c>
    </row>
    <row r="1233" spans="1:5" x14ac:dyDescent="0.2">
      <c r="A1233" s="29">
        <v>33075</v>
      </c>
      <c r="B1233" s="26">
        <f>VLOOKUP(A1233,'Database Claims'!$A:$C,3,)</f>
        <v>370000</v>
      </c>
      <c r="C1233" s="30">
        <f t="shared" si="38"/>
        <v>3000</v>
      </c>
      <c r="D1233" s="26">
        <f>VLOOKUP(A1233,'Database Claims'!$A:$C,2,)</f>
        <v>2441000</v>
      </c>
      <c r="E1233" s="30">
        <f t="shared" si="39"/>
        <v>-57000</v>
      </c>
    </row>
    <row r="1234" spans="1:5" x14ac:dyDescent="0.2">
      <c r="A1234" s="29">
        <v>33082</v>
      </c>
      <c r="B1234" s="30">
        <f>VLOOKUP(A1234,'Database Claims'!$A:$C,3,)</f>
        <v>369000</v>
      </c>
      <c r="C1234" s="30">
        <f t="shared" si="38"/>
        <v>-1000</v>
      </c>
      <c r="D1234" s="30">
        <f>VLOOKUP(A1234,'Database Claims'!$A:$C,2,)</f>
        <v>2461000</v>
      </c>
      <c r="E1234" s="30">
        <f t="shared" si="39"/>
        <v>20000</v>
      </c>
    </row>
    <row r="1235" spans="1:5" x14ac:dyDescent="0.2">
      <c r="A1235" s="29">
        <v>33089</v>
      </c>
      <c r="B1235" s="26">
        <f>VLOOKUP(A1235,'Database Claims'!$A:$C,3,)</f>
        <v>369000</v>
      </c>
      <c r="C1235" s="30">
        <f t="shared" si="38"/>
        <v>0</v>
      </c>
      <c r="D1235" s="26">
        <f>VLOOKUP(A1235,'Database Claims'!$A:$C,2,)</f>
        <v>2460000</v>
      </c>
      <c r="E1235" s="30">
        <f t="shared" si="39"/>
        <v>-1000</v>
      </c>
    </row>
    <row r="1236" spans="1:5" x14ac:dyDescent="0.2">
      <c r="A1236" s="29">
        <v>33096</v>
      </c>
      <c r="B1236" s="30">
        <f>VLOOKUP(A1236,'Database Claims'!$A:$C,3,)</f>
        <v>381000</v>
      </c>
      <c r="C1236" s="30">
        <f t="shared" si="38"/>
        <v>12000</v>
      </c>
      <c r="D1236" s="30">
        <f>VLOOKUP(A1236,'Database Claims'!$A:$C,2,)</f>
        <v>2500000</v>
      </c>
      <c r="E1236" s="30">
        <f t="shared" si="39"/>
        <v>40000</v>
      </c>
    </row>
    <row r="1237" spans="1:5" x14ac:dyDescent="0.2">
      <c r="A1237" s="29">
        <v>33103</v>
      </c>
      <c r="B1237" s="26">
        <f>VLOOKUP(A1237,'Database Claims'!$A:$C,3,)</f>
        <v>393000</v>
      </c>
      <c r="C1237" s="30">
        <f t="shared" si="38"/>
        <v>12000</v>
      </c>
      <c r="D1237" s="26">
        <f>VLOOKUP(A1237,'Database Claims'!$A:$C,2,)</f>
        <v>2537000</v>
      </c>
      <c r="E1237" s="30">
        <f t="shared" si="39"/>
        <v>37000</v>
      </c>
    </row>
    <row r="1238" spans="1:5" x14ac:dyDescent="0.2">
      <c r="A1238" s="29">
        <v>33110</v>
      </c>
      <c r="B1238" s="30">
        <f>VLOOKUP(A1238,'Database Claims'!$A:$C,3,)</f>
        <v>394000</v>
      </c>
      <c r="C1238" s="30">
        <f t="shared" si="38"/>
        <v>1000</v>
      </c>
      <c r="D1238" s="30">
        <f>VLOOKUP(A1238,'Database Claims'!$A:$C,2,)</f>
        <v>2540000</v>
      </c>
      <c r="E1238" s="30">
        <f t="shared" si="39"/>
        <v>3000</v>
      </c>
    </row>
    <row r="1239" spans="1:5" x14ac:dyDescent="0.2">
      <c r="A1239" s="29">
        <v>33117</v>
      </c>
      <c r="B1239" s="26">
        <f>VLOOKUP(A1239,'Database Claims'!$A:$C,3,)</f>
        <v>392000</v>
      </c>
      <c r="C1239" s="30">
        <f t="shared" si="38"/>
        <v>-2000</v>
      </c>
      <c r="D1239" s="26">
        <f>VLOOKUP(A1239,'Database Claims'!$A:$C,2,)</f>
        <v>2579000</v>
      </c>
      <c r="E1239" s="30">
        <f t="shared" si="39"/>
        <v>39000</v>
      </c>
    </row>
    <row r="1240" spans="1:5" x14ac:dyDescent="0.2">
      <c r="A1240" s="29">
        <v>33124</v>
      </c>
      <c r="B1240" s="30">
        <f>VLOOKUP(A1240,'Database Claims'!$A:$C,3,)</f>
        <v>390000</v>
      </c>
      <c r="C1240" s="30">
        <f t="shared" si="38"/>
        <v>-2000</v>
      </c>
      <c r="D1240" s="30">
        <f>VLOOKUP(A1240,'Database Claims'!$A:$C,2,)</f>
        <v>2585000</v>
      </c>
      <c r="E1240" s="30">
        <f t="shared" si="39"/>
        <v>6000</v>
      </c>
    </row>
    <row r="1241" spans="1:5" x14ac:dyDescent="0.2">
      <c r="A1241" s="29">
        <v>33131</v>
      </c>
      <c r="B1241" s="26">
        <f>VLOOKUP(A1241,'Database Claims'!$A:$C,3,)</f>
        <v>395000</v>
      </c>
      <c r="C1241" s="30">
        <f t="shared" si="38"/>
        <v>5000</v>
      </c>
      <c r="D1241" s="26">
        <f>VLOOKUP(A1241,'Database Claims'!$A:$C,2,)</f>
        <v>2591000</v>
      </c>
      <c r="E1241" s="30">
        <f t="shared" si="39"/>
        <v>6000</v>
      </c>
    </row>
    <row r="1242" spans="1:5" x14ac:dyDescent="0.2">
      <c r="A1242" s="29">
        <v>33138</v>
      </c>
      <c r="B1242" s="30">
        <f>VLOOKUP(A1242,'Database Claims'!$A:$C,3,)</f>
        <v>389000</v>
      </c>
      <c r="C1242" s="30">
        <f t="shared" si="38"/>
        <v>-6000</v>
      </c>
      <c r="D1242" s="30">
        <f>VLOOKUP(A1242,'Database Claims'!$A:$C,2,)</f>
        <v>2578000</v>
      </c>
      <c r="E1242" s="30">
        <f t="shared" si="39"/>
        <v>-13000</v>
      </c>
    </row>
    <row r="1243" spans="1:5" x14ac:dyDescent="0.2">
      <c r="A1243" s="29">
        <v>33145</v>
      </c>
      <c r="B1243" s="26">
        <f>VLOOKUP(A1243,'Database Claims'!$A:$C,3,)</f>
        <v>404000</v>
      </c>
      <c r="C1243" s="30">
        <f t="shared" si="38"/>
        <v>15000</v>
      </c>
      <c r="D1243" s="26">
        <f>VLOOKUP(A1243,'Database Claims'!$A:$C,2,)</f>
        <v>2644000</v>
      </c>
      <c r="E1243" s="30">
        <f t="shared" si="39"/>
        <v>66000</v>
      </c>
    </row>
    <row r="1244" spans="1:5" x14ac:dyDescent="0.2">
      <c r="A1244" s="29">
        <v>33152</v>
      </c>
      <c r="B1244" s="30">
        <f>VLOOKUP(A1244,'Database Claims'!$A:$C,3,)</f>
        <v>404000</v>
      </c>
      <c r="C1244" s="30">
        <f t="shared" si="38"/>
        <v>0</v>
      </c>
      <c r="D1244" s="30">
        <f>VLOOKUP(A1244,'Database Claims'!$A:$C,2,)</f>
        <v>2621000</v>
      </c>
      <c r="E1244" s="30">
        <f t="shared" si="39"/>
        <v>-23000</v>
      </c>
    </row>
    <row r="1245" spans="1:5" x14ac:dyDescent="0.2">
      <c r="A1245" s="29">
        <v>33159</v>
      </c>
      <c r="B1245" s="26">
        <f>VLOOKUP(A1245,'Database Claims'!$A:$C,3,)</f>
        <v>422000</v>
      </c>
      <c r="C1245" s="30">
        <f t="shared" si="38"/>
        <v>18000</v>
      </c>
      <c r="D1245" s="26">
        <f>VLOOKUP(A1245,'Database Claims'!$A:$C,2,)</f>
        <v>2753000</v>
      </c>
      <c r="E1245" s="30">
        <f t="shared" si="39"/>
        <v>132000</v>
      </c>
    </row>
    <row r="1246" spans="1:5" x14ac:dyDescent="0.2">
      <c r="A1246" s="29">
        <v>33166</v>
      </c>
      <c r="B1246" s="30">
        <f>VLOOKUP(A1246,'Database Claims'!$A:$C,3,)</f>
        <v>435000</v>
      </c>
      <c r="C1246" s="30">
        <f t="shared" si="38"/>
        <v>13000</v>
      </c>
      <c r="D1246" s="30">
        <f>VLOOKUP(A1246,'Database Claims'!$A:$C,2,)</f>
        <v>2722000</v>
      </c>
      <c r="E1246" s="30">
        <f t="shared" si="39"/>
        <v>-31000</v>
      </c>
    </row>
    <row r="1247" spans="1:5" x14ac:dyDescent="0.2">
      <c r="A1247" s="29">
        <v>33173</v>
      </c>
      <c r="B1247" s="26">
        <f>VLOOKUP(A1247,'Database Claims'!$A:$C,3,)</f>
        <v>440000</v>
      </c>
      <c r="C1247" s="30">
        <f t="shared" si="38"/>
        <v>5000</v>
      </c>
      <c r="D1247" s="26">
        <f>VLOOKUP(A1247,'Database Claims'!$A:$C,2,)</f>
        <v>2787000</v>
      </c>
      <c r="E1247" s="30">
        <f t="shared" si="39"/>
        <v>65000</v>
      </c>
    </row>
    <row r="1248" spans="1:5" x14ac:dyDescent="0.2">
      <c r="A1248" s="29">
        <v>33180</v>
      </c>
      <c r="B1248" s="30">
        <f>VLOOKUP(A1248,'Database Claims'!$A:$C,3,)</f>
        <v>430000</v>
      </c>
      <c r="C1248" s="30">
        <f t="shared" si="38"/>
        <v>-10000</v>
      </c>
      <c r="D1248" s="30">
        <f>VLOOKUP(A1248,'Database Claims'!$A:$C,2,)</f>
        <v>2813000</v>
      </c>
      <c r="E1248" s="30">
        <f t="shared" si="39"/>
        <v>26000</v>
      </c>
    </row>
    <row r="1249" spans="1:5" x14ac:dyDescent="0.2">
      <c r="A1249" s="29">
        <v>33187</v>
      </c>
      <c r="B1249" s="26">
        <f>VLOOKUP(A1249,'Database Claims'!$A:$C,3,)</f>
        <v>448000</v>
      </c>
      <c r="C1249" s="30">
        <f t="shared" si="38"/>
        <v>18000</v>
      </c>
      <c r="D1249" s="26">
        <f>VLOOKUP(A1249,'Database Claims'!$A:$C,2,)</f>
        <v>2789000</v>
      </c>
      <c r="E1249" s="30">
        <f t="shared" si="39"/>
        <v>-24000</v>
      </c>
    </row>
    <row r="1250" spans="1:5" x14ac:dyDescent="0.2">
      <c r="A1250" s="29">
        <v>33194</v>
      </c>
      <c r="B1250" s="30">
        <f>VLOOKUP(A1250,'Database Claims'!$A:$C,3,)</f>
        <v>447000</v>
      </c>
      <c r="C1250" s="30">
        <f t="shared" si="38"/>
        <v>-1000</v>
      </c>
      <c r="D1250" s="30">
        <f>VLOOKUP(A1250,'Database Claims'!$A:$C,2,)</f>
        <v>2996000</v>
      </c>
      <c r="E1250" s="30">
        <f t="shared" si="39"/>
        <v>207000</v>
      </c>
    </row>
    <row r="1251" spans="1:5" x14ac:dyDescent="0.2">
      <c r="A1251" s="29">
        <v>33201</v>
      </c>
      <c r="B1251" s="26">
        <f>VLOOKUP(A1251,'Database Claims'!$A:$C,3,)</f>
        <v>462000</v>
      </c>
      <c r="C1251" s="30">
        <f t="shared" si="38"/>
        <v>15000</v>
      </c>
      <c r="D1251" s="26">
        <f>VLOOKUP(A1251,'Database Claims'!$A:$C,2,)</f>
        <v>2955000</v>
      </c>
      <c r="E1251" s="30">
        <f t="shared" si="39"/>
        <v>-41000</v>
      </c>
    </row>
    <row r="1252" spans="1:5" x14ac:dyDescent="0.2">
      <c r="A1252" s="29">
        <v>33208</v>
      </c>
      <c r="B1252" s="30">
        <f>VLOOKUP(A1252,'Database Claims'!$A:$C,3,)</f>
        <v>451000</v>
      </c>
      <c r="C1252" s="30">
        <f t="shared" si="38"/>
        <v>-11000</v>
      </c>
      <c r="D1252" s="30">
        <f>VLOOKUP(A1252,'Database Claims'!$A:$C,2,)</f>
        <v>2918000</v>
      </c>
      <c r="E1252" s="30">
        <f t="shared" si="39"/>
        <v>-37000</v>
      </c>
    </row>
    <row r="1253" spans="1:5" x14ac:dyDescent="0.2">
      <c r="A1253" s="29">
        <v>33215</v>
      </c>
      <c r="B1253" s="26">
        <f>VLOOKUP(A1253,'Database Claims'!$A:$C,3,)</f>
        <v>449000</v>
      </c>
      <c r="C1253" s="30">
        <f t="shared" si="38"/>
        <v>-2000</v>
      </c>
      <c r="D1253" s="26">
        <f>VLOOKUP(A1253,'Database Claims'!$A:$C,2,)</f>
        <v>3000000</v>
      </c>
      <c r="E1253" s="30">
        <f t="shared" si="39"/>
        <v>82000</v>
      </c>
    </row>
    <row r="1254" spans="1:5" x14ac:dyDescent="0.2">
      <c r="A1254" s="29">
        <v>33222</v>
      </c>
      <c r="B1254" s="30">
        <f>VLOOKUP(A1254,'Database Claims'!$A:$C,3,)</f>
        <v>447000</v>
      </c>
      <c r="C1254" s="30">
        <f t="shared" si="38"/>
        <v>-2000</v>
      </c>
      <c r="D1254" s="30">
        <f>VLOOKUP(A1254,'Database Claims'!$A:$C,2,)</f>
        <v>2984000</v>
      </c>
      <c r="E1254" s="30">
        <f t="shared" si="39"/>
        <v>-16000</v>
      </c>
    </row>
    <row r="1255" spans="1:5" x14ac:dyDescent="0.2">
      <c r="A1255" s="29">
        <v>33229</v>
      </c>
      <c r="B1255" s="26">
        <f>VLOOKUP(A1255,'Database Claims'!$A:$C,3,)</f>
        <v>474000</v>
      </c>
      <c r="C1255" s="30">
        <f t="shared" si="38"/>
        <v>27000</v>
      </c>
      <c r="D1255" s="26">
        <f>VLOOKUP(A1255,'Database Claims'!$A:$C,2,)</f>
        <v>3001000</v>
      </c>
      <c r="E1255" s="30">
        <f t="shared" si="39"/>
        <v>17000</v>
      </c>
    </row>
    <row r="1256" spans="1:5" x14ac:dyDescent="0.2">
      <c r="A1256" s="29">
        <v>33236</v>
      </c>
      <c r="B1256" s="30">
        <f>VLOOKUP(A1256,'Database Claims'!$A:$C,3,)</f>
        <v>454000</v>
      </c>
      <c r="C1256" s="30">
        <f t="shared" si="38"/>
        <v>-20000</v>
      </c>
      <c r="D1256" s="30">
        <f>VLOOKUP(A1256,'Database Claims'!$A:$C,2,)</f>
        <v>2938000</v>
      </c>
      <c r="E1256" s="30">
        <f t="shared" si="39"/>
        <v>-63000</v>
      </c>
    </row>
    <row r="1257" spans="1:5" x14ac:dyDescent="0.2">
      <c r="A1257" s="29">
        <v>33243</v>
      </c>
      <c r="B1257" s="26">
        <f>VLOOKUP(A1257,'Database Claims'!$A:$C,3,)</f>
        <v>415000</v>
      </c>
      <c r="C1257" s="30">
        <f t="shared" si="38"/>
        <v>-39000</v>
      </c>
      <c r="D1257" s="26">
        <f>VLOOKUP(A1257,'Database Claims'!$A:$C,2,)</f>
        <v>3062000</v>
      </c>
      <c r="E1257" s="30">
        <f t="shared" si="39"/>
        <v>124000</v>
      </c>
    </row>
    <row r="1258" spans="1:5" x14ac:dyDescent="0.2">
      <c r="A1258" s="29">
        <v>33250</v>
      </c>
      <c r="B1258" s="30">
        <f>VLOOKUP(A1258,'Database Claims'!$A:$C,3,)</f>
        <v>437000</v>
      </c>
      <c r="C1258" s="30">
        <f t="shared" si="38"/>
        <v>22000</v>
      </c>
      <c r="D1258" s="30">
        <f>VLOOKUP(A1258,'Database Claims'!$A:$C,2,)</f>
        <v>3111000</v>
      </c>
      <c r="E1258" s="30">
        <f t="shared" si="39"/>
        <v>49000</v>
      </c>
    </row>
    <row r="1259" spans="1:5" x14ac:dyDescent="0.2">
      <c r="A1259" s="29">
        <v>33257</v>
      </c>
      <c r="B1259" s="26">
        <f>VLOOKUP(A1259,'Database Claims'!$A:$C,3,)</f>
        <v>445000</v>
      </c>
      <c r="C1259" s="30">
        <f t="shared" si="38"/>
        <v>8000</v>
      </c>
      <c r="D1259" s="26">
        <f>VLOOKUP(A1259,'Database Claims'!$A:$C,2,)</f>
        <v>3017000</v>
      </c>
      <c r="E1259" s="30">
        <f t="shared" si="39"/>
        <v>-94000</v>
      </c>
    </row>
    <row r="1260" spans="1:5" x14ac:dyDescent="0.2">
      <c r="A1260" s="29">
        <v>33264</v>
      </c>
      <c r="B1260" s="30">
        <f>VLOOKUP(A1260,'Database Claims'!$A:$C,3,)</f>
        <v>462000</v>
      </c>
      <c r="C1260" s="30">
        <f t="shared" si="38"/>
        <v>17000</v>
      </c>
      <c r="D1260" s="30">
        <f>VLOOKUP(A1260,'Database Claims'!$A:$C,2,)</f>
        <v>3162000</v>
      </c>
      <c r="E1260" s="30">
        <f t="shared" si="39"/>
        <v>145000</v>
      </c>
    </row>
    <row r="1261" spans="1:5" x14ac:dyDescent="0.2">
      <c r="A1261" s="29">
        <v>33271</v>
      </c>
      <c r="B1261" s="26">
        <f>VLOOKUP(A1261,'Database Claims'!$A:$C,3,)</f>
        <v>483000</v>
      </c>
      <c r="C1261" s="30">
        <f t="shared" si="38"/>
        <v>21000</v>
      </c>
      <c r="D1261" s="26">
        <f>VLOOKUP(A1261,'Database Claims'!$A:$C,2,)</f>
        <v>3228000</v>
      </c>
      <c r="E1261" s="30">
        <f t="shared" si="39"/>
        <v>66000</v>
      </c>
    </row>
    <row r="1262" spans="1:5" x14ac:dyDescent="0.2">
      <c r="A1262" s="29">
        <v>33278</v>
      </c>
      <c r="B1262" s="30">
        <f>VLOOKUP(A1262,'Database Claims'!$A:$C,3,)</f>
        <v>480000</v>
      </c>
      <c r="C1262" s="30">
        <f t="shared" si="38"/>
        <v>-3000</v>
      </c>
      <c r="D1262" s="30">
        <f>VLOOKUP(A1262,'Database Claims'!$A:$C,2,)</f>
        <v>3226000</v>
      </c>
      <c r="E1262" s="30">
        <f t="shared" si="39"/>
        <v>-2000</v>
      </c>
    </row>
    <row r="1263" spans="1:5" x14ac:dyDescent="0.2">
      <c r="A1263" s="29">
        <v>33285</v>
      </c>
      <c r="B1263" s="26">
        <f>VLOOKUP(A1263,'Database Claims'!$A:$C,3,)</f>
        <v>474000</v>
      </c>
      <c r="C1263" s="30">
        <f t="shared" si="38"/>
        <v>-6000</v>
      </c>
      <c r="D1263" s="26">
        <f>VLOOKUP(A1263,'Database Claims'!$A:$C,2,)</f>
        <v>3293000</v>
      </c>
      <c r="E1263" s="30">
        <f t="shared" si="39"/>
        <v>67000</v>
      </c>
    </row>
    <row r="1264" spans="1:5" x14ac:dyDescent="0.2">
      <c r="A1264" s="29">
        <v>33292</v>
      </c>
      <c r="B1264" s="30">
        <f>VLOOKUP(A1264,'Database Claims'!$A:$C,3,)</f>
        <v>499000</v>
      </c>
      <c r="C1264" s="30">
        <f t="shared" si="38"/>
        <v>25000</v>
      </c>
      <c r="D1264" s="30">
        <f>VLOOKUP(A1264,'Database Claims'!$A:$C,2,)</f>
        <v>3304000</v>
      </c>
      <c r="E1264" s="30">
        <f t="shared" si="39"/>
        <v>11000</v>
      </c>
    </row>
    <row r="1265" spans="1:5" x14ac:dyDescent="0.2">
      <c r="A1265" s="29">
        <v>33299</v>
      </c>
      <c r="B1265" s="26">
        <f>VLOOKUP(A1265,'Database Claims'!$A:$C,3,)</f>
        <v>488000</v>
      </c>
      <c r="C1265" s="30">
        <f t="shared" si="38"/>
        <v>-11000</v>
      </c>
      <c r="D1265" s="26">
        <f>VLOOKUP(A1265,'Database Claims'!$A:$C,2,)</f>
        <v>3357000</v>
      </c>
      <c r="E1265" s="30">
        <f t="shared" si="39"/>
        <v>53000</v>
      </c>
    </row>
    <row r="1266" spans="1:5" x14ac:dyDescent="0.2">
      <c r="A1266" s="29">
        <v>33306</v>
      </c>
      <c r="B1266" s="30">
        <f>VLOOKUP(A1266,'Database Claims'!$A:$C,3,)</f>
        <v>499000</v>
      </c>
      <c r="C1266" s="30">
        <f t="shared" si="38"/>
        <v>11000</v>
      </c>
      <c r="D1266" s="30">
        <f>VLOOKUP(A1266,'Database Claims'!$A:$C,2,)</f>
        <v>3384000</v>
      </c>
      <c r="E1266" s="30">
        <f t="shared" si="39"/>
        <v>27000</v>
      </c>
    </row>
    <row r="1267" spans="1:5" x14ac:dyDescent="0.2">
      <c r="A1267" s="29">
        <v>33313</v>
      </c>
      <c r="B1267" s="26">
        <f>VLOOKUP(A1267,'Database Claims'!$A:$C,3,)</f>
        <v>498000</v>
      </c>
      <c r="C1267" s="30">
        <f t="shared" si="38"/>
        <v>-1000</v>
      </c>
      <c r="D1267" s="26">
        <f>VLOOKUP(A1267,'Database Claims'!$A:$C,2,)</f>
        <v>3448000</v>
      </c>
      <c r="E1267" s="30">
        <f t="shared" si="39"/>
        <v>64000</v>
      </c>
    </row>
    <row r="1268" spans="1:5" x14ac:dyDescent="0.2">
      <c r="A1268" s="29">
        <v>33320</v>
      </c>
      <c r="B1268" s="30">
        <f>VLOOKUP(A1268,'Database Claims'!$A:$C,3,)</f>
        <v>509000</v>
      </c>
      <c r="C1268" s="30">
        <f t="shared" si="38"/>
        <v>11000</v>
      </c>
      <c r="D1268" s="30">
        <f>VLOOKUP(A1268,'Database Claims'!$A:$C,2,)</f>
        <v>3404000</v>
      </c>
      <c r="E1268" s="30">
        <f t="shared" si="39"/>
        <v>-44000</v>
      </c>
    </row>
    <row r="1269" spans="1:5" x14ac:dyDescent="0.2">
      <c r="A1269" s="29">
        <v>33327</v>
      </c>
      <c r="B1269" s="26">
        <f>VLOOKUP(A1269,'Database Claims'!$A:$C,3,)</f>
        <v>499000</v>
      </c>
      <c r="C1269" s="30">
        <f t="shared" si="38"/>
        <v>-10000</v>
      </c>
      <c r="D1269" s="26">
        <f>VLOOKUP(A1269,'Database Claims'!$A:$C,2,)</f>
        <v>3502000</v>
      </c>
      <c r="E1269" s="30">
        <f t="shared" si="39"/>
        <v>98000</v>
      </c>
    </row>
    <row r="1270" spans="1:5" x14ac:dyDescent="0.2">
      <c r="A1270" s="29">
        <v>33334</v>
      </c>
      <c r="B1270" s="30">
        <f>VLOOKUP(A1270,'Database Claims'!$A:$C,3,)</f>
        <v>452000</v>
      </c>
      <c r="C1270" s="30">
        <f t="shared" si="38"/>
        <v>-47000</v>
      </c>
      <c r="D1270" s="30">
        <f>VLOOKUP(A1270,'Database Claims'!$A:$C,2,)</f>
        <v>3493000</v>
      </c>
      <c r="E1270" s="30">
        <f t="shared" si="39"/>
        <v>-9000</v>
      </c>
    </row>
    <row r="1271" spans="1:5" x14ac:dyDescent="0.2">
      <c r="A1271" s="29">
        <v>33341</v>
      </c>
      <c r="B1271" s="26">
        <f>VLOOKUP(A1271,'Database Claims'!$A:$C,3,)</f>
        <v>477000</v>
      </c>
      <c r="C1271" s="30">
        <f t="shared" si="38"/>
        <v>25000</v>
      </c>
      <c r="D1271" s="26">
        <f>VLOOKUP(A1271,'Database Claims'!$A:$C,2,)</f>
        <v>3464000</v>
      </c>
      <c r="E1271" s="30">
        <f t="shared" si="39"/>
        <v>-29000</v>
      </c>
    </row>
    <row r="1272" spans="1:5" x14ac:dyDescent="0.2">
      <c r="A1272" s="29">
        <v>33348</v>
      </c>
      <c r="B1272" s="30">
        <f>VLOOKUP(A1272,'Database Claims'!$A:$C,3,)</f>
        <v>478000</v>
      </c>
      <c r="C1272" s="30">
        <f t="shared" si="38"/>
        <v>1000</v>
      </c>
      <c r="D1272" s="30">
        <f>VLOOKUP(A1272,'Database Claims'!$A:$C,2,)</f>
        <v>3502000</v>
      </c>
      <c r="E1272" s="30">
        <f t="shared" si="39"/>
        <v>38000</v>
      </c>
    </row>
    <row r="1273" spans="1:5" x14ac:dyDescent="0.2">
      <c r="A1273" s="29">
        <v>33355</v>
      </c>
      <c r="B1273" s="26">
        <f>VLOOKUP(A1273,'Database Claims'!$A:$C,3,)</f>
        <v>462000</v>
      </c>
      <c r="C1273" s="30">
        <f t="shared" si="38"/>
        <v>-16000</v>
      </c>
      <c r="D1273" s="26">
        <f>VLOOKUP(A1273,'Database Claims'!$A:$C,2,)</f>
        <v>3474000</v>
      </c>
      <c r="E1273" s="30">
        <f t="shared" si="39"/>
        <v>-28000</v>
      </c>
    </row>
    <row r="1274" spans="1:5" x14ac:dyDescent="0.2">
      <c r="A1274" s="29">
        <v>33362</v>
      </c>
      <c r="B1274" s="30">
        <f>VLOOKUP(A1274,'Database Claims'!$A:$C,3,)</f>
        <v>451000</v>
      </c>
      <c r="C1274" s="30">
        <f t="shared" si="38"/>
        <v>-11000</v>
      </c>
      <c r="D1274" s="30">
        <f>VLOOKUP(A1274,'Database Claims'!$A:$C,2,)</f>
        <v>3524000</v>
      </c>
      <c r="E1274" s="30">
        <f t="shared" si="39"/>
        <v>50000</v>
      </c>
    </row>
    <row r="1275" spans="1:5" x14ac:dyDescent="0.2">
      <c r="A1275" s="29">
        <v>33369</v>
      </c>
      <c r="B1275" s="26">
        <f>VLOOKUP(A1275,'Database Claims'!$A:$C,3,)</f>
        <v>446000</v>
      </c>
      <c r="C1275" s="30">
        <f t="shared" si="38"/>
        <v>-5000</v>
      </c>
      <c r="D1275" s="26">
        <f>VLOOKUP(A1275,'Database Claims'!$A:$C,2,)</f>
        <v>3492000</v>
      </c>
      <c r="E1275" s="30">
        <f t="shared" si="39"/>
        <v>-32000</v>
      </c>
    </row>
    <row r="1276" spans="1:5" x14ac:dyDescent="0.2">
      <c r="A1276" s="29">
        <v>33376</v>
      </c>
      <c r="B1276" s="30">
        <f>VLOOKUP(A1276,'Database Claims'!$A:$C,3,)</f>
        <v>448000</v>
      </c>
      <c r="C1276" s="30">
        <f t="shared" si="38"/>
        <v>2000</v>
      </c>
      <c r="D1276" s="30">
        <f>VLOOKUP(A1276,'Database Claims'!$A:$C,2,)</f>
        <v>3459000</v>
      </c>
      <c r="E1276" s="30">
        <f t="shared" si="39"/>
        <v>-33000</v>
      </c>
    </row>
    <row r="1277" spans="1:5" x14ac:dyDescent="0.2">
      <c r="A1277" s="29">
        <v>33383</v>
      </c>
      <c r="B1277" s="26">
        <f>VLOOKUP(A1277,'Database Claims'!$A:$C,3,)</f>
        <v>443000</v>
      </c>
      <c r="C1277" s="30">
        <f t="shared" si="38"/>
        <v>-5000</v>
      </c>
      <c r="D1277" s="26">
        <f>VLOOKUP(A1277,'Database Claims'!$A:$C,2,)</f>
        <v>3472000</v>
      </c>
      <c r="E1277" s="30">
        <f t="shared" si="39"/>
        <v>13000</v>
      </c>
    </row>
    <row r="1278" spans="1:5" x14ac:dyDescent="0.2">
      <c r="A1278" s="29">
        <v>33390</v>
      </c>
      <c r="B1278" s="30">
        <f>VLOOKUP(A1278,'Database Claims'!$A:$C,3,)</f>
        <v>432000</v>
      </c>
      <c r="C1278" s="30">
        <f t="shared" si="38"/>
        <v>-11000</v>
      </c>
      <c r="D1278" s="30">
        <f>VLOOKUP(A1278,'Database Claims'!$A:$C,2,)</f>
        <v>3522000</v>
      </c>
      <c r="E1278" s="30">
        <f t="shared" si="39"/>
        <v>50000</v>
      </c>
    </row>
    <row r="1279" spans="1:5" x14ac:dyDescent="0.2">
      <c r="A1279" s="29">
        <v>33397</v>
      </c>
      <c r="B1279" s="26">
        <f>VLOOKUP(A1279,'Database Claims'!$A:$C,3,)</f>
        <v>441000</v>
      </c>
      <c r="C1279" s="30">
        <f t="shared" si="38"/>
        <v>9000</v>
      </c>
      <c r="D1279" s="26">
        <f>VLOOKUP(A1279,'Database Claims'!$A:$C,2,)</f>
        <v>3439000</v>
      </c>
      <c r="E1279" s="30">
        <f t="shared" si="39"/>
        <v>-83000</v>
      </c>
    </row>
    <row r="1280" spans="1:5" x14ac:dyDescent="0.2">
      <c r="A1280" s="29">
        <v>33404</v>
      </c>
      <c r="B1280" s="30">
        <f>VLOOKUP(A1280,'Database Claims'!$A:$C,3,)</f>
        <v>429000</v>
      </c>
      <c r="C1280" s="30">
        <f t="shared" si="38"/>
        <v>-12000</v>
      </c>
      <c r="D1280" s="30">
        <f>VLOOKUP(A1280,'Database Claims'!$A:$C,2,)</f>
        <v>3428000</v>
      </c>
      <c r="E1280" s="30">
        <f t="shared" si="39"/>
        <v>-11000</v>
      </c>
    </row>
    <row r="1281" spans="1:5" x14ac:dyDescent="0.2">
      <c r="A1281" s="29">
        <v>33411</v>
      </c>
      <c r="B1281" s="26">
        <f>VLOOKUP(A1281,'Database Claims'!$A:$C,3,)</f>
        <v>423000</v>
      </c>
      <c r="C1281" s="30">
        <f t="shared" si="38"/>
        <v>-6000</v>
      </c>
      <c r="D1281" s="26">
        <f>VLOOKUP(A1281,'Database Claims'!$A:$C,2,)</f>
        <v>3389000</v>
      </c>
      <c r="E1281" s="30">
        <f t="shared" si="39"/>
        <v>-39000</v>
      </c>
    </row>
    <row r="1282" spans="1:5" x14ac:dyDescent="0.2">
      <c r="A1282" s="29">
        <v>33418</v>
      </c>
      <c r="B1282" s="30">
        <f>VLOOKUP(A1282,'Database Claims'!$A:$C,3,)</f>
        <v>418000</v>
      </c>
      <c r="C1282" s="30">
        <f t="shared" si="38"/>
        <v>-5000</v>
      </c>
      <c r="D1282" s="30">
        <f>VLOOKUP(A1282,'Database Claims'!$A:$C,2,)</f>
        <v>3356000</v>
      </c>
      <c r="E1282" s="30">
        <f t="shared" si="39"/>
        <v>-33000</v>
      </c>
    </row>
    <row r="1283" spans="1:5" x14ac:dyDescent="0.2">
      <c r="A1283" s="29">
        <v>33425</v>
      </c>
      <c r="B1283" s="26">
        <f>VLOOKUP(A1283,'Database Claims'!$A:$C,3,)</f>
        <v>422000</v>
      </c>
      <c r="C1283" s="30">
        <f t="shared" si="38"/>
        <v>4000</v>
      </c>
      <c r="D1283" s="26">
        <f>VLOOKUP(A1283,'Database Claims'!$A:$C,2,)</f>
        <v>3393000</v>
      </c>
      <c r="E1283" s="30">
        <f t="shared" si="39"/>
        <v>37000</v>
      </c>
    </row>
    <row r="1284" spans="1:5" x14ac:dyDescent="0.2">
      <c r="A1284" s="29">
        <v>33432</v>
      </c>
      <c r="B1284" s="30">
        <f>VLOOKUP(A1284,'Database Claims'!$A:$C,3,)</f>
        <v>420000</v>
      </c>
      <c r="C1284" s="30">
        <f t="shared" si="38"/>
        <v>-2000</v>
      </c>
      <c r="D1284" s="30">
        <f>VLOOKUP(A1284,'Database Claims'!$A:$C,2,)</f>
        <v>3255000</v>
      </c>
      <c r="E1284" s="30">
        <f t="shared" si="39"/>
        <v>-138000</v>
      </c>
    </row>
    <row r="1285" spans="1:5" x14ac:dyDescent="0.2">
      <c r="A1285" s="29">
        <v>33439</v>
      </c>
      <c r="B1285" s="26">
        <f>VLOOKUP(A1285,'Database Claims'!$A:$C,3,)</f>
        <v>408000</v>
      </c>
      <c r="C1285" s="30">
        <f t="shared" si="38"/>
        <v>-12000</v>
      </c>
      <c r="D1285" s="26">
        <f>VLOOKUP(A1285,'Database Claims'!$A:$C,2,)</f>
        <v>3276000</v>
      </c>
      <c r="E1285" s="30">
        <f t="shared" si="39"/>
        <v>21000</v>
      </c>
    </row>
    <row r="1286" spans="1:5" x14ac:dyDescent="0.2">
      <c r="A1286" s="29">
        <v>33446</v>
      </c>
      <c r="B1286" s="30">
        <f>VLOOKUP(A1286,'Database Claims'!$A:$C,3,)</f>
        <v>423000</v>
      </c>
      <c r="C1286" s="30">
        <f t="shared" ref="C1286:C1349" si="40">B1286-B1285</f>
        <v>15000</v>
      </c>
      <c r="D1286" s="30">
        <f>VLOOKUP(A1286,'Database Claims'!$A:$C,2,)</f>
        <v>3306000</v>
      </c>
      <c r="E1286" s="30">
        <f t="shared" ref="E1286:E1349" si="41">D1286-D1285</f>
        <v>30000</v>
      </c>
    </row>
    <row r="1287" spans="1:5" x14ac:dyDescent="0.2">
      <c r="A1287" s="29">
        <v>33453</v>
      </c>
      <c r="B1287" s="26">
        <f>VLOOKUP(A1287,'Database Claims'!$A:$C,3,)</f>
        <v>438000</v>
      </c>
      <c r="C1287" s="30">
        <f t="shared" si="40"/>
        <v>15000</v>
      </c>
      <c r="D1287" s="26">
        <f>VLOOKUP(A1287,'Database Claims'!$A:$C,2,)</f>
        <v>3307000</v>
      </c>
      <c r="E1287" s="30">
        <f t="shared" si="41"/>
        <v>1000</v>
      </c>
    </row>
    <row r="1288" spans="1:5" x14ac:dyDescent="0.2">
      <c r="A1288" s="29">
        <v>33460</v>
      </c>
      <c r="B1288" s="30">
        <f>VLOOKUP(A1288,'Database Claims'!$A:$C,3,)</f>
        <v>437000</v>
      </c>
      <c r="C1288" s="30">
        <f t="shared" si="40"/>
        <v>-1000</v>
      </c>
      <c r="D1288" s="30">
        <f>VLOOKUP(A1288,'Database Claims'!$A:$C,2,)</f>
        <v>3314000</v>
      </c>
      <c r="E1288" s="30">
        <f t="shared" si="41"/>
        <v>7000</v>
      </c>
    </row>
    <row r="1289" spans="1:5" x14ac:dyDescent="0.2">
      <c r="A1289" s="29">
        <v>33467</v>
      </c>
      <c r="B1289" s="26">
        <f>VLOOKUP(A1289,'Database Claims'!$A:$C,3,)</f>
        <v>433000</v>
      </c>
      <c r="C1289" s="30">
        <f t="shared" si="40"/>
        <v>-4000</v>
      </c>
      <c r="D1289" s="26">
        <f>VLOOKUP(A1289,'Database Claims'!$A:$C,2,)</f>
        <v>3282000</v>
      </c>
      <c r="E1289" s="30">
        <f t="shared" si="41"/>
        <v>-32000</v>
      </c>
    </row>
    <row r="1290" spans="1:5" x14ac:dyDescent="0.2">
      <c r="A1290" s="29">
        <v>33474</v>
      </c>
      <c r="B1290" s="30">
        <f>VLOOKUP(A1290,'Database Claims'!$A:$C,3,)</f>
        <v>425000</v>
      </c>
      <c r="C1290" s="30">
        <f t="shared" si="40"/>
        <v>-8000</v>
      </c>
      <c r="D1290" s="30">
        <f>VLOOKUP(A1290,'Database Claims'!$A:$C,2,)</f>
        <v>3277000</v>
      </c>
      <c r="E1290" s="30">
        <f t="shared" si="41"/>
        <v>-5000</v>
      </c>
    </row>
    <row r="1291" spans="1:5" x14ac:dyDescent="0.2">
      <c r="A1291" s="29">
        <v>33481</v>
      </c>
      <c r="B1291" s="26">
        <f>VLOOKUP(A1291,'Database Claims'!$A:$C,3,)</f>
        <v>425000</v>
      </c>
      <c r="C1291" s="30">
        <f t="shared" si="40"/>
        <v>0</v>
      </c>
      <c r="D1291" s="26">
        <f>VLOOKUP(A1291,'Database Claims'!$A:$C,2,)</f>
        <v>3279000</v>
      </c>
      <c r="E1291" s="30">
        <f t="shared" si="41"/>
        <v>2000</v>
      </c>
    </row>
    <row r="1292" spans="1:5" x14ac:dyDescent="0.2">
      <c r="A1292" s="29">
        <v>33488</v>
      </c>
      <c r="B1292" s="30">
        <f>VLOOKUP(A1292,'Database Claims'!$A:$C,3,)</f>
        <v>424000</v>
      </c>
      <c r="C1292" s="30">
        <f t="shared" si="40"/>
        <v>-1000</v>
      </c>
      <c r="D1292" s="30">
        <f>VLOOKUP(A1292,'Database Claims'!$A:$C,2,)</f>
        <v>3326000</v>
      </c>
      <c r="E1292" s="30">
        <f t="shared" si="41"/>
        <v>47000</v>
      </c>
    </row>
    <row r="1293" spans="1:5" x14ac:dyDescent="0.2">
      <c r="A1293" s="29">
        <v>33495</v>
      </c>
      <c r="B1293" s="26">
        <f>VLOOKUP(A1293,'Database Claims'!$A:$C,3,)</f>
        <v>418000</v>
      </c>
      <c r="C1293" s="30">
        <f t="shared" si="40"/>
        <v>-6000</v>
      </c>
      <c r="D1293" s="26">
        <f>VLOOKUP(A1293,'Database Claims'!$A:$C,2,)</f>
        <v>3275000</v>
      </c>
      <c r="E1293" s="30">
        <f t="shared" si="41"/>
        <v>-51000</v>
      </c>
    </row>
    <row r="1294" spans="1:5" x14ac:dyDescent="0.2">
      <c r="A1294" s="29">
        <v>33502</v>
      </c>
      <c r="B1294" s="30">
        <f>VLOOKUP(A1294,'Database Claims'!$A:$C,3,)</f>
        <v>419000</v>
      </c>
      <c r="C1294" s="30">
        <f t="shared" si="40"/>
        <v>1000</v>
      </c>
      <c r="D1294" s="30">
        <f>VLOOKUP(A1294,'Database Claims'!$A:$C,2,)</f>
        <v>3294000</v>
      </c>
      <c r="E1294" s="30">
        <f t="shared" si="41"/>
        <v>19000</v>
      </c>
    </row>
    <row r="1295" spans="1:5" x14ac:dyDescent="0.2">
      <c r="A1295" s="29">
        <v>33509</v>
      </c>
      <c r="B1295" s="26">
        <f>VLOOKUP(A1295,'Database Claims'!$A:$C,3,)</f>
        <v>437000</v>
      </c>
      <c r="C1295" s="30">
        <f t="shared" si="40"/>
        <v>18000</v>
      </c>
      <c r="D1295" s="26">
        <f>VLOOKUP(A1295,'Database Claims'!$A:$C,2,)</f>
        <v>3290000</v>
      </c>
      <c r="E1295" s="30">
        <f t="shared" si="41"/>
        <v>-4000</v>
      </c>
    </row>
    <row r="1296" spans="1:5" x14ac:dyDescent="0.2">
      <c r="A1296" s="29">
        <v>33516</v>
      </c>
      <c r="B1296" s="30">
        <f>VLOOKUP(A1296,'Database Claims'!$A:$C,3,)</f>
        <v>424000</v>
      </c>
      <c r="C1296" s="30">
        <f t="shared" si="40"/>
        <v>-13000</v>
      </c>
      <c r="D1296" s="30">
        <f>VLOOKUP(A1296,'Database Claims'!$A:$C,2,)</f>
        <v>3388000</v>
      </c>
      <c r="E1296" s="30">
        <f t="shared" si="41"/>
        <v>98000</v>
      </c>
    </row>
    <row r="1297" spans="1:5" x14ac:dyDescent="0.2">
      <c r="A1297" s="29">
        <v>33523</v>
      </c>
      <c r="B1297" s="26">
        <f>VLOOKUP(A1297,'Database Claims'!$A:$C,3,)</f>
        <v>425000</v>
      </c>
      <c r="C1297" s="30">
        <f t="shared" si="40"/>
        <v>1000</v>
      </c>
      <c r="D1297" s="26">
        <f>VLOOKUP(A1297,'Database Claims'!$A:$C,2,)</f>
        <v>3237000</v>
      </c>
      <c r="E1297" s="30">
        <f t="shared" si="41"/>
        <v>-151000</v>
      </c>
    </row>
    <row r="1298" spans="1:5" x14ac:dyDescent="0.2">
      <c r="A1298" s="29">
        <v>33530</v>
      </c>
      <c r="B1298" s="30">
        <f>VLOOKUP(A1298,'Database Claims'!$A:$C,3,)</f>
        <v>419000</v>
      </c>
      <c r="C1298" s="30">
        <f t="shared" si="40"/>
        <v>-6000</v>
      </c>
      <c r="D1298" s="30">
        <f>VLOOKUP(A1298,'Database Claims'!$A:$C,2,)</f>
        <v>3320000</v>
      </c>
      <c r="E1298" s="30">
        <f t="shared" si="41"/>
        <v>83000</v>
      </c>
    </row>
    <row r="1299" spans="1:5" x14ac:dyDescent="0.2">
      <c r="A1299" s="29">
        <v>33537</v>
      </c>
      <c r="B1299" s="26">
        <f>VLOOKUP(A1299,'Database Claims'!$A:$C,3,)</f>
        <v>423000</v>
      </c>
      <c r="C1299" s="30">
        <f t="shared" si="40"/>
        <v>4000</v>
      </c>
      <c r="D1299" s="26">
        <f>VLOOKUP(A1299,'Database Claims'!$A:$C,2,)</f>
        <v>3299000</v>
      </c>
      <c r="E1299" s="30">
        <f t="shared" si="41"/>
        <v>-21000</v>
      </c>
    </row>
    <row r="1300" spans="1:5" x14ac:dyDescent="0.2">
      <c r="A1300" s="29">
        <v>33544</v>
      </c>
      <c r="B1300" s="30">
        <f>VLOOKUP(A1300,'Database Claims'!$A:$C,3,)</f>
        <v>447000</v>
      </c>
      <c r="C1300" s="30">
        <f t="shared" si="40"/>
        <v>24000</v>
      </c>
      <c r="D1300" s="30">
        <f>VLOOKUP(A1300,'Database Claims'!$A:$C,2,)</f>
        <v>3336000</v>
      </c>
      <c r="E1300" s="30">
        <f t="shared" si="41"/>
        <v>37000</v>
      </c>
    </row>
    <row r="1301" spans="1:5" x14ac:dyDescent="0.2">
      <c r="A1301" s="29">
        <v>33551</v>
      </c>
      <c r="B1301" s="26">
        <f>VLOOKUP(A1301,'Database Claims'!$A:$C,3,)</f>
        <v>453000</v>
      </c>
      <c r="C1301" s="30">
        <f t="shared" si="40"/>
        <v>6000</v>
      </c>
      <c r="D1301" s="26">
        <f>VLOOKUP(A1301,'Database Claims'!$A:$C,2,)</f>
        <v>3328000</v>
      </c>
      <c r="E1301" s="30">
        <f t="shared" si="41"/>
        <v>-8000</v>
      </c>
    </row>
    <row r="1302" spans="1:5" x14ac:dyDescent="0.2">
      <c r="A1302" s="29">
        <v>33558</v>
      </c>
      <c r="B1302" s="30">
        <f>VLOOKUP(A1302,'Database Claims'!$A:$C,3,)</f>
        <v>439000</v>
      </c>
      <c r="C1302" s="30">
        <f t="shared" si="40"/>
        <v>-14000</v>
      </c>
      <c r="D1302" s="30">
        <f>VLOOKUP(A1302,'Database Claims'!$A:$C,2,)</f>
        <v>3315000</v>
      </c>
      <c r="E1302" s="30">
        <f t="shared" si="41"/>
        <v>-13000</v>
      </c>
    </row>
    <row r="1303" spans="1:5" x14ac:dyDescent="0.2">
      <c r="A1303" s="29">
        <v>33565</v>
      </c>
      <c r="B1303" s="26">
        <f>VLOOKUP(A1303,'Database Claims'!$A:$C,3,)</f>
        <v>444000</v>
      </c>
      <c r="C1303" s="30">
        <f t="shared" si="40"/>
        <v>5000</v>
      </c>
      <c r="D1303" s="26">
        <f>VLOOKUP(A1303,'Database Claims'!$A:$C,2,)</f>
        <v>3226000</v>
      </c>
      <c r="E1303" s="30">
        <f t="shared" si="41"/>
        <v>-89000</v>
      </c>
    </row>
    <row r="1304" spans="1:5" x14ac:dyDescent="0.2">
      <c r="A1304" s="29">
        <v>33572</v>
      </c>
      <c r="B1304" s="30">
        <f>VLOOKUP(A1304,'Database Claims'!$A:$C,3,)</f>
        <v>444000</v>
      </c>
      <c r="C1304" s="30">
        <f t="shared" si="40"/>
        <v>0</v>
      </c>
      <c r="D1304" s="30">
        <f>VLOOKUP(A1304,'Database Claims'!$A:$C,2,)</f>
        <v>3348000</v>
      </c>
      <c r="E1304" s="30">
        <f t="shared" si="41"/>
        <v>122000</v>
      </c>
    </row>
    <row r="1305" spans="1:5" x14ac:dyDescent="0.2">
      <c r="A1305" s="29">
        <v>33579</v>
      </c>
      <c r="B1305" s="26">
        <f>VLOOKUP(A1305,'Database Claims'!$A:$C,3,)</f>
        <v>475000</v>
      </c>
      <c r="C1305" s="30">
        <f t="shared" si="40"/>
        <v>31000</v>
      </c>
      <c r="D1305" s="26">
        <f>VLOOKUP(A1305,'Database Claims'!$A:$C,2,)</f>
        <v>3388000</v>
      </c>
      <c r="E1305" s="30">
        <f t="shared" si="41"/>
        <v>40000</v>
      </c>
    </row>
    <row r="1306" spans="1:5" x14ac:dyDescent="0.2">
      <c r="A1306" s="29">
        <v>33586</v>
      </c>
      <c r="B1306" s="30">
        <f>VLOOKUP(A1306,'Database Claims'!$A:$C,3,)</f>
        <v>475000</v>
      </c>
      <c r="C1306" s="30">
        <f t="shared" si="40"/>
        <v>0</v>
      </c>
      <c r="D1306" s="30">
        <f>VLOOKUP(A1306,'Database Claims'!$A:$C,2,)</f>
        <v>3405000</v>
      </c>
      <c r="E1306" s="30">
        <f t="shared" si="41"/>
        <v>17000</v>
      </c>
    </row>
    <row r="1307" spans="1:5" x14ac:dyDescent="0.2">
      <c r="A1307" s="29">
        <v>33593</v>
      </c>
      <c r="B1307" s="26">
        <f>VLOOKUP(A1307,'Database Claims'!$A:$C,3,)</f>
        <v>436000</v>
      </c>
      <c r="C1307" s="30">
        <f t="shared" si="40"/>
        <v>-39000</v>
      </c>
      <c r="D1307" s="26">
        <f>VLOOKUP(A1307,'Database Claims'!$A:$C,2,)</f>
        <v>3264000</v>
      </c>
      <c r="E1307" s="30">
        <f t="shared" si="41"/>
        <v>-141000</v>
      </c>
    </row>
    <row r="1308" spans="1:5" x14ac:dyDescent="0.2">
      <c r="A1308" s="29">
        <v>33600</v>
      </c>
      <c r="B1308" s="30">
        <f>VLOOKUP(A1308,'Database Claims'!$A:$C,3,)</f>
        <v>441000</v>
      </c>
      <c r="C1308" s="30">
        <f t="shared" si="40"/>
        <v>5000</v>
      </c>
      <c r="D1308" s="30">
        <f>VLOOKUP(A1308,'Database Claims'!$A:$C,2,)</f>
        <v>3340000</v>
      </c>
      <c r="E1308" s="30">
        <f t="shared" si="41"/>
        <v>76000</v>
      </c>
    </row>
    <row r="1309" spans="1:5" x14ac:dyDescent="0.2">
      <c r="A1309" s="29">
        <v>33607</v>
      </c>
      <c r="B1309" s="26">
        <f>VLOOKUP(A1309,'Database Claims'!$A:$C,3,)</f>
        <v>432000</v>
      </c>
      <c r="C1309" s="30">
        <f t="shared" si="40"/>
        <v>-9000</v>
      </c>
      <c r="D1309" s="26">
        <f>VLOOKUP(A1309,'Database Claims'!$A:$C,2,)</f>
        <v>3410000</v>
      </c>
      <c r="E1309" s="30">
        <f t="shared" si="41"/>
        <v>70000</v>
      </c>
    </row>
    <row r="1310" spans="1:5" x14ac:dyDescent="0.2">
      <c r="A1310" s="29">
        <v>33614</v>
      </c>
      <c r="B1310" s="30">
        <f>VLOOKUP(A1310,'Database Claims'!$A:$C,3,)</f>
        <v>440000</v>
      </c>
      <c r="C1310" s="30">
        <f t="shared" si="40"/>
        <v>8000</v>
      </c>
      <c r="D1310" s="30">
        <f>VLOOKUP(A1310,'Database Claims'!$A:$C,2,)</f>
        <v>3342000</v>
      </c>
      <c r="E1310" s="30">
        <f t="shared" si="41"/>
        <v>-68000</v>
      </c>
    </row>
    <row r="1311" spans="1:5" x14ac:dyDescent="0.2">
      <c r="A1311" s="29">
        <v>33621</v>
      </c>
      <c r="B1311" s="26">
        <f>VLOOKUP(A1311,'Database Claims'!$A:$C,3,)</f>
        <v>443000</v>
      </c>
      <c r="C1311" s="30">
        <f t="shared" si="40"/>
        <v>3000</v>
      </c>
      <c r="D1311" s="26">
        <f>VLOOKUP(A1311,'Database Claims'!$A:$C,2,)</f>
        <v>3297000</v>
      </c>
      <c r="E1311" s="30">
        <f t="shared" si="41"/>
        <v>-45000</v>
      </c>
    </row>
    <row r="1312" spans="1:5" x14ac:dyDescent="0.2">
      <c r="A1312" s="29">
        <v>33628</v>
      </c>
      <c r="B1312" s="30">
        <f>VLOOKUP(A1312,'Database Claims'!$A:$C,3,)</f>
        <v>441000</v>
      </c>
      <c r="C1312" s="30">
        <f t="shared" si="40"/>
        <v>-2000</v>
      </c>
      <c r="D1312" s="30">
        <f>VLOOKUP(A1312,'Database Claims'!$A:$C,2,)</f>
        <v>3364000</v>
      </c>
      <c r="E1312" s="30">
        <f t="shared" si="41"/>
        <v>67000</v>
      </c>
    </row>
    <row r="1313" spans="1:5" x14ac:dyDescent="0.2">
      <c r="A1313" s="29">
        <v>33635</v>
      </c>
      <c r="B1313" s="26">
        <f>VLOOKUP(A1313,'Database Claims'!$A:$C,3,)</f>
        <v>440000</v>
      </c>
      <c r="C1313" s="30">
        <f t="shared" si="40"/>
        <v>-1000</v>
      </c>
      <c r="D1313" s="26">
        <f>VLOOKUP(A1313,'Database Claims'!$A:$C,2,)</f>
        <v>3301000</v>
      </c>
      <c r="E1313" s="30">
        <f t="shared" si="41"/>
        <v>-63000</v>
      </c>
    </row>
    <row r="1314" spans="1:5" x14ac:dyDescent="0.2">
      <c r="A1314" s="29">
        <v>33642</v>
      </c>
      <c r="B1314" s="30">
        <f>VLOOKUP(A1314,'Database Claims'!$A:$C,3,)</f>
        <v>445000</v>
      </c>
      <c r="C1314" s="30">
        <f t="shared" si="40"/>
        <v>5000</v>
      </c>
      <c r="D1314" s="30">
        <f>VLOOKUP(A1314,'Database Claims'!$A:$C,2,)</f>
        <v>3320000</v>
      </c>
      <c r="E1314" s="30">
        <f t="shared" si="41"/>
        <v>19000</v>
      </c>
    </row>
    <row r="1315" spans="1:5" x14ac:dyDescent="0.2">
      <c r="A1315" s="29">
        <v>33649</v>
      </c>
      <c r="B1315" s="26">
        <f>VLOOKUP(A1315,'Database Claims'!$A:$C,3,)</f>
        <v>446000</v>
      </c>
      <c r="C1315" s="30">
        <f t="shared" si="40"/>
        <v>1000</v>
      </c>
      <c r="D1315" s="26">
        <f>VLOOKUP(A1315,'Database Claims'!$A:$C,2,)</f>
        <v>3260000</v>
      </c>
      <c r="E1315" s="30">
        <f t="shared" si="41"/>
        <v>-60000</v>
      </c>
    </row>
    <row r="1316" spans="1:5" x14ac:dyDescent="0.2">
      <c r="A1316" s="29">
        <v>33656</v>
      </c>
      <c r="B1316" s="30">
        <f>VLOOKUP(A1316,'Database Claims'!$A:$C,3,)</f>
        <v>436000</v>
      </c>
      <c r="C1316" s="30">
        <f t="shared" si="40"/>
        <v>-10000</v>
      </c>
      <c r="D1316" s="30">
        <f>VLOOKUP(A1316,'Database Claims'!$A:$C,2,)</f>
        <v>3412000</v>
      </c>
      <c r="E1316" s="30">
        <f t="shared" si="41"/>
        <v>152000</v>
      </c>
    </row>
    <row r="1317" spans="1:5" x14ac:dyDescent="0.2">
      <c r="A1317" s="29">
        <v>33663</v>
      </c>
      <c r="B1317" s="26">
        <f>VLOOKUP(A1317,'Database Claims'!$A:$C,3,)</f>
        <v>444000</v>
      </c>
      <c r="C1317" s="30">
        <f t="shared" si="40"/>
        <v>8000</v>
      </c>
      <c r="D1317" s="26">
        <f>VLOOKUP(A1317,'Database Claims'!$A:$C,2,)</f>
        <v>3280000</v>
      </c>
      <c r="E1317" s="30">
        <f t="shared" si="41"/>
        <v>-132000</v>
      </c>
    </row>
    <row r="1318" spans="1:5" x14ac:dyDescent="0.2">
      <c r="A1318" s="29">
        <v>33670</v>
      </c>
      <c r="B1318" s="30">
        <f>VLOOKUP(A1318,'Database Claims'!$A:$C,3,)</f>
        <v>421000</v>
      </c>
      <c r="C1318" s="30">
        <f t="shared" si="40"/>
        <v>-23000</v>
      </c>
      <c r="D1318" s="30">
        <f>VLOOKUP(A1318,'Database Claims'!$A:$C,2,)</f>
        <v>3288000</v>
      </c>
      <c r="E1318" s="30">
        <f t="shared" si="41"/>
        <v>8000</v>
      </c>
    </row>
    <row r="1319" spans="1:5" x14ac:dyDescent="0.2">
      <c r="A1319" s="29">
        <v>33677</v>
      </c>
      <c r="B1319" s="26">
        <f>VLOOKUP(A1319,'Database Claims'!$A:$C,3,)</f>
        <v>437000</v>
      </c>
      <c r="C1319" s="30">
        <f t="shared" si="40"/>
        <v>16000</v>
      </c>
      <c r="D1319" s="26">
        <f>VLOOKUP(A1319,'Database Claims'!$A:$C,2,)</f>
        <v>3280000</v>
      </c>
      <c r="E1319" s="30">
        <f t="shared" si="41"/>
        <v>-8000</v>
      </c>
    </row>
    <row r="1320" spans="1:5" x14ac:dyDescent="0.2">
      <c r="A1320" s="29">
        <v>33684</v>
      </c>
      <c r="B1320" s="30">
        <f>VLOOKUP(A1320,'Database Claims'!$A:$C,3,)</f>
        <v>440000</v>
      </c>
      <c r="C1320" s="30">
        <f t="shared" si="40"/>
        <v>3000</v>
      </c>
      <c r="D1320" s="30">
        <f>VLOOKUP(A1320,'Database Claims'!$A:$C,2,)</f>
        <v>3344000</v>
      </c>
      <c r="E1320" s="30">
        <f t="shared" si="41"/>
        <v>64000</v>
      </c>
    </row>
    <row r="1321" spans="1:5" x14ac:dyDescent="0.2">
      <c r="A1321" s="29">
        <v>33691</v>
      </c>
      <c r="B1321" s="26">
        <f>VLOOKUP(A1321,'Database Claims'!$A:$C,3,)</f>
        <v>420000</v>
      </c>
      <c r="C1321" s="30">
        <f t="shared" si="40"/>
        <v>-20000</v>
      </c>
      <c r="D1321" s="26">
        <f>VLOOKUP(A1321,'Database Claims'!$A:$C,2,)</f>
        <v>3336000</v>
      </c>
      <c r="E1321" s="30">
        <f t="shared" si="41"/>
        <v>-8000</v>
      </c>
    </row>
    <row r="1322" spans="1:5" x14ac:dyDescent="0.2">
      <c r="A1322" s="29">
        <v>33698</v>
      </c>
      <c r="B1322" s="30">
        <f>VLOOKUP(A1322,'Database Claims'!$A:$C,3,)</f>
        <v>412000</v>
      </c>
      <c r="C1322" s="30">
        <f t="shared" si="40"/>
        <v>-8000</v>
      </c>
      <c r="D1322" s="30">
        <f>VLOOKUP(A1322,'Database Claims'!$A:$C,2,)</f>
        <v>3383000</v>
      </c>
      <c r="E1322" s="30">
        <f t="shared" si="41"/>
        <v>47000</v>
      </c>
    </row>
    <row r="1323" spans="1:5" x14ac:dyDescent="0.2">
      <c r="A1323" s="29">
        <v>33705</v>
      </c>
      <c r="B1323" s="26">
        <f>VLOOKUP(A1323,'Database Claims'!$A:$C,3,)</f>
        <v>413000</v>
      </c>
      <c r="C1323" s="30">
        <f t="shared" si="40"/>
        <v>1000</v>
      </c>
      <c r="D1323" s="26">
        <f>VLOOKUP(A1323,'Database Claims'!$A:$C,2,)</f>
        <v>3288000</v>
      </c>
      <c r="E1323" s="30">
        <f t="shared" si="41"/>
        <v>-95000</v>
      </c>
    </row>
    <row r="1324" spans="1:5" x14ac:dyDescent="0.2">
      <c r="A1324" s="29">
        <v>33712</v>
      </c>
      <c r="B1324" s="30">
        <f>VLOOKUP(A1324,'Database Claims'!$A:$C,3,)</f>
        <v>424000</v>
      </c>
      <c r="C1324" s="30">
        <f t="shared" si="40"/>
        <v>11000</v>
      </c>
      <c r="D1324" s="30">
        <f>VLOOKUP(A1324,'Database Claims'!$A:$C,2,)</f>
        <v>3339000</v>
      </c>
      <c r="E1324" s="30">
        <f t="shared" si="41"/>
        <v>51000</v>
      </c>
    </row>
    <row r="1325" spans="1:5" x14ac:dyDescent="0.2">
      <c r="A1325" s="29">
        <v>33719</v>
      </c>
      <c r="B1325" s="26">
        <f>VLOOKUP(A1325,'Database Claims'!$A:$C,3,)</f>
        <v>424000</v>
      </c>
      <c r="C1325" s="30">
        <f t="shared" si="40"/>
        <v>0</v>
      </c>
      <c r="D1325" s="26">
        <f>VLOOKUP(A1325,'Database Claims'!$A:$C,2,)</f>
        <v>3365000</v>
      </c>
      <c r="E1325" s="30">
        <f t="shared" si="41"/>
        <v>26000</v>
      </c>
    </row>
    <row r="1326" spans="1:5" x14ac:dyDescent="0.2">
      <c r="A1326" s="29">
        <v>33726</v>
      </c>
      <c r="B1326" s="30">
        <f>VLOOKUP(A1326,'Database Claims'!$A:$C,3,)</f>
        <v>431000</v>
      </c>
      <c r="C1326" s="30">
        <f t="shared" si="40"/>
        <v>7000</v>
      </c>
      <c r="D1326" s="30">
        <f>VLOOKUP(A1326,'Database Claims'!$A:$C,2,)</f>
        <v>3397000</v>
      </c>
      <c r="E1326" s="30">
        <f t="shared" si="41"/>
        <v>32000</v>
      </c>
    </row>
    <row r="1327" spans="1:5" x14ac:dyDescent="0.2">
      <c r="A1327" s="29">
        <v>33733</v>
      </c>
      <c r="B1327" s="26">
        <f>VLOOKUP(A1327,'Database Claims'!$A:$C,3,)</f>
        <v>417000</v>
      </c>
      <c r="C1327" s="30">
        <f t="shared" si="40"/>
        <v>-14000</v>
      </c>
      <c r="D1327" s="26">
        <f>VLOOKUP(A1327,'Database Claims'!$A:$C,2,)</f>
        <v>3354000</v>
      </c>
      <c r="E1327" s="30">
        <f t="shared" si="41"/>
        <v>-43000</v>
      </c>
    </row>
    <row r="1328" spans="1:5" x14ac:dyDescent="0.2">
      <c r="A1328" s="29">
        <v>33740</v>
      </c>
      <c r="B1328" s="30">
        <f>VLOOKUP(A1328,'Database Claims'!$A:$C,3,)</f>
        <v>414000</v>
      </c>
      <c r="C1328" s="30">
        <f t="shared" si="40"/>
        <v>-3000</v>
      </c>
      <c r="D1328" s="30">
        <f>VLOOKUP(A1328,'Database Claims'!$A:$C,2,)</f>
        <v>3296000</v>
      </c>
      <c r="E1328" s="30">
        <f t="shared" si="41"/>
        <v>-58000</v>
      </c>
    </row>
    <row r="1329" spans="1:5" x14ac:dyDescent="0.2">
      <c r="A1329" s="29">
        <v>33747</v>
      </c>
      <c r="B1329" s="26">
        <f>VLOOKUP(A1329,'Database Claims'!$A:$C,3,)</f>
        <v>414000</v>
      </c>
      <c r="C1329" s="30">
        <f t="shared" si="40"/>
        <v>0</v>
      </c>
      <c r="D1329" s="26">
        <f>VLOOKUP(A1329,'Database Claims'!$A:$C,2,)</f>
        <v>3285000</v>
      </c>
      <c r="E1329" s="30">
        <f t="shared" si="41"/>
        <v>-11000</v>
      </c>
    </row>
    <row r="1330" spans="1:5" x14ac:dyDescent="0.2">
      <c r="A1330" s="29">
        <v>33754</v>
      </c>
      <c r="B1330" s="30">
        <f>VLOOKUP(A1330,'Database Claims'!$A:$C,3,)</f>
        <v>411000</v>
      </c>
      <c r="C1330" s="30">
        <f t="shared" si="40"/>
        <v>-3000</v>
      </c>
      <c r="D1330" s="30">
        <f>VLOOKUP(A1330,'Database Claims'!$A:$C,2,)</f>
        <v>3392000</v>
      </c>
      <c r="E1330" s="30">
        <f t="shared" si="41"/>
        <v>107000</v>
      </c>
    </row>
    <row r="1331" spans="1:5" x14ac:dyDescent="0.2">
      <c r="A1331" s="29">
        <v>33761</v>
      </c>
      <c r="B1331" s="26">
        <f>VLOOKUP(A1331,'Database Claims'!$A:$C,3,)</f>
        <v>416000</v>
      </c>
      <c r="C1331" s="30">
        <f t="shared" si="40"/>
        <v>5000</v>
      </c>
      <c r="D1331" s="26">
        <f>VLOOKUP(A1331,'Database Claims'!$A:$C,2,)</f>
        <v>3265000</v>
      </c>
      <c r="E1331" s="30">
        <f t="shared" si="41"/>
        <v>-127000</v>
      </c>
    </row>
    <row r="1332" spans="1:5" x14ac:dyDescent="0.2">
      <c r="A1332" s="29">
        <v>33768</v>
      </c>
      <c r="B1332" s="30">
        <f>VLOOKUP(A1332,'Database Claims'!$A:$C,3,)</f>
        <v>420000</v>
      </c>
      <c r="C1332" s="30">
        <f t="shared" si="40"/>
        <v>4000</v>
      </c>
      <c r="D1332" s="30">
        <f>VLOOKUP(A1332,'Database Claims'!$A:$C,2,)</f>
        <v>3270000</v>
      </c>
      <c r="E1332" s="30">
        <f t="shared" si="41"/>
        <v>5000</v>
      </c>
    </row>
    <row r="1333" spans="1:5" x14ac:dyDescent="0.2">
      <c r="A1333" s="29">
        <v>33775</v>
      </c>
      <c r="B1333" s="26">
        <f>VLOOKUP(A1333,'Database Claims'!$A:$C,3,)</f>
        <v>419000</v>
      </c>
      <c r="C1333" s="30">
        <f t="shared" si="40"/>
        <v>-1000</v>
      </c>
      <c r="D1333" s="26">
        <f>VLOOKUP(A1333,'Database Claims'!$A:$C,2,)</f>
        <v>3284000</v>
      </c>
      <c r="E1333" s="30">
        <f t="shared" si="41"/>
        <v>14000</v>
      </c>
    </row>
    <row r="1334" spans="1:5" x14ac:dyDescent="0.2">
      <c r="A1334" s="29">
        <v>33782</v>
      </c>
      <c r="B1334" s="30">
        <f>VLOOKUP(A1334,'Database Claims'!$A:$C,3,)</f>
        <v>420000</v>
      </c>
      <c r="C1334" s="30">
        <f t="shared" si="40"/>
        <v>1000</v>
      </c>
      <c r="D1334" s="30">
        <f>VLOOKUP(A1334,'Database Claims'!$A:$C,2,)</f>
        <v>3340000</v>
      </c>
      <c r="E1334" s="30">
        <f t="shared" si="41"/>
        <v>56000</v>
      </c>
    </row>
    <row r="1335" spans="1:5" x14ac:dyDescent="0.2">
      <c r="A1335" s="29">
        <v>33789</v>
      </c>
      <c r="B1335" s="26">
        <f>VLOOKUP(A1335,'Database Claims'!$A:$C,3,)</f>
        <v>407000</v>
      </c>
      <c r="C1335" s="30">
        <f t="shared" si="40"/>
        <v>-13000</v>
      </c>
      <c r="D1335" s="26">
        <f>VLOOKUP(A1335,'Database Claims'!$A:$C,2,)</f>
        <v>3212000</v>
      </c>
      <c r="E1335" s="30">
        <f t="shared" si="41"/>
        <v>-128000</v>
      </c>
    </row>
    <row r="1336" spans="1:5" x14ac:dyDescent="0.2">
      <c r="A1336" s="29">
        <v>33796</v>
      </c>
      <c r="B1336" s="30">
        <f>VLOOKUP(A1336,'Database Claims'!$A:$C,3,)</f>
        <v>408000</v>
      </c>
      <c r="C1336" s="30">
        <f t="shared" si="40"/>
        <v>1000</v>
      </c>
      <c r="D1336" s="30">
        <f>VLOOKUP(A1336,'Database Claims'!$A:$C,2,)</f>
        <v>3103000</v>
      </c>
      <c r="E1336" s="30">
        <f t="shared" si="41"/>
        <v>-109000</v>
      </c>
    </row>
    <row r="1337" spans="1:5" x14ac:dyDescent="0.2">
      <c r="A1337" s="29">
        <v>33803</v>
      </c>
      <c r="B1337" s="26">
        <f>VLOOKUP(A1337,'Database Claims'!$A:$C,3,)</f>
        <v>392000</v>
      </c>
      <c r="C1337" s="30">
        <f t="shared" si="40"/>
        <v>-16000</v>
      </c>
      <c r="D1337" s="26">
        <f>VLOOKUP(A1337,'Database Claims'!$A:$C,2,)</f>
        <v>3238000</v>
      </c>
      <c r="E1337" s="30">
        <f t="shared" si="41"/>
        <v>135000</v>
      </c>
    </row>
    <row r="1338" spans="1:5" x14ac:dyDescent="0.2">
      <c r="A1338" s="29">
        <v>33810</v>
      </c>
      <c r="B1338" s="30">
        <f>VLOOKUP(A1338,'Database Claims'!$A:$C,3,)</f>
        <v>564000</v>
      </c>
      <c r="C1338" s="30">
        <f t="shared" si="40"/>
        <v>172000</v>
      </c>
      <c r="D1338" s="30">
        <f>VLOOKUP(A1338,'Database Claims'!$A:$C,2,)</f>
        <v>3318000</v>
      </c>
      <c r="E1338" s="30">
        <f t="shared" si="41"/>
        <v>80000</v>
      </c>
    </row>
    <row r="1339" spans="1:5" x14ac:dyDescent="0.2">
      <c r="A1339" s="29">
        <v>33817</v>
      </c>
      <c r="B1339" s="26">
        <f>VLOOKUP(A1339,'Database Claims'!$A:$C,3,)</f>
        <v>423000</v>
      </c>
      <c r="C1339" s="30">
        <f t="shared" si="40"/>
        <v>-141000</v>
      </c>
      <c r="D1339" s="26">
        <f>VLOOKUP(A1339,'Database Claims'!$A:$C,2,)</f>
        <v>3467000</v>
      </c>
      <c r="E1339" s="30">
        <f t="shared" si="41"/>
        <v>149000</v>
      </c>
    </row>
    <row r="1340" spans="1:5" x14ac:dyDescent="0.2">
      <c r="A1340" s="29">
        <v>33824</v>
      </c>
      <c r="B1340" s="30">
        <f>VLOOKUP(A1340,'Database Claims'!$A:$C,3,)</f>
        <v>406000</v>
      </c>
      <c r="C1340" s="30">
        <f t="shared" si="40"/>
        <v>-17000</v>
      </c>
      <c r="D1340" s="30">
        <f>VLOOKUP(A1340,'Database Claims'!$A:$C,2,)</f>
        <v>3211000</v>
      </c>
      <c r="E1340" s="30">
        <f t="shared" si="41"/>
        <v>-256000</v>
      </c>
    </row>
    <row r="1341" spans="1:5" x14ac:dyDescent="0.2">
      <c r="A1341" s="29">
        <v>33831</v>
      </c>
      <c r="B1341" s="26">
        <f>VLOOKUP(A1341,'Database Claims'!$A:$C,3,)</f>
        <v>401000</v>
      </c>
      <c r="C1341" s="30">
        <f t="shared" si="40"/>
        <v>-5000</v>
      </c>
      <c r="D1341" s="26">
        <f>VLOOKUP(A1341,'Database Claims'!$A:$C,2,)</f>
        <v>3210000</v>
      </c>
      <c r="E1341" s="30">
        <f t="shared" si="41"/>
        <v>-1000</v>
      </c>
    </row>
    <row r="1342" spans="1:5" x14ac:dyDescent="0.2">
      <c r="A1342" s="29">
        <v>33838</v>
      </c>
      <c r="B1342" s="30">
        <f>VLOOKUP(A1342,'Database Claims'!$A:$C,3,)</f>
        <v>398000</v>
      </c>
      <c r="C1342" s="30">
        <f t="shared" si="40"/>
        <v>-3000</v>
      </c>
      <c r="D1342" s="30">
        <f>VLOOKUP(A1342,'Database Claims'!$A:$C,2,)</f>
        <v>3188000</v>
      </c>
      <c r="E1342" s="30">
        <f t="shared" si="41"/>
        <v>-22000</v>
      </c>
    </row>
    <row r="1343" spans="1:5" x14ac:dyDescent="0.2">
      <c r="A1343" s="29">
        <v>33845</v>
      </c>
      <c r="B1343" s="26">
        <f>VLOOKUP(A1343,'Database Claims'!$A:$C,3,)</f>
        <v>408000</v>
      </c>
      <c r="C1343" s="30">
        <f t="shared" si="40"/>
        <v>10000</v>
      </c>
      <c r="D1343" s="26">
        <f>VLOOKUP(A1343,'Database Claims'!$A:$C,2,)</f>
        <v>3175000</v>
      </c>
      <c r="E1343" s="30">
        <f t="shared" si="41"/>
        <v>-13000</v>
      </c>
    </row>
    <row r="1344" spans="1:5" x14ac:dyDescent="0.2">
      <c r="A1344" s="29">
        <v>33852</v>
      </c>
      <c r="B1344" s="30">
        <f>VLOOKUP(A1344,'Database Claims'!$A:$C,3,)</f>
        <v>416000</v>
      </c>
      <c r="C1344" s="30">
        <f t="shared" si="40"/>
        <v>8000</v>
      </c>
      <c r="D1344" s="30">
        <f>VLOOKUP(A1344,'Database Claims'!$A:$C,2,)</f>
        <v>3167000</v>
      </c>
      <c r="E1344" s="30">
        <f t="shared" si="41"/>
        <v>-8000</v>
      </c>
    </row>
    <row r="1345" spans="1:5" x14ac:dyDescent="0.2">
      <c r="A1345" s="29">
        <v>33859</v>
      </c>
      <c r="B1345" s="26">
        <f>VLOOKUP(A1345,'Database Claims'!$A:$C,3,)</f>
        <v>416000</v>
      </c>
      <c r="C1345" s="30">
        <f t="shared" si="40"/>
        <v>0</v>
      </c>
      <c r="D1345" s="26">
        <f>VLOOKUP(A1345,'Database Claims'!$A:$C,2,)</f>
        <v>3261000</v>
      </c>
      <c r="E1345" s="30">
        <f t="shared" si="41"/>
        <v>94000</v>
      </c>
    </row>
    <row r="1346" spans="1:5" x14ac:dyDescent="0.2">
      <c r="A1346" s="29">
        <v>33866</v>
      </c>
      <c r="B1346" s="30">
        <f>VLOOKUP(A1346,'Database Claims'!$A:$C,3,)</f>
        <v>427000</v>
      </c>
      <c r="C1346" s="30">
        <f t="shared" si="40"/>
        <v>11000</v>
      </c>
      <c r="D1346" s="30">
        <f>VLOOKUP(A1346,'Database Claims'!$A:$C,2,)</f>
        <v>3195000</v>
      </c>
      <c r="E1346" s="30">
        <f t="shared" si="41"/>
        <v>-66000</v>
      </c>
    </row>
    <row r="1347" spans="1:5" x14ac:dyDescent="0.2">
      <c r="A1347" s="29">
        <v>33873</v>
      </c>
      <c r="B1347" s="26">
        <f>VLOOKUP(A1347,'Database Claims'!$A:$C,3,)</f>
        <v>409000</v>
      </c>
      <c r="C1347" s="30">
        <f t="shared" si="40"/>
        <v>-18000</v>
      </c>
      <c r="D1347" s="26">
        <f>VLOOKUP(A1347,'Database Claims'!$A:$C,2,)</f>
        <v>3194000</v>
      </c>
      <c r="E1347" s="30">
        <f t="shared" si="41"/>
        <v>-1000</v>
      </c>
    </row>
    <row r="1348" spans="1:5" x14ac:dyDescent="0.2">
      <c r="A1348" s="29">
        <v>33880</v>
      </c>
      <c r="B1348" s="30">
        <f>VLOOKUP(A1348,'Database Claims'!$A:$C,3,)</f>
        <v>398000</v>
      </c>
      <c r="C1348" s="30">
        <f t="shared" si="40"/>
        <v>-11000</v>
      </c>
      <c r="D1348" s="30">
        <f>VLOOKUP(A1348,'Database Claims'!$A:$C,2,)</f>
        <v>3121000</v>
      </c>
      <c r="E1348" s="30">
        <f t="shared" si="41"/>
        <v>-73000</v>
      </c>
    </row>
    <row r="1349" spans="1:5" x14ac:dyDescent="0.2">
      <c r="A1349" s="29">
        <v>33887</v>
      </c>
      <c r="B1349" s="26">
        <f>VLOOKUP(A1349,'Database Claims'!$A:$C,3,)</f>
        <v>374000</v>
      </c>
      <c r="C1349" s="30">
        <f t="shared" si="40"/>
        <v>-24000</v>
      </c>
      <c r="D1349" s="26">
        <f>VLOOKUP(A1349,'Database Claims'!$A:$C,2,)</f>
        <v>3072000</v>
      </c>
      <c r="E1349" s="30">
        <f t="shared" si="41"/>
        <v>-49000</v>
      </c>
    </row>
    <row r="1350" spans="1:5" x14ac:dyDescent="0.2">
      <c r="A1350" s="29">
        <v>33894</v>
      </c>
      <c r="B1350" s="30">
        <f>VLOOKUP(A1350,'Database Claims'!$A:$C,3,)</f>
        <v>385000</v>
      </c>
      <c r="C1350" s="30">
        <f t="shared" ref="C1350:C1413" si="42">B1350-B1349</f>
        <v>11000</v>
      </c>
      <c r="D1350" s="30">
        <f>VLOOKUP(A1350,'Database Claims'!$A:$C,2,)</f>
        <v>3083000</v>
      </c>
      <c r="E1350" s="30">
        <f t="shared" ref="E1350:E1413" si="43">D1350-D1349</f>
        <v>11000</v>
      </c>
    </row>
    <row r="1351" spans="1:5" x14ac:dyDescent="0.2">
      <c r="A1351" s="29">
        <v>33901</v>
      </c>
      <c r="B1351" s="26">
        <f>VLOOKUP(A1351,'Database Claims'!$A:$C,3,)</f>
        <v>367000</v>
      </c>
      <c r="C1351" s="30">
        <f t="shared" si="42"/>
        <v>-18000</v>
      </c>
      <c r="D1351" s="26">
        <f>VLOOKUP(A1351,'Database Claims'!$A:$C,2,)</f>
        <v>3063000</v>
      </c>
      <c r="E1351" s="30">
        <f t="shared" si="43"/>
        <v>-20000</v>
      </c>
    </row>
    <row r="1352" spans="1:5" x14ac:dyDescent="0.2">
      <c r="A1352" s="29">
        <v>33908</v>
      </c>
      <c r="B1352" s="30">
        <f>VLOOKUP(A1352,'Database Claims'!$A:$C,3,)</f>
        <v>365000</v>
      </c>
      <c r="C1352" s="30">
        <f t="shared" si="42"/>
        <v>-2000</v>
      </c>
      <c r="D1352" s="30">
        <f>VLOOKUP(A1352,'Database Claims'!$A:$C,2,)</f>
        <v>2973000</v>
      </c>
      <c r="E1352" s="30">
        <f t="shared" si="43"/>
        <v>-90000</v>
      </c>
    </row>
    <row r="1353" spans="1:5" x14ac:dyDescent="0.2">
      <c r="A1353" s="29">
        <v>33915</v>
      </c>
      <c r="B1353" s="26">
        <f>VLOOKUP(A1353,'Database Claims'!$A:$C,3,)</f>
        <v>374000</v>
      </c>
      <c r="C1353" s="30">
        <f t="shared" si="42"/>
        <v>9000</v>
      </c>
      <c r="D1353" s="26">
        <f>VLOOKUP(A1353,'Database Claims'!$A:$C,2,)</f>
        <v>3017000</v>
      </c>
      <c r="E1353" s="30">
        <f t="shared" si="43"/>
        <v>44000</v>
      </c>
    </row>
    <row r="1354" spans="1:5" x14ac:dyDescent="0.2">
      <c r="A1354" s="29">
        <v>33922</v>
      </c>
      <c r="B1354" s="30">
        <f>VLOOKUP(A1354,'Database Claims'!$A:$C,3,)</f>
        <v>377000</v>
      </c>
      <c r="C1354" s="30">
        <f t="shared" si="42"/>
        <v>3000</v>
      </c>
      <c r="D1354" s="30">
        <f>VLOOKUP(A1354,'Database Claims'!$A:$C,2,)</f>
        <v>2962000</v>
      </c>
      <c r="E1354" s="30">
        <f t="shared" si="43"/>
        <v>-55000</v>
      </c>
    </row>
    <row r="1355" spans="1:5" x14ac:dyDescent="0.2">
      <c r="A1355" s="29">
        <v>33929</v>
      </c>
      <c r="B1355" s="26">
        <f>VLOOKUP(A1355,'Database Claims'!$A:$C,3,)</f>
        <v>357000</v>
      </c>
      <c r="C1355" s="30">
        <f t="shared" si="42"/>
        <v>-20000</v>
      </c>
      <c r="D1355" s="26">
        <f>VLOOKUP(A1355,'Database Claims'!$A:$C,2,)</f>
        <v>2906000</v>
      </c>
      <c r="E1355" s="30">
        <f t="shared" si="43"/>
        <v>-56000</v>
      </c>
    </row>
    <row r="1356" spans="1:5" x14ac:dyDescent="0.2">
      <c r="A1356" s="29">
        <v>33936</v>
      </c>
      <c r="B1356" s="30">
        <f>VLOOKUP(A1356,'Database Claims'!$A:$C,3,)</f>
        <v>341000</v>
      </c>
      <c r="C1356" s="30">
        <f t="shared" si="42"/>
        <v>-16000</v>
      </c>
      <c r="D1356" s="30">
        <f>VLOOKUP(A1356,'Database Claims'!$A:$C,2,)</f>
        <v>2911000</v>
      </c>
      <c r="E1356" s="30">
        <f t="shared" si="43"/>
        <v>5000</v>
      </c>
    </row>
    <row r="1357" spans="1:5" x14ac:dyDescent="0.2">
      <c r="A1357" s="29">
        <v>33943</v>
      </c>
      <c r="B1357" s="26">
        <f>VLOOKUP(A1357,'Database Claims'!$A:$C,3,)</f>
        <v>350000</v>
      </c>
      <c r="C1357" s="30">
        <f t="shared" si="42"/>
        <v>9000</v>
      </c>
      <c r="D1357" s="26">
        <f>VLOOKUP(A1357,'Database Claims'!$A:$C,2,)</f>
        <v>2918000</v>
      </c>
      <c r="E1357" s="30">
        <f t="shared" si="43"/>
        <v>7000</v>
      </c>
    </row>
    <row r="1358" spans="1:5" x14ac:dyDescent="0.2">
      <c r="A1358" s="29">
        <v>33950</v>
      </c>
      <c r="B1358" s="30">
        <f>VLOOKUP(A1358,'Database Claims'!$A:$C,3,)</f>
        <v>359000</v>
      </c>
      <c r="C1358" s="30">
        <f t="shared" si="42"/>
        <v>9000</v>
      </c>
      <c r="D1358" s="30">
        <f>VLOOKUP(A1358,'Database Claims'!$A:$C,2,)</f>
        <v>2807000</v>
      </c>
      <c r="E1358" s="30">
        <f t="shared" si="43"/>
        <v>-111000</v>
      </c>
    </row>
    <row r="1359" spans="1:5" x14ac:dyDescent="0.2">
      <c r="A1359" s="29">
        <v>33957</v>
      </c>
      <c r="B1359" s="26">
        <f>VLOOKUP(A1359,'Database Claims'!$A:$C,3,)</f>
        <v>334000</v>
      </c>
      <c r="C1359" s="30">
        <f t="shared" si="42"/>
        <v>-25000</v>
      </c>
      <c r="D1359" s="26">
        <f>VLOOKUP(A1359,'Database Claims'!$A:$C,2,)</f>
        <v>2770000</v>
      </c>
      <c r="E1359" s="30">
        <f t="shared" si="43"/>
        <v>-37000</v>
      </c>
    </row>
    <row r="1360" spans="1:5" x14ac:dyDescent="0.2">
      <c r="A1360" s="29">
        <v>33964</v>
      </c>
      <c r="B1360" s="30">
        <f>VLOOKUP(A1360,'Database Claims'!$A:$C,3,)</f>
        <v>313000</v>
      </c>
      <c r="C1360" s="30">
        <f t="shared" si="42"/>
        <v>-21000</v>
      </c>
      <c r="D1360" s="30">
        <f>VLOOKUP(A1360,'Database Claims'!$A:$C,2,)</f>
        <v>2800000</v>
      </c>
      <c r="E1360" s="30">
        <f t="shared" si="43"/>
        <v>30000</v>
      </c>
    </row>
    <row r="1361" spans="1:5" x14ac:dyDescent="0.2">
      <c r="A1361" s="29">
        <v>33971</v>
      </c>
      <c r="B1361" s="26">
        <f>VLOOKUP(A1361,'Database Claims'!$A:$C,3,)</f>
        <v>341000</v>
      </c>
      <c r="C1361" s="30">
        <f t="shared" si="42"/>
        <v>28000</v>
      </c>
      <c r="D1361" s="26">
        <f>VLOOKUP(A1361,'Database Claims'!$A:$C,2,)</f>
        <v>2729000</v>
      </c>
      <c r="E1361" s="30">
        <f t="shared" si="43"/>
        <v>-71000</v>
      </c>
    </row>
    <row r="1362" spans="1:5" x14ac:dyDescent="0.2">
      <c r="A1362" s="29">
        <v>33978</v>
      </c>
      <c r="B1362" s="30">
        <f>VLOOKUP(A1362,'Database Claims'!$A:$C,3,)</f>
        <v>354000</v>
      </c>
      <c r="C1362" s="30">
        <f t="shared" si="42"/>
        <v>13000</v>
      </c>
      <c r="D1362" s="30">
        <f>VLOOKUP(A1362,'Database Claims'!$A:$C,2,)</f>
        <v>2697000</v>
      </c>
      <c r="E1362" s="30">
        <f t="shared" si="43"/>
        <v>-32000</v>
      </c>
    </row>
    <row r="1363" spans="1:5" x14ac:dyDescent="0.2">
      <c r="A1363" s="29">
        <v>33985</v>
      </c>
      <c r="B1363" s="26">
        <f>VLOOKUP(A1363,'Database Claims'!$A:$C,3,)</f>
        <v>352000</v>
      </c>
      <c r="C1363" s="30">
        <f t="shared" si="42"/>
        <v>-2000</v>
      </c>
      <c r="D1363" s="26">
        <f>VLOOKUP(A1363,'Database Claims'!$A:$C,2,)</f>
        <v>2749000</v>
      </c>
      <c r="E1363" s="30">
        <f t="shared" si="43"/>
        <v>52000</v>
      </c>
    </row>
    <row r="1364" spans="1:5" x14ac:dyDescent="0.2">
      <c r="A1364" s="29">
        <v>33992</v>
      </c>
      <c r="B1364" s="30">
        <f>VLOOKUP(A1364,'Database Claims'!$A:$C,3,)</f>
        <v>341000</v>
      </c>
      <c r="C1364" s="30">
        <f t="shared" si="42"/>
        <v>-11000</v>
      </c>
      <c r="D1364" s="30">
        <f>VLOOKUP(A1364,'Database Claims'!$A:$C,2,)</f>
        <v>2727000</v>
      </c>
      <c r="E1364" s="30">
        <f t="shared" si="43"/>
        <v>-22000</v>
      </c>
    </row>
    <row r="1365" spans="1:5" x14ac:dyDescent="0.2">
      <c r="A1365" s="29">
        <v>33999</v>
      </c>
      <c r="B1365" s="26">
        <f>VLOOKUP(A1365,'Database Claims'!$A:$C,3,)</f>
        <v>340000</v>
      </c>
      <c r="C1365" s="30">
        <f t="shared" si="42"/>
        <v>-1000</v>
      </c>
      <c r="D1365" s="26">
        <f>VLOOKUP(A1365,'Database Claims'!$A:$C,2,)</f>
        <v>2663000</v>
      </c>
      <c r="E1365" s="30">
        <f t="shared" si="43"/>
        <v>-64000</v>
      </c>
    </row>
    <row r="1366" spans="1:5" x14ac:dyDescent="0.2">
      <c r="A1366" s="29">
        <v>34006</v>
      </c>
      <c r="B1366" s="30">
        <f>VLOOKUP(A1366,'Database Claims'!$A:$C,3,)</f>
        <v>319000</v>
      </c>
      <c r="C1366" s="30">
        <f t="shared" si="42"/>
        <v>-21000</v>
      </c>
      <c r="D1366" s="30">
        <f>VLOOKUP(A1366,'Database Claims'!$A:$C,2,)</f>
        <v>2645000</v>
      </c>
      <c r="E1366" s="30">
        <f t="shared" si="43"/>
        <v>-18000</v>
      </c>
    </row>
    <row r="1367" spans="1:5" x14ac:dyDescent="0.2">
      <c r="A1367" s="29">
        <v>34013</v>
      </c>
      <c r="B1367" s="26">
        <f>VLOOKUP(A1367,'Database Claims'!$A:$C,3,)</f>
        <v>321000</v>
      </c>
      <c r="C1367" s="30">
        <f t="shared" si="42"/>
        <v>2000</v>
      </c>
      <c r="D1367" s="26">
        <f>VLOOKUP(A1367,'Database Claims'!$A:$C,2,)</f>
        <v>2628000</v>
      </c>
      <c r="E1367" s="30">
        <f t="shared" si="43"/>
        <v>-17000</v>
      </c>
    </row>
    <row r="1368" spans="1:5" x14ac:dyDescent="0.2">
      <c r="A1368" s="29">
        <v>34020</v>
      </c>
      <c r="B1368" s="30">
        <f>VLOOKUP(A1368,'Database Claims'!$A:$C,3,)</f>
        <v>351000</v>
      </c>
      <c r="C1368" s="30">
        <f t="shared" si="42"/>
        <v>30000</v>
      </c>
      <c r="D1368" s="30">
        <f>VLOOKUP(A1368,'Database Claims'!$A:$C,2,)</f>
        <v>2646000</v>
      </c>
      <c r="E1368" s="30">
        <f t="shared" si="43"/>
        <v>18000</v>
      </c>
    </row>
    <row r="1369" spans="1:5" x14ac:dyDescent="0.2">
      <c r="A1369" s="29">
        <v>34027</v>
      </c>
      <c r="B1369" s="26">
        <f>VLOOKUP(A1369,'Database Claims'!$A:$C,3,)</f>
        <v>362000</v>
      </c>
      <c r="C1369" s="30">
        <f t="shared" si="42"/>
        <v>11000</v>
      </c>
      <c r="D1369" s="26">
        <f>VLOOKUP(A1369,'Database Claims'!$A:$C,2,)</f>
        <v>2645000</v>
      </c>
      <c r="E1369" s="30">
        <f t="shared" si="43"/>
        <v>-1000</v>
      </c>
    </row>
    <row r="1370" spans="1:5" x14ac:dyDescent="0.2">
      <c r="A1370" s="29">
        <v>34034</v>
      </c>
      <c r="B1370" s="30">
        <f>VLOOKUP(A1370,'Database Claims'!$A:$C,3,)</f>
        <v>354000</v>
      </c>
      <c r="C1370" s="30">
        <f t="shared" si="42"/>
        <v>-8000</v>
      </c>
      <c r="D1370" s="30">
        <f>VLOOKUP(A1370,'Database Claims'!$A:$C,2,)</f>
        <v>2683000</v>
      </c>
      <c r="E1370" s="30">
        <f t="shared" si="43"/>
        <v>38000</v>
      </c>
    </row>
    <row r="1371" spans="1:5" x14ac:dyDescent="0.2">
      <c r="A1371" s="29">
        <v>34041</v>
      </c>
      <c r="B1371" s="26">
        <f>VLOOKUP(A1371,'Database Claims'!$A:$C,3,)</f>
        <v>346000</v>
      </c>
      <c r="C1371" s="30">
        <f t="shared" si="42"/>
        <v>-8000</v>
      </c>
      <c r="D1371" s="26">
        <f>VLOOKUP(A1371,'Database Claims'!$A:$C,2,)</f>
        <v>2618000</v>
      </c>
      <c r="E1371" s="30">
        <f t="shared" si="43"/>
        <v>-65000</v>
      </c>
    </row>
    <row r="1372" spans="1:5" x14ac:dyDescent="0.2">
      <c r="A1372" s="29">
        <v>34048</v>
      </c>
      <c r="B1372" s="30">
        <f>VLOOKUP(A1372,'Database Claims'!$A:$C,3,)</f>
        <v>338000</v>
      </c>
      <c r="C1372" s="30">
        <f t="shared" si="42"/>
        <v>-8000</v>
      </c>
      <c r="D1372" s="30">
        <f>VLOOKUP(A1372,'Database Claims'!$A:$C,2,)</f>
        <v>2724000</v>
      </c>
      <c r="E1372" s="30">
        <f t="shared" si="43"/>
        <v>106000</v>
      </c>
    </row>
    <row r="1373" spans="1:5" x14ac:dyDescent="0.2">
      <c r="A1373" s="29">
        <v>34055</v>
      </c>
      <c r="B1373" s="26">
        <f>VLOOKUP(A1373,'Database Claims'!$A:$C,3,)</f>
        <v>366000</v>
      </c>
      <c r="C1373" s="30">
        <f t="shared" si="42"/>
        <v>28000</v>
      </c>
      <c r="D1373" s="26">
        <f>VLOOKUP(A1373,'Database Claims'!$A:$C,2,)</f>
        <v>2725000</v>
      </c>
      <c r="E1373" s="30">
        <f t="shared" si="43"/>
        <v>1000</v>
      </c>
    </row>
    <row r="1374" spans="1:5" x14ac:dyDescent="0.2">
      <c r="A1374" s="29">
        <v>34062</v>
      </c>
      <c r="B1374" s="30">
        <f>VLOOKUP(A1374,'Database Claims'!$A:$C,3,)</f>
        <v>365000</v>
      </c>
      <c r="C1374" s="30">
        <f t="shared" si="42"/>
        <v>-1000</v>
      </c>
      <c r="D1374" s="30">
        <f>VLOOKUP(A1374,'Database Claims'!$A:$C,2,)</f>
        <v>2729000</v>
      </c>
      <c r="E1374" s="30">
        <f t="shared" si="43"/>
        <v>4000</v>
      </c>
    </row>
    <row r="1375" spans="1:5" x14ac:dyDescent="0.2">
      <c r="A1375" s="29">
        <v>34069</v>
      </c>
      <c r="B1375" s="26">
        <f>VLOOKUP(A1375,'Database Claims'!$A:$C,3,)</f>
        <v>353000</v>
      </c>
      <c r="C1375" s="30">
        <f t="shared" si="42"/>
        <v>-12000</v>
      </c>
      <c r="D1375" s="26">
        <f>VLOOKUP(A1375,'Database Claims'!$A:$C,2,)</f>
        <v>2781000</v>
      </c>
      <c r="E1375" s="30">
        <f t="shared" si="43"/>
        <v>52000</v>
      </c>
    </row>
    <row r="1376" spans="1:5" x14ac:dyDescent="0.2">
      <c r="A1376" s="29">
        <v>34076</v>
      </c>
      <c r="B1376" s="30">
        <f>VLOOKUP(A1376,'Database Claims'!$A:$C,3,)</f>
        <v>351000</v>
      </c>
      <c r="C1376" s="30">
        <f t="shared" si="42"/>
        <v>-2000</v>
      </c>
      <c r="D1376" s="30">
        <f>VLOOKUP(A1376,'Database Claims'!$A:$C,2,)</f>
        <v>2800000</v>
      </c>
      <c r="E1376" s="30">
        <f t="shared" si="43"/>
        <v>19000</v>
      </c>
    </row>
    <row r="1377" spans="1:5" x14ac:dyDescent="0.2">
      <c r="A1377" s="29">
        <v>34083</v>
      </c>
      <c r="B1377" s="26">
        <f>VLOOKUP(A1377,'Database Claims'!$A:$C,3,)</f>
        <v>350000</v>
      </c>
      <c r="C1377" s="30">
        <f t="shared" si="42"/>
        <v>-1000</v>
      </c>
      <c r="D1377" s="26">
        <f>VLOOKUP(A1377,'Database Claims'!$A:$C,2,)</f>
        <v>2792000</v>
      </c>
      <c r="E1377" s="30">
        <f t="shared" si="43"/>
        <v>-8000</v>
      </c>
    </row>
    <row r="1378" spans="1:5" x14ac:dyDescent="0.2">
      <c r="A1378" s="29">
        <v>34090</v>
      </c>
      <c r="B1378" s="30">
        <f>VLOOKUP(A1378,'Database Claims'!$A:$C,3,)</f>
        <v>343000</v>
      </c>
      <c r="C1378" s="30">
        <f t="shared" si="42"/>
        <v>-7000</v>
      </c>
      <c r="D1378" s="30">
        <f>VLOOKUP(A1378,'Database Claims'!$A:$C,2,)</f>
        <v>2747000</v>
      </c>
      <c r="E1378" s="30">
        <f t="shared" si="43"/>
        <v>-45000</v>
      </c>
    </row>
    <row r="1379" spans="1:5" x14ac:dyDescent="0.2">
      <c r="A1379" s="29">
        <v>34097</v>
      </c>
      <c r="B1379" s="26">
        <f>VLOOKUP(A1379,'Database Claims'!$A:$C,3,)</f>
        <v>339000</v>
      </c>
      <c r="C1379" s="30">
        <f t="shared" si="42"/>
        <v>-4000</v>
      </c>
      <c r="D1379" s="26">
        <f>VLOOKUP(A1379,'Database Claims'!$A:$C,2,)</f>
        <v>2820000</v>
      </c>
      <c r="E1379" s="30">
        <f t="shared" si="43"/>
        <v>73000</v>
      </c>
    </row>
    <row r="1380" spans="1:5" x14ac:dyDescent="0.2">
      <c r="A1380" s="29">
        <v>34104</v>
      </c>
      <c r="B1380" s="30">
        <f>VLOOKUP(A1380,'Database Claims'!$A:$C,3,)</f>
        <v>345000</v>
      </c>
      <c r="C1380" s="30">
        <f t="shared" si="42"/>
        <v>6000</v>
      </c>
      <c r="D1380" s="30">
        <f>VLOOKUP(A1380,'Database Claims'!$A:$C,2,)</f>
        <v>2772000</v>
      </c>
      <c r="E1380" s="30">
        <f t="shared" si="43"/>
        <v>-48000</v>
      </c>
    </row>
    <row r="1381" spans="1:5" x14ac:dyDescent="0.2">
      <c r="A1381" s="29">
        <v>34111</v>
      </c>
      <c r="B1381" s="26">
        <f>VLOOKUP(A1381,'Database Claims'!$A:$C,3,)</f>
        <v>342000</v>
      </c>
      <c r="C1381" s="30">
        <f t="shared" si="42"/>
        <v>-3000</v>
      </c>
      <c r="D1381" s="26">
        <f>VLOOKUP(A1381,'Database Claims'!$A:$C,2,)</f>
        <v>2816000</v>
      </c>
      <c r="E1381" s="30">
        <f t="shared" si="43"/>
        <v>44000</v>
      </c>
    </row>
    <row r="1382" spans="1:5" x14ac:dyDescent="0.2">
      <c r="A1382" s="29">
        <v>34118</v>
      </c>
      <c r="B1382" s="30">
        <f>VLOOKUP(A1382,'Database Claims'!$A:$C,3,)</f>
        <v>349000</v>
      </c>
      <c r="C1382" s="30">
        <f t="shared" si="42"/>
        <v>7000</v>
      </c>
      <c r="D1382" s="30">
        <f>VLOOKUP(A1382,'Database Claims'!$A:$C,2,)</f>
        <v>2737000</v>
      </c>
      <c r="E1382" s="30">
        <f t="shared" si="43"/>
        <v>-79000</v>
      </c>
    </row>
    <row r="1383" spans="1:5" x14ac:dyDescent="0.2">
      <c r="A1383" s="29">
        <v>34125</v>
      </c>
      <c r="B1383" s="26">
        <f>VLOOKUP(A1383,'Database Claims'!$A:$C,3,)</f>
        <v>343000</v>
      </c>
      <c r="C1383" s="30">
        <f t="shared" si="42"/>
        <v>-6000</v>
      </c>
      <c r="D1383" s="26">
        <f>VLOOKUP(A1383,'Database Claims'!$A:$C,2,)</f>
        <v>2808000</v>
      </c>
      <c r="E1383" s="30">
        <f t="shared" si="43"/>
        <v>71000</v>
      </c>
    </row>
    <row r="1384" spans="1:5" x14ac:dyDescent="0.2">
      <c r="A1384" s="29">
        <v>34132</v>
      </c>
      <c r="B1384" s="30">
        <f>VLOOKUP(A1384,'Database Claims'!$A:$C,3,)</f>
        <v>343000</v>
      </c>
      <c r="C1384" s="30">
        <f t="shared" si="42"/>
        <v>0</v>
      </c>
      <c r="D1384" s="30">
        <f>VLOOKUP(A1384,'Database Claims'!$A:$C,2,)</f>
        <v>2836000</v>
      </c>
      <c r="E1384" s="30">
        <f t="shared" si="43"/>
        <v>28000</v>
      </c>
    </row>
    <row r="1385" spans="1:5" x14ac:dyDescent="0.2">
      <c r="A1385" s="29">
        <v>34139</v>
      </c>
      <c r="B1385" s="26">
        <f>VLOOKUP(A1385,'Database Claims'!$A:$C,3,)</f>
        <v>345000</v>
      </c>
      <c r="C1385" s="30">
        <f t="shared" si="42"/>
        <v>2000</v>
      </c>
      <c r="D1385" s="26">
        <f>VLOOKUP(A1385,'Database Claims'!$A:$C,2,)</f>
        <v>2857000</v>
      </c>
      <c r="E1385" s="30">
        <f t="shared" si="43"/>
        <v>21000</v>
      </c>
    </row>
    <row r="1386" spans="1:5" x14ac:dyDescent="0.2">
      <c r="A1386" s="29">
        <v>34146</v>
      </c>
      <c r="B1386" s="30">
        <f>VLOOKUP(A1386,'Database Claims'!$A:$C,3,)</f>
        <v>340000</v>
      </c>
      <c r="C1386" s="30">
        <f t="shared" si="42"/>
        <v>-5000</v>
      </c>
      <c r="D1386" s="30">
        <f>VLOOKUP(A1386,'Database Claims'!$A:$C,2,)</f>
        <v>2747000</v>
      </c>
      <c r="E1386" s="30">
        <f t="shared" si="43"/>
        <v>-110000</v>
      </c>
    </row>
    <row r="1387" spans="1:5" x14ac:dyDescent="0.2">
      <c r="A1387" s="29">
        <v>34153</v>
      </c>
      <c r="B1387" s="26">
        <f>VLOOKUP(A1387,'Database Claims'!$A:$C,3,)</f>
        <v>334000</v>
      </c>
      <c r="C1387" s="30">
        <f t="shared" si="42"/>
        <v>-6000</v>
      </c>
      <c r="D1387" s="26">
        <f>VLOOKUP(A1387,'Database Claims'!$A:$C,2,)</f>
        <v>2724000</v>
      </c>
      <c r="E1387" s="30">
        <f t="shared" si="43"/>
        <v>-23000</v>
      </c>
    </row>
    <row r="1388" spans="1:5" x14ac:dyDescent="0.2">
      <c r="A1388" s="29">
        <v>34160</v>
      </c>
      <c r="B1388" s="30">
        <f>VLOOKUP(A1388,'Database Claims'!$A:$C,3,)</f>
        <v>314000</v>
      </c>
      <c r="C1388" s="30">
        <f t="shared" si="42"/>
        <v>-20000</v>
      </c>
      <c r="D1388" s="30">
        <f>VLOOKUP(A1388,'Database Claims'!$A:$C,2,)</f>
        <v>2778000</v>
      </c>
      <c r="E1388" s="30">
        <f t="shared" si="43"/>
        <v>54000</v>
      </c>
    </row>
    <row r="1389" spans="1:5" x14ac:dyDescent="0.2">
      <c r="A1389" s="29">
        <v>34167</v>
      </c>
      <c r="B1389" s="26">
        <f>VLOOKUP(A1389,'Database Claims'!$A:$C,3,)</f>
        <v>335000</v>
      </c>
      <c r="C1389" s="30">
        <f t="shared" si="42"/>
        <v>21000</v>
      </c>
      <c r="D1389" s="26">
        <f>VLOOKUP(A1389,'Database Claims'!$A:$C,2,)</f>
        <v>2766000</v>
      </c>
      <c r="E1389" s="30">
        <f t="shared" si="43"/>
        <v>-12000</v>
      </c>
    </row>
    <row r="1390" spans="1:5" x14ac:dyDescent="0.2">
      <c r="A1390" s="29">
        <v>34174</v>
      </c>
      <c r="B1390" s="30">
        <f>VLOOKUP(A1390,'Database Claims'!$A:$C,3,)</f>
        <v>415000</v>
      </c>
      <c r="C1390" s="30">
        <f t="shared" si="42"/>
        <v>80000</v>
      </c>
      <c r="D1390" s="30">
        <f>VLOOKUP(A1390,'Database Claims'!$A:$C,2,)</f>
        <v>2803000</v>
      </c>
      <c r="E1390" s="30">
        <f t="shared" si="43"/>
        <v>37000</v>
      </c>
    </row>
    <row r="1391" spans="1:5" x14ac:dyDescent="0.2">
      <c r="A1391" s="29">
        <v>34181</v>
      </c>
      <c r="B1391" s="26">
        <f>VLOOKUP(A1391,'Database Claims'!$A:$C,3,)</f>
        <v>356000</v>
      </c>
      <c r="C1391" s="30">
        <f t="shared" si="42"/>
        <v>-59000</v>
      </c>
      <c r="D1391" s="26">
        <f>VLOOKUP(A1391,'Database Claims'!$A:$C,2,)</f>
        <v>2843000</v>
      </c>
      <c r="E1391" s="30">
        <f t="shared" si="43"/>
        <v>40000</v>
      </c>
    </row>
    <row r="1392" spans="1:5" x14ac:dyDescent="0.2">
      <c r="A1392" s="29">
        <v>34188</v>
      </c>
      <c r="B1392" s="30">
        <f>VLOOKUP(A1392,'Database Claims'!$A:$C,3,)</f>
        <v>346000</v>
      </c>
      <c r="C1392" s="30">
        <f t="shared" si="42"/>
        <v>-10000</v>
      </c>
      <c r="D1392" s="30">
        <f>VLOOKUP(A1392,'Database Claims'!$A:$C,2,)</f>
        <v>2813000</v>
      </c>
      <c r="E1392" s="30">
        <f t="shared" si="43"/>
        <v>-30000</v>
      </c>
    </row>
    <row r="1393" spans="1:5" x14ac:dyDescent="0.2">
      <c r="A1393" s="29">
        <v>34195</v>
      </c>
      <c r="B1393" s="26">
        <f>VLOOKUP(A1393,'Database Claims'!$A:$C,3,)</f>
        <v>339000</v>
      </c>
      <c r="C1393" s="30">
        <f t="shared" si="42"/>
        <v>-7000</v>
      </c>
      <c r="D1393" s="26">
        <f>VLOOKUP(A1393,'Database Claims'!$A:$C,2,)</f>
        <v>2791000</v>
      </c>
      <c r="E1393" s="30">
        <f t="shared" si="43"/>
        <v>-22000</v>
      </c>
    </row>
    <row r="1394" spans="1:5" x14ac:dyDescent="0.2">
      <c r="A1394" s="29">
        <v>34202</v>
      </c>
      <c r="B1394" s="30">
        <f>VLOOKUP(A1394,'Database Claims'!$A:$C,3,)</f>
        <v>342000</v>
      </c>
      <c r="C1394" s="30">
        <f t="shared" si="42"/>
        <v>3000</v>
      </c>
      <c r="D1394" s="30">
        <f>VLOOKUP(A1394,'Database Claims'!$A:$C,2,)</f>
        <v>2821000</v>
      </c>
      <c r="E1394" s="30">
        <f t="shared" si="43"/>
        <v>30000</v>
      </c>
    </row>
    <row r="1395" spans="1:5" x14ac:dyDescent="0.2">
      <c r="A1395" s="29">
        <v>34209</v>
      </c>
      <c r="B1395" s="26">
        <f>VLOOKUP(A1395,'Database Claims'!$A:$C,3,)</f>
        <v>337000</v>
      </c>
      <c r="C1395" s="30">
        <f t="shared" si="42"/>
        <v>-5000</v>
      </c>
      <c r="D1395" s="26">
        <f>VLOOKUP(A1395,'Database Claims'!$A:$C,2,)</f>
        <v>2788000</v>
      </c>
      <c r="E1395" s="30">
        <f t="shared" si="43"/>
        <v>-33000</v>
      </c>
    </row>
    <row r="1396" spans="1:5" x14ac:dyDescent="0.2">
      <c r="A1396" s="29">
        <v>34216</v>
      </c>
      <c r="B1396" s="30">
        <f>VLOOKUP(A1396,'Database Claims'!$A:$C,3,)</f>
        <v>334000</v>
      </c>
      <c r="C1396" s="30">
        <f t="shared" si="42"/>
        <v>-3000</v>
      </c>
      <c r="D1396" s="30">
        <f>VLOOKUP(A1396,'Database Claims'!$A:$C,2,)</f>
        <v>2768000</v>
      </c>
      <c r="E1396" s="30">
        <f t="shared" si="43"/>
        <v>-20000</v>
      </c>
    </row>
    <row r="1397" spans="1:5" x14ac:dyDescent="0.2">
      <c r="A1397" s="29">
        <v>34223</v>
      </c>
      <c r="B1397" s="26">
        <f>VLOOKUP(A1397,'Database Claims'!$A:$C,3,)</f>
        <v>333000</v>
      </c>
      <c r="C1397" s="30">
        <f t="shared" si="42"/>
        <v>-1000</v>
      </c>
      <c r="D1397" s="26">
        <f>VLOOKUP(A1397,'Database Claims'!$A:$C,2,)</f>
        <v>2844000</v>
      </c>
      <c r="E1397" s="30">
        <f t="shared" si="43"/>
        <v>76000</v>
      </c>
    </row>
    <row r="1398" spans="1:5" x14ac:dyDescent="0.2">
      <c r="A1398" s="29">
        <v>34230</v>
      </c>
      <c r="B1398" s="30">
        <f>VLOOKUP(A1398,'Database Claims'!$A:$C,3,)</f>
        <v>346000</v>
      </c>
      <c r="C1398" s="30">
        <f t="shared" si="42"/>
        <v>13000</v>
      </c>
      <c r="D1398" s="30">
        <f>VLOOKUP(A1398,'Database Claims'!$A:$C,2,)</f>
        <v>2856000</v>
      </c>
      <c r="E1398" s="30">
        <f t="shared" si="43"/>
        <v>12000</v>
      </c>
    </row>
    <row r="1399" spans="1:5" x14ac:dyDescent="0.2">
      <c r="A1399" s="29">
        <v>34237</v>
      </c>
      <c r="B1399" s="26">
        <f>VLOOKUP(A1399,'Database Claims'!$A:$C,3,)</f>
        <v>343000</v>
      </c>
      <c r="C1399" s="30">
        <f t="shared" si="42"/>
        <v>-3000</v>
      </c>
      <c r="D1399" s="26">
        <f>VLOOKUP(A1399,'Database Claims'!$A:$C,2,)</f>
        <v>2836000</v>
      </c>
      <c r="E1399" s="30">
        <f t="shared" si="43"/>
        <v>-20000</v>
      </c>
    </row>
    <row r="1400" spans="1:5" x14ac:dyDescent="0.2">
      <c r="A1400" s="29">
        <v>34244</v>
      </c>
      <c r="B1400" s="30">
        <f>VLOOKUP(A1400,'Database Claims'!$A:$C,3,)</f>
        <v>333000</v>
      </c>
      <c r="C1400" s="30">
        <f t="shared" si="42"/>
        <v>-10000</v>
      </c>
      <c r="D1400" s="30">
        <f>VLOOKUP(A1400,'Database Claims'!$A:$C,2,)</f>
        <v>2810000</v>
      </c>
      <c r="E1400" s="30">
        <f t="shared" si="43"/>
        <v>-26000</v>
      </c>
    </row>
    <row r="1401" spans="1:5" x14ac:dyDescent="0.2">
      <c r="A1401" s="29">
        <v>34251</v>
      </c>
      <c r="B1401" s="26">
        <f>VLOOKUP(A1401,'Database Claims'!$A:$C,3,)</f>
        <v>355000</v>
      </c>
      <c r="C1401" s="30">
        <f t="shared" si="42"/>
        <v>22000</v>
      </c>
      <c r="D1401" s="26">
        <f>VLOOKUP(A1401,'Database Claims'!$A:$C,2,)</f>
        <v>2799000</v>
      </c>
      <c r="E1401" s="30">
        <f t="shared" si="43"/>
        <v>-11000</v>
      </c>
    </row>
    <row r="1402" spans="1:5" x14ac:dyDescent="0.2">
      <c r="A1402" s="29">
        <v>34258</v>
      </c>
      <c r="B1402" s="30">
        <f>VLOOKUP(A1402,'Database Claims'!$A:$C,3,)</f>
        <v>359000</v>
      </c>
      <c r="C1402" s="30">
        <f t="shared" si="42"/>
        <v>4000</v>
      </c>
      <c r="D1402" s="30">
        <f>VLOOKUP(A1402,'Database Claims'!$A:$C,2,)</f>
        <v>2833000</v>
      </c>
      <c r="E1402" s="30">
        <f t="shared" si="43"/>
        <v>34000</v>
      </c>
    </row>
    <row r="1403" spans="1:5" x14ac:dyDescent="0.2">
      <c r="A1403" s="29">
        <v>34265</v>
      </c>
      <c r="B1403" s="26">
        <f>VLOOKUP(A1403,'Database Claims'!$A:$C,3,)</f>
        <v>354000</v>
      </c>
      <c r="C1403" s="30">
        <f t="shared" si="42"/>
        <v>-5000</v>
      </c>
      <c r="D1403" s="26">
        <f>VLOOKUP(A1403,'Database Claims'!$A:$C,2,)</f>
        <v>2882000</v>
      </c>
      <c r="E1403" s="30">
        <f t="shared" si="43"/>
        <v>49000</v>
      </c>
    </row>
    <row r="1404" spans="1:5" x14ac:dyDescent="0.2">
      <c r="A1404" s="29">
        <v>34272</v>
      </c>
      <c r="B1404" s="30">
        <f>VLOOKUP(A1404,'Database Claims'!$A:$C,3,)</f>
        <v>348000</v>
      </c>
      <c r="C1404" s="30">
        <f t="shared" si="42"/>
        <v>-6000</v>
      </c>
      <c r="D1404" s="30">
        <f>VLOOKUP(A1404,'Database Claims'!$A:$C,2,)</f>
        <v>2801000</v>
      </c>
      <c r="E1404" s="30">
        <f t="shared" si="43"/>
        <v>-81000</v>
      </c>
    </row>
    <row r="1405" spans="1:5" x14ac:dyDescent="0.2">
      <c r="A1405" s="29">
        <v>34279</v>
      </c>
      <c r="B1405" s="26">
        <f>VLOOKUP(A1405,'Database Claims'!$A:$C,3,)</f>
        <v>350000</v>
      </c>
      <c r="C1405" s="30">
        <f t="shared" si="42"/>
        <v>2000</v>
      </c>
      <c r="D1405" s="26">
        <f>VLOOKUP(A1405,'Database Claims'!$A:$C,2,)</f>
        <v>2833000</v>
      </c>
      <c r="E1405" s="30">
        <f t="shared" si="43"/>
        <v>32000</v>
      </c>
    </row>
    <row r="1406" spans="1:5" x14ac:dyDescent="0.2">
      <c r="A1406" s="29">
        <v>34286</v>
      </c>
      <c r="B1406" s="30">
        <f>VLOOKUP(A1406,'Database Claims'!$A:$C,3,)</f>
        <v>341000</v>
      </c>
      <c r="C1406" s="30">
        <f t="shared" si="42"/>
        <v>-9000</v>
      </c>
      <c r="D1406" s="30">
        <f>VLOOKUP(A1406,'Database Claims'!$A:$C,2,)</f>
        <v>2785000</v>
      </c>
      <c r="E1406" s="30">
        <f t="shared" si="43"/>
        <v>-48000</v>
      </c>
    </row>
    <row r="1407" spans="1:5" x14ac:dyDescent="0.2">
      <c r="A1407" s="29">
        <v>34293</v>
      </c>
      <c r="B1407" s="26">
        <f>VLOOKUP(A1407,'Database Claims'!$A:$C,3,)</f>
        <v>336000</v>
      </c>
      <c r="C1407" s="30">
        <f t="shared" si="42"/>
        <v>-5000</v>
      </c>
      <c r="D1407" s="26">
        <f>VLOOKUP(A1407,'Database Claims'!$A:$C,2,)</f>
        <v>2801000</v>
      </c>
      <c r="E1407" s="30">
        <f t="shared" si="43"/>
        <v>16000</v>
      </c>
    </row>
    <row r="1408" spans="1:5" x14ac:dyDescent="0.2">
      <c r="A1408" s="29">
        <v>34300</v>
      </c>
      <c r="B1408" s="30">
        <f>VLOOKUP(A1408,'Database Claims'!$A:$C,3,)</f>
        <v>337000</v>
      </c>
      <c r="C1408" s="30">
        <f t="shared" si="42"/>
        <v>1000</v>
      </c>
      <c r="D1408" s="30">
        <f>VLOOKUP(A1408,'Database Claims'!$A:$C,2,)</f>
        <v>2784000</v>
      </c>
      <c r="E1408" s="30">
        <f t="shared" si="43"/>
        <v>-17000</v>
      </c>
    </row>
    <row r="1409" spans="1:5" x14ac:dyDescent="0.2">
      <c r="A1409" s="29">
        <v>34307</v>
      </c>
      <c r="B1409" s="26">
        <f>VLOOKUP(A1409,'Database Claims'!$A:$C,3,)</f>
        <v>337000</v>
      </c>
      <c r="C1409" s="30">
        <f t="shared" si="42"/>
        <v>0</v>
      </c>
      <c r="D1409" s="26">
        <f>VLOOKUP(A1409,'Database Claims'!$A:$C,2,)</f>
        <v>2802000</v>
      </c>
      <c r="E1409" s="30">
        <f t="shared" si="43"/>
        <v>18000</v>
      </c>
    </row>
    <row r="1410" spans="1:5" x14ac:dyDescent="0.2">
      <c r="A1410" s="29">
        <v>34314</v>
      </c>
      <c r="B1410" s="30">
        <f>VLOOKUP(A1410,'Database Claims'!$A:$C,3,)</f>
        <v>334000</v>
      </c>
      <c r="C1410" s="30">
        <f t="shared" si="42"/>
        <v>-3000</v>
      </c>
      <c r="D1410" s="30">
        <f>VLOOKUP(A1410,'Database Claims'!$A:$C,2,)</f>
        <v>2747000</v>
      </c>
      <c r="E1410" s="30">
        <f t="shared" si="43"/>
        <v>-55000</v>
      </c>
    </row>
    <row r="1411" spans="1:5" x14ac:dyDescent="0.2">
      <c r="A1411" s="29">
        <v>34321</v>
      </c>
      <c r="B1411" s="26">
        <f>VLOOKUP(A1411,'Database Claims'!$A:$C,3,)</f>
        <v>331000</v>
      </c>
      <c r="C1411" s="30">
        <f t="shared" si="42"/>
        <v>-3000</v>
      </c>
      <c r="D1411" s="26">
        <f>VLOOKUP(A1411,'Database Claims'!$A:$C,2,)</f>
        <v>2780000</v>
      </c>
      <c r="E1411" s="30">
        <f t="shared" si="43"/>
        <v>33000</v>
      </c>
    </row>
    <row r="1412" spans="1:5" x14ac:dyDescent="0.2">
      <c r="A1412" s="29">
        <v>34328</v>
      </c>
      <c r="B1412" s="30">
        <f>VLOOKUP(A1412,'Database Claims'!$A:$C,3,)</f>
        <v>290000</v>
      </c>
      <c r="C1412" s="30">
        <f t="shared" si="42"/>
        <v>-41000</v>
      </c>
      <c r="D1412" s="30">
        <f>VLOOKUP(A1412,'Database Claims'!$A:$C,2,)</f>
        <v>2720000</v>
      </c>
      <c r="E1412" s="30">
        <f t="shared" si="43"/>
        <v>-60000</v>
      </c>
    </row>
    <row r="1413" spans="1:5" x14ac:dyDescent="0.2">
      <c r="A1413" s="29">
        <v>34335</v>
      </c>
      <c r="B1413" s="26">
        <f>VLOOKUP(A1413,'Database Claims'!$A:$C,3,)</f>
        <v>341000</v>
      </c>
      <c r="C1413" s="30">
        <f t="shared" si="42"/>
        <v>51000</v>
      </c>
      <c r="D1413" s="26">
        <f>VLOOKUP(A1413,'Database Claims'!$A:$C,2,)</f>
        <v>2633000</v>
      </c>
      <c r="E1413" s="30">
        <f t="shared" si="43"/>
        <v>-87000</v>
      </c>
    </row>
    <row r="1414" spans="1:5" x14ac:dyDescent="0.2">
      <c r="A1414" s="29">
        <v>34342</v>
      </c>
      <c r="B1414" s="30">
        <f>VLOOKUP(A1414,'Database Claims'!$A:$C,3,)</f>
        <v>343000</v>
      </c>
      <c r="C1414" s="30">
        <f t="shared" ref="C1414:C1477" si="44">B1414-B1413</f>
        <v>2000</v>
      </c>
      <c r="D1414" s="30">
        <f>VLOOKUP(A1414,'Database Claims'!$A:$C,2,)</f>
        <v>2705000</v>
      </c>
      <c r="E1414" s="30">
        <f t="shared" ref="E1414:E1477" si="45">D1414-D1413</f>
        <v>72000</v>
      </c>
    </row>
    <row r="1415" spans="1:5" x14ac:dyDescent="0.2">
      <c r="A1415" s="29">
        <v>34349</v>
      </c>
      <c r="B1415" s="26">
        <f>VLOOKUP(A1415,'Database Claims'!$A:$C,3,)</f>
        <v>355000</v>
      </c>
      <c r="C1415" s="30">
        <f t="shared" si="44"/>
        <v>12000</v>
      </c>
      <c r="D1415" s="26">
        <f>VLOOKUP(A1415,'Database Claims'!$A:$C,2,)</f>
        <v>2634000</v>
      </c>
      <c r="E1415" s="30">
        <f t="shared" si="45"/>
        <v>-71000</v>
      </c>
    </row>
    <row r="1416" spans="1:5" x14ac:dyDescent="0.2">
      <c r="A1416" s="29">
        <v>34356</v>
      </c>
      <c r="B1416" s="30">
        <f>VLOOKUP(A1416,'Database Claims'!$A:$C,3,)</f>
        <v>351000</v>
      </c>
      <c r="C1416" s="30">
        <f t="shared" si="44"/>
        <v>-4000</v>
      </c>
      <c r="D1416" s="30">
        <f>VLOOKUP(A1416,'Database Claims'!$A:$C,2,)</f>
        <v>2814000</v>
      </c>
      <c r="E1416" s="30">
        <f t="shared" si="45"/>
        <v>180000</v>
      </c>
    </row>
    <row r="1417" spans="1:5" x14ac:dyDescent="0.2">
      <c r="A1417" s="29">
        <v>34363</v>
      </c>
      <c r="B1417" s="26">
        <f>VLOOKUP(A1417,'Database Claims'!$A:$C,3,)</f>
        <v>406000</v>
      </c>
      <c r="C1417" s="30">
        <f t="shared" si="44"/>
        <v>55000</v>
      </c>
      <c r="D1417" s="26">
        <f>VLOOKUP(A1417,'Database Claims'!$A:$C,2,)</f>
        <v>2762000</v>
      </c>
      <c r="E1417" s="30">
        <f t="shared" si="45"/>
        <v>-52000</v>
      </c>
    </row>
    <row r="1418" spans="1:5" x14ac:dyDescent="0.2">
      <c r="A1418" s="29">
        <v>34370</v>
      </c>
      <c r="B1418" s="30">
        <f>VLOOKUP(A1418,'Database Claims'!$A:$C,3,)</f>
        <v>361000</v>
      </c>
      <c r="C1418" s="30">
        <f t="shared" si="44"/>
        <v>-45000</v>
      </c>
      <c r="D1418" s="30">
        <f>VLOOKUP(A1418,'Database Claims'!$A:$C,2,)</f>
        <v>2764000</v>
      </c>
      <c r="E1418" s="30">
        <f t="shared" si="45"/>
        <v>2000</v>
      </c>
    </row>
    <row r="1419" spans="1:5" x14ac:dyDescent="0.2">
      <c r="A1419" s="29">
        <v>34377</v>
      </c>
      <c r="B1419" s="26">
        <f>VLOOKUP(A1419,'Database Claims'!$A:$C,3,)</f>
        <v>354000</v>
      </c>
      <c r="C1419" s="30">
        <f t="shared" si="44"/>
        <v>-7000</v>
      </c>
      <c r="D1419" s="26">
        <f>VLOOKUP(A1419,'Database Claims'!$A:$C,2,)</f>
        <v>2861000</v>
      </c>
      <c r="E1419" s="30">
        <f t="shared" si="45"/>
        <v>97000</v>
      </c>
    </row>
    <row r="1420" spans="1:5" x14ac:dyDescent="0.2">
      <c r="A1420" s="29">
        <v>34384</v>
      </c>
      <c r="B1420" s="30">
        <f>VLOOKUP(A1420,'Database Claims'!$A:$C,3,)</f>
        <v>352000</v>
      </c>
      <c r="C1420" s="30">
        <f t="shared" si="44"/>
        <v>-2000</v>
      </c>
      <c r="D1420" s="30">
        <f>VLOOKUP(A1420,'Database Claims'!$A:$C,2,)</f>
        <v>2748000</v>
      </c>
      <c r="E1420" s="30">
        <f t="shared" si="45"/>
        <v>-113000</v>
      </c>
    </row>
    <row r="1421" spans="1:5" x14ac:dyDescent="0.2">
      <c r="A1421" s="29">
        <v>34391</v>
      </c>
      <c r="B1421" s="26">
        <f>VLOOKUP(A1421,'Database Claims'!$A:$C,3,)</f>
        <v>327000</v>
      </c>
      <c r="C1421" s="30">
        <f t="shared" si="44"/>
        <v>-25000</v>
      </c>
      <c r="D1421" s="26">
        <f>VLOOKUP(A1421,'Database Claims'!$A:$C,2,)</f>
        <v>2797000</v>
      </c>
      <c r="E1421" s="30">
        <f t="shared" si="45"/>
        <v>49000</v>
      </c>
    </row>
    <row r="1422" spans="1:5" x14ac:dyDescent="0.2">
      <c r="A1422" s="29">
        <v>34398</v>
      </c>
      <c r="B1422" s="30">
        <f>VLOOKUP(A1422,'Database Claims'!$A:$C,3,)</f>
        <v>348000</v>
      </c>
      <c r="C1422" s="30">
        <f t="shared" si="44"/>
        <v>21000</v>
      </c>
      <c r="D1422" s="30">
        <f>VLOOKUP(A1422,'Database Claims'!$A:$C,2,)</f>
        <v>2779000</v>
      </c>
      <c r="E1422" s="30">
        <f t="shared" si="45"/>
        <v>-18000</v>
      </c>
    </row>
    <row r="1423" spans="1:5" x14ac:dyDescent="0.2">
      <c r="A1423" s="29">
        <v>34405</v>
      </c>
      <c r="B1423" s="26">
        <f>VLOOKUP(A1423,'Database Claims'!$A:$C,3,)</f>
        <v>341000</v>
      </c>
      <c r="C1423" s="30">
        <f t="shared" si="44"/>
        <v>-7000</v>
      </c>
      <c r="D1423" s="26">
        <f>VLOOKUP(A1423,'Database Claims'!$A:$C,2,)</f>
        <v>2783000</v>
      </c>
      <c r="E1423" s="30">
        <f t="shared" si="45"/>
        <v>4000</v>
      </c>
    </row>
    <row r="1424" spans="1:5" x14ac:dyDescent="0.2">
      <c r="A1424" s="29">
        <v>34412</v>
      </c>
      <c r="B1424" s="30">
        <f>VLOOKUP(A1424,'Database Claims'!$A:$C,3,)</f>
        <v>332000</v>
      </c>
      <c r="C1424" s="30">
        <f t="shared" si="44"/>
        <v>-9000</v>
      </c>
      <c r="D1424" s="30">
        <f>VLOOKUP(A1424,'Database Claims'!$A:$C,2,)</f>
        <v>2746000</v>
      </c>
      <c r="E1424" s="30">
        <f t="shared" si="45"/>
        <v>-37000</v>
      </c>
    </row>
    <row r="1425" spans="1:5" x14ac:dyDescent="0.2">
      <c r="A1425" s="29">
        <v>34419</v>
      </c>
      <c r="B1425" s="26">
        <f>VLOOKUP(A1425,'Database Claims'!$A:$C,3,)</f>
        <v>322000</v>
      </c>
      <c r="C1425" s="30">
        <f t="shared" si="44"/>
        <v>-10000</v>
      </c>
      <c r="D1425" s="26">
        <f>VLOOKUP(A1425,'Database Claims'!$A:$C,2,)</f>
        <v>2710000</v>
      </c>
      <c r="E1425" s="30">
        <f t="shared" si="45"/>
        <v>-36000</v>
      </c>
    </row>
    <row r="1426" spans="1:5" x14ac:dyDescent="0.2">
      <c r="A1426" s="29">
        <v>34426</v>
      </c>
      <c r="B1426" s="30">
        <f>VLOOKUP(A1426,'Database Claims'!$A:$C,3,)</f>
        <v>342000</v>
      </c>
      <c r="C1426" s="30">
        <f t="shared" si="44"/>
        <v>20000</v>
      </c>
      <c r="D1426" s="30">
        <f>VLOOKUP(A1426,'Database Claims'!$A:$C,2,)</f>
        <v>2730000</v>
      </c>
      <c r="E1426" s="30">
        <f t="shared" si="45"/>
        <v>20000</v>
      </c>
    </row>
    <row r="1427" spans="1:5" x14ac:dyDescent="0.2">
      <c r="A1427" s="29">
        <v>34433</v>
      </c>
      <c r="B1427" s="26">
        <f>VLOOKUP(A1427,'Database Claims'!$A:$C,3,)</f>
        <v>349000</v>
      </c>
      <c r="C1427" s="30">
        <f t="shared" si="44"/>
        <v>7000</v>
      </c>
      <c r="D1427" s="26">
        <f>VLOOKUP(A1427,'Database Claims'!$A:$C,2,)</f>
        <v>2773000</v>
      </c>
      <c r="E1427" s="30">
        <f t="shared" si="45"/>
        <v>43000</v>
      </c>
    </row>
    <row r="1428" spans="1:5" x14ac:dyDescent="0.2">
      <c r="A1428" s="29">
        <v>34440</v>
      </c>
      <c r="B1428" s="30">
        <f>VLOOKUP(A1428,'Database Claims'!$A:$C,3,)</f>
        <v>354000</v>
      </c>
      <c r="C1428" s="30">
        <f t="shared" si="44"/>
        <v>5000</v>
      </c>
      <c r="D1428" s="30">
        <f>VLOOKUP(A1428,'Database Claims'!$A:$C,2,)</f>
        <v>2716000</v>
      </c>
      <c r="E1428" s="30">
        <f t="shared" si="45"/>
        <v>-57000</v>
      </c>
    </row>
    <row r="1429" spans="1:5" x14ac:dyDescent="0.2">
      <c r="A1429" s="29">
        <v>34447</v>
      </c>
      <c r="B1429" s="26">
        <f>VLOOKUP(A1429,'Database Claims'!$A:$C,3,)</f>
        <v>331000</v>
      </c>
      <c r="C1429" s="30">
        <f t="shared" si="44"/>
        <v>-23000</v>
      </c>
      <c r="D1429" s="26">
        <f>VLOOKUP(A1429,'Database Claims'!$A:$C,2,)</f>
        <v>2695000</v>
      </c>
      <c r="E1429" s="30">
        <f t="shared" si="45"/>
        <v>-21000</v>
      </c>
    </row>
    <row r="1430" spans="1:5" x14ac:dyDescent="0.2">
      <c r="A1430" s="29">
        <v>34454</v>
      </c>
      <c r="B1430" s="30">
        <f>VLOOKUP(A1430,'Database Claims'!$A:$C,3,)</f>
        <v>344000</v>
      </c>
      <c r="C1430" s="30">
        <f t="shared" si="44"/>
        <v>13000</v>
      </c>
      <c r="D1430" s="30">
        <f>VLOOKUP(A1430,'Database Claims'!$A:$C,2,)</f>
        <v>2769000</v>
      </c>
      <c r="E1430" s="30">
        <f t="shared" si="45"/>
        <v>74000</v>
      </c>
    </row>
    <row r="1431" spans="1:5" x14ac:dyDescent="0.2">
      <c r="A1431" s="29">
        <v>34461</v>
      </c>
      <c r="B1431" s="26">
        <f>VLOOKUP(A1431,'Database Claims'!$A:$C,3,)</f>
        <v>371000</v>
      </c>
      <c r="C1431" s="30">
        <f t="shared" si="44"/>
        <v>27000</v>
      </c>
      <c r="D1431" s="26">
        <f>VLOOKUP(A1431,'Database Claims'!$A:$C,2,)</f>
        <v>2726000</v>
      </c>
      <c r="E1431" s="30">
        <f t="shared" si="45"/>
        <v>-43000</v>
      </c>
    </row>
    <row r="1432" spans="1:5" x14ac:dyDescent="0.2">
      <c r="A1432" s="29">
        <v>34468</v>
      </c>
      <c r="B1432" s="30">
        <f>VLOOKUP(A1432,'Database Claims'!$A:$C,3,)</f>
        <v>360000</v>
      </c>
      <c r="C1432" s="30">
        <f t="shared" si="44"/>
        <v>-11000</v>
      </c>
      <c r="D1432" s="30">
        <f>VLOOKUP(A1432,'Database Claims'!$A:$C,2,)</f>
        <v>2792000</v>
      </c>
      <c r="E1432" s="30">
        <f t="shared" si="45"/>
        <v>66000</v>
      </c>
    </row>
    <row r="1433" spans="1:5" x14ac:dyDescent="0.2">
      <c r="A1433" s="29">
        <v>34475</v>
      </c>
      <c r="B1433" s="26">
        <f>VLOOKUP(A1433,'Database Claims'!$A:$C,3,)</f>
        <v>357000</v>
      </c>
      <c r="C1433" s="30">
        <f t="shared" si="44"/>
        <v>-3000</v>
      </c>
      <c r="D1433" s="26">
        <f>VLOOKUP(A1433,'Database Claims'!$A:$C,2,)</f>
        <v>2766000</v>
      </c>
      <c r="E1433" s="30">
        <f t="shared" si="45"/>
        <v>-26000</v>
      </c>
    </row>
    <row r="1434" spans="1:5" x14ac:dyDescent="0.2">
      <c r="A1434" s="29">
        <v>34482</v>
      </c>
      <c r="B1434" s="30">
        <f>VLOOKUP(A1434,'Database Claims'!$A:$C,3,)</f>
        <v>348000</v>
      </c>
      <c r="C1434" s="30">
        <f t="shared" si="44"/>
        <v>-9000</v>
      </c>
      <c r="D1434" s="30">
        <f>VLOOKUP(A1434,'Database Claims'!$A:$C,2,)</f>
        <v>2727000</v>
      </c>
      <c r="E1434" s="30">
        <f t="shared" si="45"/>
        <v>-39000</v>
      </c>
    </row>
    <row r="1435" spans="1:5" x14ac:dyDescent="0.2">
      <c r="A1435" s="29">
        <v>34489</v>
      </c>
      <c r="B1435" s="26">
        <f>VLOOKUP(A1435,'Database Claims'!$A:$C,3,)</f>
        <v>345000</v>
      </c>
      <c r="C1435" s="30">
        <f t="shared" si="44"/>
        <v>-3000</v>
      </c>
      <c r="D1435" s="26">
        <f>VLOOKUP(A1435,'Database Claims'!$A:$C,2,)</f>
        <v>2740000</v>
      </c>
      <c r="E1435" s="30">
        <f t="shared" si="45"/>
        <v>13000</v>
      </c>
    </row>
    <row r="1436" spans="1:5" x14ac:dyDescent="0.2">
      <c r="A1436" s="29">
        <v>34496</v>
      </c>
      <c r="B1436" s="30">
        <f>VLOOKUP(A1436,'Database Claims'!$A:$C,3,)</f>
        <v>338000</v>
      </c>
      <c r="C1436" s="30">
        <f t="shared" si="44"/>
        <v>-7000</v>
      </c>
      <c r="D1436" s="30">
        <f>VLOOKUP(A1436,'Database Claims'!$A:$C,2,)</f>
        <v>2755000</v>
      </c>
      <c r="E1436" s="30">
        <f t="shared" si="45"/>
        <v>15000</v>
      </c>
    </row>
    <row r="1437" spans="1:5" x14ac:dyDescent="0.2">
      <c r="A1437" s="29">
        <v>34503</v>
      </c>
      <c r="B1437" s="26">
        <f>VLOOKUP(A1437,'Database Claims'!$A:$C,3,)</f>
        <v>336000</v>
      </c>
      <c r="C1437" s="30">
        <f t="shared" si="44"/>
        <v>-2000</v>
      </c>
      <c r="D1437" s="26">
        <f>VLOOKUP(A1437,'Database Claims'!$A:$C,2,)</f>
        <v>2698000</v>
      </c>
      <c r="E1437" s="30">
        <f t="shared" si="45"/>
        <v>-57000</v>
      </c>
    </row>
    <row r="1438" spans="1:5" x14ac:dyDescent="0.2">
      <c r="A1438" s="29">
        <v>34510</v>
      </c>
      <c r="B1438" s="30">
        <f>VLOOKUP(A1438,'Database Claims'!$A:$C,3,)</f>
        <v>341000</v>
      </c>
      <c r="C1438" s="30">
        <f t="shared" si="44"/>
        <v>5000</v>
      </c>
      <c r="D1438" s="30">
        <f>VLOOKUP(A1438,'Database Claims'!$A:$C,2,)</f>
        <v>2687000</v>
      </c>
      <c r="E1438" s="30">
        <f t="shared" si="45"/>
        <v>-11000</v>
      </c>
    </row>
    <row r="1439" spans="1:5" x14ac:dyDescent="0.2">
      <c r="A1439" s="29">
        <v>34517</v>
      </c>
      <c r="B1439" s="26">
        <f>VLOOKUP(A1439,'Database Claims'!$A:$C,3,)</f>
        <v>334000</v>
      </c>
      <c r="C1439" s="30">
        <f t="shared" si="44"/>
        <v>-7000</v>
      </c>
      <c r="D1439" s="26">
        <f>VLOOKUP(A1439,'Database Claims'!$A:$C,2,)</f>
        <v>2672000</v>
      </c>
      <c r="E1439" s="30">
        <f t="shared" si="45"/>
        <v>-15000</v>
      </c>
    </row>
    <row r="1440" spans="1:5" x14ac:dyDescent="0.2">
      <c r="A1440" s="29">
        <v>34524</v>
      </c>
      <c r="B1440" s="30">
        <f>VLOOKUP(A1440,'Database Claims'!$A:$C,3,)</f>
        <v>341000</v>
      </c>
      <c r="C1440" s="30">
        <f t="shared" si="44"/>
        <v>7000</v>
      </c>
      <c r="D1440" s="30">
        <f>VLOOKUP(A1440,'Database Claims'!$A:$C,2,)</f>
        <v>2670000</v>
      </c>
      <c r="E1440" s="30">
        <f t="shared" si="45"/>
        <v>-2000</v>
      </c>
    </row>
    <row r="1441" spans="1:5" x14ac:dyDescent="0.2">
      <c r="A1441" s="29">
        <v>34531</v>
      </c>
      <c r="B1441" s="26">
        <f>VLOOKUP(A1441,'Database Claims'!$A:$C,3,)</f>
        <v>359000</v>
      </c>
      <c r="C1441" s="30">
        <f t="shared" si="44"/>
        <v>18000</v>
      </c>
      <c r="D1441" s="26">
        <f>VLOOKUP(A1441,'Database Claims'!$A:$C,2,)</f>
        <v>2680000</v>
      </c>
      <c r="E1441" s="30">
        <f t="shared" si="45"/>
        <v>10000</v>
      </c>
    </row>
    <row r="1442" spans="1:5" x14ac:dyDescent="0.2">
      <c r="A1442" s="29">
        <v>34538</v>
      </c>
      <c r="B1442" s="30">
        <f>VLOOKUP(A1442,'Database Claims'!$A:$C,3,)</f>
        <v>345000</v>
      </c>
      <c r="C1442" s="30">
        <f t="shared" si="44"/>
        <v>-14000</v>
      </c>
      <c r="D1442" s="30">
        <f>VLOOKUP(A1442,'Database Claims'!$A:$C,2,)</f>
        <v>2650000</v>
      </c>
      <c r="E1442" s="30">
        <f t="shared" si="45"/>
        <v>-30000</v>
      </c>
    </row>
    <row r="1443" spans="1:5" x14ac:dyDescent="0.2">
      <c r="A1443" s="29">
        <v>34545</v>
      </c>
      <c r="B1443" s="26">
        <f>VLOOKUP(A1443,'Database Claims'!$A:$C,3,)</f>
        <v>332000</v>
      </c>
      <c r="C1443" s="30">
        <f t="shared" si="44"/>
        <v>-13000</v>
      </c>
      <c r="D1443" s="26">
        <f>VLOOKUP(A1443,'Database Claims'!$A:$C,2,)</f>
        <v>2626000</v>
      </c>
      <c r="E1443" s="30">
        <f t="shared" si="45"/>
        <v>-24000</v>
      </c>
    </row>
    <row r="1444" spans="1:5" x14ac:dyDescent="0.2">
      <c r="A1444" s="29">
        <v>34552</v>
      </c>
      <c r="B1444" s="30">
        <f>VLOOKUP(A1444,'Database Claims'!$A:$C,3,)</f>
        <v>338000</v>
      </c>
      <c r="C1444" s="30">
        <f t="shared" si="44"/>
        <v>6000</v>
      </c>
      <c r="D1444" s="30">
        <f>VLOOKUP(A1444,'Database Claims'!$A:$C,2,)</f>
        <v>2644000</v>
      </c>
      <c r="E1444" s="30">
        <f t="shared" si="45"/>
        <v>18000</v>
      </c>
    </row>
    <row r="1445" spans="1:5" x14ac:dyDescent="0.2">
      <c r="A1445" s="29">
        <v>34559</v>
      </c>
      <c r="B1445" s="26">
        <f>VLOOKUP(A1445,'Database Claims'!$A:$C,3,)</f>
        <v>335000</v>
      </c>
      <c r="C1445" s="30">
        <f t="shared" si="44"/>
        <v>-3000</v>
      </c>
      <c r="D1445" s="26">
        <f>VLOOKUP(A1445,'Database Claims'!$A:$C,2,)</f>
        <v>2639000</v>
      </c>
      <c r="E1445" s="30">
        <f t="shared" si="45"/>
        <v>-5000</v>
      </c>
    </row>
    <row r="1446" spans="1:5" x14ac:dyDescent="0.2">
      <c r="A1446" s="29">
        <v>34566</v>
      </c>
      <c r="B1446" s="30">
        <f>VLOOKUP(A1446,'Database Claims'!$A:$C,3,)</f>
        <v>331000</v>
      </c>
      <c r="C1446" s="30">
        <f t="shared" si="44"/>
        <v>-4000</v>
      </c>
      <c r="D1446" s="30">
        <f>VLOOKUP(A1446,'Database Claims'!$A:$C,2,)</f>
        <v>2659000</v>
      </c>
      <c r="E1446" s="30">
        <f t="shared" si="45"/>
        <v>20000</v>
      </c>
    </row>
    <row r="1447" spans="1:5" x14ac:dyDescent="0.2">
      <c r="A1447" s="29">
        <v>34573</v>
      </c>
      <c r="B1447" s="26">
        <f>VLOOKUP(A1447,'Database Claims'!$A:$C,3,)</f>
        <v>341000</v>
      </c>
      <c r="C1447" s="30">
        <f t="shared" si="44"/>
        <v>10000</v>
      </c>
      <c r="D1447" s="26">
        <f>VLOOKUP(A1447,'Database Claims'!$A:$C,2,)</f>
        <v>2648000</v>
      </c>
      <c r="E1447" s="30">
        <f t="shared" si="45"/>
        <v>-11000</v>
      </c>
    </row>
    <row r="1448" spans="1:5" x14ac:dyDescent="0.2">
      <c r="A1448" s="29">
        <v>34580</v>
      </c>
      <c r="B1448" s="30">
        <f>VLOOKUP(A1448,'Database Claims'!$A:$C,3,)</f>
        <v>339000</v>
      </c>
      <c r="C1448" s="30">
        <f t="shared" si="44"/>
        <v>-2000</v>
      </c>
      <c r="D1448" s="30">
        <f>VLOOKUP(A1448,'Database Claims'!$A:$C,2,)</f>
        <v>2645000</v>
      </c>
      <c r="E1448" s="30">
        <f t="shared" si="45"/>
        <v>-3000</v>
      </c>
    </row>
    <row r="1449" spans="1:5" x14ac:dyDescent="0.2">
      <c r="A1449" s="29">
        <v>34587</v>
      </c>
      <c r="B1449" s="26">
        <f>VLOOKUP(A1449,'Database Claims'!$A:$C,3,)</f>
        <v>331000</v>
      </c>
      <c r="C1449" s="30">
        <f t="shared" si="44"/>
        <v>-8000</v>
      </c>
      <c r="D1449" s="26">
        <f>VLOOKUP(A1449,'Database Claims'!$A:$C,2,)</f>
        <v>2633000</v>
      </c>
      <c r="E1449" s="30">
        <f t="shared" si="45"/>
        <v>-12000</v>
      </c>
    </row>
    <row r="1450" spans="1:5" x14ac:dyDescent="0.2">
      <c r="A1450" s="29">
        <v>34594</v>
      </c>
      <c r="B1450" s="30">
        <f>VLOOKUP(A1450,'Database Claims'!$A:$C,3,)</f>
        <v>326000</v>
      </c>
      <c r="C1450" s="30">
        <f t="shared" si="44"/>
        <v>-5000</v>
      </c>
      <c r="D1450" s="30">
        <f>VLOOKUP(A1450,'Database Claims'!$A:$C,2,)</f>
        <v>2638000</v>
      </c>
      <c r="E1450" s="30">
        <f t="shared" si="45"/>
        <v>5000</v>
      </c>
    </row>
    <row r="1451" spans="1:5" x14ac:dyDescent="0.2">
      <c r="A1451" s="29">
        <v>34601</v>
      </c>
      <c r="B1451" s="26">
        <f>VLOOKUP(A1451,'Database Claims'!$A:$C,3,)</f>
        <v>325000</v>
      </c>
      <c r="C1451" s="30">
        <f t="shared" si="44"/>
        <v>-1000</v>
      </c>
      <c r="D1451" s="26">
        <f>VLOOKUP(A1451,'Database Claims'!$A:$C,2,)</f>
        <v>2601000</v>
      </c>
      <c r="E1451" s="30">
        <f t="shared" si="45"/>
        <v>-37000</v>
      </c>
    </row>
    <row r="1452" spans="1:5" x14ac:dyDescent="0.2">
      <c r="A1452" s="29">
        <v>34608</v>
      </c>
      <c r="B1452" s="30">
        <f>VLOOKUP(A1452,'Database Claims'!$A:$C,3,)</f>
        <v>330000</v>
      </c>
      <c r="C1452" s="30">
        <f t="shared" si="44"/>
        <v>5000</v>
      </c>
      <c r="D1452" s="30">
        <f>VLOOKUP(A1452,'Database Claims'!$A:$C,2,)</f>
        <v>2597000</v>
      </c>
      <c r="E1452" s="30">
        <f t="shared" si="45"/>
        <v>-4000</v>
      </c>
    </row>
    <row r="1453" spans="1:5" x14ac:dyDescent="0.2">
      <c r="A1453" s="29">
        <v>34615</v>
      </c>
      <c r="B1453" s="26">
        <f>VLOOKUP(A1453,'Database Claims'!$A:$C,3,)</f>
        <v>341000</v>
      </c>
      <c r="C1453" s="30">
        <f t="shared" si="44"/>
        <v>11000</v>
      </c>
      <c r="D1453" s="26">
        <f>VLOOKUP(A1453,'Database Claims'!$A:$C,2,)</f>
        <v>2561000</v>
      </c>
      <c r="E1453" s="30">
        <f t="shared" si="45"/>
        <v>-36000</v>
      </c>
    </row>
    <row r="1454" spans="1:5" x14ac:dyDescent="0.2">
      <c r="A1454" s="29">
        <v>34622</v>
      </c>
      <c r="B1454" s="30">
        <f>VLOOKUP(A1454,'Database Claims'!$A:$C,3,)</f>
        <v>335000</v>
      </c>
      <c r="C1454" s="30">
        <f t="shared" si="44"/>
        <v>-6000</v>
      </c>
      <c r="D1454" s="30">
        <f>VLOOKUP(A1454,'Database Claims'!$A:$C,2,)</f>
        <v>2620000</v>
      </c>
      <c r="E1454" s="30">
        <f t="shared" si="45"/>
        <v>59000</v>
      </c>
    </row>
    <row r="1455" spans="1:5" x14ac:dyDescent="0.2">
      <c r="A1455" s="29">
        <v>34629</v>
      </c>
      <c r="B1455" s="26">
        <f>VLOOKUP(A1455,'Database Claims'!$A:$C,3,)</f>
        <v>330000</v>
      </c>
      <c r="C1455" s="30">
        <f t="shared" si="44"/>
        <v>-5000</v>
      </c>
      <c r="D1455" s="26">
        <f>VLOOKUP(A1455,'Database Claims'!$A:$C,2,)</f>
        <v>2556000</v>
      </c>
      <c r="E1455" s="30">
        <f t="shared" si="45"/>
        <v>-64000</v>
      </c>
    </row>
    <row r="1456" spans="1:5" x14ac:dyDescent="0.2">
      <c r="A1456" s="29">
        <v>34636</v>
      </c>
      <c r="B1456" s="30">
        <f>VLOOKUP(A1456,'Database Claims'!$A:$C,3,)</f>
        <v>331000</v>
      </c>
      <c r="C1456" s="30">
        <f t="shared" si="44"/>
        <v>1000</v>
      </c>
      <c r="D1456" s="30">
        <f>VLOOKUP(A1456,'Database Claims'!$A:$C,2,)</f>
        <v>2536000</v>
      </c>
      <c r="E1456" s="30">
        <f t="shared" si="45"/>
        <v>-20000</v>
      </c>
    </row>
    <row r="1457" spans="1:5" x14ac:dyDescent="0.2">
      <c r="A1457" s="29">
        <v>34643</v>
      </c>
      <c r="B1457" s="26">
        <f>VLOOKUP(A1457,'Database Claims'!$A:$C,3,)</f>
        <v>328000</v>
      </c>
      <c r="C1457" s="30">
        <f t="shared" si="44"/>
        <v>-3000</v>
      </c>
      <c r="D1457" s="26">
        <f>VLOOKUP(A1457,'Database Claims'!$A:$C,2,)</f>
        <v>2538000</v>
      </c>
      <c r="E1457" s="30">
        <f t="shared" si="45"/>
        <v>2000</v>
      </c>
    </row>
    <row r="1458" spans="1:5" x14ac:dyDescent="0.2">
      <c r="A1458" s="29">
        <v>34650</v>
      </c>
      <c r="B1458" s="30">
        <f>VLOOKUP(A1458,'Database Claims'!$A:$C,3,)</f>
        <v>329000</v>
      </c>
      <c r="C1458" s="30">
        <f t="shared" si="44"/>
        <v>1000</v>
      </c>
      <c r="D1458" s="30">
        <f>VLOOKUP(A1458,'Database Claims'!$A:$C,2,)</f>
        <v>2528000</v>
      </c>
      <c r="E1458" s="30">
        <f t="shared" si="45"/>
        <v>-10000</v>
      </c>
    </row>
    <row r="1459" spans="1:5" x14ac:dyDescent="0.2">
      <c r="A1459" s="29">
        <v>34657</v>
      </c>
      <c r="B1459" s="26">
        <f>VLOOKUP(A1459,'Database Claims'!$A:$C,3,)</f>
        <v>326000</v>
      </c>
      <c r="C1459" s="30">
        <f t="shared" si="44"/>
        <v>-3000</v>
      </c>
      <c r="D1459" s="26">
        <f>VLOOKUP(A1459,'Database Claims'!$A:$C,2,)</f>
        <v>2533000</v>
      </c>
      <c r="E1459" s="30">
        <f t="shared" si="45"/>
        <v>5000</v>
      </c>
    </row>
    <row r="1460" spans="1:5" x14ac:dyDescent="0.2">
      <c r="A1460" s="29">
        <v>34664</v>
      </c>
      <c r="B1460" s="30">
        <f>VLOOKUP(A1460,'Database Claims'!$A:$C,3,)</f>
        <v>329000</v>
      </c>
      <c r="C1460" s="30">
        <f t="shared" si="44"/>
        <v>3000</v>
      </c>
      <c r="D1460" s="30">
        <f>VLOOKUP(A1460,'Database Claims'!$A:$C,2,)</f>
        <v>2530000</v>
      </c>
      <c r="E1460" s="30">
        <f t="shared" si="45"/>
        <v>-3000</v>
      </c>
    </row>
    <row r="1461" spans="1:5" x14ac:dyDescent="0.2">
      <c r="A1461" s="29">
        <v>34671</v>
      </c>
      <c r="B1461" s="26">
        <f>VLOOKUP(A1461,'Database Claims'!$A:$C,3,)</f>
        <v>324000</v>
      </c>
      <c r="C1461" s="30">
        <f t="shared" si="44"/>
        <v>-5000</v>
      </c>
      <c r="D1461" s="26">
        <f>VLOOKUP(A1461,'Database Claims'!$A:$C,2,)</f>
        <v>2513000</v>
      </c>
      <c r="E1461" s="30">
        <f t="shared" si="45"/>
        <v>-17000</v>
      </c>
    </row>
    <row r="1462" spans="1:5" x14ac:dyDescent="0.2">
      <c r="A1462" s="29">
        <v>34678</v>
      </c>
      <c r="B1462" s="30">
        <f>VLOOKUP(A1462,'Database Claims'!$A:$C,3,)</f>
        <v>329000</v>
      </c>
      <c r="C1462" s="30">
        <f t="shared" si="44"/>
        <v>5000</v>
      </c>
      <c r="D1462" s="30">
        <f>VLOOKUP(A1462,'Database Claims'!$A:$C,2,)</f>
        <v>2508000</v>
      </c>
      <c r="E1462" s="30">
        <f t="shared" si="45"/>
        <v>-5000</v>
      </c>
    </row>
    <row r="1463" spans="1:5" x14ac:dyDescent="0.2">
      <c r="A1463" s="29">
        <v>34685</v>
      </c>
      <c r="B1463" s="26">
        <f>VLOOKUP(A1463,'Database Claims'!$A:$C,3,)</f>
        <v>330000</v>
      </c>
      <c r="C1463" s="30">
        <f t="shared" si="44"/>
        <v>1000</v>
      </c>
      <c r="D1463" s="26">
        <f>VLOOKUP(A1463,'Database Claims'!$A:$C,2,)</f>
        <v>2557000</v>
      </c>
      <c r="E1463" s="30">
        <f t="shared" si="45"/>
        <v>49000</v>
      </c>
    </row>
    <row r="1464" spans="1:5" x14ac:dyDescent="0.2">
      <c r="A1464" s="29">
        <v>34692</v>
      </c>
      <c r="B1464" s="30">
        <f>VLOOKUP(A1464,'Database Claims'!$A:$C,3,)</f>
        <v>314000</v>
      </c>
      <c r="C1464" s="30">
        <f t="shared" si="44"/>
        <v>-16000</v>
      </c>
      <c r="D1464" s="30">
        <f>VLOOKUP(A1464,'Database Claims'!$A:$C,2,)</f>
        <v>2567000</v>
      </c>
      <c r="E1464" s="30">
        <f t="shared" si="45"/>
        <v>10000</v>
      </c>
    </row>
    <row r="1465" spans="1:5" x14ac:dyDescent="0.2">
      <c r="A1465" s="29">
        <v>34699</v>
      </c>
      <c r="B1465" s="26">
        <f>VLOOKUP(A1465,'Database Claims'!$A:$C,3,)</f>
        <v>319000</v>
      </c>
      <c r="C1465" s="30">
        <f t="shared" si="44"/>
        <v>5000</v>
      </c>
      <c r="D1465" s="26">
        <f>VLOOKUP(A1465,'Database Claims'!$A:$C,2,)</f>
        <v>2499000</v>
      </c>
      <c r="E1465" s="30">
        <f t="shared" si="45"/>
        <v>-68000</v>
      </c>
    </row>
    <row r="1466" spans="1:5" x14ac:dyDescent="0.2">
      <c r="A1466" s="29">
        <v>34706</v>
      </c>
      <c r="B1466" s="30">
        <f>VLOOKUP(A1466,'Database Claims'!$A:$C,3,)</f>
        <v>338000</v>
      </c>
      <c r="C1466" s="30">
        <f t="shared" si="44"/>
        <v>19000</v>
      </c>
      <c r="D1466" s="30">
        <f>VLOOKUP(A1466,'Database Claims'!$A:$C,2,)</f>
        <v>2486000</v>
      </c>
      <c r="E1466" s="30">
        <f t="shared" si="45"/>
        <v>-13000</v>
      </c>
    </row>
    <row r="1467" spans="1:5" x14ac:dyDescent="0.2">
      <c r="A1467" s="29">
        <v>34713</v>
      </c>
      <c r="B1467" s="26">
        <f>VLOOKUP(A1467,'Database Claims'!$A:$C,3,)</f>
        <v>347000</v>
      </c>
      <c r="C1467" s="30">
        <f t="shared" si="44"/>
        <v>9000</v>
      </c>
      <c r="D1467" s="26">
        <f>VLOOKUP(A1467,'Database Claims'!$A:$C,2,)</f>
        <v>2559000</v>
      </c>
      <c r="E1467" s="30">
        <f t="shared" si="45"/>
        <v>73000</v>
      </c>
    </row>
    <row r="1468" spans="1:5" x14ac:dyDescent="0.2">
      <c r="A1468" s="29">
        <v>34720</v>
      </c>
      <c r="B1468" s="30">
        <f>VLOOKUP(A1468,'Database Claims'!$A:$C,3,)</f>
        <v>325000</v>
      </c>
      <c r="C1468" s="30">
        <f t="shared" si="44"/>
        <v>-22000</v>
      </c>
      <c r="D1468" s="30">
        <f>VLOOKUP(A1468,'Database Claims'!$A:$C,2,)</f>
        <v>2473000</v>
      </c>
      <c r="E1468" s="30">
        <f t="shared" si="45"/>
        <v>-86000</v>
      </c>
    </row>
    <row r="1469" spans="1:5" x14ac:dyDescent="0.2">
      <c r="A1469" s="29">
        <v>34727</v>
      </c>
      <c r="B1469" s="26">
        <f>VLOOKUP(A1469,'Database Claims'!$A:$C,3,)</f>
        <v>324000</v>
      </c>
      <c r="C1469" s="30">
        <f t="shared" si="44"/>
        <v>-1000</v>
      </c>
      <c r="D1469" s="26">
        <f>VLOOKUP(A1469,'Database Claims'!$A:$C,2,)</f>
        <v>2532000</v>
      </c>
      <c r="E1469" s="30">
        <f t="shared" si="45"/>
        <v>59000</v>
      </c>
    </row>
    <row r="1470" spans="1:5" x14ac:dyDescent="0.2">
      <c r="A1470" s="29">
        <v>34734</v>
      </c>
      <c r="B1470" s="30">
        <f>VLOOKUP(A1470,'Database Claims'!$A:$C,3,)</f>
        <v>324000</v>
      </c>
      <c r="C1470" s="30">
        <f t="shared" si="44"/>
        <v>0</v>
      </c>
      <c r="D1470" s="30">
        <f>VLOOKUP(A1470,'Database Claims'!$A:$C,2,)</f>
        <v>2501000</v>
      </c>
      <c r="E1470" s="30">
        <f t="shared" si="45"/>
        <v>-31000</v>
      </c>
    </row>
    <row r="1471" spans="1:5" x14ac:dyDescent="0.2">
      <c r="A1471" s="29">
        <v>34741</v>
      </c>
      <c r="B1471" s="26">
        <f>VLOOKUP(A1471,'Database Claims'!$A:$C,3,)</f>
        <v>348000</v>
      </c>
      <c r="C1471" s="30">
        <f t="shared" si="44"/>
        <v>24000</v>
      </c>
      <c r="D1471" s="26">
        <f>VLOOKUP(A1471,'Database Claims'!$A:$C,2,)</f>
        <v>2515000</v>
      </c>
      <c r="E1471" s="30">
        <f t="shared" si="45"/>
        <v>14000</v>
      </c>
    </row>
    <row r="1472" spans="1:5" x14ac:dyDescent="0.2">
      <c r="A1472" s="29">
        <v>34748</v>
      </c>
      <c r="B1472" s="30">
        <f>VLOOKUP(A1472,'Database Claims'!$A:$C,3,)</f>
        <v>343000</v>
      </c>
      <c r="C1472" s="30">
        <f t="shared" si="44"/>
        <v>-5000</v>
      </c>
      <c r="D1472" s="30">
        <f>VLOOKUP(A1472,'Database Claims'!$A:$C,2,)</f>
        <v>2541000</v>
      </c>
      <c r="E1472" s="30">
        <f t="shared" si="45"/>
        <v>26000</v>
      </c>
    </row>
    <row r="1473" spans="1:5" x14ac:dyDescent="0.2">
      <c r="A1473" s="29">
        <v>34755</v>
      </c>
      <c r="B1473" s="26">
        <f>VLOOKUP(A1473,'Database Claims'!$A:$C,3,)</f>
        <v>336000</v>
      </c>
      <c r="C1473" s="30">
        <f t="shared" si="44"/>
        <v>-7000</v>
      </c>
      <c r="D1473" s="26">
        <f>VLOOKUP(A1473,'Database Claims'!$A:$C,2,)</f>
        <v>2533000</v>
      </c>
      <c r="E1473" s="30">
        <f t="shared" si="45"/>
        <v>-8000</v>
      </c>
    </row>
    <row r="1474" spans="1:5" x14ac:dyDescent="0.2">
      <c r="A1474" s="29">
        <v>34762</v>
      </c>
      <c r="B1474" s="30">
        <f>VLOOKUP(A1474,'Database Claims'!$A:$C,3,)</f>
        <v>339000</v>
      </c>
      <c r="C1474" s="30">
        <f t="shared" si="44"/>
        <v>3000</v>
      </c>
      <c r="D1474" s="30">
        <f>VLOOKUP(A1474,'Database Claims'!$A:$C,2,)</f>
        <v>2518000</v>
      </c>
      <c r="E1474" s="30">
        <f t="shared" si="45"/>
        <v>-15000</v>
      </c>
    </row>
    <row r="1475" spans="1:5" x14ac:dyDescent="0.2">
      <c r="A1475" s="29">
        <v>34769</v>
      </c>
      <c r="B1475" s="26">
        <f>VLOOKUP(A1475,'Database Claims'!$A:$C,3,)</f>
        <v>347000</v>
      </c>
      <c r="C1475" s="30">
        <f t="shared" si="44"/>
        <v>8000</v>
      </c>
      <c r="D1475" s="26">
        <f>VLOOKUP(A1475,'Database Claims'!$A:$C,2,)</f>
        <v>2564000</v>
      </c>
      <c r="E1475" s="30">
        <f t="shared" si="45"/>
        <v>46000</v>
      </c>
    </row>
    <row r="1476" spans="1:5" x14ac:dyDescent="0.2">
      <c r="A1476" s="29">
        <v>34776</v>
      </c>
      <c r="B1476" s="30">
        <f>VLOOKUP(A1476,'Database Claims'!$A:$C,3,)</f>
        <v>343000</v>
      </c>
      <c r="C1476" s="30">
        <f t="shared" si="44"/>
        <v>-4000</v>
      </c>
      <c r="D1476" s="30">
        <f>VLOOKUP(A1476,'Database Claims'!$A:$C,2,)</f>
        <v>2513000</v>
      </c>
      <c r="E1476" s="30">
        <f t="shared" si="45"/>
        <v>-51000</v>
      </c>
    </row>
    <row r="1477" spans="1:5" x14ac:dyDescent="0.2">
      <c r="A1477" s="29">
        <v>34783</v>
      </c>
      <c r="B1477" s="26">
        <f>VLOOKUP(A1477,'Database Claims'!$A:$C,3,)</f>
        <v>332000</v>
      </c>
      <c r="C1477" s="30">
        <f t="shared" si="44"/>
        <v>-11000</v>
      </c>
      <c r="D1477" s="26">
        <f>VLOOKUP(A1477,'Database Claims'!$A:$C,2,)</f>
        <v>2530000</v>
      </c>
      <c r="E1477" s="30">
        <f t="shared" si="45"/>
        <v>17000</v>
      </c>
    </row>
    <row r="1478" spans="1:5" x14ac:dyDescent="0.2">
      <c r="A1478" s="29">
        <v>34790</v>
      </c>
      <c r="B1478" s="30">
        <f>VLOOKUP(A1478,'Database Claims'!$A:$C,3,)</f>
        <v>335000</v>
      </c>
      <c r="C1478" s="30">
        <f t="shared" ref="C1478:C1541" si="46">B1478-B1477</f>
        <v>3000</v>
      </c>
      <c r="D1478" s="30">
        <f>VLOOKUP(A1478,'Database Claims'!$A:$C,2,)</f>
        <v>2484000</v>
      </c>
      <c r="E1478" s="30">
        <f t="shared" ref="E1478:E1541" si="47">D1478-D1477</f>
        <v>-46000</v>
      </c>
    </row>
    <row r="1479" spans="1:5" x14ac:dyDescent="0.2">
      <c r="A1479" s="29">
        <v>34797</v>
      </c>
      <c r="B1479" s="26">
        <f>VLOOKUP(A1479,'Database Claims'!$A:$C,3,)</f>
        <v>347000</v>
      </c>
      <c r="C1479" s="30">
        <f t="shared" si="46"/>
        <v>12000</v>
      </c>
      <c r="D1479" s="26">
        <f>VLOOKUP(A1479,'Database Claims'!$A:$C,2,)</f>
        <v>2500000</v>
      </c>
      <c r="E1479" s="30">
        <f t="shared" si="47"/>
        <v>16000</v>
      </c>
    </row>
    <row r="1480" spans="1:5" x14ac:dyDescent="0.2">
      <c r="A1480" s="29">
        <v>34804</v>
      </c>
      <c r="B1480" s="30">
        <f>VLOOKUP(A1480,'Database Claims'!$A:$C,3,)</f>
        <v>355000</v>
      </c>
      <c r="C1480" s="30">
        <f t="shared" si="46"/>
        <v>8000</v>
      </c>
      <c r="D1480" s="30">
        <f>VLOOKUP(A1480,'Database Claims'!$A:$C,2,)</f>
        <v>2505000</v>
      </c>
      <c r="E1480" s="30">
        <f t="shared" si="47"/>
        <v>5000</v>
      </c>
    </row>
    <row r="1481" spans="1:5" x14ac:dyDescent="0.2">
      <c r="A1481" s="29">
        <v>34811</v>
      </c>
      <c r="B1481" s="26">
        <f>VLOOKUP(A1481,'Database Claims'!$A:$C,3,)</f>
        <v>349000</v>
      </c>
      <c r="C1481" s="30">
        <f t="shared" si="46"/>
        <v>-6000</v>
      </c>
      <c r="D1481" s="26">
        <f>VLOOKUP(A1481,'Database Claims'!$A:$C,2,)</f>
        <v>2569000</v>
      </c>
      <c r="E1481" s="30">
        <f t="shared" si="47"/>
        <v>64000</v>
      </c>
    </row>
    <row r="1482" spans="1:5" x14ac:dyDescent="0.2">
      <c r="A1482" s="29">
        <v>34818</v>
      </c>
      <c r="B1482" s="30">
        <f>VLOOKUP(A1482,'Database Claims'!$A:$C,3,)</f>
        <v>365000</v>
      </c>
      <c r="C1482" s="30">
        <f t="shared" si="46"/>
        <v>16000</v>
      </c>
      <c r="D1482" s="30">
        <f>VLOOKUP(A1482,'Database Claims'!$A:$C,2,)</f>
        <v>2539000</v>
      </c>
      <c r="E1482" s="30">
        <f t="shared" si="47"/>
        <v>-30000</v>
      </c>
    </row>
    <row r="1483" spans="1:5" x14ac:dyDescent="0.2">
      <c r="A1483" s="29">
        <v>34825</v>
      </c>
      <c r="B1483" s="26">
        <f>VLOOKUP(A1483,'Database Claims'!$A:$C,3,)</f>
        <v>364000</v>
      </c>
      <c r="C1483" s="30">
        <f t="shared" si="46"/>
        <v>-1000</v>
      </c>
      <c r="D1483" s="26">
        <f>VLOOKUP(A1483,'Database Claims'!$A:$C,2,)</f>
        <v>2535000</v>
      </c>
      <c r="E1483" s="30">
        <f t="shared" si="47"/>
        <v>-4000</v>
      </c>
    </row>
    <row r="1484" spans="1:5" x14ac:dyDescent="0.2">
      <c r="A1484" s="29">
        <v>34832</v>
      </c>
      <c r="B1484" s="30">
        <f>VLOOKUP(A1484,'Database Claims'!$A:$C,3,)</f>
        <v>366000</v>
      </c>
      <c r="C1484" s="30">
        <f t="shared" si="46"/>
        <v>2000</v>
      </c>
      <c r="D1484" s="30">
        <f>VLOOKUP(A1484,'Database Claims'!$A:$C,2,)</f>
        <v>2567000</v>
      </c>
      <c r="E1484" s="30">
        <f t="shared" si="47"/>
        <v>32000</v>
      </c>
    </row>
    <row r="1485" spans="1:5" x14ac:dyDescent="0.2">
      <c r="A1485" s="29">
        <v>34839</v>
      </c>
      <c r="B1485" s="26">
        <f>VLOOKUP(A1485,'Database Claims'!$A:$C,3,)</f>
        <v>377000</v>
      </c>
      <c r="C1485" s="30">
        <f t="shared" si="46"/>
        <v>11000</v>
      </c>
      <c r="D1485" s="26">
        <f>VLOOKUP(A1485,'Database Claims'!$A:$C,2,)</f>
        <v>2616000</v>
      </c>
      <c r="E1485" s="30">
        <f t="shared" si="47"/>
        <v>49000</v>
      </c>
    </row>
    <row r="1486" spans="1:5" x14ac:dyDescent="0.2">
      <c r="A1486" s="29">
        <v>34846</v>
      </c>
      <c r="B1486" s="30">
        <f>VLOOKUP(A1486,'Database Claims'!$A:$C,3,)</f>
        <v>374000</v>
      </c>
      <c r="C1486" s="30">
        <f t="shared" si="46"/>
        <v>-3000</v>
      </c>
      <c r="D1486" s="30">
        <f>VLOOKUP(A1486,'Database Claims'!$A:$C,2,)</f>
        <v>2574000</v>
      </c>
      <c r="E1486" s="30">
        <f t="shared" si="47"/>
        <v>-42000</v>
      </c>
    </row>
    <row r="1487" spans="1:5" x14ac:dyDescent="0.2">
      <c r="A1487" s="29">
        <v>34853</v>
      </c>
      <c r="B1487" s="26">
        <f>VLOOKUP(A1487,'Database Claims'!$A:$C,3,)</f>
        <v>362000</v>
      </c>
      <c r="C1487" s="30">
        <f t="shared" si="46"/>
        <v>-12000</v>
      </c>
      <c r="D1487" s="26">
        <f>VLOOKUP(A1487,'Database Claims'!$A:$C,2,)</f>
        <v>2608000</v>
      </c>
      <c r="E1487" s="30">
        <f t="shared" si="47"/>
        <v>34000</v>
      </c>
    </row>
    <row r="1488" spans="1:5" x14ac:dyDescent="0.2">
      <c r="A1488" s="29">
        <v>34860</v>
      </c>
      <c r="B1488" s="30">
        <f>VLOOKUP(A1488,'Database Claims'!$A:$C,3,)</f>
        <v>367000</v>
      </c>
      <c r="C1488" s="30">
        <f t="shared" si="46"/>
        <v>5000</v>
      </c>
      <c r="D1488" s="30">
        <f>VLOOKUP(A1488,'Database Claims'!$A:$C,2,)</f>
        <v>2614000</v>
      </c>
      <c r="E1488" s="30">
        <f t="shared" si="47"/>
        <v>6000</v>
      </c>
    </row>
    <row r="1489" spans="1:5" x14ac:dyDescent="0.2">
      <c r="A1489" s="29">
        <v>34867</v>
      </c>
      <c r="B1489" s="26">
        <f>VLOOKUP(A1489,'Database Claims'!$A:$C,3,)</f>
        <v>378000</v>
      </c>
      <c r="C1489" s="30">
        <f t="shared" si="46"/>
        <v>11000</v>
      </c>
      <c r="D1489" s="26">
        <f>VLOOKUP(A1489,'Database Claims'!$A:$C,2,)</f>
        <v>2603000</v>
      </c>
      <c r="E1489" s="30">
        <f t="shared" si="47"/>
        <v>-11000</v>
      </c>
    </row>
    <row r="1490" spans="1:5" x14ac:dyDescent="0.2">
      <c r="A1490" s="29">
        <v>34874</v>
      </c>
      <c r="B1490" s="30">
        <f>VLOOKUP(A1490,'Database Claims'!$A:$C,3,)</f>
        <v>358000</v>
      </c>
      <c r="C1490" s="30">
        <f t="shared" si="46"/>
        <v>-20000</v>
      </c>
      <c r="D1490" s="30">
        <f>VLOOKUP(A1490,'Database Claims'!$A:$C,2,)</f>
        <v>2602000</v>
      </c>
      <c r="E1490" s="30">
        <f t="shared" si="47"/>
        <v>-1000</v>
      </c>
    </row>
    <row r="1491" spans="1:5" x14ac:dyDescent="0.2">
      <c r="A1491" s="29">
        <v>34881</v>
      </c>
      <c r="B1491" s="26">
        <f>VLOOKUP(A1491,'Database Claims'!$A:$C,3,)</f>
        <v>355000</v>
      </c>
      <c r="C1491" s="30">
        <f t="shared" si="46"/>
        <v>-3000</v>
      </c>
      <c r="D1491" s="26">
        <f>VLOOKUP(A1491,'Database Claims'!$A:$C,2,)</f>
        <v>2596000</v>
      </c>
      <c r="E1491" s="30">
        <f t="shared" si="47"/>
        <v>-6000</v>
      </c>
    </row>
    <row r="1492" spans="1:5" x14ac:dyDescent="0.2">
      <c r="A1492" s="29">
        <v>34888</v>
      </c>
      <c r="B1492" s="30">
        <f>VLOOKUP(A1492,'Database Claims'!$A:$C,3,)</f>
        <v>372000</v>
      </c>
      <c r="C1492" s="30">
        <f t="shared" si="46"/>
        <v>17000</v>
      </c>
      <c r="D1492" s="30">
        <f>VLOOKUP(A1492,'Database Claims'!$A:$C,2,)</f>
        <v>2651000</v>
      </c>
      <c r="E1492" s="30">
        <f t="shared" si="47"/>
        <v>55000</v>
      </c>
    </row>
    <row r="1493" spans="1:5" x14ac:dyDescent="0.2">
      <c r="A1493" s="29">
        <v>34895</v>
      </c>
      <c r="B1493" s="26">
        <f>VLOOKUP(A1493,'Database Claims'!$A:$C,3,)</f>
        <v>389000</v>
      </c>
      <c r="C1493" s="30">
        <f t="shared" si="46"/>
        <v>17000</v>
      </c>
      <c r="D1493" s="26">
        <f>VLOOKUP(A1493,'Database Claims'!$A:$C,2,)</f>
        <v>2677000</v>
      </c>
      <c r="E1493" s="30">
        <f t="shared" si="47"/>
        <v>26000</v>
      </c>
    </row>
    <row r="1494" spans="1:5" x14ac:dyDescent="0.2">
      <c r="A1494" s="29">
        <v>34902</v>
      </c>
      <c r="B1494" s="30">
        <f>VLOOKUP(A1494,'Database Claims'!$A:$C,3,)</f>
        <v>390000</v>
      </c>
      <c r="C1494" s="30">
        <f t="shared" si="46"/>
        <v>1000</v>
      </c>
      <c r="D1494" s="30">
        <f>VLOOKUP(A1494,'Database Claims'!$A:$C,2,)</f>
        <v>2605000</v>
      </c>
      <c r="E1494" s="30">
        <f t="shared" si="47"/>
        <v>-72000</v>
      </c>
    </row>
    <row r="1495" spans="1:5" x14ac:dyDescent="0.2">
      <c r="A1495" s="29">
        <v>34909</v>
      </c>
      <c r="B1495" s="26">
        <f>VLOOKUP(A1495,'Database Claims'!$A:$C,3,)</f>
        <v>351000</v>
      </c>
      <c r="C1495" s="30">
        <f t="shared" si="46"/>
        <v>-39000</v>
      </c>
      <c r="D1495" s="26">
        <f>VLOOKUP(A1495,'Database Claims'!$A:$C,2,)</f>
        <v>2585000</v>
      </c>
      <c r="E1495" s="30">
        <f t="shared" si="47"/>
        <v>-20000</v>
      </c>
    </row>
    <row r="1496" spans="1:5" x14ac:dyDescent="0.2">
      <c r="A1496" s="29">
        <v>34916</v>
      </c>
      <c r="B1496" s="30">
        <f>VLOOKUP(A1496,'Database Claims'!$A:$C,3,)</f>
        <v>351000</v>
      </c>
      <c r="C1496" s="30">
        <f t="shared" si="46"/>
        <v>0</v>
      </c>
      <c r="D1496" s="30">
        <f>VLOOKUP(A1496,'Database Claims'!$A:$C,2,)</f>
        <v>2592000</v>
      </c>
      <c r="E1496" s="30">
        <f t="shared" si="47"/>
        <v>7000</v>
      </c>
    </row>
    <row r="1497" spans="1:5" x14ac:dyDescent="0.2">
      <c r="A1497" s="29">
        <v>34923</v>
      </c>
      <c r="B1497" s="26">
        <f>VLOOKUP(A1497,'Database Claims'!$A:$C,3,)</f>
        <v>353000</v>
      </c>
      <c r="C1497" s="30">
        <f t="shared" si="46"/>
        <v>2000</v>
      </c>
      <c r="D1497" s="26">
        <f>VLOOKUP(A1497,'Database Claims'!$A:$C,2,)</f>
        <v>2612000</v>
      </c>
      <c r="E1497" s="30">
        <f t="shared" si="47"/>
        <v>20000</v>
      </c>
    </row>
    <row r="1498" spans="1:5" x14ac:dyDescent="0.2">
      <c r="A1498" s="29">
        <v>34930</v>
      </c>
      <c r="B1498" s="30">
        <f>VLOOKUP(A1498,'Database Claims'!$A:$C,3,)</f>
        <v>362000</v>
      </c>
      <c r="C1498" s="30">
        <f t="shared" si="46"/>
        <v>9000</v>
      </c>
      <c r="D1498" s="30">
        <f>VLOOKUP(A1498,'Database Claims'!$A:$C,2,)</f>
        <v>2615000</v>
      </c>
      <c r="E1498" s="30">
        <f t="shared" si="47"/>
        <v>3000</v>
      </c>
    </row>
    <row r="1499" spans="1:5" x14ac:dyDescent="0.2">
      <c r="A1499" s="29">
        <v>34937</v>
      </c>
      <c r="B1499" s="26">
        <f>VLOOKUP(A1499,'Database Claims'!$A:$C,3,)</f>
        <v>359000</v>
      </c>
      <c r="C1499" s="30">
        <f t="shared" si="46"/>
        <v>-3000</v>
      </c>
      <c r="D1499" s="26">
        <f>VLOOKUP(A1499,'Database Claims'!$A:$C,2,)</f>
        <v>2610000</v>
      </c>
      <c r="E1499" s="30">
        <f t="shared" si="47"/>
        <v>-5000</v>
      </c>
    </row>
    <row r="1500" spans="1:5" x14ac:dyDescent="0.2">
      <c r="A1500" s="29">
        <v>34944</v>
      </c>
      <c r="B1500" s="30">
        <f>VLOOKUP(A1500,'Database Claims'!$A:$C,3,)</f>
        <v>355000</v>
      </c>
      <c r="C1500" s="30">
        <f t="shared" si="46"/>
        <v>-4000</v>
      </c>
      <c r="D1500" s="30">
        <f>VLOOKUP(A1500,'Database Claims'!$A:$C,2,)</f>
        <v>2613000</v>
      </c>
      <c r="E1500" s="30">
        <f t="shared" si="47"/>
        <v>3000</v>
      </c>
    </row>
    <row r="1501" spans="1:5" x14ac:dyDescent="0.2">
      <c r="A1501" s="29">
        <v>34951</v>
      </c>
      <c r="B1501" s="26">
        <f>VLOOKUP(A1501,'Database Claims'!$A:$C,3,)</f>
        <v>371000</v>
      </c>
      <c r="C1501" s="30">
        <f t="shared" si="46"/>
        <v>16000</v>
      </c>
      <c r="D1501" s="26">
        <f>VLOOKUP(A1501,'Database Claims'!$A:$C,2,)</f>
        <v>2636000</v>
      </c>
      <c r="E1501" s="30">
        <f t="shared" si="47"/>
        <v>23000</v>
      </c>
    </row>
    <row r="1502" spans="1:5" x14ac:dyDescent="0.2">
      <c r="A1502" s="29">
        <v>34958</v>
      </c>
      <c r="B1502" s="30">
        <f>VLOOKUP(A1502,'Database Claims'!$A:$C,3,)</f>
        <v>376000</v>
      </c>
      <c r="C1502" s="30">
        <f t="shared" si="46"/>
        <v>5000</v>
      </c>
      <c r="D1502" s="30">
        <f>VLOOKUP(A1502,'Database Claims'!$A:$C,2,)</f>
        <v>2650000</v>
      </c>
      <c r="E1502" s="30">
        <f t="shared" si="47"/>
        <v>14000</v>
      </c>
    </row>
    <row r="1503" spans="1:5" x14ac:dyDescent="0.2">
      <c r="A1503" s="29">
        <v>34965</v>
      </c>
      <c r="B1503" s="26">
        <f>VLOOKUP(A1503,'Database Claims'!$A:$C,3,)</f>
        <v>353000</v>
      </c>
      <c r="C1503" s="30">
        <f t="shared" si="46"/>
        <v>-23000</v>
      </c>
      <c r="D1503" s="26">
        <f>VLOOKUP(A1503,'Database Claims'!$A:$C,2,)</f>
        <v>2626000</v>
      </c>
      <c r="E1503" s="30">
        <f t="shared" si="47"/>
        <v>-24000</v>
      </c>
    </row>
    <row r="1504" spans="1:5" x14ac:dyDescent="0.2">
      <c r="A1504" s="29">
        <v>34972</v>
      </c>
      <c r="B1504" s="30">
        <f>VLOOKUP(A1504,'Database Claims'!$A:$C,3,)</f>
        <v>355000</v>
      </c>
      <c r="C1504" s="30">
        <f t="shared" si="46"/>
        <v>2000</v>
      </c>
      <c r="D1504" s="30">
        <f>VLOOKUP(A1504,'Database Claims'!$A:$C,2,)</f>
        <v>2609000</v>
      </c>
      <c r="E1504" s="30">
        <f t="shared" si="47"/>
        <v>-17000</v>
      </c>
    </row>
    <row r="1505" spans="1:5" x14ac:dyDescent="0.2">
      <c r="A1505" s="29">
        <v>34979</v>
      </c>
      <c r="B1505" s="26">
        <f>VLOOKUP(A1505,'Database Claims'!$A:$C,3,)</f>
        <v>374000</v>
      </c>
      <c r="C1505" s="30">
        <f t="shared" si="46"/>
        <v>19000</v>
      </c>
      <c r="D1505" s="26">
        <f>VLOOKUP(A1505,'Database Claims'!$A:$C,2,)</f>
        <v>2651000</v>
      </c>
      <c r="E1505" s="30">
        <f t="shared" si="47"/>
        <v>42000</v>
      </c>
    </row>
    <row r="1506" spans="1:5" x14ac:dyDescent="0.2">
      <c r="A1506" s="29">
        <v>34986</v>
      </c>
      <c r="B1506" s="30">
        <f>VLOOKUP(A1506,'Database Claims'!$A:$C,3,)</f>
        <v>369000</v>
      </c>
      <c r="C1506" s="30">
        <f t="shared" si="46"/>
        <v>-5000</v>
      </c>
      <c r="D1506" s="30">
        <f>VLOOKUP(A1506,'Database Claims'!$A:$C,2,)</f>
        <v>2688000</v>
      </c>
      <c r="E1506" s="30">
        <f t="shared" si="47"/>
        <v>37000</v>
      </c>
    </row>
    <row r="1507" spans="1:5" x14ac:dyDescent="0.2">
      <c r="A1507" s="29">
        <v>34993</v>
      </c>
      <c r="B1507" s="26">
        <f>VLOOKUP(A1507,'Database Claims'!$A:$C,3,)</f>
        <v>366000</v>
      </c>
      <c r="C1507" s="30">
        <f t="shared" si="46"/>
        <v>-3000</v>
      </c>
      <c r="D1507" s="26">
        <f>VLOOKUP(A1507,'Database Claims'!$A:$C,2,)</f>
        <v>2640000</v>
      </c>
      <c r="E1507" s="30">
        <f t="shared" si="47"/>
        <v>-48000</v>
      </c>
    </row>
    <row r="1508" spans="1:5" x14ac:dyDescent="0.2">
      <c r="A1508" s="29">
        <v>35000</v>
      </c>
      <c r="B1508" s="30">
        <f>VLOOKUP(A1508,'Database Claims'!$A:$C,3,)</f>
        <v>377000</v>
      </c>
      <c r="C1508" s="30">
        <f t="shared" si="46"/>
        <v>11000</v>
      </c>
      <c r="D1508" s="30">
        <f>VLOOKUP(A1508,'Database Claims'!$A:$C,2,)</f>
        <v>2674000</v>
      </c>
      <c r="E1508" s="30">
        <f t="shared" si="47"/>
        <v>34000</v>
      </c>
    </row>
    <row r="1509" spans="1:5" x14ac:dyDescent="0.2">
      <c r="A1509" s="29">
        <v>35007</v>
      </c>
      <c r="B1509" s="26">
        <f>VLOOKUP(A1509,'Database Claims'!$A:$C,3,)</f>
        <v>380000</v>
      </c>
      <c r="C1509" s="30">
        <f t="shared" si="46"/>
        <v>3000</v>
      </c>
      <c r="D1509" s="26">
        <f>VLOOKUP(A1509,'Database Claims'!$A:$C,2,)</f>
        <v>2649000</v>
      </c>
      <c r="E1509" s="30">
        <f t="shared" si="47"/>
        <v>-25000</v>
      </c>
    </row>
    <row r="1510" spans="1:5" x14ac:dyDescent="0.2">
      <c r="A1510" s="29">
        <v>35014</v>
      </c>
      <c r="B1510" s="30">
        <f>VLOOKUP(A1510,'Database Claims'!$A:$C,3,)</f>
        <v>370000</v>
      </c>
      <c r="C1510" s="30">
        <f t="shared" si="46"/>
        <v>-10000</v>
      </c>
      <c r="D1510" s="30">
        <f>VLOOKUP(A1510,'Database Claims'!$A:$C,2,)</f>
        <v>2674000</v>
      </c>
      <c r="E1510" s="30">
        <f t="shared" si="47"/>
        <v>25000</v>
      </c>
    </row>
    <row r="1511" spans="1:5" x14ac:dyDescent="0.2">
      <c r="A1511" s="29">
        <v>35021</v>
      </c>
      <c r="B1511" s="26">
        <f>VLOOKUP(A1511,'Database Claims'!$A:$C,3,)</f>
        <v>379000</v>
      </c>
      <c r="C1511" s="30">
        <f t="shared" si="46"/>
        <v>9000</v>
      </c>
      <c r="D1511" s="26">
        <f>VLOOKUP(A1511,'Database Claims'!$A:$C,2,)</f>
        <v>2653000</v>
      </c>
      <c r="E1511" s="30">
        <f t="shared" si="47"/>
        <v>-21000</v>
      </c>
    </row>
    <row r="1512" spans="1:5" x14ac:dyDescent="0.2">
      <c r="A1512" s="29">
        <v>35028</v>
      </c>
      <c r="B1512" s="30">
        <f>VLOOKUP(A1512,'Database Claims'!$A:$C,3,)</f>
        <v>379000</v>
      </c>
      <c r="C1512" s="30">
        <f t="shared" si="46"/>
        <v>0</v>
      </c>
      <c r="D1512" s="30">
        <f>VLOOKUP(A1512,'Database Claims'!$A:$C,2,)</f>
        <v>2712000</v>
      </c>
      <c r="E1512" s="30">
        <f t="shared" si="47"/>
        <v>59000</v>
      </c>
    </row>
    <row r="1513" spans="1:5" x14ac:dyDescent="0.2">
      <c r="A1513" s="29">
        <v>35035</v>
      </c>
      <c r="B1513" s="26">
        <f>VLOOKUP(A1513,'Database Claims'!$A:$C,3,)</f>
        <v>373000</v>
      </c>
      <c r="C1513" s="30">
        <f t="shared" si="46"/>
        <v>-6000</v>
      </c>
      <c r="D1513" s="26">
        <f>VLOOKUP(A1513,'Database Claims'!$A:$C,2,)</f>
        <v>2623000</v>
      </c>
      <c r="E1513" s="30">
        <f t="shared" si="47"/>
        <v>-89000</v>
      </c>
    </row>
    <row r="1514" spans="1:5" x14ac:dyDescent="0.2">
      <c r="A1514" s="29">
        <v>35042</v>
      </c>
      <c r="B1514" s="30">
        <f>VLOOKUP(A1514,'Database Claims'!$A:$C,3,)</f>
        <v>346000</v>
      </c>
      <c r="C1514" s="30">
        <f t="shared" si="46"/>
        <v>-27000</v>
      </c>
      <c r="D1514" s="30">
        <f>VLOOKUP(A1514,'Database Claims'!$A:$C,2,)</f>
        <v>2629000</v>
      </c>
      <c r="E1514" s="30">
        <f t="shared" si="47"/>
        <v>6000</v>
      </c>
    </row>
    <row r="1515" spans="1:5" x14ac:dyDescent="0.2">
      <c r="A1515" s="29">
        <v>35049</v>
      </c>
      <c r="B1515" s="26">
        <f>VLOOKUP(A1515,'Database Claims'!$A:$C,3,)</f>
        <v>373000</v>
      </c>
      <c r="C1515" s="30">
        <f t="shared" si="46"/>
        <v>27000</v>
      </c>
      <c r="D1515" s="26">
        <f>VLOOKUP(A1515,'Database Claims'!$A:$C,2,)</f>
        <v>2631000</v>
      </c>
      <c r="E1515" s="30">
        <f t="shared" si="47"/>
        <v>2000</v>
      </c>
    </row>
    <row r="1516" spans="1:5" x14ac:dyDescent="0.2">
      <c r="A1516" s="29">
        <v>35056</v>
      </c>
      <c r="B1516" s="30">
        <f>VLOOKUP(A1516,'Database Claims'!$A:$C,3,)</f>
        <v>374000</v>
      </c>
      <c r="C1516" s="30">
        <f t="shared" si="46"/>
        <v>1000</v>
      </c>
      <c r="D1516" s="30">
        <f>VLOOKUP(A1516,'Database Claims'!$A:$C,2,)</f>
        <v>2622000</v>
      </c>
      <c r="E1516" s="30">
        <f t="shared" si="47"/>
        <v>-9000</v>
      </c>
    </row>
    <row r="1517" spans="1:5" x14ac:dyDescent="0.2">
      <c r="A1517" s="29">
        <v>35063</v>
      </c>
      <c r="B1517" s="26">
        <f>VLOOKUP(A1517,'Database Claims'!$A:$C,3,)</f>
        <v>359000</v>
      </c>
      <c r="C1517" s="30">
        <f t="shared" si="46"/>
        <v>-15000</v>
      </c>
      <c r="D1517" s="26">
        <f>VLOOKUP(A1517,'Database Claims'!$A:$C,2,)</f>
        <v>2558000</v>
      </c>
      <c r="E1517" s="30">
        <f t="shared" si="47"/>
        <v>-64000</v>
      </c>
    </row>
    <row r="1518" spans="1:5" x14ac:dyDescent="0.2">
      <c r="A1518" s="29">
        <v>35070</v>
      </c>
      <c r="B1518" s="30">
        <f>VLOOKUP(A1518,'Database Claims'!$A:$C,3,)</f>
        <v>361000</v>
      </c>
      <c r="C1518" s="30">
        <f t="shared" si="46"/>
        <v>2000</v>
      </c>
      <c r="D1518" s="30">
        <f>VLOOKUP(A1518,'Database Claims'!$A:$C,2,)</f>
        <v>2549000</v>
      </c>
      <c r="E1518" s="30">
        <f t="shared" si="47"/>
        <v>-9000</v>
      </c>
    </row>
    <row r="1519" spans="1:5" x14ac:dyDescent="0.2">
      <c r="A1519" s="29">
        <v>35077</v>
      </c>
      <c r="B1519" s="26">
        <f>VLOOKUP(A1519,'Database Claims'!$A:$C,3,)</f>
        <v>333000</v>
      </c>
      <c r="C1519" s="30">
        <f t="shared" si="46"/>
        <v>-28000</v>
      </c>
      <c r="D1519" s="26">
        <f>VLOOKUP(A1519,'Database Claims'!$A:$C,2,)</f>
        <v>2702000</v>
      </c>
      <c r="E1519" s="30">
        <f t="shared" si="47"/>
        <v>153000</v>
      </c>
    </row>
    <row r="1520" spans="1:5" x14ac:dyDescent="0.2">
      <c r="A1520" s="29">
        <v>35084</v>
      </c>
      <c r="B1520" s="30">
        <f>VLOOKUP(A1520,'Database Claims'!$A:$C,3,)</f>
        <v>415000</v>
      </c>
      <c r="C1520" s="30">
        <f t="shared" si="46"/>
        <v>82000</v>
      </c>
      <c r="D1520" s="30">
        <f>VLOOKUP(A1520,'Database Claims'!$A:$C,2,)</f>
        <v>2707000</v>
      </c>
      <c r="E1520" s="30">
        <f t="shared" si="47"/>
        <v>5000</v>
      </c>
    </row>
    <row r="1521" spans="1:5" x14ac:dyDescent="0.2">
      <c r="A1521" s="29">
        <v>35091</v>
      </c>
      <c r="B1521" s="26">
        <f>VLOOKUP(A1521,'Database Claims'!$A:$C,3,)</f>
        <v>387000</v>
      </c>
      <c r="C1521" s="30">
        <f t="shared" si="46"/>
        <v>-28000</v>
      </c>
      <c r="D1521" s="26">
        <f>VLOOKUP(A1521,'Database Claims'!$A:$C,2,)</f>
        <v>2637000</v>
      </c>
      <c r="E1521" s="30">
        <f t="shared" si="47"/>
        <v>-70000</v>
      </c>
    </row>
    <row r="1522" spans="1:5" x14ac:dyDescent="0.2">
      <c r="A1522" s="29">
        <v>35098</v>
      </c>
      <c r="B1522" s="30">
        <f>VLOOKUP(A1522,'Database Claims'!$A:$C,3,)</f>
        <v>374000</v>
      </c>
      <c r="C1522" s="30">
        <f t="shared" si="46"/>
        <v>-13000</v>
      </c>
      <c r="D1522" s="30">
        <f>VLOOKUP(A1522,'Database Claims'!$A:$C,2,)</f>
        <v>2750000</v>
      </c>
      <c r="E1522" s="30">
        <f t="shared" si="47"/>
        <v>113000</v>
      </c>
    </row>
    <row r="1523" spans="1:5" x14ac:dyDescent="0.2">
      <c r="A1523" s="29">
        <v>35105</v>
      </c>
      <c r="B1523" s="26">
        <f>VLOOKUP(A1523,'Database Claims'!$A:$C,3,)</f>
        <v>387000</v>
      </c>
      <c r="C1523" s="30">
        <f t="shared" si="46"/>
        <v>13000</v>
      </c>
      <c r="D1523" s="26">
        <f>VLOOKUP(A1523,'Database Claims'!$A:$C,2,)</f>
        <v>2672000</v>
      </c>
      <c r="E1523" s="30">
        <f t="shared" si="47"/>
        <v>-78000</v>
      </c>
    </row>
    <row r="1524" spans="1:5" x14ac:dyDescent="0.2">
      <c r="A1524" s="29">
        <v>35112</v>
      </c>
      <c r="B1524" s="30">
        <f>VLOOKUP(A1524,'Database Claims'!$A:$C,3,)</f>
        <v>383000</v>
      </c>
      <c r="C1524" s="30">
        <f t="shared" si="46"/>
        <v>-4000</v>
      </c>
      <c r="D1524" s="30">
        <f>VLOOKUP(A1524,'Database Claims'!$A:$C,2,)</f>
        <v>2694000</v>
      </c>
      <c r="E1524" s="30">
        <f t="shared" si="47"/>
        <v>22000</v>
      </c>
    </row>
    <row r="1525" spans="1:5" x14ac:dyDescent="0.2">
      <c r="A1525" s="29">
        <v>35119</v>
      </c>
      <c r="B1525" s="26">
        <f>VLOOKUP(A1525,'Database Claims'!$A:$C,3,)</f>
        <v>365000</v>
      </c>
      <c r="C1525" s="30">
        <f t="shared" si="46"/>
        <v>-18000</v>
      </c>
      <c r="D1525" s="26">
        <f>VLOOKUP(A1525,'Database Claims'!$A:$C,2,)</f>
        <v>2655000</v>
      </c>
      <c r="E1525" s="30">
        <f t="shared" si="47"/>
        <v>-39000</v>
      </c>
    </row>
    <row r="1526" spans="1:5" x14ac:dyDescent="0.2">
      <c r="A1526" s="29">
        <v>35126</v>
      </c>
      <c r="B1526" s="30">
        <f>VLOOKUP(A1526,'Database Claims'!$A:$C,3,)</f>
        <v>368000</v>
      </c>
      <c r="C1526" s="30">
        <f t="shared" si="46"/>
        <v>3000</v>
      </c>
      <c r="D1526" s="30">
        <f>VLOOKUP(A1526,'Database Claims'!$A:$C,2,)</f>
        <v>2688000</v>
      </c>
      <c r="E1526" s="30">
        <f t="shared" si="47"/>
        <v>33000</v>
      </c>
    </row>
    <row r="1527" spans="1:5" x14ac:dyDescent="0.2">
      <c r="A1527" s="29">
        <v>35133</v>
      </c>
      <c r="B1527" s="26">
        <f>VLOOKUP(A1527,'Database Claims'!$A:$C,3,)</f>
        <v>361000</v>
      </c>
      <c r="C1527" s="30">
        <f t="shared" si="46"/>
        <v>-7000</v>
      </c>
      <c r="D1527" s="26">
        <f>VLOOKUP(A1527,'Database Claims'!$A:$C,2,)</f>
        <v>2647000</v>
      </c>
      <c r="E1527" s="30">
        <f t="shared" si="47"/>
        <v>-41000</v>
      </c>
    </row>
    <row r="1528" spans="1:5" x14ac:dyDescent="0.2">
      <c r="A1528" s="29">
        <v>35140</v>
      </c>
      <c r="B1528" s="30">
        <f>VLOOKUP(A1528,'Database Claims'!$A:$C,3,)</f>
        <v>384000</v>
      </c>
      <c r="C1528" s="30">
        <f t="shared" si="46"/>
        <v>23000</v>
      </c>
      <c r="D1528" s="30">
        <f>VLOOKUP(A1528,'Database Claims'!$A:$C,2,)</f>
        <v>2677000</v>
      </c>
      <c r="E1528" s="30">
        <f t="shared" si="47"/>
        <v>30000</v>
      </c>
    </row>
    <row r="1529" spans="1:5" x14ac:dyDescent="0.2">
      <c r="A1529" s="29">
        <v>35147</v>
      </c>
      <c r="B1529" s="26">
        <f>VLOOKUP(A1529,'Database Claims'!$A:$C,3,)</f>
        <v>426000</v>
      </c>
      <c r="C1529" s="30">
        <f t="shared" si="46"/>
        <v>42000</v>
      </c>
      <c r="D1529" s="26">
        <f>VLOOKUP(A1529,'Database Claims'!$A:$C,2,)</f>
        <v>2738000</v>
      </c>
      <c r="E1529" s="30">
        <f t="shared" si="47"/>
        <v>61000</v>
      </c>
    </row>
    <row r="1530" spans="1:5" x14ac:dyDescent="0.2">
      <c r="A1530" s="29">
        <v>35154</v>
      </c>
      <c r="B1530" s="30">
        <f>VLOOKUP(A1530,'Database Claims'!$A:$C,3,)</f>
        <v>393000</v>
      </c>
      <c r="C1530" s="30">
        <f t="shared" si="46"/>
        <v>-33000</v>
      </c>
      <c r="D1530" s="30">
        <f>VLOOKUP(A1530,'Database Claims'!$A:$C,2,)</f>
        <v>2675000</v>
      </c>
      <c r="E1530" s="30">
        <f t="shared" si="47"/>
        <v>-63000</v>
      </c>
    </row>
    <row r="1531" spans="1:5" x14ac:dyDescent="0.2">
      <c r="A1531" s="29">
        <v>35161</v>
      </c>
      <c r="B1531" s="26">
        <f>VLOOKUP(A1531,'Database Claims'!$A:$C,3,)</f>
        <v>369000</v>
      </c>
      <c r="C1531" s="30">
        <f t="shared" si="46"/>
        <v>-24000</v>
      </c>
      <c r="D1531" s="26">
        <f>VLOOKUP(A1531,'Database Claims'!$A:$C,2,)</f>
        <v>2648000</v>
      </c>
      <c r="E1531" s="30">
        <f t="shared" si="47"/>
        <v>-27000</v>
      </c>
    </row>
    <row r="1532" spans="1:5" x14ac:dyDescent="0.2">
      <c r="A1532" s="29">
        <v>35168</v>
      </c>
      <c r="B1532" s="30">
        <f>VLOOKUP(A1532,'Database Claims'!$A:$C,3,)</f>
        <v>357000</v>
      </c>
      <c r="C1532" s="30">
        <f t="shared" si="46"/>
        <v>-12000</v>
      </c>
      <c r="D1532" s="30">
        <f>VLOOKUP(A1532,'Database Claims'!$A:$C,2,)</f>
        <v>2657000</v>
      </c>
      <c r="E1532" s="30">
        <f t="shared" si="47"/>
        <v>9000</v>
      </c>
    </row>
    <row r="1533" spans="1:5" x14ac:dyDescent="0.2">
      <c r="A1533" s="29">
        <v>35175</v>
      </c>
      <c r="B1533" s="26">
        <f>VLOOKUP(A1533,'Database Claims'!$A:$C,3,)</f>
        <v>368000</v>
      </c>
      <c r="C1533" s="30">
        <f t="shared" si="46"/>
        <v>11000</v>
      </c>
      <c r="D1533" s="26">
        <f>VLOOKUP(A1533,'Database Claims'!$A:$C,2,)</f>
        <v>2620000</v>
      </c>
      <c r="E1533" s="30">
        <f t="shared" si="47"/>
        <v>-37000</v>
      </c>
    </row>
    <row r="1534" spans="1:5" x14ac:dyDescent="0.2">
      <c r="A1534" s="29">
        <v>35182</v>
      </c>
      <c r="B1534" s="30">
        <f>VLOOKUP(A1534,'Database Claims'!$A:$C,3,)</f>
        <v>343000</v>
      </c>
      <c r="C1534" s="30">
        <f t="shared" si="46"/>
        <v>-25000</v>
      </c>
      <c r="D1534" s="30">
        <f>VLOOKUP(A1534,'Database Claims'!$A:$C,2,)</f>
        <v>2609000</v>
      </c>
      <c r="E1534" s="30">
        <f t="shared" si="47"/>
        <v>-11000</v>
      </c>
    </row>
    <row r="1535" spans="1:5" x14ac:dyDescent="0.2">
      <c r="A1535" s="29">
        <v>35189</v>
      </c>
      <c r="B1535" s="26">
        <f>VLOOKUP(A1535,'Database Claims'!$A:$C,3,)</f>
        <v>338000</v>
      </c>
      <c r="C1535" s="30">
        <f t="shared" si="46"/>
        <v>-5000</v>
      </c>
      <c r="D1535" s="26">
        <f>VLOOKUP(A1535,'Database Claims'!$A:$C,2,)</f>
        <v>2602000</v>
      </c>
      <c r="E1535" s="30">
        <f t="shared" si="47"/>
        <v>-7000</v>
      </c>
    </row>
    <row r="1536" spans="1:5" x14ac:dyDescent="0.2">
      <c r="A1536" s="29">
        <v>35196</v>
      </c>
      <c r="B1536" s="30">
        <f>VLOOKUP(A1536,'Database Claims'!$A:$C,3,)</f>
        <v>352000</v>
      </c>
      <c r="C1536" s="30">
        <f t="shared" si="46"/>
        <v>14000</v>
      </c>
      <c r="D1536" s="30">
        <f>VLOOKUP(A1536,'Database Claims'!$A:$C,2,)</f>
        <v>2586000</v>
      </c>
      <c r="E1536" s="30">
        <f t="shared" si="47"/>
        <v>-16000</v>
      </c>
    </row>
    <row r="1537" spans="1:5" x14ac:dyDescent="0.2">
      <c r="A1537" s="29">
        <v>35203</v>
      </c>
      <c r="B1537" s="26">
        <f>VLOOKUP(A1537,'Database Claims'!$A:$C,3,)</f>
        <v>345000</v>
      </c>
      <c r="C1537" s="30">
        <f t="shared" si="46"/>
        <v>-7000</v>
      </c>
      <c r="D1537" s="26">
        <f>VLOOKUP(A1537,'Database Claims'!$A:$C,2,)</f>
        <v>2584000</v>
      </c>
      <c r="E1537" s="30">
        <f t="shared" si="47"/>
        <v>-2000</v>
      </c>
    </row>
    <row r="1538" spans="1:5" x14ac:dyDescent="0.2">
      <c r="A1538" s="29">
        <v>35210</v>
      </c>
      <c r="B1538" s="30">
        <f>VLOOKUP(A1538,'Database Claims'!$A:$C,3,)</f>
        <v>343000</v>
      </c>
      <c r="C1538" s="30">
        <f t="shared" si="46"/>
        <v>-2000</v>
      </c>
      <c r="D1538" s="30">
        <f>VLOOKUP(A1538,'Database Claims'!$A:$C,2,)</f>
        <v>2590000</v>
      </c>
      <c r="E1538" s="30">
        <f t="shared" si="47"/>
        <v>6000</v>
      </c>
    </row>
    <row r="1539" spans="1:5" x14ac:dyDescent="0.2">
      <c r="A1539" s="29">
        <v>35217</v>
      </c>
      <c r="B1539" s="26">
        <f>VLOOKUP(A1539,'Database Claims'!$A:$C,3,)</f>
        <v>340000</v>
      </c>
      <c r="C1539" s="30">
        <f t="shared" si="46"/>
        <v>-3000</v>
      </c>
      <c r="D1539" s="26">
        <f>VLOOKUP(A1539,'Database Claims'!$A:$C,2,)</f>
        <v>2553000</v>
      </c>
      <c r="E1539" s="30">
        <f t="shared" si="47"/>
        <v>-37000</v>
      </c>
    </row>
    <row r="1540" spans="1:5" x14ac:dyDescent="0.2">
      <c r="A1540" s="29">
        <v>35224</v>
      </c>
      <c r="B1540" s="30">
        <f>VLOOKUP(A1540,'Database Claims'!$A:$C,3,)</f>
        <v>351000</v>
      </c>
      <c r="C1540" s="30">
        <f t="shared" si="46"/>
        <v>11000</v>
      </c>
      <c r="D1540" s="30">
        <f>VLOOKUP(A1540,'Database Claims'!$A:$C,2,)</f>
        <v>2521000</v>
      </c>
      <c r="E1540" s="30">
        <f t="shared" si="47"/>
        <v>-32000</v>
      </c>
    </row>
    <row r="1541" spans="1:5" x14ac:dyDescent="0.2">
      <c r="A1541" s="29">
        <v>35231</v>
      </c>
      <c r="B1541" s="26">
        <f>VLOOKUP(A1541,'Database Claims'!$A:$C,3,)</f>
        <v>342000</v>
      </c>
      <c r="C1541" s="30">
        <f t="shared" si="46"/>
        <v>-9000</v>
      </c>
      <c r="D1541" s="26">
        <f>VLOOKUP(A1541,'Database Claims'!$A:$C,2,)</f>
        <v>2560000</v>
      </c>
      <c r="E1541" s="30">
        <f t="shared" si="47"/>
        <v>39000</v>
      </c>
    </row>
    <row r="1542" spans="1:5" x14ac:dyDescent="0.2">
      <c r="A1542" s="29">
        <v>35238</v>
      </c>
      <c r="B1542" s="30">
        <f>VLOOKUP(A1542,'Database Claims'!$A:$C,3,)</f>
        <v>341000</v>
      </c>
      <c r="C1542" s="30">
        <f t="shared" ref="C1542:C1605" si="48">B1542-B1541</f>
        <v>-1000</v>
      </c>
      <c r="D1542" s="30">
        <f>VLOOKUP(A1542,'Database Claims'!$A:$C,2,)</f>
        <v>2550000</v>
      </c>
      <c r="E1542" s="30">
        <f t="shared" ref="E1542:E1605" si="49">D1542-D1541</f>
        <v>-10000</v>
      </c>
    </row>
    <row r="1543" spans="1:5" x14ac:dyDescent="0.2">
      <c r="A1543" s="29">
        <v>35245</v>
      </c>
      <c r="B1543" s="26">
        <f>VLOOKUP(A1543,'Database Claims'!$A:$C,3,)</f>
        <v>337000</v>
      </c>
      <c r="C1543" s="30">
        <f t="shared" si="48"/>
        <v>-4000</v>
      </c>
      <c r="D1543" s="26">
        <f>VLOOKUP(A1543,'Database Claims'!$A:$C,2,)</f>
        <v>2556000</v>
      </c>
      <c r="E1543" s="30">
        <f t="shared" si="49"/>
        <v>6000</v>
      </c>
    </row>
    <row r="1544" spans="1:5" x14ac:dyDescent="0.2">
      <c r="A1544" s="29">
        <v>35252</v>
      </c>
      <c r="B1544" s="30">
        <f>VLOOKUP(A1544,'Database Claims'!$A:$C,3,)</f>
        <v>342000</v>
      </c>
      <c r="C1544" s="30">
        <f t="shared" si="48"/>
        <v>5000</v>
      </c>
      <c r="D1544" s="30">
        <f>VLOOKUP(A1544,'Database Claims'!$A:$C,2,)</f>
        <v>2501000</v>
      </c>
      <c r="E1544" s="30">
        <f t="shared" si="49"/>
        <v>-55000</v>
      </c>
    </row>
    <row r="1545" spans="1:5" x14ac:dyDescent="0.2">
      <c r="A1545" s="29">
        <v>35259</v>
      </c>
      <c r="B1545" s="26">
        <f>VLOOKUP(A1545,'Database Claims'!$A:$C,3,)</f>
        <v>347000</v>
      </c>
      <c r="C1545" s="30">
        <f t="shared" si="48"/>
        <v>5000</v>
      </c>
      <c r="D1545" s="26">
        <f>VLOOKUP(A1545,'Database Claims'!$A:$C,2,)</f>
        <v>2495000</v>
      </c>
      <c r="E1545" s="30">
        <f t="shared" si="49"/>
        <v>-6000</v>
      </c>
    </row>
    <row r="1546" spans="1:5" x14ac:dyDescent="0.2">
      <c r="A1546" s="29">
        <v>35266</v>
      </c>
      <c r="B1546" s="30">
        <f>VLOOKUP(A1546,'Database Claims'!$A:$C,3,)</f>
        <v>332000</v>
      </c>
      <c r="C1546" s="30">
        <f t="shared" si="48"/>
        <v>-15000</v>
      </c>
      <c r="D1546" s="30">
        <f>VLOOKUP(A1546,'Database Claims'!$A:$C,2,)</f>
        <v>2492000</v>
      </c>
      <c r="E1546" s="30">
        <f t="shared" si="49"/>
        <v>-3000</v>
      </c>
    </row>
    <row r="1547" spans="1:5" x14ac:dyDescent="0.2">
      <c r="A1547" s="29">
        <v>35273</v>
      </c>
      <c r="B1547" s="26">
        <f>VLOOKUP(A1547,'Database Claims'!$A:$C,3,)</f>
        <v>327000</v>
      </c>
      <c r="C1547" s="30">
        <f t="shared" si="48"/>
        <v>-5000</v>
      </c>
      <c r="D1547" s="26">
        <f>VLOOKUP(A1547,'Database Claims'!$A:$C,2,)</f>
        <v>2472000</v>
      </c>
      <c r="E1547" s="30">
        <f t="shared" si="49"/>
        <v>-20000</v>
      </c>
    </row>
    <row r="1548" spans="1:5" x14ac:dyDescent="0.2">
      <c r="A1548" s="29">
        <v>35280</v>
      </c>
      <c r="B1548" s="30">
        <f>VLOOKUP(A1548,'Database Claims'!$A:$C,3,)</f>
        <v>326000</v>
      </c>
      <c r="C1548" s="30">
        <f t="shared" si="48"/>
        <v>-1000</v>
      </c>
      <c r="D1548" s="30">
        <f>VLOOKUP(A1548,'Database Claims'!$A:$C,2,)</f>
        <v>2476000</v>
      </c>
      <c r="E1548" s="30">
        <f t="shared" si="49"/>
        <v>4000</v>
      </c>
    </row>
    <row r="1549" spans="1:5" x14ac:dyDescent="0.2">
      <c r="A1549" s="29">
        <v>35287</v>
      </c>
      <c r="B1549" s="26">
        <f>VLOOKUP(A1549,'Database Claims'!$A:$C,3,)</f>
        <v>331000</v>
      </c>
      <c r="C1549" s="30">
        <f t="shared" si="48"/>
        <v>5000</v>
      </c>
      <c r="D1549" s="26">
        <f>VLOOKUP(A1549,'Database Claims'!$A:$C,2,)</f>
        <v>2492000</v>
      </c>
      <c r="E1549" s="30">
        <f t="shared" si="49"/>
        <v>16000</v>
      </c>
    </row>
    <row r="1550" spans="1:5" x14ac:dyDescent="0.2">
      <c r="A1550" s="29">
        <v>35294</v>
      </c>
      <c r="B1550" s="30">
        <f>VLOOKUP(A1550,'Database Claims'!$A:$C,3,)</f>
        <v>336000</v>
      </c>
      <c r="C1550" s="30">
        <f t="shared" si="48"/>
        <v>5000</v>
      </c>
      <c r="D1550" s="30">
        <f>VLOOKUP(A1550,'Database Claims'!$A:$C,2,)</f>
        <v>2495000</v>
      </c>
      <c r="E1550" s="30">
        <f t="shared" si="49"/>
        <v>3000</v>
      </c>
    </row>
    <row r="1551" spans="1:5" x14ac:dyDescent="0.2">
      <c r="A1551" s="29">
        <v>35301</v>
      </c>
      <c r="B1551" s="26">
        <f>VLOOKUP(A1551,'Database Claims'!$A:$C,3,)</f>
        <v>337000</v>
      </c>
      <c r="C1551" s="30">
        <f t="shared" si="48"/>
        <v>1000</v>
      </c>
      <c r="D1551" s="26">
        <f>VLOOKUP(A1551,'Database Claims'!$A:$C,2,)</f>
        <v>2493000</v>
      </c>
      <c r="E1551" s="30">
        <f t="shared" si="49"/>
        <v>-2000</v>
      </c>
    </row>
    <row r="1552" spans="1:5" x14ac:dyDescent="0.2">
      <c r="A1552" s="29">
        <v>35308</v>
      </c>
      <c r="B1552" s="30">
        <f>VLOOKUP(A1552,'Database Claims'!$A:$C,3,)</f>
        <v>329000</v>
      </c>
      <c r="C1552" s="30">
        <f t="shared" si="48"/>
        <v>-8000</v>
      </c>
      <c r="D1552" s="30">
        <f>VLOOKUP(A1552,'Database Claims'!$A:$C,2,)</f>
        <v>2516000</v>
      </c>
      <c r="E1552" s="30">
        <f t="shared" si="49"/>
        <v>23000</v>
      </c>
    </row>
    <row r="1553" spans="1:5" x14ac:dyDescent="0.2">
      <c r="A1553" s="29">
        <v>35315</v>
      </c>
      <c r="B1553" s="26">
        <f>VLOOKUP(A1553,'Database Claims'!$A:$C,3,)</f>
        <v>333000</v>
      </c>
      <c r="C1553" s="30">
        <f t="shared" si="48"/>
        <v>4000</v>
      </c>
      <c r="D1553" s="26">
        <f>VLOOKUP(A1553,'Database Claims'!$A:$C,2,)</f>
        <v>2443000</v>
      </c>
      <c r="E1553" s="30">
        <f t="shared" si="49"/>
        <v>-73000</v>
      </c>
    </row>
    <row r="1554" spans="1:5" x14ac:dyDescent="0.2">
      <c r="A1554" s="29">
        <v>35322</v>
      </c>
      <c r="B1554" s="30">
        <f>VLOOKUP(A1554,'Database Claims'!$A:$C,3,)</f>
        <v>338000</v>
      </c>
      <c r="C1554" s="30">
        <f t="shared" si="48"/>
        <v>5000</v>
      </c>
      <c r="D1554" s="30">
        <f>VLOOKUP(A1554,'Database Claims'!$A:$C,2,)</f>
        <v>2486000</v>
      </c>
      <c r="E1554" s="30">
        <f t="shared" si="49"/>
        <v>43000</v>
      </c>
    </row>
    <row r="1555" spans="1:5" x14ac:dyDescent="0.2">
      <c r="A1555" s="29">
        <v>35329</v>
      </c>
      <c r="B1555" s="26">
        <f>VLOOKUP(A1555,'Database Claims'!$A:$C,3,)</f>
        <v>352000</v>
      </c>
      <c r="C1555" s="30">
        <f t="shared" si="48"/>
        <v>14000</v>
      </c>
      <c r="D1555" s="26">
        <f>VLOOKUP(A1555,'Database Claims'!$A:$C,2,)</f>
        <v>2484000</v>
      </c>
      <c r="E1555" s="30">
        <f t="shared" si="49"/>
        <v>-2000</v>
      </c>
    </row>
    <row r="1556" spans="1:5" x14ac:dyDescent="0.2">
      <c r="A1556" s="29">
        <v>35336</v>
      </c>
      <c r="B1556" s="30">
        <f>VLOOKUP(A1556,'Database Claims'!$A:$C,3,)</f>
        <v>348000</v>
      </c>
      <c r="C1556" s="30">
        <f t="shared" si="48"/>
        <v>-4000</v>
      </c>
      <c r="D1556" s="30">
        <f>VLOOKUP(A1556,'Database Claims'!$A:$C,2,)</f>
        <v>2479000</v>
      </c>
      <c r="E1556" s="30">
        <f t="shared" si="49"/>
        <v>-5000</v>
      </c>
    </row>
    <row r="1557" spans="1:5" x14ac:dyDescent="0.2">
      <c r="A1557" s="29">
        <v>35343</v>
      </c>
      <c r="B1557" s="26">
        <f>VLOOKUP(A1557,'Database Claims'!$A:$C,3,)</f>
        <v>335000</v>
      </c>
      <c r="C1557" s="30">
        <f t="shared" si="48"/>
        <v>-13000</v>
      </c>
      <c r="D1557" s="26">
        <f>VLOOKUP(A1557,'Database Claims'!$A:$C,2,)</f>
        <v>2496000</v>
      </c>
      <c r="E1557" s="30">
        <f t="shared" si="49"/>
        <v>17000</v>
      </c>
    </row>
    <row r="1558" spans="1:5" x14ac:dyDescent="0.2">
      <c r="A1558" s="29">
        <v>35350</v>
      </c>
      <c r="B1558" s="30">
        <f>VLOOKUP(A1558,'Database Claims'!$A:$C,3,)</f>
        <v>334000</v>
      </c>
      <c r="C1558" s="30">
        <f t="shared" si="48"/>
        <v>-1000</v>
      </c>
      <c r="D1558" s="30">
        <f>VLOOKUP(A1558,'Database Claims'!$A:$C,2,)</f>
        <v>2422000</v>
      </c>
      <c r="E1558" s="30">
        <f t="shared" si="49"/>
        <v>-74000</v>
      </c>
    </row>
    <row r="1559" spans="1:5" x14ac:dyDescent="0.2">
      <c r="A1559" s="29">
        <v>35357</v>
      </c>
      <c r="B1559" s="26">
        <f>VLOOKUP(A1559,'Database Claims'!$A:$C,3,)</f>
        <v>335000</v>
      </c>
      <c r="C1559" s="30">
        <f t="shared" si="48"/>
        <v>1000</v>
      </c>
      <c r="D1559" s="26">
        <f>VLOOKUP(A1559,'Database Claims'!$A:$C,2,)</f>
        <v>2449000</v>
      </c>
      <c r="E1559" s="30">
        <f t="shared" si="49"/>
        <v>27000</v>
      </c>
    </row>
    <row r="1560" spans="1:5" x14ac:dyDescent="0.2">
      <c r="A1560" s="29">
        <v>35364</v>
      </c>
      <c r="B1560" s="30">
        <f>VLOOKUP(A1560,'Database Claims'!$A:$C,3,)</f>
        <v>352000</v>
      </c>
      <c r="C1560" s="30">
        <f t="shared" si="48"/>
        <v>17000</v>
      </c>
      <c r="D1560" s="30">
        <f>VLOOKUP(A1560,'Database Claims'!$A:$C,2,)</f>
        <v>2474000</v>
      </c>
      <c r="E1560" s="30">
        <f t="shared" si="49"/>
        <v>25000</v>
      </c>
    </row>
    <row r="1561" spans="1:5" x14ac:dyDescent="0.2">
      <c r="A1561" s="29">
        <v>35371</v>
      </c>
      <c r="B1561" s="26">
        <f>VLOOKUP(A1561,'Database Claims'!$A:$C,3,)</f>
        <v>334000</v>
      </c>
      <c r="C1561" s="30">
        <f t="shared" si="48"/>
        <v>-18000</v>
      </c>
      <c r="D1561" s="26">
        <f>VLOOKUP(A1561,'Database Claims'!$A:$C,2,)</f>
        <v>2452000</v>
      </c>
      <c r="E1561" s="30">
        <f t="shared" si="49"/>
        <v>-22000</v>
      </c>
    </row>
    <row r="1562" spans="1:5" x14ac:dyDescent="0.2">
      <c r="A1562" s="29">
        <v>35378</v>
      </c>
      <c r="B1562" s="30">
        <f>VLOOKUP(A1562,'Database Claims'!$A:$C,3,)</f>
        <v>327000</v>
      </c>
      <c r="C1562" s="30">
        <f t="shared" si="48"/>
        <v>-7000</v>
      </c>
      <c r="D1562" s="30">
        <f>VLOOKUP(A1562,'Database Claims'!$A:$C,2,)</f>
        <v>2475000</v>
      </c>
      <c r="E1562" s="30">
        <f t="shared" si="49"/>
        <v>23000</v>
      </c>
    </row>
    <row r="1563" spans="1:5" x14ac:dyDescent="0.2">
      <c r="A1563" s="29">
        <v>35385</v>
      </c>
      <c r="B1563" s="26">
        <f>VLOOKUP(A1563,'Database Claims'!$A:$C,3,)</f>
        <v>342000</v>
      </c>
      <c r="C1563" s="30">
        <f t="shared" si="48"/>
        <v>15000</v>
      </c>
      <c r="D1563" s="26">
        <f>VLOOKUP(A1563,'Database Claims'!$A:$C,2,)</f>
        <v>2406000</v>
      </c>
      <c r="E1563" s="30">
        <f t="shared" si="49"/>
        <v>-69000</v>
      </c>
    </row>
    <row r="1564" spans="1:5" x14ac:dyDescent="0.2">
      <c r="A1564" s="29">
        <v>35392</v>
      </c>
      <c r="B1564" s="30">
        <f>VLOOKUP(A1564,'Database Claims'!$A:$C,3,)</f>
        <v>347000</v>
      </c>
      <c r="C1564" s="30">
        <f t="shared" si="48"/>
        <v>5000</v>
      </c>
      <c r="D1564" s="30">
        <f>VLOOKUP(A1564,'Database Claims'!$A:$C,2,)</f>
        <v>2350000</v>
      </c>
      <c r="E1564" s="30">
        <f t="shared" si="49"/>
        <v>-56000</v>
      </c>
    </row>
    <row r="1565" spans="1:5" x14ac:dyDescent="0.2">
      <c r="A1565" s="29">
        <v>35399</v>
      </c>
      <c r="B1565" s="26">
        <f>VLOOKUP(A1565,'Database Claims'!$A:$C,3,)</f>
        <v>332000</v>
      </c>
      <c r="C1565" s="30">
        <f t="shared" si="48"/>
        <v>-15000</v>
      </c>
      <c r="D1565" s="26">
        <f>VLOOKUP(A1565,'Database Claims'!$A:$C,2,)</f>
        <v>2460000</v>
      </c>
      <c r="E1565" s="30">
        <f t="shared" si="49"/>
        <v>110000</v>
      </c>
    </row>
    <row r="1566" spans="1:5" x14ac:dyDescent="0.2">
      <c r="A1566" s="29">
        <v>35406</v>
      </c>
      <c r="B1566" s="30">
        <f>VLOOKUP(A1566,'Database Claims'!$A:$C,3,)</f>
        <v>355000</v>
      </c>
      <c r="C1566" s="30">
        <f t="shared" si="48"/>
        <v>23000</v>
      </c>
      <c r="D1566" s="30">
        <f>VLOOKUP(A1566,'Database Claims'!$A:$C,2,)</f>
        <v>2484000</v>
      </c>
      <c r="E1566" s="30">
        <f t="shared" si="49"/>
        <v>24000</v>
      </c>
    </row>
    <row r="1567" spans="1:5" x14ac:dyDescent="0.2">
      <c r="A1567" s="29">
        <v>35413</v>
      </c>
      <c r="B1567" s="26">
        <f>VLOOKUP(A1567,'Database Claims'!$A:$C,3,)</f>
        <v>352000</v>
      </c>
      <c r="C1567" s="30">
        <f t="shared" si="48"/>
        <v>-3000</v>
      </c>
      <c r="D1567" s="26">
        <f>VLOOKUP(A1567,'Database Claims'!$A:$C,2,)</f>
        <v>2464000</v>
      </c>
      <c r="E1567" s="30">
        <f t="shared" si="49"/>
        <v>-20000</v>
      </c>
    </row>
    <row r="1568" spans="1:5" x14ac:dyDescent="0.2">
      <c r="A1568" s="29">
        <v>35420</v>
      </c>
      <c r="B1568" s="30">
        <f>VLOOKUP(A1568,'Database Claims'!$A:$C,3,)</f>
        <v>350000</v>
      </c>
      <c r="C1568" s="30">
        <f t="shared" si="48"/>
        <v>-2000</v>
      </c>
      <c r="D1568" s="30">
        <f>VLOOKUP(A1568,'Database Claims'!$A:$C,2,)</f>
        <v>2506000</v>
      </c>
      <c r="E1568" s="30">
        <f t="shared" si="49"/>
        <v>42000</v>
      </c>
    </row>
    <row r="1569" spans="1:5" x14ac:dyDescent="0.2">
      <c r="A1569" s="29">
        <v>35427</v>
      </c>
      <c r="B1569" s="26">
        <f>VLOOKUP(A1569,'Database Claims'!$A:$C,3,)</f>
        <v>357000</v>
      </c>
      <c r="C1569" s="30">
        <f t="shared" si="48"/>
        <v>7000</v>
      </c>
      <c r="D1569" s="26">
        <f>VLOOKUP(A1569,'Database Claims'!$A:$C,2,)</f>
        <v>2497000</v>
      </c>
      <c r="E1569" s="30">
        <f t="shared" si="49"/>
        <v>-9000</v>
      </c>
    </row>
    <row r="1570" spans="1:5" x14ac:dyDescent="0.2">
      <c r="A1570" s="29">
        <v>35434</v>
      </c>
      <c r="B1570" s="30">
        <f>VLOOKUP(A1570,'Database Claims'!$A:$C,3,)</f>
        <v>347000</v>
      </c>
      <c r="C1570" s="30">
        <f t="shared" si="48"/>
        <v>-10000</v>
      </c>
      <c r="D1570" s="30">
        <f>VLOOKUP(A1570,'Database Claims'!$A:$C,2,)</f>
        <v>2552000</v>
      </c>
      <c r="E1570" s="30">
        <f t="shared" si="49"/>
        <v>55000</v>
      </c>
    </row>
    <row r="1571" spans="1:5" x14ac:dyDescent="0.2">
      <c r="A1571" s="29">
        <v>35441</v>
      </c>
      <c r="B1571" s="26">
        <f>VLOOKUP(A1571,'Database Claims'!$A:$C,3,)</f>
        <v>324000</v>
      </c>
      <c r="C1571" s="30">
        <f t="shared" si="48"/>
        <v>-23000</v>
      </c>
      <c r="D1571" s="26">
        <f>VLOOKUP(A1571,'Database Claims'!$A:$C,2,)</f>
        <v>2473000</v>
      </c>
      <c r="E1571" s="30">
        <f t="shared" si="49"/>
        <v>-79000</v>
      </c>
    </row>
    <row r="1572" spans="1:5" x14ac:dyDescent="0.2">
      <c r="A1572" s="29">
        <v>35448</v>
      </c>
      <c r="B1572" s="30">
        <f>VLOOKUP(A1572,'Database Claims'!$A:$C,3,)</f>
        <v>345000</v>
      </c>
      <c r="C1572" s="30">
        <f t="shared" si="48"/>
        <v>21000</v>
      </c>
      <c r="D1572" s="30">
        <f>VLOOKUP(A1572,'Database Claims'!$A:$C,2,)</f>
        <v>2434000</v>
      </c>
      <c r="E1572" s="30">
        <f t="shared" si="49"/>
        <v>-39000</v>
      </c>
    </row>
    <row r="1573" spans="1:5" x14ac:dyDescent="0.2">
      <c r="A1573" s="29">
        <v>35455</v>
      </c>
      <c r="B1573" s="26">
        <f>VLOOKUP(A1573,'Database Claims'!$A:$C,3,)</f>
        <v>340000</v>
      </c>
      <c r="C1573" s="30">
        <f t="shared" si="48"/>
        <v>-5000</v>
      </c>
      <c r="D1573" s="26">
        <f>VLOOKUP(A1573,'Database Claims'!$A:$C,2,)</f>
        <v>2492000</v>
      </c>
      <c r="E1573" s="30">
        <f t="shared" si="49"/>
        <v>58000</v>
      </c>
    </row>
    <row r="1574" spans="1:5" x14ac:dyDescent="0.2">
      <c r="A1574" s="29">
        <v>35462</v>
      </c>
      <c r="B1574" s="30">
        <f>VLOOKUP(A1574,'Database Claims'!$A:$C,3,)</f>
        <v>333000</v>
      </c>
      <c r="C1574" s="30">
        <f t="shared" si="48"/>
        <v>-7000</v>
      </c>
      <c r="D1574" s="30">
        <f>VLOOKUP(A1574,'Database Claims'!$A:$C,2,)</f>
        <v>2403000</v>
      </c>
      <c r="E1574" s="30">
        <f t="shared" si="49"/>
        <v>-89000</v>
      </c>
    </row>
    <row r="1575" spans="1:5" x14ac:dyDescent="0.2">
      <c r="A1575" s="29">
        <v>35469</v>
      </c>
      <c r="B1575" s="26">
        <f>VLOOKUP(A1575,'Database Claims'!$A:$C,3,)</f>
        <v>315000</v>
      </c>
      <c r="C1575" s="30">
        <f t="shared" si="48"/>
        <v>-18000</v>
      </c>
      <c r="D1575" s="26">
        <f>VLOOKUP(A1575,'Database Claims'!$A:$C,2,)</f>
        <v>2436000</v>
      </c>
      <c r="E1575" s="30">
        <f t="shared" si="49"/>
        <v>33000</v>
      </c>
    </row>
    <row r="1576" spans="1:5" x14ac:dyDescent="0.2">
      <c r="A1576" s="29">
        <v>35476</v>
      </c>
      <c r="B1576" s="30">
        <f>VLOOKUP(A1576,'Database Claims'!$A:$C,3,)</f>
        <v>313000</v>
      </c>
      <c r="C1576" s="30">
        <f t="shared" si="48"/>
        <v>-2000</v>
      </c>
      <c r="D1576" s="30">
        <f>VLOOKUP(A1576,'Database Claims'!$A:$C,2,)</f>
        <v>2407000</v>
      </c>
      <c r="E1576" s="30">
        <f t="shared" si="49"/>
        <v>-29000</v>
      </c>
    </row>
    <row r="1577" spans="1:5" x14ac:dyDescent="0.2">
      <c r="A1577" s="29">
        <v>35483</v>
      </c>
      <c r="B1577" s="26">
        <f>VLOOKUP(A1577,'Database Claims'!$A:$C,3,)</f>
        <v>322000</v>
      </c>
      <c r="C1577" s="30">
        <f t="shared" si="48"/>
        <v>9000</v>
      </c>
      <c r="D1577" s="26">
        <f>VLOOKUP(A1577,'Database Claims'!$A:$C,2,)</f>
        <v>2414000</v>
      </c>
      <c r="E1577" s="30">
        <f t="shared" si="49"/>
        <v>7000</v>
      </c>
    </row>
    <row r="1578" spans="1:5" x14ac:dyDescent="0.2">
      <c r="A1578" s="29">
        <v>35490</v>
      </c>
      <c r="B1578" s="30">
        <f>VLOOKUP(A1578,'Database Claims'!$A:$C,3,)</f>
        <v>321000</v>
      </c>
      <c r="C1578" s="30">
        <f t="shared" si="48"/>
        <v>-1000</v>
      </c>
      <c r="D1578" s="30">
        <f>VLOOKUP(A1578,'Database Claims'!$A:$C,2,)</f>
        <v>2370000</v>
      </c>
      <c r="E1578" s="30">
        <f t="shared" si="49"/>
        <v>-44000</v>
      </c>
    </row>
    <row r="1579" spans="1:5" x14ac:dyDescent="0.2">
      <c r="A1579" s="29">
        <v>35497</v>
      </c>
      <c r="B1579" s="26">
        <f>VLOOKUP(A1579,'Database Claims'!$A:$C,3,)</f>
        <v>317000</v>
      </c>
      <c r="C1579" s="30">
        <f t="shared" si="48"/>
        <v>-4000</v>
      </c>
      <c r="D1579" s="26">
        <f>VLOOKUP(A1579,'Database Claims'!$A:$C,2,)</f>
        <v>2371000</v>
      </c>
      <c r="E1579" s="30">
        <f t="shared" si="49"/>
        <v>1000</v>
      </c>
    </row>
    <row r="1580" spans="1:5" x14ac:dyDescent="0.2">
      <c r="A1580" s="29">
        <v>35504</v>
      </c>
      <c r="B1580" s="30">
        <f>VLOOKUP(A1580,'Database Claims'!$A:$C,3,)</f>
        <v>319000</v>
      </c>
      <c r="C1580" s="30">
        <f t="shared" si="48"/>
        <v>2000</v>
      </c>
      <c r="D1580" s="30">
        <f>VLOOKUP(A1580,'Database Claims'!$A:$C,2,)</f>
        <v>2344000</v>
      </c>
      <c r="E1580" s="30">
        <f t="shared" si="49"/>
        <v>-27000</v>
      </c>
    </row>
    <row r="1581" spans="1:5" x14ac:dyDescent="0.2">
      <c r="A1581" s="29">
        <v>35511</v>
      </c>
      <c r="B1581" s="26">
        <f>VLOOKUP(A1581,'Database Claims'!$A:$C,3,)</f>
        <v>315000</v>
      </c>
      <c r="C1581" s="30">
        <f t="shared" si="48"/>
        <v>-4000</v>
      </c>
      <c r="D1581" s="26">
        <f>VLOOKUP(A1581,'Database Claims'!$A:$C,2,)</f>
        <v>2322000</v>
      </c>
      <c r="E1581" s="30">
        <f t="shared" si="49"/>
        <v>-22000</v>
      </c>
    </row>
    <row r="1582" spans="1:5" x14ac:dyDescent="0.2">
      <c r="A1582" s="29">
        <v>35518</v>
      </c>
      <c r="B1582" s="30">
        <f>VLOOKUP(A1582,'Database Claims'!$A:$C,3,)</f>
        <v>325000</v>
      </c>
      <c r="C1582" s="30">
        <f t="shared" si="48"/>
        <v>10000</v>
      </c>
      <c r="D1582" s="30">
        <f>VLOOKUP(A1582,'Database Claims'!$A:$C,2,)</f>
        <v>2331000</v>
      </c>
      <c r="E1582" s="30">
        <f t="shared" si="49"/>
        <v>9000</v>
      </c>
    </row>
    <row r="1583" spans="1:5" x14ac:dyDescent="0.2">
      <c r="A1583" s="29">
        <v>35525</v>
      </c>
      <c r="B1583" s="26">
        <f>VLOOKUP(A1583,'Database Claims'!$A:$C,3,)</f>
        <v>325000</v>
      </c>
      <c r="C1583" s="30">
        <f t="shared" si="48"/>
        <v>0</v>
      </c>
      <c r="D1583" s="26">
        <f>VLOOKUP(A1583,'Database Claims'!$A:$C,2,)</f>
        <v>2359000</v>
      </c>
      <c r="E1583" s="30">
        <f t="shared" si="49"/>
        <v>28000</v>
      </c>
    </row>
    <row r="1584" spans="1:5" x14ac:dyDescent="0.2">
      <c r="A1584" s="29">
        <v>35532</v>
      </c>
      <c r="B1584" s="30">
        <f>VLOOKUP(A1584,'Database Claims'!$A:$C,3,)</f>
        <v>330000</v>
      </c>
      <c r="C1584" s="30">
        <f t="shared" si="48"/>
        <v>5000</v>
      </c>
      <c r="D1584" s="30">
        <f>VLOOKUP(A1584,'Database Claims'!$A:$C,2,)</f>
        <v>2307000</v>
      </c>
      <c r="E1584" s="30">
        <f t="shared" si="49"/>
        <v>-52000</v>
      </c>
    </row>
    <row r="1585" spans="1:5" x14ac:dyDescent="0.2">
      <c r="A1585" s="29">
        <v>35539</v>
      </c>
      <c r="B1585" s="26">
        <f>VLOOKUP(A1585,'Database Claims'!$A:$C,3,)</f>
        <v>316000</v>
      </c>
      <c r="C1585" s="30">
        <f t="shared" si="48"/>
        <v>-14000</v>
      </c>
      <c r="D1585" s="26">
        <f>VLOOKUP(A1585,'Database Claims'!$A:$C,2,)</f>
        <v>2304000</v>
      </c>
      <c r="E1585" s="30">
        <f t="shared" si="49"/>
        <v>-3000</v>
      </c>
    </row>
    <row r="1586" spans="1:5" x14ac:dyDescent="0.2">
      <c r="A1586" s="29">
        <v>35546</v>
      </c>
      <c r="B1586" s="30">
        <f>VLOOKUP(A1586,'Database Claims'!$A:$C,3,)</f>
        <v>337000</v>
      </c>
      <c r="C1586" s="30">
        <f t="shared" si="48"/>
        <v>21000</v>
      </c>
      <c r="D1586" s="30">
        <f>VLOOKUP(A1586,'Database Claims'!$A:$C,2,)</f>
        <v>2327000</v>
      </c>
      <c r="E1586" s="30">
        <f t="shared" si="49"/>
        <v>23000</v>
      </c>
    </row>
    <row r="1587" spans="1:5" x14ac:dyDescent="0.2">
      <c r="A1587" s="29">
        <v>35553</v>
      </c>
      <c r="B1587" s="26">
        <f>VLOOKUP(A1587,'Database Claims'!$A:$C,3,)</f>
        <v>342000</v>
      </c>
      <c r="C1587" s="30">
        <f t="shared" si="48"/>
        <v>5000</v>
      </c>
      <c r="D1587" s="26">
        <f>VLOOKUP(A1587,'Database Claims'!$A:$C,2,)</f>
        <v>2339000</v>
      </c>
      <c r="E1587" s="30">
        <f t="shared" si="49"/>
        <v>12000</v>
      </c>
    </row>
    <row r="1588" spans="1:5" x14ac:dyDescent="0.2">
      <c r="A1588" s="29">
        <v>35560</v>
      </c>
      <c r="B1588" s="30">
        <f>VLOOKUP(A1588,'Database Claims'!$A:$C,3,)</f>
        <v>318000</v>
      </c>
      <c r="C1588" s="30">
        <f t="shared" si="48"/>
        <v>-24000</v>
      </c>
      <c r="D1588" s="30">
        <f>VLOOKUP(A1588,'Database Claims'!$A:$C,2,)</f>
        <v>2318000</v>
      </c>
      <c r="E1588" s="30">
        <f t="shared" si="49"/>
        <v>-21000</v>
      </c>
    </row>
    <row r="1589" spans="1:5" x14ac:dyDescent="0.2">
      <c r="A1589" s="29">
        <v>35567</v>
      </c>
      <c r="B1589" s="26">
        <f>VLOOKUP(A1589,'Database Claims'!$A:$C,3,)</f>
        <v>322000</v>
      </c>
      <c r="C1589" s="30">
        <f t="shared" si="48"/>
        <v>4000</v>
      </c>
      <c r="D1589" s="26">
        <f>VLOOKUP(A1589,'Database Claims'!$A:$C,2,)</f>
        <v>2276000</v>
      </c>
      <c r="E1589" s="30">
        <f t="shared" si="49"/>
        <v>-42000</v>
      </c>
    </row>
    <row r="1590" spans="1:5" x14ac:dyDescent="0.2">
      <c r="A1590" s="29">
        <v>35574</v>
      </c>
      <c r="B1590" s="30">
        <f>VLOOKUP(A1590,'Database Claims'!$A:$C,3,)</f>
        <v>316000</v>
      </c>
      <c r="C1590" s="30">
        <f t="shared" si="48"/>
        <v>-6000</v>
      </c>
      <c r="D1590" s="30">
        <f>VLOOKUP(A1590,'Database Claims'!$A:$C,2,)</f>
        <v>2274000</v>
      </c>
      <c r="E1590" s="30">
        <f t="shared" si="49"/>
        <v>-2000</v>
      </c>
    </row>
    <row r="1591" spans="1:5" x14ac:dyDescent="0.2">
      <c r="A1591" s="29">
        <v>35581</v>
      </c>
      <c r="B1591" s="26">
        <f>VLOOKUP(A1591,'Database Claims'!$A:$C,3,)</f>
        <v>321000</v>
      </c>
      <c r="C1591" s="30">
        <f t="shared" si="48"/>
        <v>5000</v>
      </c>
      <c r="D1591" s="26">
        <f>VLOOKUP(A1591,'Database Claims'!$A:$C,2,)</f>
        <v>2307000</v>
      </c>
      <c r="E1591" s="30">
        <f t="shared" si="49"/>
        <v>33000</v>
      </c>
    </row>
    <row r="1592" spans="1:5" x14ac:dyDescent="0.2">
      <c r="A1592" s="29">
        <v>35588</v>
      </c>
      <c r="B1592" s="30">
        <f>VLOOKUP(A1592,'Database Claims'!$A:$C,3,)</f>
        <v>329000</v>
      </c>
      <c r="C1592" s="30">
        <f t="shared" si="48"/>
        <v>8000</v>
      </c>
      <c r="D1592" s="30">
        <f>VLOOKUP(A1592,'Database Claims'!$A:$C,2,)</f>
        <v>2276000</v>
      </c>
      <c r="E1592" s="30">
        <f t="shared" si="49"/>
        <v>-31000</v>
      </c>
    </row>
    <row r="1593" spans="1:5" x14ac:dyDescent="0.2">
      <c r="A1593" s="29">
        <v>35595</v>
      </c>
      <c r="B1593" s="26">
        <f>VLOOKUP(A1593,'Database Claims'!$A:$C,3,)</f>
        <v>335000</v>
      </c>
      <c r="C1593" s="30">
        <f t="shared" si="48"/>
        <v>6000</v>
      </c>
      <c r="D1593" s="26">
        <f>VLOOKUP(A1593,'Database Claims'!$A:$C,2,)</f>
        <v>2265000</v>
      </c>
      <c r="E1593" s="30">
        <f t="shared" si="49"/>
        <v>-11000</v>
      </c>
    </row>
    <row r="1594" spans="1:5" x14ac:dyDescent="0.2">
      <c r="A1594" s="29">
        <v>35602</v>
      </c>
      <c r="B1594" s="30">
        <f>VLOOKUP(A1594,'Database Claims'!$A:$C,3,)</f>
        <v>316000</v>
      </c>
      <c r="C1594" s="30">
        <f t="shared" si="48"/>
        <v>-19000</v>
      </c>
      <c r="D1594" s="30">
        <f>VLOOKUP(A1594,'Database Claims'!$A:$C,2,)</f>
        <v>2303000</v>
      </c>
      <c r="E1594" s="30">
        <f t="shared" si="49"/>
        <v>38000</v>
      </c>
    </row>
    <row r="1595" spans="1:5" x14ac:dyDescent="0.2">
      <c r="A1595" s="29">
        <v>35609</v>
      </c>
      <c r="B1595" s="26">
        <f>VLOOKUP(A1595,'Database Claims'!$A:$C,3,)</f>
        <v>322000</v>
      </c>
      <c r="C1595" s="30">
        <f t="shared" si="48"/>
        <v>6000</v>
      </c>
      <c r="D1595" s="26">
        <f>VLOOKUP(A1595,'Database Claims'!$A:$C,2,)</f>
        <v>2338000</v>
      </c>
      <c r="E1595" s="30">
        <f t="shared" si="49"/>
        <v>35000</v>
      </c>
    </row>
    <row r="1596" spans="1:5" x14ac:dyDescent="0.2">
      <c r="A1596" s="29">
        <v>35616</v>
      </c>
      <c r="B1596" s="30">
        <f>VLOOKUP(A1596,'Database Claims'!$A:$C,3,)</f>
        <v>346000</v>
      </c>
      <c r="C1596" s="30">
        <f t="shared" si="48"/>
        <v>24000</v>
      </c>
      <c r="D1596" s="30">
        <f>VLOOKUP(A1596,'Database Claims'!$A:$C,2,)</f>
        <v>2289000</v>
      </c>
      <c r="E1596" s="30">
        <f t="shared" si="49"/>
        <v>-49000</v>
      </c>
    </row>
    <row r="1597" spans="1:5" x14ac:dyDescent="0.2">
      <c r="A1597" s="29">
        <v>35623</v>
      </c>
      <c r="B1597" s="26">
        <f>VLOOKUP(A1597,'Database Claims'!$A:$C,3,)</f>
        <v>328000</v>
      </c>
      <c r="C1597" s="30">
        <f t="shared" si="48"/>
        <v>-18000</v>
      </c>
      <c r="D1597" s="26">
        <f>VLOOKUP(A1597,'Database Claims'!$A:$C,2,)</f>
        <v>2262000</v>
      </c>
      <c r="E1597" s="30">
        <f t="shared" si="49"/>
        <v>-27000</v>
      </c>
    </row>
    <row r="1598" spans="1:5" x14ac:dyDescent="0.2">
      <c r="A1598" s="29">
        <v>35630</v>
      </c>
      <c r="B1598" s="30">
        <f>VLOOKUP(A1598,'Database Claims'!$A:$C,3,)</f>
        <v>301000</v>
      </c>
      <c r="C1598" s="30">
        <f t="shared" si="48"/>
        <v>-27000</v>
      </c>
      <c r="D1598" s="30">
        <f>VLOOKUP(A1598,'Database Claims'!$A:$C,2,)</f>
        <v>2268000</v>
      </c>
      <c r="E1598" s="30">
        <f t="shared" si="49"/>
        <v>6000</v>
      </c>
    </row>
    <row r="1599" spans="1:5" x14ac:dyDescent="0.2">
      <c r="A1599" s="29">
        <v>35637</v>
      </c>
      <c r="B1599" s="26">
        <f>VLOOKUP(A1599,'Database Claims'!$A:$C,3,)</f>
        <v>306000</v>
      </c>
      <c r="C1599" s="30">
        <f t="shared" si="48"/>
        <v>5000</v>
      </c>
      <c r="D1599" s="26">
        <f>VLOOKUP(A1599,'Database Claims'!$A:$C,2,)</f>
        <v>2259000</v>
      </c>
      <c r="E1599" s="30">
        <f t="shared" si="49"/>
        <v>-9000</v>
      </c>
    </row>
    <row r="1600" spans="1:5" x14ac:dyDescent="0.2">
      <c r="A1600" s="29">
        <v>35644</v>
      </c>
      <c r="B1600" s="30">
        <f>VLOOKUP(A1600,'Database Claims'!$A:$C,3,)</f>
        <v>320000</v>
      </c>
      <c r="C1600" s="30">
        <f t="shared" si="48"/>
        <v>14000</v>
      </c>
      <c r="D1600" s="30">
        <f>VLOOKUP(A1600,'Database Claims'!$A:$C,2,)</f>
        <v>2235000</v>
      </c>
      <c r="E1600" s="30">
        <f t="shared" si="49"/>
        <v>-24000</v>
      </c>
    </row>
    <row r="1601" spans="1:5" x14ac:dyDescent="0.2">
      <c r="A1601" s="29">
        <v>35651</v>
      </c>
      <c r="B1601" s="26">
        <f>VLOOKUP(A1601,'Database Claims'!$A:$C,3,)</f>
        <v>329000</v>
      </c>
      <c r="C1601" s="30">
        <f t="shared" si="48"/>
        <v>9000</v>
      </c>
      <c r="D1601" s="26">
        <f>VLOOKUP(A1601,'Database Claims'!$A:$C,2,)</f>
        <v>2270000</v>
      </c>
      <c r="E1601" s="30">
        <f t="shared" si="49"/>
        <v>35000</v>
      </c>
    </row>
    <row r="1602" spans="1:5" x14ac:dyDescent="0.2">
      <c r="A1602" s="29">
        <v>35658</v>
      </c>
      <c r="B1602" s="30">
        <f>VLOOKUP(A1602,'Database Claims'!$A:$C,3,)</f>
        <v>343000</v>
      </c>
      <c r="C1602" s="30">
        <f t="shared" si="48"/>
        <v>14000</v>
      </c>
      <c r="D1602" s="30">
        <f>VLOOKUP(A1602,'Database Claims'!$A:$C,2,)</f>
        <v>2290000</v>
      </c>
      <c r="E1602" s="30">
        <f t="shared" si="49"/>
        <v>20000</v>
      </c>
    </row>
    <row r="1603" spans="1:5" x14ac:dyDescent="0.2">
      <c r="A1603" s="29">
        <v>35665</v>
      </c>
      <c r="B1603" s="26">
        <f>VLOOKUP(A1603,'Database Claims'!$A:$C,3,)</f>
        <v>327000</v>
      </c>
      <c r="C1603" s="30">
        <f t="shared" si="48"/>
        <v>-16000</v>
      </c>
      <c r="D1603" s="26">
        <f>VLOOKUP(A1603,'Database Claims'!$A:$C,2,)</f>
        <v>2283000</v>
      </c>
      <c r="E1603" s="30">
        <f t="shared" si="49"/>
        <v>-7000</v>
      </c>
    </row>
    <row r="1604" spans="1:5" x14ac:dyDescent="0.2">
      <c r="A1604" s="29">
        <v>35672</v>
      </c>
      <c r="B1604" s="30">
        <f>VLOOKUP(A1604,'Database Claims'!$A:$C,3,)</f>
        <v>332000</v>
      </c>
      <c r="C1604" s="30">
        <f t="shared" si="48"/>
        <v>5000</v>
      </c>
      <c r="D1604" s="30">
        <f>VLOOKUP(A1604,'Database Claims'!$A:$C,2,)</f>
        <v>2284000</v>
      </c>
      <c r="E1604" s="30">
        <f t="shared" si="49"/>
        <v>1000</v>
      </c>
    </row>
    <row r="1605" spans="1:5" x14ac:dyDescent="0.2">
      <c r="A1605" s="29">
        <v>35679</v>
      </c>
      <c r="B1605" s="26">
        <f>VLOOKUP(A1605,'Database Claims'!$A:$C,3,)</f>
        <v>313000</v>
      </c>
      <c r="C1605" s="30">
        <f t="shared" si="48"/>
        <v>-19000</v>
      </c>
      <c r="D1605" s="26">
        <f>VLOOKUP(A1605,'Database Claims'!$A:$C,2,)</f>
        <v>2265000</v>
      </c>
      <c r="E1605" s="30">
        <f t="shared" si="49"/>
        <v>-19000</v>
      </c>
    </row>
    <row r="1606" spans="1:5" x14ac:dyDescent="0.2">
      <c r="A1606" s="29">
        <v>35686</v>
      </c>
      <c r="B1606" s="30">
        <f>VLOOKUP(A1606,'Database Claims'!$A:$C,3,)</f>
        <v>314000</v>
      </c>
      <c r="C1606" s="30">
        <f t="shared" ref="C1606:C1669" si="50">B1606-B1605</f>
        <v>1000</v>
      </c>
      <c r="D1606" s="30">
        <f>VLOOKUP(A1606,'Database Claims'!$A:$C,2,)</f>
        <v>2200000</v>
      </c>
      <c r="E1606" s="30">
        <f t="shared" ref="E1606:E1669" si="51">D1606-D1605</f>
        <v>-65000</v>
      </c>
    </row>
    <row r="1607" spans="1:5" x14ac:dyDescent="0.2">
      <c r="A1607" s="29">
        <v>35693</v>
      </c>
      <c r="B1607" s="26">
        <f>VLOOKUP(A1607,'Database Claims'!$A:$C,3,)</f>
        <v>317000</v>
      </c>
      <c r="C1607" s="30">
        <f t="shared" si="50"/>
        <v>3000</v>
      </c>
      <c r="D1607" s="26">
        <f>VLOOKUP(A1607,'Database Claims'!$A:$C,2,)</f>
        <v>2241000</v>
      </c>
      <c r="E1607" s="30">
        <f t="shared" si="51"/>
        <v>41000</v>
      </c>
    </row>
    <row r="1608" spans="1:5" x14ac:dyDescent="0.2">
      <c r="A1608" s="29">
        <v>35700</v>
      </c>
      <c r="B1608" s="30">
        <f>VLOOKUP(A1608,'Database Claims'!$A:$C,3,)</f>
        <v>317000</v>
      </c>
      <c r="C1608" s="30">
        <f t="shared" si="50"/>
        <v>0</v>
      </c>
      <c r="D1608" s="30">
        <f>VLOOKUP(A1608,'Database Claims'!$A:$C,2,)</f>
        <v>2233000</v>
      </c>
      <c r="E1608" s="30">
        <f t="shared" si="51"/>
        <v>-8000</v>
      </c>
    </row>
    <row r="1609" spans="1:5" x14ac:dyDescent="0.2">
      <c r="A1609" s="29">
        <v>35707</v>
      </c>
      <c r="B1609" s="26">
        <f>VLOOKUP(A1609,'Database Claims'!$A:$C,3,)</f>
        <v>311000</v>
      </c>
      <c r="C1609" s="30">
        <f t="shared" si="50"/>
        <v>-6000</v>
      </c>
      <c r="D1609" s="26">
        <f>VLOOKUP(A1609,'Database Claims'!$A:$C,2,)</f>
        <v>2239000</v>
      </c>
      <c r="E1609" s="30">
        <f t="shared" si="51"/>
        <v>6000</v>
      </c>
    </row>
    <row r="1610" spans="1:5" x14ac:dyDescent="0.2">
      <c r="A1610" s="29">
        <v>35714</v>
      </c>
      <c r="B1610" s="30">
        <f>VLOOKUP(A1610,'Database Claims'!$A:$C,3,)</f>
        <v>305000</v>
      </c>
      <c r="C1610" s="30">
        <f t="shared" si="50"/>
        <v>-6000</v>
      </c>
      <c r="D1610" s="30">
        <f>VLOOKUP(A1610,'Database Claims'!$A:$C,2,)</f>
        <v>2213000</v>
      </c>
      <c r="E1610" s="30">
        <f t="shared" si="51"/>
        <v>-26000</v>
      </c>
    </row>
    <row r="1611" spans="1:5" x14ac:dyDescent="0.2">
      <c r="A1611" s="29">
        <v>35721</v>
      </c>
      <c r="B1611" s="26">
        <f>VLOOKUP(A1611,'Database Claims'!$A:$C,3,)</f>
        <v>318000</v>
      </c>
      <c r="C1611" s="30">
        <f t="shared" si="50"/>
        <v>13000</v>
      </c>
      <c r="D1611" s="26">
        <f>VLOOKUP(A1611,'Database Claims'!$A:$C,2,)</f>
        <v>2182000</v>
      </c>
      <c r="E1611" s="30">
        <f t="shared" si="51"/>
        <v>-31000</v>
      </c>
    </row>
    <row r="1612" spans="1:5" x14ac:dyDescent="0.2">
      <c r="A1612" s="29">
        <v>35728</v>
      </c>
      <c r="B1612" s="30">
        <f>VLOOKUP(A1612,'Database Claims'!$A:$C,3,)</f>
        <v>306000</v>
      </c>
      <c r="C1612" s="30">
        <f t="shared" si="50"/>
        <v>-12000</v>
      </c>
      <c r="D1612" s="30">
        <f>VLOOKUP(A1612,'Database Claims'!$A:$C,2,)</f>
        <v>2228000</v>
      </c>
      <c r="E1612" s="30">
        <f t="shared" si="51"/>
        <v>46000</v>
      </c>
    </row>
    <row r="1613" spans="1:5" x14ac:dyDescent="0.2">
      <c r="A1613" s="29">
        <v>35735</v>
      </c>
      <c r="B1613" s="26">
        <f>VLOOKUP(A1613,'Database Claims'!$A:$C,3,)</f>
        <v>313000</v>
      </c>
      <c r="C1613" s="30">
        <f t="shared" si="50"/>
        <v>7000</v>
      </c>
      <c r="D1613" s="26">
        <f>VLOOKUP(A1613,'Database Claims'!$A:$C,2,)</f>
        <v>2201000</v>
      </c>
      <c r="E1613" s="30">
        <f t="shared" si="51"/>
        <v>-27000</v>
      </c>
    </row>
    <row r="1614" spans="1:5" x14ac:dyDescent="0.2">
      <c r="A1614" s="29">
        <v>35742</v>
      </c>
      <c r="B1614" s="30">
        <f>VLOOKUP(A1614,'Database Claims'!$A:$C,3,)</f>
        <v>308000</v>
      </c>
      <c r="C1614" s="30">
        <f t="shared" si="50"/>
        <v>-5000</v>
      </c>
      <c r="D1614" s="30">
        <f>VLOOKUP(A1614,'Database Claims'!$A:$C,2,)</f>
        <v>2207000</v>
      </c>
      <c r="E1614" s="30">
        <f t="shared" si="51"/>
        <v>6000</v>
      </c>
    </row>
    <row r="1615" spans="1:5" x14ac:dyDescent="0.2">
      <c r="A1615" s="29">
        <v>35749</v>
      </c>
      <c r="B1615" s="26">
        <f>VLOOKUP(A1615,'Database Claims'!$A:$C,3,)</f>
        <v>325000</v>
      </c>
      <c r="C1615" s="30">
        <f t="shared" si="50"/>
        <v>17000</v>
      </c>
      <c r="D1615" s="26">
        <f>VLOOKUP(A1615,'Database Claims'!$A:$C,2,)</f>
        <v>2209000</v>
      </c>
      <c r="E1615" s="30">
        <f t="shared" si="51"/>
        <v>2000</v>
      </c>
    </row>
    <row r="1616" spans="1:5" x14ac:dyDescent="0.2">
      <c r="A1616" s="29">
        <v>35756</v>
      </c>
      <c r="B1616" s="30">
        <f>VLOOKUP(A1616,'Database Claims'!$A:$C,3,)</f>
        <v>309000</v>
      </c>
      <c r="C1616" s="30">
        <f t="shared" si="50"/>
        <v>-16000</v>
      </c>
      <c r="D1616" s="30">
        <f>VLOOKUP(A1616,'Database Claims'!$A:$C,2,)</f>
        <v>2216000</v>
      </c>
      <c r="E1616" s="30">
        <f t="shared" si="51"/>
        <v>7000</v>
      </c>
    </row>
    <row r="1617" spans="1:5" x14ac:dyDescent="0.2">
      <c r="A1617" s="29">
        <v>35763</v>
      </c>
      <c r="B1617" s="26">
        <f>VLOOKUP(A1617,'Database Claims'!$A:$C,3,)</f>
        <v>318000</v>
      </c>
      <c r="C1617" s="30">
        <f t="shared" si="50"/>
        <v>9000</v>
      </c>
      <c r="D1617" s="26">
        <f>VLOOKUP(A1617,'Database Claims'!$A:$C,2,)</f>
        <v>2242000</v>
      </c>
      <c r="E1617" s="30">
        <f t="shared" si="51"/>
        <v>26000</v>
      </c>
    </row>
    <row r="1618" spans="1:5" x14ac:dyDescent="0.2">
      <c r="A1618" s="29">
        <v>35770</v>
      </c>
      <c r="B1618" s="30">
        <f>VLOOKUP(A1618,'Database Claims'!$A:$C,3,)</f>
        <v>317000</v>
      </c>
      <c r="C1618" s="30">
        <f t="shared" si="50"/>
        <v>-1000</v>
      </c>
      <c r="D1618" s="30">
        <f>VLOOKUP(A1618,'Database Claims'!$A:$C,2,)</f>
        <v>2230000</v>
      </c>
      <c r="E1618" s="30">
        <f t="shared" si="51"/>
        <v>-12000</v>
      </c>
    </row>
    <row r="1619" spans="1:5" x14ac:dyDescent="0.2">
      <c r="A1619" s="29">
        <v>35777</v>
      </c>
      <c r="B1619" s="26">
        <f>VLOOKUP(A1619,'Database Claims'!$A:$C,3,)</f>
        <v>323000</v>
      </c>
      <c r="C1619" s="30">
        <f t="shared" si="50"/>
        <v>6000</v>
      </c>
      <c r="D1619" s="26">
        <f>VLOOKUP(A1619,'Database Claims'!$A:$C,2,)</f>
        <v>2231000</v>
      </c>
      <c r="E1619" s="30">
        <f t="shared" si="51"/>
        <v>1000</v>
      </c>
    </row>
    <row r="1620" spans="1:5" x14ac:dyDescent="0.2">
      <c r="A1620" s="29">
        <v>35784</v>
      </c>
      <c r="B1620" s="30">
        <f>VLOOKUP(A1620,'Database Claims'!$A:$C,3,)</f>
        <v>310000</v>
      </c>
      <c r="C1620" s="30">
        <f t="shared" si="50"/>
        <v>-13000</v>
      </c>
      <c r="D1620" s="30">
        <f>VLOOKUP(A1620,'Database Claims'!$A:$C,2,)</f>
        <v>2189000</v>
      </c>
      <c r="E1620" s="30">
        <f t="shared" si="51"/>
        <v>-42000</v>
      </c>
    </row>
    <row r="1621" spans="1:5" x14ac:dyDescent="0.2">
      <c r="A1621" s="29">
        <v>35791</v>
      </c>
      <c r="B1621" s="26">
        <f>VLOOKUP(A1621,'Database Claims'!$A:$C,3,)</f>
        <v>303000</v>
      </c>
      <c r="C1621" s="30">
        <f t="shared" si="50"/>
        <v>-7000</v>
      </c>
      <c r="D1621" s="26">
        <f>VLOOKUP(A1621,'Database Claims'!$A:$C,2,)</f>
        <v>2291000</v>
      </c>
      <c r="E1621" s="30">
        <f t="shared" si="51"/>
        <v>102000</v>
      </c>
    </row>
    <row r="1622" spans="1:5" x14ac:dyDescent="0.2">
      <c r="A1622" s="29">
        <v>35798</v>
      </c>
      <c r="B1622" s="30">
        <f>VLOOKUP(A1622,'Database Claims'!$A:$C,3,)</f>
        <v>312000</v>
      </c>
      <c r="C1622" s="30">
        <f t="shared" si="50"/>
        <v>9000</v>
      </c>
      <c r="D1622" s="30">
        <f>VLOOKUP(A1622,'Database Claims'!$A:$C,2,)</f>
        <v>2369000</v>
      </c>
      <c r="E1622" s="30">
        <f t="shared" si="51"/>
        <v>78000</v>
      </c>
    </row>
    <row r="1623" spans="1:5" x14ac:dyDescent="0.2">
      <c r="A1623" s="29">
        <v>35805</v>
      </c>
      <c r="B1623" s="26">
        <f>VLOOKUP(A1623,'Database Claims'!$A:$C,3,)</f>
        <v>331000</v>
      </c>
      <c r="C1623" s="30">
        <f t="shared" si="50"/>
        <v>19000</v>
      </c>
      <c r="D1623" s="26">
        <f>VLOOKUP(A1623,'Database Claims'!$A:$C,2,)</f>
        <v>2291000</v>
      </c>
      <c r="E1623" s="30">
        <f t="shared" si="51"/>
        <v>-78000</v>
      </c>
    </row>
    <row r="1624" spans="1:5" x14ac:dyDescent="0.2">
      <c r="A1624" s="29">
        <v>35812</v>
      </c>
      <c r="B1624" s="30">
        <f>VLOOKUP(A1624,'Database Claims'!$A:$C,3,)</f>
        <v>341000</v>
      </c>
      <c r="C1624" s="30">
        <f t="shared" si="50"/>
        <v>10000</v>
      </c>
      <c r="D1624" s="30">
        <f>VLOOKUP(A1624,'Database Claims'!$A:$C,2,)</f>
        <v>2241000</v>
      </c>
      <c r="E1624" s="30">
        <f t="shared" si="51"/>
        <v>-50000</v>
      </c>
    </row>
    <row r="1625" spans="1:5" x14ac:dyDescent="0.2">
      <c r="A1625" s="29">
        <v>35819</v>
      </c>
      <c r="B1625" s="26">
        <f>VLOOKUP(A1625,'Database Claims'!$A:$C,3,)</f>
        <v>307000</v>
      </c>
      <c r="C1625" s="30">
        <f t="shared" si="50"/>
        <v>-34000</v>
      </c>
      <c r="D1625" s="26">
        <f>VLOOKUP(A1625,'Database Claims'!$A:$C,2,)</f>
        <v>2275000</v>
      </c>
      <c r="E1625" s="30">
        <f t="shared" si="51"/>
        <v>34000</v>
      </c>
    </row>
    <row r="1626" spans="1:5" x14ac:dyDescent="0.2">
      <c r="A1626" s="29">
        <v>35826</v>
      </c>
      <c r="B1626" s="30">
        <f>VLOOKUP(A1626,'Database Claims'!$A:$C,3,)</f>
        <v>315000</v>
      </c>
      <c r="C1626" s="30">
        <f t="shared" si="50"/>
        <v>8000</v>
      </c>
      <c r="D1626" s="30">
        <f>VLOOKUP(A1626,'Database Claims'!$A:$C,2,)</f>
        <v>2200000</v>
      </c>
      <c r="E1626" s="30">
        <f t="shared" si="51"/>
        <v>-75000</v>
      </c>
    </row>
    <row r="1627" spans="1:5" x14ac:dyDescent="0.2">
      <c r="A1627" s="29">
        <v>35833</v>
      </c>
      <c r="B1627" s="26">
        <f>VLOOKUP(A1627,'Database Claims'!$A:$C,3,)</f>
        <v>311000</v>
      </c>
      <c r="C1627" s="30">
        <f t="shared" si="50"/>
        <v>-4000</v>
      </c>
      <c r="D1627" s="26">
        <f>VLOOKUP(A1627,'Database Claims'!$A:$C,2,)</f>
        <v>2253000</v>
      </c>
      <c r="E1627" s="30">
        <f t="shared" si="51"/>
        <v>53000</v>
      </c>
    </row>
    <row r="1628" spans="1:5" x14ac:dyDescent="0.2">
      <c r="A1628" s="29">
        <v>35840</v>
      </c>
      <c r="B1628" s="30">
        <f>VLOOKUP(A1628,'Database Claims'!$A:$C,3,)</f>
        <v>321000</v>
      </c>
      <c r="C1628" s="30">
        <f t="shared" si="50"/>
        <v>10000</v>
      </c>
      <c r="D1628" s="30">
        <f>VLOOKUP(A1628,'Database Claims'!$A:$C,2,)</f>
        <v>2227000</v>
      </c>
      <c r="E1628" s="30">
        <f t="shared" si="51"/>
        <v>-26000</v>
      </c>
    </row>
    <row r="1629" spans="1:5" x14ac:dyDescent="0.2">
      <c r="A1629" s="29">
        <v>35847</v>
      </c>
      <c r="B1629" s="26">
        <f>VLOOKUP(A1629,'Database Claims'!$A:$C,3,)</f>
        <v>327000</v>
      </c>
      <c r="C1629" s="30">
        <f t="shared" si="50"/>
        <v>6000</v>
      </c>
      <c r="D1629" s="26">
        <f>VLOOKUP(A1629,'Database Claims'!$A:$C,2,)</f>
        <v>2208000</v>
      </c>
      <c r="E1629" s="30">
        <f t="shared" si="51"/>
        <v>-19000</v>
      </c>
    </row>
    <row r="1630" spans="1:5" x14ac:dyDescent="0.2">
      <c r="A1630" s="29">
        <v>35854</v>
      </c>
      <c r="B1630" s="30">
        <f>VLOOKUP(A1630,'Database Claims'!$A:$C,3,)</f>
        <v>317000</v>
      </c>
      <c r="C1630" s="30">
        <f t="shared" si="50"/>
        <v>-10000</v>
      </c>
      <c r="D1630" s="30">
        <f>VLOOKUP(A1630,'Database Claims'!$A:$C,2,)</f>
        <v>2209000</v>
      </c>
      <c r="E1630" s="30">
        <f t="shared" si="51"/>
        <v>1000</v>
      </c>
    </row>
    <row r="1631" spans="1:5" x14ac:dyDescent="0.2">
      <c r="A1631" s="29">
        <v>35861</v>
      </c>
      <c r="B1631" s="26">
        <f>VLOOKUP(A1631,'Database Claims'!$A:$C,3,)</f>
        <v>308000</v>
      </c>
      <c r="C1631" s="30">
        <f t="shared" si="50"/>
        <v>-9000</v>
      </c>
      <c r="D1631" s="26">
        <f>VLOOKUP(A1631,'Database Claims'!$A:$C,2,)</f>
        <v>2208000</v>
      </c>
      <c r="E1631" s="30">
        <f t="shared" si="51"/>
        <v>-1000</v>
      </c>
    </row>
    <row r="1632" spans="1:5" x14ac:dyDescent="0.2">
      <c r="A1632" s="29">
        <v>35868</v>
      </c>
      <c r="B1632" s="30">
        <f>VLOOKUP(A1632,'Database Claims'!$A:$C,3,)</f>
        <v>319000</v>
      </c>
      <c r="C1632" s="30">
        <f t="shared" si="50"/>
        <v>11000</v>
      </c>
      <c r="D1632" s="30">
        <f>VLOOKUP(A1632,'Database Claims'!$A:$C,2,)</f>
        <v>2237000</v>
      </c>
      <c r="E1632" s="30">
        <f t="shared" si="51"/>
        <v>29000</v>
      </c>
    </row>
    <row r="1633" spans="1:5" x14ac:dyDescent="0.2">
      <c r="A1633" s="29">
        <v>35875</v>
      </c>
      <c r="B1633" s="26">
        <f>VLOOKUP(A1633,'Database Claims'!$A:$C,3,)</f>
        <v>321000</v>
      </c>
      <c r="C1633" s="30">
        <f t="shared" si="50"/>
        <v>2000</v>
      </c>
      <c r="D1633" s="26">
        <f>VLOOKUP(A1633,'Database Claims'!$A:$C,2,)</f>
        <v>2227000</v>
      </c>
      <c r="E1633" s="30">
        <f t="shared" si="51"/>
        <v>-10000</v>
      </c>
    </row>
    <row r="1634" spans="1:5" x14ac:dyDescent="0.2">
      <c r="A1634" s="29">
        <v>35882</v>
      </c>
      <c r="B1634" s="30">
        <f>VLOOKUP(A1634,'Database Claims'!$A:$C,3,)</f>
        <v>312000</v>
      </c>
      <c r="C1634" s="30">
        <f t="shared" si="50"/>
        <v>-9000</v>
      </c>
      <c r="D1634" s="30">
        <f>VLOOKUP(A1634,'Database Claims'!$A:$C,2,)</f>
        <v>2215000</v>
      </c>
      <c r="E1634" s="30">
        <f t="shared" si="51"/>
        <v>-12000</v>
      </c>
    </row>
    <row r="1635" spans="1:5" x14ac:dyDescent="0.2">
      <c r="A1635" s="29">
        <v>35889</v>
      </c>
      <c r="B1635" s="26">
        <f>VLOOKUP(A1635,'Database Claims'!$A:$C,3,)</f>
        <v>312000</v>
      </c>
      <c r="C1635" s="30">
        <f t="shared" si="50"/>
        <v>0</v>
      </c>
      <c r="D1635" s="26">
        <f>VLOOKUP(A1635,'Database Claims'!$A:$C,2,)</f>
        <v>2166000</v>
      </c>
      <c r="E1635" s="30">
        <f t="shared" si="51"/>
        <v>-49000</v>
      </c>
    </row>
    <row r="1636" spans="1:5" x14ac:dyDescent="0.2">
      <c r="A1636" s="29">
        <v>35896</v>
      </c>
      <c r="B1636" s="30">
        <f>VLOOKUP(A1636,'Database Claims'!$A:$C,3,)</f>
        <v>304000</v>
      </c>
      <c r="C1636" s="30">
        <f t="shared" si="50"/>
        <v>-8000</v>
      </c>
      <c r="D1636" s="30">
        <f>VLOOKUP(A1636,'Database Claims'!$A:$C,2,)</f>
        <v>2202000</v>
      </c>
      <c r="E1636" s="30">
        <f t="shared" si="51"/>
        <v>36000</v>
      </c>
    </row>
    <row r="1637" spans="1:5" x14ac:dyDescent="0.2">
      <c r="A1637" s="29">
        <v>35903</v>
      </c>
      <c r="B1637" s="26">
        <f>VLOOKUP(A1637,'Database Claims'!$A:$C,3,)</f>
        <v>317000</v>
      </c>
      <c r="C1637" s="30">
        <f t="shared" si="50"/>
        <v>13000</v>
      </c>
      <c r="D1637" s="26">
        <f>VLOOKUP(A1637,'Database Claims'!$A:$C,2,)</f>
        <v>2210000</v>
      </c>
      <c r="E1637" s="30">
        <f t="shared" si="51"/>
        <v>8000</v>
      </c>
    </row>
    <row r="1638" spans="1:5" x14ac:dyDescent="0.2">
      <c r="A1638" s="29">
        <v>35910</v>
      </c>
      <c r="B1638" s="30">
        <f>VLOOKUP(A1638,'Database Claims'!$A:$C,3,)</f>
        <v>311000</v>
      </c>
      <c r="C1638" s="30">
        <f t="shared" si="50"/>
        <v>-6000</v>
      </c>
      <c r="D1638" s="30">
        <f>VLOOKUP(A1638,'Database Claims'!$A:$C,2,)</f>
        <v>2152000</v>
      </c>
      <c r="E1638" s="30">
        <f t="shared" si="51"/>
        <v>-58000</v>
      </c>
    </row>
    <row r="1639" spans="1:5" x14ac:dyDescent="0.2">
      <c r="A1639" s="29">
        <v>35917</v>
      </c>
      <c r="B1639" s="26">
        <f>VLOOKUP(A1639,'Database Claims'!$A:$C,3,)</f>
        <v>304000</v>
      </c>
      <c r="C1639" s="30">
        <f t="shared" si="50"/>
        <v>-7000</v>
      </c>
      <c r="D1639" s="26">
        <f>VLOOKUP(A1639,'Database Claims'!$A:$C,2,)</f>
        <v>2135000</v>
      </c>
      <c r="E1639" s="30">
        <f t="shared" si="51"/>
        <v>-17000</v>
      </c>
    </row>
    <row r="1640" spans="1:5" x14ac:dyDescent="0.2">
      <c r="A1640" s="29">
        <v>35924</v>
      </c>
      <c r="B1640" s="30">
        <f>VLOOKUP(A1640,'Database Claims'!$A:$C,3,)</f>
        <v>306000</v>
      </c>
      <c r="C1640" s="30">
        <f t="shared" si="50"/>
        <v>2000</v>
      </c>
      <c r="D1640" s="30">
        <f>VLOOKUP(A1640,'Database Claims'!$A:$C,2,)</f>
        <v>2140000</v>
      </c>
      <c r="E1640" s="30">
        <f t="shared" si="51"/>
        <v>5000</v>
      </c>
    </row>
    <row r="1641" spans="1:5" x14ac:dyDescent="0.2">
      <c r="A1641" s="29">
        <v>35931</v>
      </c>
      <c r="B1641" s="26">
        <f>VLOOKUP(A1641,'Database Claims'!$A:$C,3,)</f>
        <v>315000</v>
      </c>
      <c r="C1641" s="30">
        <f t="shared" si="50"/>
        <v>9000</v>
      </c>
      <c r="D1641" s="26">
        <f>VLOOKUP(A1641,'Database Claims'!$A:$C,2,)</f>
        <v>2118000</v>
      </c>
      <c r="E1641" s="30">
        <f t="shared" si="51"/>
        <v>-22000</v>
      </c>
    </row>
    <row r="1642" spans="1:5" x14ac:dyDescent="0.2">
      <c r="A1642" s="29">
        <v>35938</v>
      </c>
      <c r="B1642" s="30">
        <f>VLOOKUP(A1642,'Database Claims'!$A:$C,3,)</f>
        <v>309000</v>
      </c>
      <c r="C1642" s="30">
        <f t="shared" si="50"/>
        <v>-6000</v>
      </c>
      <c r="D1642" s="30">
        <f>VLOOKUP(A1642,'Database Claims'!$A:$C,2,)</f>
        <v>2134000</v>
      </c>
      <c r="E1642" s="30">
        <f t="shared" si="51"/>
        <v>16000</v>
      </c>
    </row>
    <row r="1643" spans="1:5" x14ac:dyDescent="0.2">
      <c r="A1643" s="29">
        <v>35945</v>
      </c>
      <c r="B1643" s="26">
        <f>VLOOKUP(A1643,'Database Claims'!$A:$C,3,)</f>
        <v>322000</v>
      </c>
      <c r="C1643" s="30">
        <f t="shared" si="50"/>
        <v>13000</v>
      </c>
      <c r="D1643" s="26">
        <f>VLOOKUP(A1643,'Database Claims'!$A:$C,2,)</f>
        <v>2146000</v>
      </c>
      <c r="E1643" s="30">
        <f t="shared" si="51"/>
        <v>12000</v>
      </c>
    </row>
    <row r="1644" spans="1:5" x14ac:dyDescent="0.2">
      <c r="A1644" s="29">
        <v>35952</v>
      </c>
      <c r="B1644" s="30">
        <f>VLOOKUP(A1644,'Database Claims'!$A:$C,3,)</f>
        <v>306000</v>
      </c>
      <c r="C1644" s="30">
        <f t="shared" si="50"/>
        <v>-16000</v>
      </c>
      <c r="D1644" s="30">
        <f>VLOOKUP(A1644,'Database Claims'!$A:$C,2,)</f>
        <v>2122000</v>
      </c>
      <c r="E1644" s="30">
        <f t="shared" si="51"/>
        <v>-24000</v>
      </c>
    </row>
    <row r="1645" spans="1:5" x14ac:dyDescent="0.2">
      <c r="A1645" s="29">
        <v>35959</v>
      </c>
      <c r="B1645" s="26">
        <f>VLOOKUP(A1645,'Database Claims'!$A:$C,3,)</f>
        <v>321000</v>
      </c>
      <c r="C1645" s="30">
        <f t="shared" si="50"/>
        <v>15000</v>
      </c>
      <c r="D1645" s="26">
        <f>VLOOKUP(A1645,'Database Claims'!$A:$C,2,)</f>
        <v>2159000</v>
      </c>
      <c r="E1645" s="30">
        <f t="shared" si="51"/>
        <v>37000</v>
      </c>
    </row>
    <row r="1646" spans="1:5" x14ac:dyDescent="0.2">
      <c r="A1646" s="29">
        <v>35966</v>
      </c>
      <c r="B1646" s="30">
        <f>VLOOKUP(A1646,'Database Claims'!$A:$C,3,)</f>
        <v>349000</v>
      </c>
      <c r="C1646" s="30">
        <f t="shared" si="50"/>
        <v>28000</v>
      </c>
      <c r="D1646" s="30">
        <f>VLOOKUP(A1646,'Database Claims'!$A:$C,2,)</f>
        <v>2188000</v>
      </c>
      <c r="E1646" s="30">
        <f t="shared" si="51"/>
        <v>29000</v>
      </c>
    </row>
    <row r="1647" spans="1:5" x14ac:dyDescent="0.2">
      <c r="A1647" s="29">
        <v>35973</v>
      </c>
      <c r="B1647" s="26">
        <f>VLOOKUP(A1647,'Database Claims'!$A:$C,3,)</f>
        <v>376000</v>
      </c>
      <c r="C1647" s="30">
        <f t="shared" si="50"/>
        <v>27000</v>
      </c>
      <c r="D1647" s="26">
        <f>VLOOKUP(A1647,'Database Claims'!$A:$C,2,)</f>
        <v>2388000</v>
      </c>
      <c r="E1647" s="30">
        <f t="shared" si="51"/>
        <v>200000</v>
      </c>
    </row>
    <row r="1648" spans="1:5" x14ac:dyDescent="0.2">
      <c r="A1648" s="29">
        <v>35980</v>
      </c>
      <c r="B1648" s="30">
        <f>VLOOKUP(A1648,'Database Claims'!$A:$C,3,)</f>
        <v>362000</v>
      </c>
      <c r="C1648" s="30">
        <f t="shared" si="50"/>
        <v>-14000</v>
      </c>
      <c r="D1648" s="30">
        <f>VLOOKUP(A1648,'Database Claims'!$A:$C,2,)</f>
        <v>2290000</v>
      </c>
      <c r="E1648" s="30">
        <f t="shared" si="51"/>
        <v>-98000</v>
      </c>
    </row>
    <row r="1649" spans="1:5" x14ac:dyDescent="0.2">
      <c r="A1649" s="29">
        <v>35987</v>
      </c>
      <c r="B1649" s="26">
        <f>VLOOKUP(A1649,'Database Claims'!$A:$C,3,)</f>
        <v>320000</v>
      </c>
      <c r="C1649" s="30">
        <f t="shared" si="50"/>
        <v>-42000</v>
      </c>
      <c r="D1649" s="26">
        <f>VLOOKUP(A1649,'Database Claims'!$A:$C,2,)</f>
        <v>2323000</v>
      </c>
      <c r="E1649" s="30">
        <f t="shared" si="51"/>
        <v>33000</v>
      </c>
    </row>
    <row r="1650" spans="1:5" x14ac:dyDescent="0.2">
      <c r="A1650" s="29">
        <v>35994</v>
      </c>
      <c r="B1650" s="30">
        <f>VLOOKUP(A1650,'Database Claims'!$A:$C,3,)</f>
        <v>315000</v>
      </c>
      <c r="C1650" s="30">
        <f t="shared" si="50"/>
        <v>-5000</v>
      </c>
      <c r="D1650" s="30">
        <f>VLOOKUP(A1650,'Database Claims'!$A:$C,2,)</f>
        <v>2339000</v>
      </c>
      <c r="E1650" s="30">
        <f t="shared" si="51"/>
        <v>16000</v>
      </c>
    </row>
    <row r="1651" spans="1:5" x14ac:dyDescent="0.2">
      <c r="A1651" s="29">
        <v>36001</v>
      </c>
      <c r="B1651" s="26">
        <f>VLOOKUP(A1651,'Database Claims'!$A:$C,3,)</f>
        <v>335000</v>
      </c>
      <c r="C1651" s="30">
        <f t="shared" si="50"/>
        <v>20000</v>
      </c>
      <c r="D1651" s="26">
        <f>VLOOKUP(A1651,'Database Claims'!$A:$C,2,)</f>
        <v>2383000</v>
      </c>
      <c r="E1651" s="30">
        <f t="shared" si="51"/>
        <v>44000</v>
      </c>
    </row>
    <row r="1652" spans="1:5" x14ac:dyDescent="0.2">
      <c r="A1652" s="29">
        <v>36008</v>
      </c>
      <c r="B1652" s="30">
        <f>VLOOKUP(A1652,'Database Claims'!$A:$C,3,)</f>
        <v>327000</v>
      </c>
      <c r="C1652" s="30">
        <f t="shared" si="50"/>
        <v>-8000</v>
      </c>
      <c r="D1652" s="30">
        <f>VLOOKUP(A1652,'Database Claims'!$A:$C,2,)</f>
        <v>2336000</v>
      </c>
      <c r="E1652" s="30">
        <f t="shared" si="51"/>
        <v>-47000</v>
      </c>
    </row>
    <row r="1653" spans="1:5" x14ac:dyDescent="0.2">
      <c r="A1653" s="29">
        <v>36015</v>
      </c>
      <c r="B1653" s="26">
        <f>VLOOKUP(A1653,'Database Claims'!$A:$C,3,)</f>
        <v>316000</v>
      </c>
      <c r="C1653" s="30">
        <f t="shared" si="50"/>
        <v>-11000</v>
      </c>
      <c r="D1653" s="26">
        <f>VLOOKUP(A1653,'Database Claims'!$A:$C,2,)</f>
        <v>2258000</v>
      </c>
      <c r="E1653" s="30">
        <f t="shared" si="51"/>
        <v>-78000</v>
      </c>
    </row>
    <row r="1654" spans="1:5" x14ac:dyDescent="0.2">
      <c r="A1654" s="29">
        <v>36022</v>
      </c>
      <c r="B1654" s="30">
        <f>VLOOKUP(A1654,'Database Claims'!$A:$C,3,)</f>
        <v>308000</v>
      </c>
      <c r="C1654" s="30">
        <f t="shared" si="50"/>
        <v>-8000</v>
      </c>
      <c r="D1654" s="30">
        <f>VLOOKUP(A1654,'Database Claims'!$A:$C,2,)</f>
        <v>2210000</v>
      </c>
      <c r="E1654" s="30">
        <f t="shared" si="51"/>
        <v>-48000</v>
      </c>
    </row>
    <row r="1655" spans="1:5" x14ac:dyDescent="0.2">
      <c r="A1655" s="29">
        <v>36029</v>
      </c>
      <c r="B1655" s="26">
        <f>VLOOKUP(A1655,'Database Claims'!$A:$C,3,)</f>
        <v>302000</v>
      </c>
      <c r="C1655" s="30">
        <f t="shared" si="50"/>
        <v>-6000</v>
      </c>
      <c r="D1655" s="26">
        <f>VLOOKUP(A1655,'Database Claims'!$A:$C,2,)</f>
        <v>2202000</v>
      </c>
      <c r="E1655" s="30">
        <f t="shared" si="51"/>
        <v>-8000</v>
      </c>
    </row>
    <row r="1656" spans="1:5" x14ac:dyDescent="0.2">
      <c r="A1656" s="29">
        <v>36036</v>
      </c>
      <c r="B1656" s="30">
        <f>VLOOKUP(A1656,'Database Claims'!$A:$C,3,)</f>
        <v>310000</v>
      </c>
      <c r="C1656" s="30">
        <f t="shared" si="50"/>
        <v>8000</v>
      </c>
      <c r="D1656" s="30">
        <f>VLOOKUP(A1656,'Database Claims'!$A:$C,2,)</f>
        <v>2182000</v>
      </c>
      <c r="E1656" s="30">
        <f t="shared" si="51"/>
        <v>-20000</v>
      </c>
    </row>
    <row r="1657" spans="1:5" x14ac:dyDescent="0.2">
      <c r="A1657" s="29">
        <v>36043</v>
      </c>
      <c r="B1657" s="26">
        <f>VLOOKUP(A1657,'Database Claims'!$A:$C,3,)</f>
        <v>313000</v>
      </c>
      <c r="C1657" s="30">
        <f t="shared" si="50"/>
        <v>3000</v>
      </c>
      <c r="D1657" s="26">
        <f>VLOOKUP(A1657,'Database Claims'!$A:$C,2,)</f>
        <v>2160000</v>
      </c>
      <c r="E1657" s="30">
        <f t="shared" si="51"/>
        <v>-22000</v>
      </c>
    </row>
    <row r="1658" spans="1:5" x14ac:dyDescent="0.2">
      <c r="A1658" s="29">
        <v>36050</v>
      </c>
      <c r="B1658" s="30">
        <f>VLOOKUP(A1658,'Database Claims'!$A:$C,3,)</f>
        <v>304000</v>
      </c>
      <c r="C1658" s="30">
        <f t="shared" si="50"/>
        <v>-9000</v>
      </c>
      <c r="D1658" s="30">
        <f>VLOOKUP(A1658,'Database Claims'!$A:$C,2,)</f>
        <v>2190000</v>
      </c>
      <c r="E1658" s="30">
        <f t="shared" si="51"/>
        <v>30000</v>
      </c>
    </row>
    <row r="1659" spans="1:5" x14ac:dyDescent="0.2">
      <c r="A1659" s="29">
        <v>36057</v>
      </c>
      <c r="B1659" s="26">
        <f>VLOOKUP(A1659,'Database Claims'!$A:$C,3,)</f>
        <v>305000</v>
      </c>
      <c r="C1659" s="30">
        <f t="shared" si="50"/>
        <v>1000</v>
      </c>
      <c r="D1659" s="26">
        <f>VLOOKUP(A1659,'Database Claims'!$A:$C,2,)</f>
        <v>2114000</v>
      </c>
      <c r="E1659" s="30">
        <f t="shared" si="51"/>
        <v>-76000</v>
      </c>
    </row>
    <row r="1660" spans="1:5" x14ac:dyDescent="0.2">
      <c r="A1660" s="29">
        <v>36064</v>
      </c>
      <c r="B1660" s="30">
        <f>VLOOKUP(A1660,'Database Claims'!$A:$C,3,)</f>
        <v>294000</v>
      </c>
      <c r="C1660" s="30">
        <f t="shared" si="50"/>
        <v>-11000</v>
      </c>
      <c r="D1660" s="30">
        <f>VLOOKUP(A1660,'Database Claims'!$A:$C,2,)</f>
        <v>2148000</v>
      </c>
      <c r="E1660" s="30">
        <f t="shared" si="51"/>
        <v>34000</v>
      </c>
    </row>
    <row r="1661" spans="1:5" x14ac:dyDescent="0.2">
      <c r="A1661" s="29">
        <v>36071</v>
      </c>
      <c r="B1661" s="26">
        <f>VLOOKUP(A1661,'Database Claims'!$A:$C,3,)</f>
        <v>302000</v>
      </c>
      <c r="C1661" s="30">
        <f t="shared" si="50"/>
        <v>8000</v>
      </c>
      <c r="D1661" s="26">
        <f>VLOOKUP(A1661,'Database Claims'!$A:$C,2,)</f>
        <v>2156000</v>
      </c>
      <c r="E1661" s="30">
        <f t="shared" si="51"/>
        <v>8000</v>
      </c>
    </row>
    <row r="1662" spans="1:5" x14ac:dyDescent="0.2">
      <c r="A1662" s="29">
        <v>36078</v>
      </c>
      <c r="B1662" s="30">
        <f>VLOOKUP(A1662,'Database Claims'!$A:$C,3,)</f>
        <v>316000</v>
      </c>
      <c r="C1662" s="30">
        <f t="shared" si="50"/>
        <v>14000</v>
      </c>
      <c r="D1662" s="30">
        <f>VLOOKUP(A1662,'Database Claims'!$A:$C,2,)</f>
        <v>2167000</v>
      </c>
      <c r="E1662" s="30">
        <f t="shared" si="51"/>
        <v>11000</v>
      </c>
    </row>
    <row r="1663" spans="1:5" x14ac:dyDescent="0.2">
      <c r="A1663" s="29">
        <v>36085</v>
      </c>
      <c r="B1663" s="26">
        <f>VLOOKUP(A1663,'Database Claims'!$A:$C,3,)</f>
        <v>318000</v>
      </c>
      <c r="C1663" s="30">
        <f t="shared" si="50"/>
        <v>2000</v>
      </c>
      <c r="D1663" s="26">
        <f>VLOOKUP(A1663,'Database Claims'!$A:$C,2,)</f>
        <v>2168000</v>
      </c>
      <c r="E1663" s="30">
        <f t="shared" si="51"/>
        <v>1000</v>
      </c>
    </row>
    <row r="1664" spans="1:5" x14ac:dyDescent="0.2">
      <c r="A1664" s="29">
        <v>36092</v>
      </c>
      <c r="B1664" s="30">
        <f>VLOOKUP(A1664,'Database Claims'!$A:$C,3,)</f>
        <v>309000</v>
      </c>
      <c r="C1664" s="30">
        <f t="shared" si="50"/>
        <v>-9000</v>
      </c>
      <c r="D1664" s="30">
        <f>VLOOKUP(A1664,'Database Claims'!$A:$C,2,)</f>
        <v>2169000</v>
      </c>
      <c r="E1664" s="30">
        <f t="shared" si="51"/>
        <v>1000</v>
      </c>
    </row>
    <row r="1665" spans="1:5" x14ac:dyDescent="0.2">
      <c r="A1665" s="29">
        <v>36099</v>
      </c>
      <c r="B1665" s="26">
        <f>VLOOKUP(A1665,'Database Claims'!$A:$C,3,)</f>
        <v>308000</v>
      </c>
      <c r="C1665" s="30">
        <f t="shared" si="50"/>
        <v>-1000</v>
      </c>
      <c r="D1665" s="26">
        <f>VLOOKUP(A1665,'Database Claims'!$A:$C,2,)</f>
        <v>2162000</v>
      </c>
      <c r="E1665" s="30">
        <f t="shared" si="51"/>
        <v>-7000</v>
      </c>
    </row>
    <row r="1666" spans="1:5" x14ac:dyDescent="0.2">
      <c r="A1666" s="29">
        <v>36106</v>
      </c>
      <c r="B1666" s="30">
        <f>VLOOKUP(A1666,'Database Claims'!$A:$C,3,)</f>
        <v>316000</v>
      </c>
      <c r="C1666" s="30">
        <f t="shared" si="50"/>
        <v>8000</v>
      </c>
      <c r="D1666" s="30">
        <f>VLOOKUP(A1666,'Database Claims'!$A:$C,2,)</f>
        <v>2195000</v>
      </c>
      <c r="E1666" s="30">
        <f t="shared" si="51"/>
        <v>33000</v>
      </c>
    </row>
    <row r="1667" spans="1:5" x14ac:dyDescent="0.2">
      <c r="A1667" s="29">
        <v>36113</v>
      </c>
      <c r="B1667" s="26">
        <f>VLOOKUP(A1667,'Database Claims'!$A:$C,3,)</f>
        <v>334000</v>
      </c>
      <c r="C1667" s="30">
        <f t="shared" si="50"/>
        <v>18000</v>
      </c>
      <c r="D1667" s="26">
        <f>VLOOKUP(A1667,'Database Claims'!$A:$C,2,)</f>
        <v>2177000</v>
      </c>
      <c r="E1667" s="30">
        <f t="shared" si="51"/>
        <v>-18000</v>
      </c>
    </row>
    <row r="1668" spans="1:5" x14ac:dyDescent="0.2">
      <c r="A1668" s="29">
        <v>36120</v>
      </c>
      <c r="B1668" s="30">
        <f>VLOOKUP(A1668,'Database Claims'!$A:$C,3,)</f>
        <v>304000</v>
      </c>
      <c r="C1668" s="30">
        <f t="shared" si="50"/>
        <v>-30000</v>
      </c>
      <c r="D1668" s="30">
        <f>VLOOKUP(A1668,'Database Claims'!$A:$C,2,)</f>
        <v>2207000</v>
      </c>
      <c r="E1668" s="30">
        <f t="shared" si="51"/>
        <v>30000</v>
      </c>
    </row>
    <row r="1669" spans="1:5" x14ac:dyDescent="0.2">
      <c r="A1669" s="29">
        <v>36127</v>
      </c>
      <c r="B1669" s="26">
        <f>VLOOKUP(A1669,'Database Claims'!$A:$C,3,)</f>
        <v>310000</v>
      </c>
      <c r="C1669" s="30">
        <f t="shared" si="50"/>
        <v>6000</v>
      </c>
      <c r="D1669" s="26">
        <f>VLOOKUP(A1669,'Database Claims'!$A:$C,2,)</f>
        <v>2236000</v>
      </c>
      <c r="E1669" s="30">
        <f t="shared" si="51"/>
        <v>29000</v>
      </c>
    </row>
    <row r="1670" spans="1:5" x14ac:dyDescent="0.2">
      <c r="A1670" s="29">
        <v>36134</v>
      </c>
      <c r="B1670" s="30">
        <f>VLOOKUP(A1670,'Database Claims'!$A:$C,3,)</f>
        <v>326000</v>
      </c>
      <c r="C1670" s="30">
        <f t="shared" ref="C1670:C1733" si="52">B1670-B1669</f>
        <v>16000</v>
      </c>
      <c r="D1670" s="30">
        <f>VLOOKUP(A1670,'Database Claims'!$A:$C,2,)</f>
        <v>2239000</v>
      </c>
      <c r="E1670" s="30">
        <f t="shared" ref="E1670:E1733" si="53">D1670-D1669</f>
        <v>3000</v>
      </c>
    </row>
    <row r="1671" spans="1:5" x14ac:dyDescent="0.2">
      <c r="A1671" s="29">
        <v>36141</v>
      </c>
      <c r="B1671" s="26">
        <f>VLOOKUP(A1671,'Database Claims'!$A:$C,3,)</f>
        <v>305000</v>
      </c>
      <c r="C1671" s="30">
        <f t="shared" si="52"/>
        <v>-21000</v>
      </c>
      <c r="D1671" s="26">
        <f>VLOOKUP(A1671,'Database Claims'!$A:$C,2,)</f>
        <v>2205000</v>
      </c>
      <c r="E1671" s="30">
        <f t="shared" si="53"/>
        <v>-34000</v>
      </c>
    </row>
    <row r="1672" spans="1:5" x14ac:dyDescent="0.2">
      <c r="A1672" s="29">
        <v>36148</v>
      </c>
      <c r="B1672" s="30">
        <f>VLOOKUP(A1672,'Database Claims'!$A:$C,3,)</f>
        <v>297000</v>
      </c>
      <c r="C1672" s="30">
        <f t="shared" si="52"/>
        <v>-8000</v>
      </c>
      <c r="D1672" s="30">
        <f>VLOOKUP(A1672,'Database Claims'!$A:$C,2,)</f>
        <v>2171000</v>
      </c>
      <c r="E1672" s="30">
        <f t="shared" si="53"/>
        <v>-34000</v>
      </c>
    </row>
    <row r="1673" spans="1:5" x14ac:dyDescent="0.2">
      <c r="A1673" s="29">
        <v>36155</v>
      </c>
      <c r="B1673" s="26">
        <f>VLOOKUP(A1673,'Database Claims'!$A:$C,3,)</f>
        <v>336000</v>
      </c>
      <c r="C1673" s="30">
        <f t="shared" si="52"/>
        <v>39000</v>
      </c>
      <c r="D1673" s="26">
        <f>VLOOKUP(A1673,'Database Claims'!$A:$C,2,)</f>
        <v>2266000</v>
      </c>
      <c r="E1673" s="30">
        <f t="shared" si="53"/>
        <v>95000</v>
      </c>
    </row>
    <row r="1674" spans="1:5" x14ac:dyDescent="0.2">
      <c r="A1674" s="29">
        <v>36162</v>
      </c>
      <c r="B1674" s="30">
        <f>VLOOKUP(A1674,'Database Claims'!$A:$C,3,)</f>
        <v>331000</v>
      </c>
      <c r="C1674" s="30">
        <f t="shared" si="52"/>
        <v>-5000</v>
      </c>
      <c r="D1674" s="30">
        <f>VLOOKUP(A1674,'Database Claims'!$A:$C,2,)</f>
        <v>2303000</v>
      </c>
      <c r="E1674" s="30">
        <f t="shared" si="53"/>
        <v>37000</v>
      </c>
    </row>
    <row r="1675" spans="1:5" x14ac:dyDescent="0.2">
      <c r="A1675" s="29">
        <v>36169</v>
      </c>
      <c r="B1675" s="26">
        <f>VLOOKUP(A1675,'Database Claims'!$A:$C,3,)</f>
        <v>345000</v>
      </c>
      <c r="C1675" s="30">
        <f t="shared" si="52"/>
        <v>14000</v>
      </c>
      <c r="D1675" s="26">
        <f>VLOOKUP(A1675,'Database Claims'!$A:$C,2,)</f>
        <v>2289000</v>
      </c>
      <c r="E1675" s="30">
        <f t="shared" si="53"/>
        <v>-14000</v>
      </c>
    </row>
    <row r="1676" spans="1:5" x14ac:dyDescent="0.2">
      <c r="A1676" s="29">
        <v>36176</v>
      </c>
      <c r="B1676" s="30">
        <f>VLOOKUP(A1676,'Database Claims'!$A:$C,3,)</f>
        <v>339000</v>
      </c>
      <c r="C1676" s="30">
        <f t="shared" si="52"/>
        <v>-6000</v>
      </c>
      <c r="D1676" s="30">
        <f>VLOOKUP(A1676,'Database Claims'!$A:$C,2,)</f>
        <v>2316000</v>
      </c>
      <c r="E1676" s="30">
        <f t="shared" si="53"/>
        <v>27000</v>
      </c>
    </row>
    <row r="1677" spans="1:5" x14ac:dyDescent="0.2">
      <c r="A1677" s="29">
        <v>36183</v>
      </c>
      <c r="B1677" s="26">
        <f>VLOOKUP(A1677,'Database Claims'!$A:$C,3,)</f>
        <v>311000</v>
      </c>
      <c r="C1677" s="30">
        <f t="shared" si="52"/>
        <v>-28000</v>
      </c>
      <c r="D1677" s="26">
        <f>VLOOKUP(A1677,'Database Claims'!$A:$C,2,)</f>
        <v>2269000</v>
      </c>
      <c r="E1677" s="30">
        <f t="shared" si="53"/>
        <v>-47000</v>
      </c>
    </row>
    <row r="1678" spans="1:5" x14ac:dyDescent="0.2">
      <c r="A1678" s="29">
        <v>36190</v>
      </c>
      <c r="B1678" s="30">
        <f>VLOOKUP(A1678,'Database Claims'!$A:$C,3,)</f>
        <v>305000</v>
      </c>
      <c r="C1678" s="30">
        <f t="shared" si="52"/>
        <v>-6000</v>
      </c>
      <c r="D1678" s="30">
        <f>VLOOKUP(A1678,'Database Claims'!$A:$C,2,)</f>
        <v>2259000</v>
      </c>
      <c r="E1678" s="30">
        <f t="shared" si="53"/>
        <v>-10000</v>
      </c>
    </row>
    <row r="1679" spans="1:5" x14ac:dyDescent="0.2">
      <c r="A1679" s="29">
        <v>36197</v>
      </c>
      <c r="B1679" s="26">
        <f>VLOOKUP(A1679,'Database Claims'!$A:$C,3,)</f>
        <v>291000</v>
      </c>
      <c r="C1679" s="30">
        <f t="shared" si="52"/>
        <v>-14000</v>
      </c>
      <c r="D1679" s="26">
        <f>VLOOKUP(A1679,'Database Claims'!$A:$C,2,)</f>
        <v>2253000</v>
      </c>
      <c r="E1679" s="30">
        <f t="shared" si="53"/>
        <v>-6000</v>
      </c>
    </row>
    <row r="1680" spans="1:5" x14ac:dyDescent="0.2">
      <c r="A1680" s="29">
        <v>36204</v>
      </c>
      <c r="B1680" s="30">
        <f>VLOOKUP(A1680,'Database Claims'!$A:$C,3,)</f>
        <v>312000</v>
      </c>
      <c r="C1680" s="30">
        <f t="shared" si="52"/>
        <v>21000</v>
      </c>
      <c r="D1680" s="30">
        <f>VLOOKUP(A1680,'Database Claims'!$A:$C,2,)</f>
        <v>2253000</v>
      </c>
      <c r="E1680" s="30">
        <f t="shared" si="53"/>
        <v>0</v>
      </c>
    </row>
    <row r="1681" spans="1:5" x14ac:dyDescent="0.2">
      <c r="A1681" s="29">
        <v>36211</v>
      </c>
      <c r="B1681" s="26">
        <f>VLOOKUP(A1681,'Database Claims'!$A:$C,3,)</f>
        <v>302000</v>
      </c>
      <c r="C1681" s="30">
        <f t="shared" si="52"/>
        <v>-10000</v>
      </c>
      <c r="D1681" s="26">
        <f>VLOOKUP(A1681,'Database Claims'!$A:$C,2,)</f>
        <v>2237000</v>
      </c>
      <c r="E1681" s="30">
        <f t="shared" si="53"/>
        <v>-16000</v>
      </c>
    </row>
    <row r="1682" spans="1:5" x14ac:dyDescent="0.2">
      <c r="A1682" s="29">
        <v>36218</v>
      </c>
      <c r="B1682" s="30">
        <f>VLOOKUP(A1682,'Database Claims'!$A:$C,3,)</f>
        <v>301000</v>
      </c>
      <c r="C1682" s="30">
        <f t="shared" si="52"/>
        <v>-1000</v>
      </c>
      <c r="D1682" s="30">
        <f>VLOOKUP(A1682,'Database Claims'!$A:$C,2,)</f>
        <v>2219000</v>
      </c>
      <c r="E1682" s="30">
        <f t="shared" si="53"/>
        <v>-18000</v>
      </c>
    </row>
    <row r="1683" spans="1:5" x14ac:dyDescent="0.2">
      <c r="A1683" s="29">
        <v>36225</v>
      </c>
      <c r="B1683" s="26">
        <f>VLOOKUP(A1683,'Database Claims'!$A:$C,3,)</f>
        <v>300000</v>
      </c>
      <c r="C1683" s="30">
        <f t="shared" si="52"/>
        <v>-1000</v>
      </c>
      <c r="D1683" s="26">
        <f>VLOOKUP(A1683,'Database Claims'!$A:$C,2,)</f>
        <v>2238000</v>
      </c>
      <c r="E1683" s="30">
        <f t="shared" si="53"/>
        <v>19000</v>
      </c>
    </row>
    <row r="1684" spans="1:5" x14ac:dyDescent="0.2">
      <c r="A1684" s="29">
        <v>36232</v>
      </c>
      <c r="B1684" s="30">
        <f>VLOOKUP(A1684,'Database Claims'!$A:$C,3,)</f>
        <v>308000</v>
      </c>
      <c r="C1684" s="30">
        <f t="shared" si="52"/>
        <v>8000</v>
      </c>
      <c r="D1684" s="30">
        <f>VLOOKUP(A1684,'Database Claims'!$A:$C,2,)</f>
        <v>2232000</v>
      </c>
      <c r="E1684" s="30">
        <f t="shared" si="53"/>
        <v>-6000</v>
      </c>
    </row>
    <row r="1685" spans="1:5" x14ac:dyDescent="0.2">
      <c r="A1685" s="29">
        <v>36239</v>
      </c>
      <c r="B1685" s="26">
        <f>VLOOKUP(A1685,'Database Claims'!$A:$C,3,)</f>
        <v>305000</v>
      </c>
      <c r="C1685" s="30">
        <f t="shared" si="52"/>
        <v>-3000</v>
      </c>
      <c r="D1685" s="26">
        <f>VLOOKUP(A1685,'Database Claims'!$A:$C,2,)</f>
        <v>2247000</v>
      </c>
      <c r="E1685" s="30">
        <f t="shared" si="53"/>
        <v>15000</v>
      </c>
    </row>
    <row r="1686" spans="1:5" x14ac:dyDescent="0.2">
      <c r="A1686" s="29">
        <v>36246</v>
      </c>
      <c r="B1686" s="30">
        <f>VLOOKUP(A1686,'Database Claims'!$A:$C,3,)</f>
        <v>298000</v>
      </c>
      <c r="C1686" s="30">
        <f t="shared" si="52"/>
        <v>-7000</v>
      </c>
      <c r="D1686" s="30">
        <f>VLOOKUP(A1686,'Database Claims'!$A:$C,2,)</f>
        <v>2191000</v>
      </c>
      <c r="E1686" s="30">
        <f t="shared" si="53"/>
        <v>-56000</v>
      </c>
    </row>
    <row r="1687" spans="1:5" x14ac:dyDescent="0.2">
      <c r="A1687" s="29">
        <v>36253</v>
      </c>
      <c r="B1687" s="26">
        <f>VLOOKUP(A1687,'Database Claims'!$A:$C,3,)</f>
        <v>310000</v>
      </c>
      <c r="C1687" s="30">
        <f t="shared" si="52"/>
        <v>12000</v>
      </c>
      <c r="D1687" s="26">
        <f>VLOOKUP(A1687,'Database Claims'!$A:$C,2,)</f>
        <v>2280000</v>
      </c>
      <c r="E1687" s="30">
        <f t="shared" si="53"/>
        <v>89000</v>
      </c>
    </row>
    <row r="1688" spans="1:5" x14ac:dyDescent="0.2">
      <c r="A1688" s="29">
        <v>36260</v>
      </c>
      <c r="B1688" s="30">
        <f>VLOOKUP(A1688,'Database Claims'!$A:$C,3,)</f>
        <v>319000</v>
      </c>
      <c r="C1688" s="30">
        <f t="shared" si="52"/>
        <v>9000</v>
      </c>
      <c r="D1688" s="30">
        <f>VLOOKUP(A1688,'Database Claims'!$A:$C,2,)</f>
        <v>2247000</v>
      </c>
      <c r="E1688" s="30">
        <f t="shared" si="53"/>
        <v>-33000</v>
      </c>
    </row>
    <row r="1689" spans="1:5" x14ac:dyDescent="0.2">
      <c r="A1689" s="29">
        <v>36267</v>
      </c>
      <c r="B1689" s="26">
        <f>VLOOKUP(A1689,'Database Claims'!$A:$C,3,)</f>
        <v>314000</v>
      </c>
      <c r="C1689" s="30">
        <f t="shared" si="52"/>
        <v>-5000</v>
      </c>
      <c r="D1689" s="26">
        <f>VLOOKUP(A1689,'Database Claims'!$A:$C,2,)</f>
        <v>2230000</v>
      </c>
      <c r="E1689" s="30">
        <f t="shared" si="53"/>
        <v>-17000</v>
      </c>
    </row>
    <row r="1690" spans="1:5" x14ac:dyDescent="0.2">
      <c r="A1690" s="29">
        <v>36274</v>
      </c>
      <c r="B1690" s="30">
        <f>VLOOKUP(A1690,'Database Claims'!$A:$C,3,)</f>
        <v>291000</v>
      </c>
      <c r="C1690" s="30">
        <f t="shared" si="52"/>
        <v>-23000</v>
      </c>
      <c r="D1690" s="30">
        <f>VLOOKUP(A1690,'Database Claims'!$A:$C,2,)</f>
        <v>2193000</v>
      </c>
      <c r="E1690" s="30">
        <f t="shared" si="53"/>
        <v>-37000</v>
      </c>
    </row>
    <row r="1691" spans="1:5" x14ac:dyDescent="0.2">
      <c r="A1691" s="29">
        <v>36281</v>
      </c>
      <c r="B1691" s="26">
        <f>VLOOKUP(A1691,'Database Claims'!$A:$C,3,)</f>
        <v>296000</v>
      </c>
      <c r="C1691" s="30">
        <f t="shared" si="52"/>
        <v>5000</v>
      </c>
      <c r="D1691" s="26">
        <f>VLOOKUP(A1691,'Database Claims'!$A:$C,2,)</f>
        <v>2226000</v>
      </c>
      <c r="E1691" s="30">
        <f t="shared" si="53"/>
        <v>33000</v>
      </c>
    </row>
    <row r="1692" spans="1:5" x14ac:dyDescent="0.2">
      <c r="A1692" s="29">
        <v>36288</v>
      </c>
      <c r="B1692" s="30">
        <f>VLOOKUP(A1692,'Database Claims'!$A:$C,3,)</f>
        <v>310000</v>
      </c>
      <c r="C1692" s="30">
        <f t="shared" si="52"/>
        <v>14000</v>
      </c>
      <c r="D1692" s="30">
        <f>VLOOKUP(A1692,'Database Claims'!$A:$C,2,)</f>
        <v>2200000</v>
      </c>
      <c r="E1692" s="30">
        <f t="shared" si="53"/>
        <v>-26000</v>
      </c>
    </row>
    <row r="1693" spans="1:5" x14ac:dyDescent="0.2">
      <c r="A1693" s="29">
        <v>36295</v>
      </c>
      <c r="B1693" s="26">
        <f>VLOOKUP(A1693,'Database Claims'!$A:$C,3,)</f>
        <v>301000</v>
      </c>
      <c r="C1693" s="30">
        <f t="shared" si="52"/>
        <v>-9000</v>
      </c>
      <c r="D1693" s="26">
        <f>VLOOKUP(A1693,'Database Claims'!$A:$C,2,)</f>
        <v>2232000</v>
      </c>
      <c r="E1693" s="30">
        <f t="shared" si="53"/>
        <v>32000</v>
      </c>
    </row>
    <row r="1694" spans="1:5" x14ac:dyDescent="0.2">
      <c r="A1694" s="29">
        <v>36302</v>
      </c>
      <c r="B1694" s="30">
        <f>VLOOKUP(A1694,'Database Claims'!$A:$C,3,)</f>
        <v>298000</v>
      </c>
      <c r="C1694" s="30">
        <f t="shared" si="52"/>
        <v>-3000</v>
      </c>
      <c r="D1694" s="30">
        <f>VLOOKUP(A1694,'Database Claims'!$A:$C,2,)</f>
        <v>2223000</v>
      </c>
      <c r="E1694" s="30">
        <f t="shared" si="53"/>
        <v>-9000</v>
      </c>
    </row>
    <row r="1695" spans="1:5" x14ac:dyDescent="0.2">
      <c r="A1695" s="29">
        <v>36309</v>
      </c>
      <c r="B1695" s="26">
        <f>VLOOKUP(A1695,'Database Claims'!$A:$C,3,)</f>
        <v>303000</v>
      </c>
      <c r="C1695" s="30">
        <f t="shared" si="52"/>
        <v>5000</v>
      </c>
      <c r="D1695" s="26">
        <f>VLOOKUP(A1695,'Database Claims'!$A:$C,2,)</f>
        <v>2191000</v>
      </c>
      <c r="E1695" s="30">
        <f t="shared" si="53"/>
        <v>-32000</v>
      </c>
    </row>
    <row r="1696" spans="1:5" x14ac:dyDescent="0.2">
      <c r="A1696" s="29">
        <v>36316</v>
      </c>
      <c r="B1696" s="30">
        <f>VLOOKUP(A1696,'Database Claims'!$A:$C,3,)</f>
        <v>303000</v>
      </c>
      <c r="C1696" s="30">
        <f t="shared" si="52"/>
        <v>0</v>
      </c>
      <c r="D1696" s="30">
        <f>VLOOKUP(A1696,'Database Claims'!$A:$C,2,)</f>
        <v>2194000</v>
      </c>
      <c r="E1696" s="30">
        <f t="shared" si="53"/>
        <v>3000</v>
      </c>
    </row>
    <row r="1697" spans="1:5" x14ac:dyDescent="0.2">
      <c r="A1697" s="29">
        <v>36323</v>
      </c>
      <c r="B1697" s="26">
        <f>VLOOKUP(A1697,'Database Claims'!$A:$C,3,)</f>
        <v>290000</v>
      </c>
      <c r="C1697" s="30">
        <f t="shared" si="52"/>
        <v>-13000</v>
      </c>
      <c r="D1697" s="26">
        <f>VLOOKUP(A1697,'Database Claims'!$A:$C,2,)</f>
        <v>2215000</v>
      </c>
      <c r="E1697" s="30">
        <f t="shared" si="53"/>
        <v>21000</v>
      </c>
    </row>
    <row r="1698" spans="1:5" x14ac:dyDescent="0.2">
      <c r="A1698" s="29">
        <v>36330</v>
      </c>
      <c r="B1698" s="30">
        <f>VLOOKUP(A1698,'Database Claims'!$A:$C,3,)</f>
        <v>292000</v>
      </c>
      <c r="C1698" s="30">
        <f t="shared" si="52"/>
        <v>2000</v>
      </c>
      <c r="D1698" s="30">
        <f>VLOOKUP(A1698,'Database Claims'!$A:$C,2,)</f>
        <v>2183000</v>
      </c>
      <c r="E1698" s="30">
        <f t="shared" si="53"/>
        <v>-32000</v>
      </c>
    </row>
    <row r="1699" spans="1:5" x14ac:dyDescent="0.2">
      <c r="A1699" s="29">
        <v>36337</v>
      </c>
      <c r="B1699" s="26">
        <f>VLOOKUP(A1699,'Database Claims'!$A:$C,3,)</f>
        <v>291000</v>
      </c>
      <c r="C1699" s="30">
        <f t="shared" si="52"/>
        <v>-1000</v>
      </c>
      <c r="D1699" s="26">
        <f>VLOOKUP(A1699,'Database Claims'!$A:$C,2,)</f>
        <v>2177000</v>
      </c>
      <c r="E1699" s="30">
        <f t="shared" si="53"/>
        <v>-6000</v>
      </c>
    </row>
    <row r="1700" spans="1:5" x14ac:dyDescent="0.2">
      <c r="A1700" s="29">
        <v>36344</v>
      </c>
      <c r="B1700" s="30">
        <f>VLOOKUP(A1700,'Database Claims'!$A:$C,3,)</f>
        <v>287000</v>
      </c>
      <c r="C1700" s="30">
        <f t="shared" si="52"/>
        <v>-4000</v>
      </c>
      <c r="D1700" s="30">
        <f>VLOOKUP(A1700,'Database Claims'!$A:$C,2,)</f>
        <v>2202000</v>
      </c>
      <c r="E1700" s="30">
        <f t="shared" si="53"/>
        <v>25000</v>
      </c>
    </row>
    <row r="1701" spans="1:5" x14ac:dyDescent="0.2">
      <c r="A1701" s="29">
        <v>36351</v>
      </c>
      <c r="B1701" s="26">
        <f>VLOOKUP(A1701,'Database Claims'!$A:$C,3,)</f>
        <v>288000</v>
      </c>
      <c r="C1701" s="30">
        <f t="shared" si="52"/>
        <v>1000</v>
      </c>
      <c r="D1701" s="26">
        <f>VLOOKUP(A1701,'Database Claims'!$A:$C,2,)</f>
        <v>2171000</v>
      </c>
      <c r="E1701" s="30">
        <f t="shared" si="53"/>
        <v>-31000</v>
      </c>
    </row>
    <row r="1702" spans="1:5" x14ac:dyDescent="0.2">
      <c r="A1702" s="29">
        <v>36358</v>
      </c>
      <c r="B1702" s="30">
        <f>VLOOKUP(A1702,'Database Claims'!$A:$C,3,)</f>
        <v>309000</v>
      </c>
      <c r="C1702" s="30">
        <f t="shared" si="52"/>
        <v>21000</v>
      </c>
      <c r="D1702" s="30">
        <f>VLOOKUP(A1702,'Database Claims'!$A:$C,2,)</f>
        <v>2226000</v>
      </c>
      <c r="E1702" s="30">
        <f t="shared" si="53"/>
        <v>55000</v>
      </c>
    </row>
    <row r="1703" spans="1:5" x14ac:dyDescent="0.2">
      <c r="A1703" s="29">
        <v>36365</v>
      </c>
      <c r="B1703" s="26">
        <f>VLOOKUP(A1703,'Database Claims'!$A:$C,3,)</f>
        <v>306000</v>
      </c>
      <c r="C1703" s="30">
        <f t="shared" si="52"/>
        <v>-3000</v>
      </c>
      <c r="D1703" s="26">
        <f>VLOOKUP(A1703,'Database Claims'!$A:$C,2,)</f>
        <v>2203000</v>
      </c>
      <c r="E1703" s="30">
        <f t="shared" si="53"/>
        <v>-23000</v>
      </c>
    </row>
    <row r="1704" spans="1:5" x14ac:dyDescent="0.2">
      <c r="A1704" s="29">
        <v>36372</v>
      </c>
      <c r="B1704" s="30">
        <f>VLOOKUP(A1704,'Database Claims'!$A:$C,3,)</f>
        <v>300000</v>
      </c>
      <c r="C1704" s="30">
        <f t="shared" si="52"/>
        <v>-6000</v>
      </c>
      <c r="D1704" s="30">
        <f>VLOOKUP(A1704,'Database Claims'!$A:$C,2,)</f>
        <v>2164000</v>
      </c>
      <c r="E1704" s="30">
        <f t="shared" si="53"/>
        <v>-39000</v>
      </c>
    </row>
    <row r="1705" spans="1:5" x14ac:dyDescent="0.2">
      <c r="A1705" s="29">
        <v>36379</v>
      </c>
      <c r="B1705" s="26">
        <f>VLOOKUP(A1705,'Database Claims'!$A:$C,3,)</f>
        <v>295000</v>
      </c>
      <c r="C1705" s="30">
        <f t="shared" si="52"/>
        <v>-5000</v>
      </c>
      <c r="D1705" s="26">
        <f>VLOOKUP(A1705,'Database Claims'!$A:$C,2,)</f>
        <v>2192000</v>
      </c>
      <c r="E1705" s="30">
        <f t="shared" si="53"/>
        <v>28000</v>
      </c>
    </row>
    <row r="1706" spans="1:5" x14ac:dyDescent="0.2">
      <c r="A1706" s="29">
        <v>36386</v>
      </c>
      <c r="B1706" s="30">
        <f>VLOOKUP(A1706,'Database Claims'!$A:$C,3,)</f>
        <v>292000</v>
      </c>
      <c r="C1706" s="30">
        <f t="shared" si="52"/>
        <v>-3000</v>
      </c>
      <c r="D1706" s="30">
        <f>VLOOKUP(A1706,'Database Claims'!$A:$C,2,)</f>
        <v>2176000</v>
      </c>
      <c r="E1706" s="30">
        <f t="shared" si="53"/>
        <v>-16000</v>
      </c>
    </row>
    <row r="1707" spans="1:5" x14ac:dyDescent="0.2">
      <c r="A1707" s="29">
        <v>36393</v>
      </c>
      <c r="B1707" s="26">
        <f>VLOOKUP(A1707,'Database Claims'!$A:$C,3,)</f>
        <v>286000</v>
      </c>
      <c r="C1707" s="30">
        <f t="shared" si="52"/>
        <v>-6000</v>
      </c>
      <c r="D1707" s="26">
        <f>VLOOKUP(A1707,'Database Claims'!$A:$C,2,)</f>
        <v>2185000</v>
      </c>
      <c r="E1707" s="30">
        <f t="shared" si="53"/>
        <v>9000</v>
      </c>
    </row>
    <row r="1708" spans="1:5" x14ac:dyDescent="0.2">
      <c r="A1708" s="29">
        <v>36400</v>
      </c>
      <c r="B1708" s="30">
        <f>VLOOKUP(A1708,'Database Claims'!$A:$C,3,)</f>
        <v>290000</v>
      </c>
      <c r="C1708" s="30">
        <f t="shared" si="52"/>
        <v>4000</v>
      </c>
      <c r="D1708" s="30">
        <f>VLOOKUP(A1708,'Database Claims'!$A:$C,2,)</f>
        <v>2168000</v>
      </c>
      <c r="E1708" s="30">
        <f t="shared" si="53"/>
        <v>-17000</v>
      </c>
    </row>
    <row r="1709" spans="1:5" x14ac:dyDescent="0.2">
      <c r="A1709" s="29">
        <v>36407</v>
      </c>
      <c r="B1709" s="26">
        <f>VLOOKUP(A1709,'Database Claims'!$A:$C,3,)</f>
        <v>290000</v>
      </c>
      <c r="C1709" s="30">
        <f t="shared" si="52"/>
        <v>0</v>
      </c>
      <c r="D1709" s="26">
        <f>VLOOKUP(A1709,'Database Claims'!$A:$C,2,)</f>
        <v>2157000</v>
      </c>
      <c r="E1709" s="30">
        <f t="shared" si="53"/>
        <v>-11000</v>
      </c>
    </row>
    <row r="1710" spans="1:5" x14ac:dyDescent="0.2">
      <c r="A1710" s="29">
        <v>36414</v>
      </c>
      <c r="B1710" s="30">
        <f>VLOOKUP(A1710,'Database Claims'!$A:$C,3,)</f>
        <v>281000</v>
      </c>
      <c r="C1710" s="30">
        <f t="shared" si="52"/>
        <v>-9000</v>
      </c>
      <c r="D1710" s="30">
        <f>VLOOKUP(A1710,'Database Claims'!$A:$C,2,)</f>
        <v>2163000</v>
      </c>
      <c r="E1710" s="30">
        <f t="shared" si="53"/>
        <v>6000</v>
      </c>
    </row>
    <row r="1711" spans="1:5" x14ac:dyDescent="0.2">
      <c r="A1711" s="29">
        <v>36421</v>
      </c>
      <c r="B1711" s="26">
        <f>VLOOKUP(A1711,'Database Claims'!$A:$C,3,)</f>
        <v>281000</v>
      </c>
      <c r="C1711" s="30">
        <f t="shared" si="52"/>
        <v>0</v>
      </c>
      <c r="D1711" s="26">
        <f>VLOOKUP(A1711,'Database Claims'!$A:$C,2,)</f>
        <v>2170000</v>
      </c>
      <c r="E1711" s="30">
        <f t="shared" si="53"/>
        <v>7000</v>
      </c>
    </row>
    <row r="1712" spans="1:5" x14ac:dyDescent="0.2">
      <c r="A1712" s="29">
        <v>36428</v>
      </c>
      <c r="B1712" s="30">
        <f>VLOOKUP(A1712,'Database Claims'!$A:$C,3,)</f>
        <v>306000</v>
      </c>
      <c r="C1712" s="30">
        <f t="shared" si="52"/>
        <v>25000</v>
      </c>
      <c r="D1712" s="30">
        <f>VLOOKUP(A1712,'Database Claims'!$A:$C,2,)</f>
        <v>2158000</v>
      </c>
      <c r="E1712" s="30">
        <f t="shared" si="53"/>
        <v>-12000</v>
      </c>
    </row>
    <row r="1713" spans="1:5" x14ac:dyDescent="0.2">
      <c r="A1713" s="29">
        <v>36435</v>
      </c>
      <c r="B1713" s="26">
        <f>VLOOKUP(A1713,'Database Claims'!$A:$C,3,)</f>
        <v>309000</v>
      </c>
      <c r="C1713" s="30">
        <f t="shared" si="52"/>
        <v>3000</v>
      </c>
      <c r="D1713" s="26">
        <f>VLOOKUP(A1713,'Database Claims'!$A:$C,2,)</f>
        <v>2139000</v>
      </c>
      <c r="E1713" s="30">
        <f t="shared" si="53"/>
        <v>-19000</v>
      </c>
    </row>
    <row r="1714" spans="1:5" x14ac:dyDescent="0.2">
      <c r="A1714" s="29">
        <v>36442</v>
      </c>
      <c r="B1714" s="30">
        <f>VLOOKUP(A1714,'Database Claims'!$A:$C,3,)</f>
        <v>291000</v>
      </c>
      <c r="C1714" s="30">
        <f t="shared" si="52"/>
        <v>-18000</v>
      </c>
      <c r="D1714" s="30">
        <f>VLOOKUP(A1714,'Database Claims'!$A:$C,2,)</f>
        <v>2105000</v>
      </c>
      <c r="E1714" s="30">
        <f t="shared" si="53"/>
        <v>-34000</v>
      </c>
    </row>
    <row r="1715" spans="1:5" x14ac:dyDescent="0.2">
      <c r="A1715" s="29">
        <v>36449</v>
      </c>
      <c r="B1715" s="26">
        <f>VLOOKUP(A1715,'Database Claims'!$A:$C,3,)</f>
        <v>287000</v>
      </c>
      <c r="C1715" s="30">
        <f t="shared" si="52"/>
        <v>-4000</v>
      </c>
      <c r="D1715" s="26">
        <f>VLOOKUP(A1715,'Database Claims'!$A:$C,2,)</f>
        <v>2102000</v>
      </c>
      <c r="E1715" s="30">
        <f t="shared" si="53"/>
        <v>-3000</v>
      </c>
    </row>
    <row r="1716" spans="1:5" x14ac:dyDescent="0.2">
      <c r="A1716" s="29">
        <v>36456</v>
      </c>
      <c r="B1716" s="30">
        <f>VLOOKUP(A1716,'Database Claims'!$A:$C,3,)</f>
        <v>280000</v>
      </c>
      <c r="C1716" s="30">
        <f t="shared" si="52"/>
        <v>-7000</v>
      </c>
      <c r="D1716" s="30">
        <f>VLOOKUP(A1716,'Database Claims'!$A:$C,2,)</f>
        <v>2086000</v>
      </c>
      <c r="E1716" s="30">
        <f t="shared" si="53"/>
        <v>-16000</v>
      </c>
    </row>
    <row r="1717" spans="1:5" x14ac:dyDescent="0.2">
      <c r="A1717" s="29">
        <v>36463</v>
      </c>
      <c r="B1717" s="26">
        <f>VLOOKUP(A1717,'Database Claims'!$A:$C,3,)</f>
        <v>285000</v>
      </c>
      <c r="C1717" s="30">
        <f t="shared" si="52"/>
        <v>5000</v>
      </c>
      <c r="D1717" s="26">
        <f>VLOOKUP(A1717,'Database Claims'!$A:$C,2,)</f>
        <v>2082000</v>
      </c>
      <c r="E1717" s="30">
        <f t="shared" si="53"/>
        <v>-4000</v>
      </c>
    </row>
    <row r="1718" spans="1:5" x14ac:dyDescent="0.2">
      <c r="A1718" s="29">
        <v>36470</v>
      </c>
      <c r="B1718" s="30">
        <f>VLOOKUP(A1718,'Database Claims'!$A:$C,3,)</f>
        <v>282000</v>
      </c>
      <c r="C1718" s="30">
        <f t="shared" si="52"/>
        <v>-3000</v>
      </c>
      <c r="D1718" s="30">
        <f>VLOOKUP(A1718,'Database Claims'!$A:$C,2,)</f>
        <v>2099000</v>
      </c>
      <c r="E1718" s="30">
        <f t="shared" si="53"/>
        <v>17000</v>
      </c>
    </row>
    <row r="1719" spans="1:5" x14ac:dyDescent="0.2">
      <c r="A1719" s="29">
        <v>36477</v>
      </c>
      <c r="B1719" s="26">
        <f>VLOOKUP(A1719,'Database Claims'!$A:$C,3,)</f>
        <v>281000</v>
      </c>
      <c r="C1719" s="30">
        <f t="shared" si="52"/>
        <v>-1000</v>
      </c>
      <c r="D1719" s="26">
        <f>VLOOKUP(A1719,'Database Claims'!$A:$C,2,)</f>
        <v>2035000</v>
      </c>
      <c r="E1719" s="30">
        <f t="shared" si="53"/>
        <v>-64000</v>
      </c>
    </row>
    <row r="1720" spans="1:5" x14ac:dyDescent="0.2">
      <c r="A1720" s="29">
        <v>36484</v>
      </c>
      <c r="B1720" s="30">
        <f>VLOOKUP(A1720,'Database Claims'!$A:$C,3,)</f>
        <v>276000</v>
      </c>
      <c r="C1720" s="30">
        <f t="shared" si="52"/>
        <v>-5000</v>
      </c>
      <c r="D1720" s="30">
        <f>VLOOKUP(A1720,'Database Claims'!$A:$C,2,)</f>
        <v>2111000</v>
      </c>
      <c r="E1720" s="30">
        <f t="shared" si="53"/>
        <v>76000</v>
      </c>
    </row>
    <row r="1721" spans="1:5" x14ac:dyDescent="0.2">
      <c r="A1721" s="29">
        <v>36491</v>
      </c>
      <c r="B1721" s="26">
        <f>VLOOKUP(A1721,'Database Claims'!$A:$C,3,)</f>
        <v>288000</v>
      </c>
      <c r="C1721" s="30">
        <f t="shared" si="52"/>
        <v>12000</v>
      </c>
      <c r="D1721" s="26">
        <f>VLOOKUP(A1721,'Database Claims'!$A:$C,2,)</f>
        <v>2098000</v>
      </c>
      <c r="E1721" s="30">
        <f t="shared" si="53"/>
        <v>-13000</v>
      </c>
    </row>
    <row r="1722" spans="1:5" x14ac:dyDescent="0.2">
      <c r="A1722" s="29">
        <v>36498</v>
      </c>
      <c r="B1722" s="30">
        <f>VLOOKUP(A1722,'Database Claims'!$A:$C,3,)</f>
        <v>287000</v>
      </c>
      <c r="C1722" s="30">
        <f t="shared" si="52"/>
        <v>-1000</v>
      </c>
      <c r="D1722" s="30">
        <f>VLOOKUP(A1722,'Database Claims'!$A:$C,2,)</f>
        <v>2094000</v>
      </c>
      <c r="E1722" s="30">
        <f t="shared" si="53"/>
        <v>-4000</v>
      </c>
    </row>
    <row r="1723" spans="1:5" x14ac:dyDescent="0.2">
      <c r="A1723" s="29">
        <v>36505</v>
      </c>
      <c r="B1723" s="26">
        <f>VLOOKUP(A1723,'Database Claims'!$A:$C,3,)</f>
        <v>272000</v>
      </c>
      <c r="C1723" s="30">
        <f t="shared" si="52"/>
        <v>-15000</v>
      </c>
      <c r="D1723" s="26">
        <f>VLOOKUP(A1723,'Database Claims'!$A:$C,2,)</f>
        <v>2070000</v>
      </c>
      <c r="E1723" s="30">
        <f t="shared" si="53"/>
        <v>-24000</v>
      </c>
    </row>
    <row r="1724" spans="1:5" x14ac:dyDescent="0.2">
      <c r="A1724" s="29">
        <v>36512</v>
      </c>
      <c r="B1724" s="30">
        <f>VLOOKUP(A1724,'Database Claims'!$A:$C,3,)</f>
        <v>287000</v>
      </c>
      <c r="C1724" s="30">
        <f t="shared" si="52"/>
        <v>15000</v>
      </c>
      <c r="D1724" s="30">
        <f>VLOOKUP(A1724,'Database Claims'!$A:$C,2,)</f>
        <v>2123000</v>
      </c>
      <c r="E1724" s="30">
        <f t="shared" si="53"/>
        <v>53000</v>
      </c>
    </row>
    <row r="1725" spans="1:5" x14ac:dyDescent="0.2">
      <c r="A1725" s="29">
        <v>36519</v>
      </c>
      <c r="B1725" s="26">
        <f>VLOOKUP(A1725,'Database Claims'!$A:$C,3,)</f>
        <v>268000</v>
      </c>
      <c r="C1725" s="30">
        <f t="shared" si="52"/>
        <v>-19000</v>
      </c>
      <c r="D1725" s="26">
        <f>VLOOKUP(A1725,'Database Claims'!$A:$C,2,)</f>
        <v>2102000</v>
      </c>
      <c r="E1725" s="30">
        <f t="shared" si="53"/>
        <v>-21000</v>
      </c>
    </row>
    <row r="1726" spans="1:5" x14ac:dyDescent="0.2">
      <c r="A1726" s="29">
        <v>36526</v>
      </c>
      <c r="B1726" s="30">
        <f>VLOOKUP(A1726,'Database Claims'!$A:$C,3,)</f>
        <v>286000</v>
      </c>
      <c r="C1726" s="30">
        <f t="shared" si="52"/>
        <v>18000</v>
      </c>
      <c r="D1726" s="30">
        <f>VLOOKUP(A1726,'Database Claims'!$A:$C,2,)</f>
        <v>2102000</v>
      </c>
      <c r="E1726" s="30">
        <f t="shared" si="53"/>
        <v>0</v>
      </c>
    </row>
    <row r="1727" spans="1:5" x14ac:dyDescent="0.2">
      <c r="A1727" s="29">
        <v>36533</v>
      </c>
      <c r="B1727" s="26">
        <f>VLOOKUP(A1727,'Database Claims'!$A:$C,3,)</f>
        <v>298000</v>
      </c>
      <c r="C1727" s="30">
        <f t="shared" si="52"/>
        <v>12000</v>
      </c>
      <c r="D1727" s="26">
        <f>VLOOKUP(A1727,'Database Claims'!$A:$C,2,)</f>
        <v>2107000</v>
      </c>
      <c r="E1727" s="30">
        <f t="shared" si="53"/>
        <v>5000</v>
      </c>
    </row>
    <row r="1728" spans="1:5" x14ac:dyDescent="0.2">
      <c r="A1728" s="29">
        <v>36540</v>
      </c>
      <c r="B1728" s="30">
        <f>VLOOKUP(A1728,'Database Claims'!$A:$C,3,)</f>
        <v>289000</v>
      </c>
      <c r="C1728" s="30">
        <f t="shared" si="52"/>
        <v>-9000</v>
      </c>
      <c r="D1728" s="30">
        <f>VLOOKUP(A1728,'Database Claims'!$A:$C,2,)</f>
        <v>2115000</v>
      </c>
      <c r="E1728" s="30">
        <f t="shared" si="53"/>
        <v>8000</v>
      </c>
    </row>
    <row r="1729" spans="1:5" x14ac:dyDescent="0.2">
      <c r="A1729" s="29">
        <v>36547</v>
      </c>
      <c r="B1729" s="26">
        <f>VLOOKUP(A1729,'Database Claims'!$A:$C,3,)</f>
        <v>284000</v>
      </c>
      <c r="C1729" s="30">
        <f t="shared" si="52"/>
        <v>-5000</v>
      </c>
      <c r="D1729" s="26">
        <f>VLOOKUP(A1729,'Database Claims'!$A:$C,2,)</f>
        <v>2061000</v>
      </c>
      <c r="E1729" s="30">
        <f t="shared" si="53"/>
        <v>-54000</v>
      </c>
    </row>
    <row r="1730" spans="1:5" x14ac:dyDescent="0.2">
      <c r="A1730" s="29">
        <v>36554</v>
      </c>
      <c r="B1730" s="30">
        <f>VLOOKUP(A1730,'Database Claims'!$A:$C,3,)</f>
        <v>285000</v>
      </c>
      <c r="C1730" s="30">
        <f t="shared" si="52"/>
        <v>1000</v>
      </c>
      <c r="D1730" s="30">
        <f>VLOOKUP(A1730,'Database Claims'!$A:$C,2,)</f>
        <v>2164000</v>
      </c>
      <c r="E1730" s="30">
        <f t="shared" si="53"/>
        <v>103000</v>
      </c>
    </row>
    <row r="1731" spans="1:5" x14ac:dyDescent="0.2">
      <c r="A1731" s="29">
        <v>36561</v>
      </c>
      <c r="B1731" s="26">
        <f>VLOOKUP(A1731,'Database Claims'!$A:$C,3,)</f>
        <v>312000</v>
      </c>
      <c r="C1731" s="30">
        <f t="shared" si="52"/>
        <v>27000</v>
      </c>
      <c r="D1731" s="26">
        <f>VLOOKUP(A1731,'Database Claims'!$A:$C,2,)</f>
        <v>2160000</v>
      </c>
      <c r="E1731" s="30">
        <f t="shared" si="53"/>
        <v>-4000</v>
      </c>
    </row>
    <row r="1732" spans="1:5" x14ac:dyDescent="0.2">
      <c r="A1732" s="29">
        <v>36568</v>
      </c>
      <c r="B1732" s="30">
        <f>VLOOKUP(A1732,'Database Claims'!$A:$C,3,)</f>
        <v>300000</v>
      </c>
      <c r="C1732" s="30">
        <f t="shared" si="52"/>
        <v>-12000</v>
      </c>
      <c r="D1732" s="30">
        <f>VLOOKUP(A1732,'Database Claims'!$A:$C,2,)</f>
        <v>2141000</v>
      </c>
      <c r="E1732" s="30">
        <f t="shared" si="53"/>
        <v>-19000</v>
      </c>
    </row>
    <row r="1733" spans="1:5" x14ac:dyDescent="0.2">
      <c r="A1733" s="29">
        <v>36575</v>
      </c>
      <c r="B1733" s="26">
        <f>VLOOKUP(A1733,'Database Claims'!$A:$C,3,)</f>
        <v>283000</v>
      </c>
      <c r="C1733" s="30">
        <f t="shared" si="52"/>
        <v>-17000</v>
      </c>
      <c r="D1733" s="26">
        <f>VLOOKUP(A1733,'Database Claims'!$A:$C,2,)</f>
        <v>2132000</v>
      </c>
      <c r="E1733" s="30">
        <f t="shared" si="53"/>
        <v>-9000</v>
      </c>
    </row>
    <row r="1734" spans="1:5" x14ac:dyDescent="0.2">
      <c r="A1734" s="29">
        <v>36582</v>
      </c>
      <c r="B1734" s="30">
        <f>VLOOKUP(A1734,'Database Claims'!$A:$C,3,)</f>
        <v>280000</v>
      </c>
      <c r="C1734" s="30">
        <f t="shared" ref="C1734:C1797" si="54">B1734-B1733</f>
        <v>-3000</v>
      </c>
      <c r="D1734" s="30">
        <f>VLOOKUP(A1734,'Database Claims'!$A:$C,2,)</f>
        <v>2157000</v>
      </c>
      <c r="E1734" s="30">
        <f t="shared" ref="E1734:E1797" si="55">D1734-D1733</f>
        <v>25000</v>
      </c>
    </row>
    <row r="1735" spans="1:5" x14ac:dyDescent="0.2">
      <c r="A1735" s="29">
        <v>36589</v>
      </c>
      <c r="B1735" s="26">
        <f>VLOOKUP(A1735,'Database Claims'!$A:$C,3,)</f>
        <v>286000</v>
      </c>
      <c r="C1735" s="30">
        <f t="shared" si="54"/>
        <v>6000</v>
      </c>
      <c r="D1735" s="26">
        <f>VLOOKUP(A1735,'Database Claims'!$A:$C,2,)</f>
        <v>2098000</v>
      </c>
      <c r="E1735" s="30">
        <f t="shared" si="55"/>
        <v>-59000</v>
      </c>
    </row>
    <row r="1736" spans="1:5" x14ac:dyDescent="0.2">
      <c r="A1736" s="29">
        <v>36596</v>
      </c>
      <c r="B1736" s="30">
        <f>VLOOKUP(A1736,'Database Claims'!$A:$C,3,)</f>
        <v>270000</v>
      </c>
      <c r="C1736" s="30">
        <f t="shared" si="54"/>
        <v>-16000</v>
      </c>
      <c r="D1736" s="30">
        <f>VLOOKUP(A1736,'Database Claims'!$A:$C,2,)</f>
        <v>2099000</v>
      </c>
      <c r="E1736" s="30">
        <f t="shared" si="55"/>
        <v>1000</v>
      </c>
    </row>
    <row r="1737" spans="1:5" x14ac:dyDescent="0.2">
      <c r="A1737" s="29">
        <v>36603</v>
      </c>
      <c r="B1737" s="26">
        <f>VLOOKUP(A1737,'Database Claims'!$A:$C,3,)</f>
        <v>271000</v>
      </c>
      <c r="C1737" s="30">
        <f t="shared" si="54"/>
        <v>1000</v>
      </c>
      <c r="D1737" s="26">
        <f>VLOOKUP(A1737,'Database Claims'!$A:$C,2,)</f>
        <v>2051000</v>
      </c>
      <c r="E1737" s="30">
        <f t="shared" si="55"/>
        <v>-48000</v>
      </c>
    </row>
    <row r="1738" spans="1:5" x14ac:dyDescent="0.2">
      <c r="A1738" s="29">
        <v>36610</v>
      </c>
      <c r="B1738" s="30">
        <f>VLOOKUP(A1738,'Database Claims'!$A:$C,3,)</f>
        <v>272000</v>
      </c>
      <c r="C1738" s="30">
        <f t="shared" si="54"/>
        <v>1000</v>
      </c>
      <c r="D1738" s="30">
        <f>VLOOKUP(A1738,'Database Claims'!$A:$C,2,)</f>
        <v>2068000</v>
      </c>
      <c r="E1738" s="30">
        <f t="shared" si="55"/>
        <v>17000</v>
      </c>
    </row>
    <row r="1739" spans="1:5" x14ac:dyDescent="0.2">
      <c r="A1739" s="29">
        <v>36617</v>
      </c>
      <c r="B1739" s="26">
        <f>VLOOKUP(A1739,'Database Claims'!$A:$C,3,)</f>
        <v>266000</v>
      </c>
      <c r="C1739" s="30">
        <f t="shared" si="54"/>
        <v>-6000</v>
      </c>
      <c r="D1739" s="26">
        <f>VLOOKUP(A1739,'Database Claims'!$A:$C,2,)</f>
        <v>2026000</v>
      </c>
      <c r="E1739" s="30">
        <f t="shared" si="55"/>
        <v>-42000</v>
      </c>
    </row>
    <row r="1740" spans="1:5" x14ac:dyDescent="0.2">
      <c r="A1740" s="29">
        <v>36624</v>
      </c>
      <c r="B1740" s="30">
        <f>VLOOKUP(A1740,'Database Claims'!$A:$C,3,)</f>
        <v>268000</v>
      </c>
      <c r="C1740" s="30">
        <f t="shared" si="54"/>
        <v>2000</v>
      </c>
      <c r="D1740" s="30">
        <f>VLOOKUP(A1740,'Database Claims'!$A:$C,2,)</f>
        <v>2027000</v>
      </c>
      <c r="E1740" s="30">
        <f t="shared" si="55"/>
        <v>1000</v>
      </c>
    </row>
    <row r="1741" spans="1:5" x14ac:dyDescent="0.2">
      <c r="A1741" s="29">
        <v>36631</v>
      </c>
      <c r="B1741" s="26">
        <f>VLOOKUP(A1741,'Database Claims'!$A:$C,3,)</f>
        <v>259000</v>
      </c>
      <c r="C1741" s="30">
        <f t="shared" si="54"/>
        <v>-9000</v>
      </c>
      <c r="D1741" s="26">
        <f>VLOOKUP(A1741,'Database Claims'!$A:$C,2,)</f>
        <v>1962000</v>
      </c>
      <c r="E1741" s="30">
        <f t="shared" si="55"/>
        <v>-65000</v>
      </c>
    </row>
    <row r="1742" spans="1:5" x14ac:dyDescent="0.2">
      <c r="A1742" s="29">
        <v>36638</v>
      </c>
      <c r="B1742" s="30">
        <f>VLOOKUP(A1742,'Database Claims'!$A:$C,3,)</f>
        <v>274000</v>
      </c>
      <c r="C1742" s="30">
        <f t="shared" si="54"/>
        <v>15000</v>
      </c>
      <c r="D1742" s="30">
        <f>VLOOKUP(A1742,'Database Claims'!$A:$C,2,)</f>
        <v>2035000</v>
      </c>
      <c r="E1742" s="30">
        <f t="shared" si="55"/>
        <v>73000</v>
      </c>
    </row>
    <row r="1743" spans="1:5" x14ac:dyDescent="0.2">
      <c r="A1743" s="29">
        <v>36645</v>
      </c>
      <c r="B1743" s="26">
        <f>VLOOKUP(A1743,'Database Claims'!$A:$C,3,)</f>
        <v>291000</v>
      </c>
      <c r="C1743" s="30">
        <f t="shared" si="54"/>
        <v>17000</v>
      </c>
      <c r="D1743" s="26">
        <f>VLOOKUP(A1743,'Database Claims'!$A:$C,2,)</f>
        <v>2027000</v>
      </c>
      <c r="E1743" s="30">
        <f t="shared" si="55"/>
        <v>-8000</v>
      </c>
    </row>
    <row r="1744" spans="1:5" x14ac:dyDescent="0.2">
      <c r="A1744" s="29">
        <v>36652</v>
      </c>
      <c r="B1744" s="30">
        <f>VLOOKUP(A1744,'Database Claims'!$A:$C,3,)</f>
        <v>293000</v>
      </c>
      <c r="C1744" s="30">
        <f t="shared" si="54"/>
        <v>2000</v>
      </c>
      <c r="D1744" s="30">
        <f>VLOOKUP(A1744,'Database Claims'!$A:$C,2,)</f>
        <v>1991000</v>
      </c>
      <c r="E1744" s="30">
        <f t="shared" si="55"/>
        <v>-36000</v>
      </c>
    </row>
    <row r="1745" spans="1:5" x14ac:dyDescent="0.2">
      <c r="A1745" s="29">
        <v>36659</v>
      </c>
      <c r="B1745" s="26">
        <f>VLOOKUP(A1745,'Database Claims'!$A:$C,3,)</f>
        <v>276000</v>
      </c>
      <c r="C1745" s="30">
        <f t="shared" si="54"/>
        <v>-17000</v>
      </c>
      <c r="D1745" s="26">
        <f>VLOOKUP(A1745,'Database Claims'!$A:$C,2,)</f>
        <v>1982000</v>
      </c>
      <c r="E1745" s="30">
        <f t="shared" si="55"/>
        <v>-9000</v>
      </c>
    </row>
    <row r="1746" spans="1:5" x14ac:dyDescent="0.2">
      <c r="A1746" s="29">
        <v>36666</v>
      </c>
      <c r="B1746" s="30">
        <f>VLOOKUP(A1746,'Database Claims'!$A:$C,3,)</f>
        <v>280000</v>
      </c>
      <c r="C1746" s="30">
        <f t="shared" si="54"/>
        <v>4000</v>
      </c>
      <c r="D1746" s="30">
        <f>VLOOKUP(A1746,'Database Claims'!$A:$C,2,)</f>
        <v>1998000</v>
      </c>
      <c r="E1746" s="30">
        <f t="shared" si="55"/>
        <v>16000</v>
      </c>
    </row>
    <row r="1747" spans="1:5" x14ac:dyDescent="0.2">
      <c r="A1747" s="29">
        <v>36673</v>
      </c>
      <c r="B1747" s="26">
        <f>VLOOKUP(A1747,'Database Claims'!$A:$C,3,)</f>
        <v>280000</v>
      </c>
      <c r="C1747" s="30">
        <f t="shared" si="54"/>
        <v>0</v>
      </c>
      <c r="D1747" s="26">
        <f>VLOOKUP(A1747,'Database Claims'!$A:$C,2,)</f>
        <v>1987000</v>
      </c>
      <c r="E1747" s="30">
        <f t="shared" si="55"/>
        <v>-11000</v>
      </c>
    </row>
    <row r="1748" spans="1:5" x14ac:dyDescent="0.2">
      <c r="A1748" s="29">
        <v>36680</v>
      </c>
      <c r="B1748" s="30">
        <f>VLOOKUP(A1748,'Database Claims'!$A:$C,3,)</f>
        <v>290000</v>
      </c>
      <c r="C1748" s="30">
        <f t="shared" si="54"/>
        <v>10000</v>
      </c>
      <c r="D1748" s="30">
        <f>VLOOKUP(A1748,'Database Claims'!$A:$C,2,)</f>
        <v>2019000</v>
      </c>
      <c r="E1748" s="30">
        <f t="shared" si="55"/>
        <v>32000</v>
      </c>
    </row>
    <row r="1749" spans="1:5" x14ac:dyDescent="0.2">
      <c r="A1749" s="29">
        <v>36687</v>
      </c>
      <c r="B1749" s="26">
        <f>VLOOKUP(A1749,'Database Claims'!$A:$C,3,)</f>
        <v>284000</v>
      </c>
      <c r="C1749" s="30">
        <f t="shared" si="54"/>
        <v>-6000</v>
      </c>
      <c r="D1749" s="26">
        <f>VLOOKUP(A1749,'Database Claims'!$A:$C,2,)</f>
        <v>2020000</v>
      </c>
      <c r="E1749" s="30">
        <f t="shared" si="55"/>
        <v>1000</v>
      </c>
    </row>
    <row r="1750" spans="1:5" x14ac:dyDescent="0.2">
      <c r="A1750" s="29">
        <v>36694</v>
      </c>
      <c r="B1750" s="30">
        <f>VLOOKUP(A1750,'Database Claims'!$A:$C,3,)</f>
        <v>294000</v>
      </c>
      <c r="C1750" s="30">
        <f t="shared" si="54"/>
        <v>10000</v>
      </c>
      <c r="D1750" s="30">
        <f>VLOOKUP(A1750,'Database Claims'!$A:$C,2,)</f>
        <v>2041000</v>
      </c>
      <c r="E1750" s="30">
        <f t="shared" si="55"/>
        <v>21000</v>
      </c>
    </row>
    <row r="1751" spans="1:5" x14ac:dyDescent="0.2">
      <c r="A1751" s="29">
        <v>36701</v>
      </c>
      <c r="B1751" s="26">
        <f>VLOOKUP(A1751,'Database Claims'!$A:$C,3,)</f>
        <v>296000</v>
      </c>
      <c r="C1751" s="30">
        <f t="shared" si="54"/>
        <v>2000</v>
      </c>
      <c r="D1751" s="26">
        <f>VLOOKUP(A1751,'Database Claims'!$A:$C,2,)</f>
        <v>2033000</v>
      </c>
      <c r="E1751" s="30">
        <f t="shared" si="55"/>
        <v>-8000</v>
      </c>
    </row>
    <row r="1752" spans="1:5" x14ac:dyDescent="0.2">
      <c r="A1752" s="29">
        <v>36708</v>
      </c>
      <c r="B1752" s="30">
        <f>VLOOKUP(A1752,'Database Claims'!$A:$C,3,)</f>
        <v>281000</v>
      </c>
      <c r="C1752" s="30">
        <f t="shared" si="54"/>
        <v>-15000</v>
      </c>
      <c r="D1752" s="30">
        <f>VLOOKUP(A1752,'Database Claims'!$A:$C,2,)</f>
        <v>2052000</v>
      </c>
      <c r="E1752" s="30">
        <f t="shared" si="55"/>
        <v>19000</v>
      </c>
    </row>
    <row r="1753" spans="1:5" x14ac:dyDescent="0.2">
      <c r="A1753" s="29">
        <v>36715</v>
      </c>
      <c r="B1753" s="26">
        <f>VLOOKUP(A1753,'Database Claims'!$A:$C,3,)</f>
        <v>293000</v>
      </c>
      <c r="C1753" s="30">
        <f t="shared" si="54"/>
        <v>12000</v>
      </c>
      <c r="D1753" s="26">
        <f>VLOOKUP(A1753,'Database Claims'!$A:$C,2,)</f>
        <v>2099000</v>
      </c>
      <c r="E1753" s="30">
        <f t="shared" si="55"/>
        <v>47000</v>
      </c>
    </row>
    <row r="1754" spans="1:5" x14ac:dyDescent="0.2">
      <c r="A1754" s="29">
        <v>36722</v>
      </c>
      <c r="B1754" s="30">
        <f>VLOOKUP(A1754,'Database Claims'!$A:$C,3,)</f>
        <v>303000</v>
      </c>
      <c r="C1754" s="30">
        <f t="shared" si="54"/>
        <v>10000</v>
      </c>
      <c r="D1754" s="30">
        <f>VLOOKUP(A1754,'Database Claims'!$A:$C,2,)</f>
        <v>2122000</v>
      </c>
      <c r="E1754" s="30">
        <f t="shared" si="55"/>
        <v>23000</v>
      </c>
    </row>
    <row r="1755" spans="1:5" x14ac:dyDescent="0.2">
      <c r="A1755" s="29">
        <v>36729</v>
      </c>
      <c r="B1755" s="26">
        <f>VLOOKUP(A1755,'Database Claims'!$A:$C,3,)</f>
        <v>300000</v>
      </c>
      <c r="C1755" s="30">
        <f t="shared" si="54"/>
        <v>-3000</v>
      </c>
      <c r="D1755" s="26">
        <f>VLOOKUP(A1755,'Database Claims'!$A:$C,2,)</f>
        <v>2070000</v>
      </c>
      <c r="E1755" s="30">
        <f t="shared" si="55"/>
        <v>-52000</v>
      </c>
    </row>
    <row r="1756" spans="1:5" x14ac:dyDescent="0.2">
      <c r="A1756" s="29">
        <v>36736</v>
      </c>
      <c r="B1756" s="30">
        <f>VLOOKUP(A1756,'Database Claims'!$A:$C,3,)</f>
        <v>298000</v>
      </c>
      <c r="C1756" s="30">
        <f t="shared" si="54"/>
        <v>-2000</v>
      </c>
      <c r="D1756" s="30">
        <f>VLOOKUP(A1756,'Database Claims'!$A:$C,2,)</f>
        <v>2085000</v>
      </c>
      <c r="E1756" s="30">
        <f t="shared" si="55"/>
        <v>15000</v>
      </c>
    </row>
    <row r="1757" spans="1:5" x14ac:dyDescent="0.2">
      <c r="A1757" s="29">
        <v>36743</v>
      </c>
      <c r="B1757" s="26">
        <f>VLOOKUP(A1757,'Database Claims'!$A:$C,3,)</f>
        <v>306000</v>
      </c>
      <c r="C1757" s="30">
        <f t="shared" si="54"/>
        <v>8000</v>
      </c>
      <c r="D1757" s="26">
        <f>VLOOKUP(A1757,'Database Claims'!$A:$C,2,)</f>
        <v>2096000</v>
      </c>
      <c r="E1757" s="30">
        <f t="shared" si="55"/>
        <v>11000</v>
      </c>
    </row>
    <row r="1758" spans="1:5" x14ac:dyDescent="0.2">
      <c r="A1758" s="29">
        <v>36750</v>
      </c>
      <c r="B1758" s="30">
        <f>VLOOKUP(A1758,'Database Claims'!$A:$C,3,)</f>
        <v>315000</v>
      </c>
      <c r="C1758" s="30">
        <f t="shared" si="54"/>
        <v>9000</v>
      </c>
      <c r="D1758" s="30">
        <f>VLOOKUP(A1758,'Database Claims'!$A:$C,2,)</f>
        <v>2109000</v>
      </c>
      <c r="E1758" s="30">
        <f t="shared" si="55"/>
        <v>13000</v>
      </c>
    </row>
    <row r="1759" spans="1:5" x14ac:dyDescent="0.2">
      <c r="A1759" s="29">
        <v>36757</v>
      </c>
      <c r="B1759" s="26">
        <f>VLOOKUP(A1759,'Database Claims'!$A:$C,3,)</f>
        <v>318000</v>
      </c>
      <c r="C1759" s="30">
        <f t="shared" si="54"/>
        <v>3000</v>
      </c>
      <c r="D1759" s="26">
        <f>VLOOKUP(A1759,'Database Claims'!$A:$C,2,)</f>
        <v>2145000</v>
      </c>
      <c r="E1759" s="30">
        <f t="shared" si="55"/>
        <v>36000</v>
      </c>
    </row>
    <row r="1760" spans="1:5" x14ac:dyDescent="0.2">
      <c r="A1760" s="29">
        <v>36764</v>
      </c>
      <c r="B1760" s="30">
        <f>VLOOKUP(A1760,'Database Claims'!$A:$C,3,)</f>
        <v>312000</v>
      </c>
      <c r="C1760" s="30">
        <f t="shared" si="54"/>
        <v>-6000</v>
      </c>
      <c r="D1760" s="30">
        <f>VLOOKUP(A1760,'Database Claims'!$A:$C,2,)</f>
        <v>2119000</v>
      </c>
      <c r="E1760" s="30">
        <f t="shared" si="55"/>
        <v>-26000</v>
      </c>
    </row>
    <row r="1761" spans="1:5" x14ac:dyDescent="0.2">
      <c r="A1761" s="29">
        <v>36771</v>
      </c>
      <c r="B1761" s="26">
        <f>VLOOKUP(A1761,'Database Claims'!$A:$C,3,)</f>
        <v>301000</v>
      </c>
      <c r="C1761" s="30">
        <f t="shared" si="54"/>
        <v>-11000</v>
      </c>
      <c r="D1761" s="26">
        <f>VLOOKUP(A1761,'Database Claims'!$A:$C,2,)</f>
        <v>2169000</v>
      </c>
      <c r="E1761" s="30">
        <f t="shared" si="55"/>
        <v>50000</v>
      </c>
    </row>
    <row r="1762" spans="1:5" x14ac:dyDescent="0.2">
      <c r="A1762" s="29">
        <v>36778</v>
      </c>
      <c r="B1762" s="30">
        <f>VLOOKUP(A1762,'Database Claims'!$A:$C,3,)</f>
        <v>309000</v>
      </c>
      <c r="C1762" s="30">
        <f t="shared" si="54"/>
        <v>8000</v>
      </c>
      <c r="D1762" s="30">
        <f>VLOOKUP(A1762,'Database Claims'!$A:$C,2,)</f>
        <v>2139000</v>
      </c>
      <c r="E1762" s="30">
        <f t="shared" si="55"/>
        <v>-30000</v>
      </c>
    </row>
    <row r="1763" spans="1:5" x14ac:dyDescent="0.2">
      <c r="A1763" s="29">
        <v>36785</v>
      </c>
      <c r="B1763" s="26">
        <f>VLOOKUP(A1763,'Database Claims'!$A:$C,3,)</f>
        <v>311000</v>
      </c>
      <c r="C1763" s="30">
        <f t="shared" si="54"/>
        <v>2000</v>
      </c>
      <c r="D1763" s="26">
        <f>VLOOKUP(A1763,'Database Claims'!$A:$C,2,)</f>
        <v>2115000</v>
      </c>
      <c r="E1763" s="30">
        <f t="shared" si="55"/>
        <v>-24000</v>
      </c>
    </row>
    <row r="1764" spans="1:5" x14ac:dyDescent="0.2">
      <c r="A1764" s="29">
        <v>36792</v>
      </c>
      <c r="B1764" s="30">
        <f>VLOOKUP(A1764,'Database Claims'!$A:$C,3,)</f>
        <v>288000</v>
      </c>
      <c r="C1764" s="30">
        <f t="shared" si="54"/>
        <v>-23000</v>
      </c>
      <c r="D1764" s="30">
        <f>VLOOKUP(A1764,'Database Claims'!$A:$C,2,)</f>
        <v>2098000</v>
      </c>
      <c r="E1764" s="30">
        <f t="shared" si="55"/>
        <v>-17000</v>
      </c>
    </row>
    <row r="1765" spans="1:5" x14ac:dyDescent="0.2">
      <c r="A1765" s="29">
        <v>36799</v>
      </c>
      <c r="B1765" s="26">
        <f>VLOOKUP(A1765,'Database Claims'!$A:$C,3,)</f>
        <v>292000</v>
      </c>
      <c r="C1765" s="30">
        <f t="shared" si="54"/>
        <v>4000</v>
      </c>
      <c r="D1765" s="26">
        <f>VLOOKUP(A1765,'Database Claims'!$A:$C,2,)</f>
        <v>2077000</v>
      </c>
      <c r="E1765" s="30">
        <f t="shared" si="55"/>
        <v>-21000</v>
      </c>
    </row>
    <row r="1766" spans="1:5" x14ac:dyDescent="0.2">
      <c r="A1766" s="29">
        <v>36806</v>
      </c>
      <c r="B1766" s="30">
        <f>VLOOKUP(A1766,'Database Claims'!$A:$C,3,)</f>
        <v>309000</v>
      </c>
      <c r="C1766" s="30">
        <f t="shared" si="54"/>
        <v>17000</v>
      </c>
      <c r="D1766" s="30">
        <f>VLOOKUP(A1766,'Database Claims'!$A:$C,2,)</f>
        <v>2133000</v>
      </c>
      <c r="E1766" s="30">
        <f t="shared" si="55"/>
        <v>56000</v>
      </c>
    </row>
    <row r="1767" spans="1:5" x14ac:dyDescent="0.2">
      <c r="A1767" s="29">
        <v>36813</v>
      </c>
      <c r="B1767" s="26">
        <f>VLOOKUP(A1767,'Database Claims'!$A:$C,3,)</f>
        <v>299000</v>
      </c>
      <c r="C1767" s="30">
        <f t="shared" si="54"/>
        <v>-10000</v>
      </c>
      <c r="D1767" s="26">
        <f>VLOOKUP(A1767,'Database Claims'!$A:$C,2,)</f>
        <v>2124000</v>
      </c>
      <c r="E1767" s="30">
        <f t="shared" si="55"/>
        <v>-9000</v>
      </c>
    </row>
    <row r="1768" spans="1:5" x14ac:dyDescent="0.2">
      <c r="A1768" s="29">
        <v>36820</v>
      </c>
      <c r="B1768" s="30">
        <f>VLOOKUP(A1768,'Database Claims'!$A:$C,3,)</f>
        <v>295000</v>
      </c>
      <c r="C1768" s="30">
        <f t="shared" si="54"/>
        <v>-4000</v>
      </c>
      <c r="D1768" s="30">
        <f>VLOOKUP(A1768,'Database Claims'!$A:$C,2,)</f>
        <v>2082000</v>
      </c>
      <c r="E1768" s="30">
        <f t="shared" si="55"/>
        <v>-42000</v>
      </c>
    </row>
    <row r="1769" spans="1:5" x14ac:dyDescent="0.2">
      <c r="A1769" s="29">
        <v>36827</v>
      </c>
      <c r="B1769" s="26">
        <f>VLOOKUP(A1769,'Database Claims'!$A:$C,3,)</f>
        <v>301000</v>
      </c>
      <c r="C1769" s="30">
        <f t="shared" si="54"/>
        <v>6000</v>
      </c>
      <c r="D1769" s="26">
        <f>VLOOKUP(A1769,'Database Claims'!$A:$C,2,)</f>
        <v>2126000</v>
      </c>
      <c r="E1769" s="30">
        <f t="shared" si="55"/>
        <v>44000</v>
      </c>
    </row>
    <row r="1770" spans="1:5" x14ac:dyDescent="0.2">
      <c r="A1770" s="29">
        <v>36834</v>
      </c>
      <c r="B1770" s="30">
        <f>VLOOKUP(A1770,'Database Claims'!$A:$C,3,)</f>
        <v>331000</v>
      </c>
      <c r="C1770" s="30">
        <f t="shared" si="54"/>
        <v>30000</v>
      </c>
      <c r="D1770" s="30">
        <f>VLOOKUP(A1770,'Database Claims'!$A:$C,2,)</f>
        <v>2110000</v>
      </c>
      <c r="E1770" s="30">
        <f t="shared" si="55"/>
        <v>-16000</v>
      </c>
    </row>
    <row r="1771" spans="1:5" x14ac:dyDescent="0.2">
      <c r="A1771" s="29">
        <v>36841</v>
      </c>
      <c r="B1771" s="26">
        <f>VLOOKUP(A1771,'Database Claims'!$A:$C,3,)</f>
        <v>318000</v>
      </c>
      <c r="C1771" s="30">
        <f t="shared" si="54"/>
        <v>-13000</v>
      </c>
      <c r="D1771" s="26">
        <f>VLOOKUP(A1771,'Database Claims'!$A:$C,2,)</f>
        <v>2161000</v>
      </c>
      <c r="E1771" s="30">
        <f t="shared" si="55"/>
        <v>51000</v>
      </c>
    </row>
    <row r="1772" spans="1:5" x14ac:dyDescent="0.2">
      <c r="A1772" s="29">
        <v>36848</v>
      </c>
      <c r="B1772" s="30">
        <f>VLOOKUP(A1772,'Database Claims'!$A:$C,3,)</f>
        <v>332000</v>
      </c>
      <c r="C1772" s="30">
        <f t="shared" si="54"/>
        <v>14000</v>
      </c>
      <c r="D1772" s="30">
        <f>VLOOKUP(A1772,'Database Claims'!$A:$C,2,)</f>
        <v>2279000</v>
      </c>
      <c r="E1772" s="30">
        <f t="shared" si="55"/>
        <v>118000</v>
      </c>
    </row>
    <row r="1773" spans="1:5" x14ac:dyDescent="0.2">
      <c r="A1773" s="29">
        <v>36855</v>
      </c>
      <c r="B1773" s="26">
        <f>VLOOKUP(A1773,'Database Claims'!$A:$C,3,)</f>
        <v>356000</v>
      </c>
      <c r="C1773" s="30">
        <f t="shared" si="54"/>
        <v>24000</v>
      </c>
      <c r="D1773" s="26">
        <f>VLOOKUP(A1773,'Database Claims'!$A:$C,2,)</f>
        <v>2295000</v>
      </c>
      <c r="E1773" s="30">
        <f t="shared" si="55"/>
        <v>16000</v>
      </c>
    </row>
    <row r="1774" spans="1:5" x14ac:dyDescent="0.2">
      <c r="A1774" s="29">
        <v>36862</v>
      </c>
      <c r="B1774" s="30">
        <f>VLOOKUP(A1774,'Database Claims'!$A:$C,3,)</f>
        <v>338000</v>
      </c>
      <c r="C1774" s="30">
        <f t="shared" si="54"/>
        <v>-18000</v>
      </c>
      <c r="D1774" s="30">
        <f>VLOOKUP(A1774,'Database Claims'!$A:$C,2,)</f>
        <v>2229000</v>
      </c>
      <c r="E1774" s="30">
        <f t="shared" si="55"/>
        <v>-66000</v>
      </c>
    </row>
    <row r="1775" spans="1:5" x14ac:dyDescent="0.2">
      <c r="A1775" s="29">
        <v>36869</v>
      </c>
      <c r="B1775" s="26">
        <f>VLOOKUP(A1775,'Database Claims'!$A:$C,3,)</f>
        <v>321000</v>
      </c>
      <c r="C1775" s="30">
        <f t="shared" si="54"/>
        <v>-17000</v>
      </c>
      <c r="D1775" s="26">
        <f>VLOOKUP(A1775,'Database Claims'!$A:$C,2,)</f>
        <v>2263000</v>
      </c>
      <c r="E1775" s="30">
        <f t="shared" si="55"/>
        <v>34000</v>
      </c>
    </row>
    <row r="1776" spans="1:5" x14ac:dyDescent="0.2">
      <c r="A1776" s="29">
        <v>36876</v>
      </c>
      <c r="B1776" s="30">
        <f>VLOOKUP(A1776,'Database Claims'!$A:$C,3,)</f>
        <v>354000</v>
      </c>
      <c r="C1776" s="30">
        <f t="shared" si="54"/>
        <v>33000</v>
      </c>
      <c r="D1776" s="30">
        <f>VLOOKUP(A1776,'Database Claims'!$A:$C,2,)</f>
        <v>2322000</v>
      </c>
      <c r="E1776" s="30">
        <f t="shared" si="55"/>
        <v>59000</v>
      </c>
    </row>
    <row r="1777" spans="1:5" x14ac:dyDescent="0.2">
      <c r="A1777" s="29">
        <v>36883</v>
      </c>
      <c r="B1777" s="26">
        <f>VLOOKUP(A1777,'Database Claims'!$A:$C,3,)</f>
        <v>364000</v>
      </c>
      <c r="C1777" s="30">
        <f t="shared" si="54"/>
        <v>10000</v>
      </c>
      <c r="D1777" s="26">
        <f>VLOOKUP(A1777,'Database Claims'!$A:$C,2,)</f>
        <v>2340000</v>
      </c>
      <c r="E1777" s="30">
        <f t="shared" si="55"/>
        <v>18000</v>
      </c>
    </row>
    <row r="1778" spans="1:5" x14ac:dyDescent="0.2">
      <c r="A1778" s="29">
        <v>36890</v>
      </c>
      <c r="B1778" s="30">
        <f>VLOOKUP(A1778,'Database Claims'!$A:$C,3,)</f>
        <v>353000</v>
      </c>
      <c r="C1778" s="30">
        <f t="shared" si="54"/>
        <v>-11000</v>
      </c>
      <c r="D1778" s="30">
        <f>VLOOKUP(A1778,'Database Claims'!$A:$C,2,)</f>
        <v>2378000</v>
      </c>
      <c r="E1778" s="30">
        <f t="shared" si="55"/>
        <v>38000</v>
      </c>
    </row>
    <row r="1779" spans="1:5" x14ac:dyDescent="0.2">
      <c r="A1779" s="29">
        <v>36897</v>
      </c>
      <c r="B1779" s="26">
        <f>VLOOKUP(A1779,'Database Claims'!$A:$C,3,)</f>
        <v>337000</v>
      </c>
      <c r="C1779" s="30">
        <f t="shared" si="54"/>
        <v>-16000</v>
      </c>
      <c r="D1779" s="26">
        <f>VLOOKUP(A1779,'Database Claims'!$A:$C,2,)</f>
        <v>2357000</v>
      </c>
      <c r="E1779" s="30">
        <f t="shared" si="55"/>
        <v>-21000</v>
      </c>
    </row>
    <row r="1780" spans="1:5" x14ac:dyDescent="0.2">
      <c r="A1780" s="29">
        <v>36904</v>
      </c>
      <c r="B1780" s="30">
        <f>VLOOKUP(A1780,'Database Claims'!$A:$C,3,)</f>
        <v>318000</v>
      </c>
      <c r="C1780" s="30">
        <f t="shared" si="54"/>
        <v>-19000</v>
      </c>
      <c r="D1780" s="30">
        <f>VLOOKUP(A1780,'Database Claims'!$A:$C,2,)</f>
        <v>2367000</v>
      </c>
      <c r="E1780" s="30">
        <f t="shared" si="55"/>
        <v>10000</v>
      </c>
    </row>
    <row r="1781" spans="1:5" x14ac:dyDescent="0.2">
      <c r="A1781" s="29">
        <v>36911</v>
      </c>
      <c r="B1781" s="26">
        <f>VLOOKUP(A1781,'Database Claims'!$A:$C,3,)</f>
        <v>343000</v>
      </c>
      <c r="C1781" s="30">
        <f t="shared" si="54"/>
        <v>25000</v>
      </c>
      <c r="D1781" s="26">
        <f>VLOOKUP(A1781,'Database Claims'!$A:$C,2,)</f>
        <v>2419000</v>
      </c>
      <c r="E1781" s="30">
        <f t="shared" si="55"/>
        <v>52000</v>
      </c>
    </row>
    <row r="1782" spans="1:5" x14ac:dyDescent="0.2">
      <c r="A1782" s="29">
        <v>36918</v>
      </c>
      <c r="B1782" s="30">
        <f>VLOOKUP(A1782,'Database Claims'!$A:$C,3,)</f>
        <v>362000</v>
      </c>
      <c r="C1782" s="30">
        <f t="shared" si="54"/>
        <v>19000</v>
      </c>
      <c r="D1782" s="30">
        <f>VLOOKUP(A1782,'Database Claims'!$A:$C,2,)</f>
        <v>2440000</v>
      </c>
      <c r="E1782" s="30">
        <f t="shared" si="55"/>
        <v>21000</v>
      </c>
    </row>
    <row r="1783" spans="1:5" x14ac:dyDescent="0.2">
      <c r="A1783" s="29">
        <v>36925</v>
      </c>
      <c r="B1783" s="26">
        <f>VLOOKUP(A1783,'Database Claims'!$A:$C,3,)</f>
        <v>376000</v>
      </c>
      <c r="C1783" s="30">
        <f t="shared" si="54"/>
        <v>14000</v>
      </c>
      <c r="D1783" s="26">
        <f>VLOOKUP(A1783,'Database Claims'!$A:$C,2,)</f>
        <v>2489000</v>
      </c>
      <c r="E1783" s="30">
        <f t="shared" si="55"/>
        <v>49000</v>
      </c>
    </row>
    <row r="1784" spans="1:5" x14ac:dyDescent="0.2">
      <c r="A1784" s="29">
        <v>36932</v>
      </c>
      <c r="B1784" s="30">
        <f>VLOOKUP(A1784,'Database Claims'!$A:$C,3,)</f>
        <v>365000</v>
      </c>
      <c r="C1784" s="30">
        <f t="shared" si="54"/>
        <v>-11000</v>
      </c>
      <c r="D1784" s="30">
        <f>VLOOKUP(A1784,'Database Claims'!$A:$C,2,)</f>
        <v>2435000</v>
      </c>
      <c r="E1784" s="30">
        <f t="shared" si="55"/>
        <v>-54000</v>
      </c>
    </row>
    <row r="1785" spans="1:5" x14ac:dyDescent="0.2">
      <c r="A1785" s="29">
        <v>36939</v>
      </c>
      <c r="B1785" s="26">
        <f>VLOOKUP(A1785,'Database Claims'!$A:$C,3,)</f>
        <v>358000</v>
      </c>
      <c r="C1785" s="30">
        <f t="shared" si="54"/>
        <v>-7000</v>
      </c>
      <c r="D1785" s="26">
        <f>VLOOKUP(A1785,'Database Claims'!$A:$C,2,)</f>
        <v>2516000</v>
      </c>
      <c r="E1785" s="30">
        <f t="shared" si="55"/>
        <v>81000</v>
      </c>
    </row>
    <row r="1786" spans="1:5" x14ac:dyDescent="0.2">
      <c r="A1786" s="29">
        <v>36946</v>
      </c>
      <c r="B1786" s="30">
        <f>VLOOKUP(A1786,'Database Claims'!$A:$C,3,)</f>
        <v>386000</v>
      </c>
      <c r="C1786" s="30">
        <f t="shared" si="54"/>
        <v>28000</v>
      </c>
      <c r="D1786" s="30">
        <f>VLOOKUP(A1786,'Database Claims'!$A:$C,2,)</f>
        <v>2506000</v>
      </c>
      <c r="E1786" s="30">
        <f t="shared" si="55"/>
        <v>-10000</v>
      </c>
    </row>
    <row r="1787" spans="1:5" x14ac:dyDescent="0.2">
      <c r="A1787" s="29">
        <v>36953</v>
      </c>
      <c r="B1787" s="26">
        <f>VLOOKUP(A1787,'Database Claims'!$A:$C,3,)</f>
        <v>384000</v>
      </c>
      <c r="C1787" s="30">
        <f t="shared" si="54"/>
        <v>-2000</v>
      </c>
      <c r="D1787" s="26">
        <f>VLOOKUP(A1787,'Database Claims'!$A:$C,2,)</f>
        <v>2558000</v>
      </c>
      <c r="E1787" s="30">
        <f t="shared" si="55"/>
        <v>52000</v>
      </c>
    </row>
    <row r="1788" spans="1:5" x14ac:dyDescent="0.2">
      <c r="A1788" s="29">
        <v>36960</v>
      </c>
      <c r="B1788" s="30">
        <f>VLOOKUP(A1788,'Database Claims'!$A:$C,3,)</f>
        <v>393000</v>
      </c>
      <c r="C1788" s="30">
        <f t="shared" si="54"/>
        <v>9000</v>
      </c>
      <c r="D1788" s="30">
        <f>VLOOKUP(A1788,'Database Claims'!$A:$C,2,)</f>
        <v>2557000</v>
      </c>
      <c r="E1788" s="30">
        <f t="shared" si="55"/>
        <v>-1000</v>
      </c>
    </row>
    <row r="1789" spans="1:5" x14ac:dyDescent="0.2">
      <c r="A1789" s="29">
        <v>36967</v>
      </c>
      <c r="B1789" s="26">
        <f>VLOOKUP(A1789,'Database Claims'!$A:$C,3,)</f>
        <v>393000</v>
      </c>
      <c r="C1789" s="30">
        <f t="shared" si="54"/>
        <v>0</v>
      </c>
      <c r="D1789" s="26">
        <f>VLOOKUP(A1789,'Database Claims'!$A:$C,2,)</f>
        <v>2605000</v>
      </c>
      <c r="E1789" s="30">
        <f t="shared" si="55"/>
        <v>48000</v>
      </c>
    </row>
    <row r="1790" spans="1:5" x14ac:dyDescent="0.2">
      <c r="A1790" s="29">
        <v>36974</v>
      </c>
      <c r="B1790" s="30">
        <f>VLOOKUP(A1790,'Database Claims'!$A:$C,3,)</f>
        <v>378000</v>
      </c>
      <c r="C1790" s="30">
        <f t="shared" si="54"/>
        <v>-15000</v>
      </c>
      <c r="D1790" s="30">
        <f>VLOOKUP(A1790,'Database Claims'!$A:$C,2,)</f>
        <v>2587000</v>
      </c>
      <c r="E1790" s="30">
        <f t="shared" si="55"/>
        <v>-18000</v>
      </c>
    </row>
    <row r="1791" spans="1:5" x14ac:dyDescent="0.2">
      <c r="A1791" s="29">
        <v>36981</v>
      </c>
      <c r="B1791" s="26">
        <f>VLOOKUP(A1791,'Database Claims'!$A:$C,3,)</f>
        <v>388000</v>
      </c>
      <c r="C1791" s="30">
        <f t="shared" si="54"/>
        <v>10000</v>
      </c>
      <c r="D1791" s="26">
        <f>VLOOKUP(A1791,'Database Claims'!$A:$C,2,)</f>
        <v>2620000</v>
      </c>
      <c r="E1791" s="30">
        <f t="shared" si="55"/>
        <v>33000</v>
      </c>
    </row>
    <row r="1792" spans="1:5" x14ac:dyDescent="0.2">
      <c r="A1792" s="29">
        <v>36988</v>
      </c>
      <c r="B1792" s="30">
        <f>VLOOKUP(A1792,'Database Claims'!$A:$C,3,)</f>
        <v>398000</v>
      </c>
      <c r="C1792" s="30">
        <f t="shared" si="54"/>
        <v>10000</v>
      </c>
      <c r="D1792" s="30">
        <f>VLOOKUP(A1792,'Database Claims'!$A:$C,2,)</f>
        <v>2582000</v>
      </c>
      <c r="E1792" s="30">
        <f t="shared" si="55"/>
        <v>-38000</v>
      </c>
    </row>
    <row r="1793" spans="1:5" x14ac:dyDescent="0.2">
      <c r="A1793" s="29">
        <v>36995</v>
      </c>
      <c r="B1793" s="26">
        <f>VLOOKUP(A1793,'Database Claims'!$A:$C,3,)</f>
        <v>383000</v>
      </c>
      <c r="C1793" s="30">
        <f t="shared" si="54"/>
        <v>-15000</v>
      </c>
      <c r="D1793" s="26">
        <f>VLOOKUP(A1793,'Database Claims'!$A:$C,2,)</f>
        <v>2742000</v>
      </c>
      <c r="E1793" s="30">
        <f t="shared" si="55"/>
        <v>160000</v>
      </c>
    </row>
    <row r="1794" spans="1:5" x14ac:dyDescent="0.2">
      <c r="A1794" s="29">
        <v>37002</v>
      </c>
      <c r="B1794" s="30">
        <f>VLOOKUP(A1794,'Database Claims'!$A:$C,3,)</f>
        <v>400000</v>
      </c>
      <c r="C1794" s="30">
        <f t="shared" si="54"/>
        <v>17000</v>
      </c>
      <c r="D1794" s="30">
        <f>VLOOKUP(A1794,'Database Claims'!$A:$C,2,)</f>
        <v>2737000</v>
      </c>
      <c r="E1794" s="30">
        <f t="shared" si="55"/>
        <v>-5000</v>
      </c>
    </row>
    <row r="1795" spans="1:5" x14ac:dyDescent="0.2">
      <c r="A1795" s="29">
        <v>37009</v>
      </c>
      <c r="B1795" s="26">
        <f>VLOOKUP(A1795,'Database Claims'!$A:$C,3,)</f>
        <v>406000</v>
      </c>
      <c r="C1795" s="30">
        <f t="shared" si="54"/>
        <v>6000</v>
      </c>
      <c r="D1795" s="26">
        <f>VLOOKUP(A1795,'Database Claims'!$A:$C,2,)</f>
        <v>2728000</v>
      </c>
      <c r="E1795" s="30">
        <f t="shared" si="55"/>
        <v>-9000</v>
      </c>
    </row>
    <row r="1796" spans="1:5" x14ac:dyDescent="0.2">
      <c r="A1796" s="29">
        <v>37016</v>
      </c>
      <c r="B1796" s="30">
        <f>VLOOKUP(A1796,'Database Claims'!$A:$C,3,)</f>
        <v>381000</v>
      </c>
      <c r="C1796" s="30">
        <f t="shared" si="54"/>
        <v>-25000</v>
      </c>
      <c r="D1796" s="30">
        <f>VLOOKUP(A1796,'Database Claims'!$A:$C,2,)</f>
        <v>2732000</v>
      </c>
      <c r="E1796" s="30">
        <f t="shared" si="55"/>
        <v>4000</v>
      </c>
    </row>
    <row r="1797" spans="1:5" x14ac:dyDescent="0.2">
      <c r="A1797" s="29">
        <v>37023</v>
      </c>
      <c r="B1797" s="26">
        <f>VLOOKUP(A1797,'Database Claims'!$A:$C,3,)</f>
        <v>390000</v>
      </c>
      <c r="C1797" s="30">
        <f t="shared" si="54"/>
        <v>9000</v>
      </c>
      <c r="D1797" s="26">
        <f>VLOOKUP(A1797,'Database Claims'!$A:$C,2,)</f>
        <v>2800000</v>
      </c>
      <c r="E1797" s="30">
        <f t="shared" si="55"/>
        <v>68000</v>
      </c>
    </row>
    <row r="1798" spans="1:5" x14ac:dyDescent="0.2">
      <c r="A1798" s="29">
        <v>37030</v>
      </c>
      <c r="B1798" s="30">
        <f>VLOOKUP(A1798,'Database Claims'!$A:$C,3,)</f>
        <v>402000</v>
      </c>
      <c r="C1798" s="30">
        <f t="shared" ref="C1798:C1861" si="56">B1798-B1797</f>
        <v>12000</v>
      </c>
      <c r="D1798" s="30">
        <f>VLOOKUP(A1798,'Database Claims'!$A:$C,2,)</f>
        <v>2819000</v>
      </c>
      <c r="E1798" s="30">
        <f t="shared" ref="E1798:E1861" si="57">D1798-D1797</f>
        <v>19000</v>
      </c>
    </row>
    <row r="1799" spans="1:5" x14ac:dyDescent="0.2">
      <c r="A1799" s="29">
        <v>37037</v>
      </c>
      <c r="B1799" s="26">
        <f>VLOOKUP(A1799,'Database Claims'!$A:$C,3,)</f>
        <v>405000</v>
      </c>
      <c r="C1799" s="30">
        <f t="shared" si="56"/>
        <v>3000</v>
      </c>
      <c r="D1799" s="26">
        <f>VLOOKUP(A1799,'Database Claims'!$A:$C,2,)</f>
        <v>2926000</v>
      </c>
      <c r="E1799" s="30">
        <f t="shared" si="57"/>
        <v>107000</v>
      </c>
    </row>
    <row r="1800" spans="1:5" x14ac:dyDescent="0.2">
      <c r="A1800" s="29">
        <v>37044</v>
      </c>
      <c r="B1800" s="30">
        <f>VLOOKUP(A1800,'Database Claims'!$A:$C,3,)</f>
        <v>406000</v>
      </c>
      <c r="C1800" s="30">
        <f t="shared" si="56"/>
        <v>1000</v>
      </c>
      <c r="D1800" s="30">
        <f>VLOOKUP(A1800,'Database Claims'!$A:$C,2,)</f>
        <v>2919000</v>
      </c>
      <c r="E1800" s="30">
        <f t="shared" si="57"/>
        <v>-7000</v>
      </c>
    </row>
    <row r="1801" spans="1:5" x14ac:dyDescent="0.2">
      <c r="A1801" s="29">
        <v>37051</v>
      </c>
      <c r="B1801" s="26">
        <f>VLOOKUP(A1801,'Database Claims'!$A:$C,3,)</f>
        <v>411000</v>
      </c>
      <c r="C1801" s="30">
        <f t="shared" si="56"/>
        <v>5000</v>
      </c>
      <c r="D1801" s="26">
        <f>VLOOKUP(A1801,'Database Claims'!$A:$C,2,)</f>
        <v>2948000</v>
      </c>
      <c r="E1801" s="30">
        <f t="shared" si="57"/>
        <v>29000</v>
      </c>
    </row>
    <row r="1802" spans="1:5" x14ac:dyDescent="0.2">
      <c r="A1802" s="29">
        <v>37058</v>
      </c>
      <c r="B1802" s="30">
        <f>VLOOKUP(A1802,'Database Claims'!$A:$C,3,)</f>
        <v>394000</v>
      </c>
      <c r="C1802" s="30">
        <f t="shared" si="56"/>
        <v>-17000</v>
      </c>
      <c r="D1802" s="30">
        <f>VLOOKUP(A1802,'Database Claims'!$A:$C,2,)</f>
        <v>2939000</v>
      </c>
      <c r="E1802" s="30">
        <f t="shared" si="57"/>
        <v>-9000</v>
      </c>
    </row>
    <row r="1803" spans="1:5" x14ac:dyDescent="0.2">
      <c r="A1803" s="29">
        <v>37065</v>
      </c>
      <c r="B1803" s="26">
        <f>VLOOKUP(A1803,'Database Claims'!$A:$C,3,)</f>
        <v>381000</v>
      </c>
      <c r="C1803" s="30">
        <f t="shared" si="56"/>
        <v>-13000</v>
      </c>
      <c r="D1803" s="26">
        <f>VLOOKUP(A1803,'Database Claims'!$A:$C,2,)</f>
        <v>2972000</v>
      </c>
      <c r="E1803" s="30">
        <f t="shared" si="57"/>
        <v>33000</v>
      </c>
    </row>
    <row r="1804" spans="1:5" x14ac:dyDescent="0.2">
      <c r="A1804" s="29">
        <v>37072</v>
      </c>
      <c r="B1804" s="30">
        <f>VLOOKUP(A1804,'Database Claims'!$A:$C,3,)</f>
        <v>394000</v>
      </c>
      <c r="C1804" s="30">
        <f t="shared" si="56"/>
        <v>13000</v>
      </c>
      <c r="D1804" s="30">
        <f>VLOOKUP(A1804,'Database Claims'!$A:$C,2,)</f>
        <v>2959000</v>
      </c>
      <c r="E1804" s="30">
        <f t="shared" si="57"/>
        <v>-13000</v>
      </c>
    </row>
    <row r="1805" spans="1:5" x14ac:dyDescent="0.2">
      <c r="A1805" s="29">
        <v>37079</v>
      </c>
      <c r="B1805" s="26">
        <f>VLOOKUP(A1805,'Database Claims'!$A:$C,3,)</f>
        <v>401000</v>
      </c>
      <c r="C1805" s="30">
        <f t="shared" si="56"/>
        <v>7000</v>
      </c>
      <c r="D1805" s="26">
        <f>VLOOKUP(A1805,'Database Claims'!$A:$C,2,)</f>
        <v>3063000</v>
      </c>
      <c r="E1805" s="30">
        <f t="shared" si="57"/>
        <v>104000</v>
      </c>
    </row>
    <row r="1806" spans="1:5" x14ac:dyDescent="0.2">
      <c r="A1806" s="29">
        <v>37086</v>
      </c>
      <c r="B1806" s="30">
        <f>VLOOKUP(A1806,'Database Claims'!$A:$C,3,)</f>
        <v>405000</v>
      </c>
      <c r="C1806" s="30">
        <f t="shared" si="56"/>
        <v>4000</v>
      </c>
      <c r="D1806" s="30">
        <f>VLOOKUP(A1806,'Database Claims'!$A:$C,2,)</f>
        <v>3029000</v>
      </c>
      <c r="E1806" s="30">
        <f t="shared" si="57"/>
        <v>-34000</v>
      </c>
    </row>
    <row r="1807" spans="1:5" x14ac:dyDescent="0.2">
      <c r="A1807" s="29">
        <v>37093</v>
      </c>
      <c r="B1807" s="26">
        <f>VLOOKUP(A1807,'Database Claims'!$A:$C,3,)</f>
        <v>398000</v>
      </c>
      <c r="C1807" s="30">
        <f t="shared" si="56"/>
        <v>-7000</v>
      </c>
      <c r="D1807" s="26">
        <f>VLOOKUP(A1807,'Database Claims'!$A:$C,2,)</f>
        <v>2975000</v>
      </c>
      <c r="E1807" s="30">
        <f t="shared" si="57"/>
        <v>-54000</v>
      </c>
    </row>
    <row r="1808" spans="1:5" x14ac:dyDescent="0.2">
      <c r="A1808" s="29">
        <v>37100</v>
      </c>
      <c r="B1808" s="30">
        <f>VLOOKUP(A1808,'Database Claims'!$A:$C,3,)</f>
        <v>388000</v>
      </c>
      <c r="C1808" s="30">
        <f t="shared" si="56"/>
        <v>-10000</v>
      </c>
      <c r="D1808" s="30">
        <f>VLOOKUP(A1808,'Database Claims'!$A:$C,2,)</f>
        <v>3056000</v>
      </c>
      <c r="E1808" s="30">
        <f t="shared" si="57"/>
        <v>81000</v>
      </c>
    </row>
    <row r="1809" spans="1:5" x14ac:dyDescent="0.2">
      <c r="A1809" s="29">
        <v>37107</v>
      </c>
      <c r="B1809" s="26">
        <f>VLOOKUP(A1809,'Database Claims'!$A:$C,3,)</f>
        <v>401000</v>
      </c>
      <c r="C1809" s="30">
        <f t="shared" si="56"/>
        <v>13000</v>
      </c>
      <c r="D1809" s="26">
        <f>VLOOKUP(A1809,'Database Claims'!$A:$C,2,)</f>
        <v>3079000</v>
      </c>
      <c r="E1809" s="30">
        <f t="shared" si="57"/>
        <v>23000</v>
      </c>
    </row>
    <row r="1810" spans="1:5" x14ac:dyDescent="0.2">
      <c r="A1810" s="29">
        <v>37114</v>
      </c>
      <c r="B1810" s="30">
        <f>VLOOKUP(A1810,'Database Claims'!$A:$C,3,)</f>
        <v>394000</v>
      </c>
      <c r="C1810" s="30">
        <f t="shared" si="56"/>
        <v>-7000</v>
      </c>
      <c r="D1810" s="30">
        <f>VLOOKUP(A1810,'Database Claims'!$A:$C,2,)</f>
        <v>3125000</v>
      </c>
      <c r="E1810" s="30">
        <f t="shared" si="57"/>
        <v>46000</v>
      </c>
    </row>
    <row r="1811" spans="1:5" x14ac:dyDescent="0.2">
      <c r="A1811" s="29">
        <v>37121</v>
      </c>
      <c r="B1811" s="26">
        <f>VLOOKUP(A1811,'Database Claims'!$A:$C,3,)</f>
        <v>402000</v>
      </c>
      <c r="C1811" s="30">
        <f t="shared" si="56"/>
        <v>8000</v>
      </c>
      <c r="D1811" s="26">
        <f>VLOOKUP(A1811,'Database Claims'!$A:$C,2,)</f>
        <v>3113000</v>
      </c>
      <c r="E1811" s="30">
        <f t="shared" si="57"/>
        <v>-12000</v>
      </c>
    </row>
    <row r="1812" spans="1:5" x14ac:dyDescent="0.2">
      <c r="A1812" s="29">
        <v>37128</v>
      </c>
      <c r="B1812" s="30">
        <f>VLOOKUP(A1812,'Database Claims'!$A:$C,3,)</f>
        <v>395000</v>
      </c>
      <c r="C1812" s="30">
        <f t="shared" si="56"/>
        <v>-7000</v>
      </c>
      <c r="D1812" s="30">
        <f>VLOOKUP(A1812,'Database Claims'!$A:$C,2,)</f>
        <v>3163000</v>
      </c>
      <c r="E1812" s="30">
        <f t="shared" si="57"/>
        <v>50000</v>
      </c>
    </row>
    <row r="1813" spans="1:5" x14ac:dyDescent="0.2">
      <c r="A1813" s="29">
        <v>37135</v>
      </c>
      <c r="B1813" s="26">
        <f>VLOOKUP(A1813,'Database Claims'!$A:$C,3,)</f>
        <v>402000</v>
      </c>
      <c r="C1813" s="30">
        <f t="shared" si="56"/>
        <v>7000</v>
      </c>
      <c r="D1813" s="26">
        <f>VLOOKUP(A1813,'Database Claims'!$A:$C,2,)</f>
        <v>3213000</v>
      </c>
      <c r="E1813" s="30">
        <f t="shared" si="57"/>
        <v>50000</v>
      </c>
    </row>
    <row r="1814" spans="1:5" x14ac:dyDescent="0.2">
      <c r="A1814" s="29">
        <v>37142</v>
      </c>
      <c r="B1814" s="30">
        <f>VLOOKUP(A1814,'Database Claims'!$A:$C,3,)</f>
        <v>408000</v>
      </c>
      <c r="C1814" s="30">
        <f t="shared" si="56"/>
        <v>6000</v>
      </c>
      <c r="D1814" s="30">
        <f>VLOOKUP(A1814,'Database Claims'!$A:$C,2,)</f>
        <v>3197000</v>
      </c>
      <c r="E1814" s="30">
        <f t="shared" si="57"/>
        <v>-16000</v>
      </c>
    </row>
    <row r="1815" spans="1:5" x14ac:dyDescent="0.2">
      <c r="A1815" s="29">
        <v>37149</v>
      </c>
      <c r="B1815" s="26">
        <f>VLOOKUP(A1815,'Database Claims'!$A:$C,3,)</f>
        <v>395000</v>
      </c>
      <c r="C1815" s="30">
        <f t="shared" si="56"/>
        <v>-13000</v>
      </c>
      <c r="D1815" s="26">
        <f>VLOOKUP(A1815,'Database Claims'!$A:$C,2,)</f>
        <v>3214000</v>
      </c>
      <c r="E1815" s="30">
        <f t="shared" si="57"/>
        <v>17000</v>
      </c>
    </row>
    <row r="1816" spans="1:5" x14ac:dyDescent="0.2">
      <c r="A1816" s="29">
        <v>37156</v>
      </c>
      <c r="B1816" s="30">
        <f>VLOOKUP(A1816,'Database Claims'!$A:$C,3,)</f>
        <v>453000</v>
      </c>
      <c r="C1816" s="30">
        <f t="shared" si="56"/>
        <v>58000</v>
      </c>
      <c r="D1816" s="30">
        <f>VLOOKUP(A1816,'Database Claims'!$A:$C,2,)</f>
        <v>3302000</v>
      </c>
      <c r="E1816" s="30">
        <f t="shared" si="57"/>
        <v>88000</v>
      </c>
    </row>
    <row r="1817" spans="1:5" x14ac:dyDescent="0.2">
      <c r="A1817" s="29">
        <v>37163</v>
      </c>
      <c r="B1817" s="26">
        <f>VLOOKUP(A1817,'Database Claims'!$A:$C,3,)</f>
        <v>517000</v>
      </c>
      <c r="C1817" s="30">
        <f t="shared" si="56"/>
        <v>64000</v>
      </c>
      <c r="D1817" s="26">
        <f>VLOOKUP(A1817,'Database Claims'!$A:$C,2,)</f>
        <v>3385000</v>
      </c>
      <c r="E1817" s="30">
        <f t="shared" si="57"/>
        <v>83000</v>
      </c>
    </row>
    <row r="1818" spans="1:5" x14ac:dyDescent="0.2">
      <c r="A1818" s="29">
        <v>37170</v>
      </c>
      <c r="B1818" s="30">
        <f>VLOOKUP(A1818,'Database Claims'!$A:$C,3,)</f>
        <v>476000</v>
      </c>
      <c r="C1818" s="30">
        <f t="shared" si="56"/>
        <v>-41000</v>
      </c>
      <c r="D1818" s="30">
        <f>VLOOKUP(A1818,'Database Claims'!$A:$C,2,)</f>
        <v>3432000</v>
      </c>
      <c r="E1818" s="30">
        <f t="shared" si="57"/>
        <v>47000</v>
      </c>
    </row>
    <row r="1819" spans="1:5" x14ac:dyDescent="0.2">
      <c r="A1819" s="29">
        <v>37177</v>
      </c>
      <c r="B1819" s="26">
        <f>VLOOKUP(A1819,'Database Claims'!$A:$C,3,)</f>
        <v>482000</v>
      </c>
      <c r="C1819" s="30">
        <f t="shared" si="56"/>
        <v>6000</v>
      </c>
      <c r="D1819" s="26">
        <f>VLOOKUP(A1819,'Database Claims'!$A:$C,2,)</f>
        <v>3521000</v>
      </c>
      <c r="E1819" s="30">
        <f t="shared" si="57"/>
        <v>89000</v>
      </c>
    </row>
    <row r="1820" spans="1:5" x14ac:dyDescent="0.2">
      <c r="A1820" s="29">
        <v>37184</v>
      </c>
      <c r="B1820" s="30">
        <f>VLOOKUP(A1820,'Database Claims'!$A:$C,3,)</f>
        <v>482000</v>
      </c>
      <c r="C1820" s="30">
        <f t="shared" si="56"/>
        <v>0</v>
      </c>
      <c r="D1820" s="30">
        <f>VLOOKUP(A1820,'Database Claims'!$A:$C,2,)</f>
        <v>3557000</v>
      </c>
      <c r="E1820" s="30">
        <f t="shared" si="57"/>
        <v>36000</v>
      </c>
    </row>
    <row r="1821" spans="1:5" x14ac:dyDescent="0.2">
      <c r="A1821" s="29">
        <v>37191</v>
      </c>
      <c r="B1821" s="26">
        <f>VLOOKUP(A1821,'Database Claims'!$A:$C,3,)</f>
        <v>483000</v>
      </c>
      <c r="C1821" s="30">
        <f t="shared" si="56"/>
        <v>1000</v>
      </c>
      <c r="D1821" s="26">
        <f>VLOOKUP(A1821,'Database Claims'!$A:$C,2,)</f>
        <v>3600000</v>
      </c>
      <c r="E1821" s="30">
        <f t="shared" si="57"/>
        <v>43000</v>
      </c>
    </row>
    <row r="1822" spans="1:5" x14ac:dyDescent="0.2">
      <c r="A1822" s="29">
        <v>37198</v>
      </c>
      <c r="B1822" s="30">
        <f>VLOOKUP(A1822,'Database Claims'!$A:$C,3,)</f>
        <v>440000</v>
      </c>
      <c r="C1822" s="30">
        <f t="shared" si="56"/>
        <v>-43000</v>
      </c>
      <c r="D1822" s="30">
        <f>VLOOKUP(A1822,'Database Claims'!$A:$C,2,)</f>
        <v>3616000</v>
      </c>
      <c r="E1822" s="30">
        <f t="shared" si="57"/>
        <v>16000</v>
      </c>
    </row>
    <row r="1823" spans="1:5" x14ac:dyDescent="0.2">
      <c r="A1823" s="29">
        <v>37205</v>
      </c>
      <c r="B1823" s="26">
        <f>VLOOKUP(A1823,'Database Claims'!$A:$C,3,)</f>
        <v>428000</v>
      </c>
      <c r="C1823" s="30">
        <f t="shared" si="56"/>
        <v>-12000</v>
      </c>
      <c r="D1823" s="26">
        <f>VLOOKUP(A1823,'Database Claims'!$A:$C,2,)</f>
        <v>3627000</v>
      </c>
      <c r="E1823" s="30">
        <f t="shared" si="57"/>
        <v>11000</v>
      </c>
    </row>
    <row r="1824" spans="1:5" x14ac:dyDescent="0.2">
      <c r="A1824" s="29">
        <v>37212</v>
      </c>
      <c r="B1824" s="30">
        <f>VLOOKUP(A1824,'Database Claims'!$A:$C,3,)</f>
        <v>431000</v>
      </c>
      <c r="C1824" s="30">
        <f t="shared" si="56"/>
        <v>3000</v>
      </c>
      <c r="D1824" s="30">
        <f>VLOOKUP(A1824,'Database Claims'!$A:$C,2,)</f>
        <v>3790000</v>
      </c>
      <c r="E1824" s="30">
        <f t="shared" si="57"/>
        <v>163000</v>
      </c>
    </row>
    <row r="1825" spans="1:5" x14ac:dyDescent="0.2">
      <c r="A1825" s="29">
        <v>37219</v>
      </c>
      <c r="B1825" s="26">
        <f>VLOOKUP(A1825,'Database Claims'!$A:$C,3,)</f>
        <v>491000</v>
      </c>
      <c r="C1825" s="30">
        <f t="shared" si="56"/>
        <v>60000</v>
      </c>
      <c r="D1825" s="26">
        <f>VLOOKUP(A1825,'Database Claims'!$A:$C,2,)</f>
        <v>3593000</v>
      </c>
      <c r="E1825" s="30">
        <f t="shared" si="57"/>
        <v>-197000</v>
      </c>
    </row>
    <row r="1826" spans="1:5" x14ac:dyDescent="0.2">
      <c r="A1826" s="29">
        <v>37226</v>
      </c>
      <c r="B1826" s="30">
        <f>VLOOKUP(A1826,'Database Claims'!$A:$C,3,)</f>
        <v>465000</v>
      </c>
      <c r="C1826" s="30">
        <f t="shared" si="56"/>
        <v>-26000</v>
      </c>
      <c r="D1826" s="30">
        <f>VLOOKUP(A1826,'Database Claims'!$A:$C,2,)</f>
        <v>3619000</v>
      </c>
      <c r="E1826" s="30">
        <f t="shared" si="57"/>
        <v>26000</v>
      </c>
    </row>
    <row r="1827" spans="1:5" x14ac:dyDescent="0.2">
      <c r="A1827" s="29">
        <v>37233</v>
      </c>
      <c r="B1827" s="26">
        <f>VLOOKUP(A1827,'Database Claims'!$A:$C,3,)</f>
        <v>393000</v>
      </c>
      <c r="C1827" s="30">
        <f t="shared" si="56"/>
        <v>-72000</v>
      </c>
      <c r="D1827" s="26">
        <f>VLOOKUP(A1827,'Database Claims'!$A:$C,2,)</f>
        <v>3626000</v>
      </c>
      <c r="E1827" s="30">
        <f t="shared" si="57"/>
        <v>7000</v>
      </c>
    </row>
    <row r="1828" spans="1:5" x14ac:dyDescent="0.2">
      <c r="A1828" s="29">
        <v>37240</v>
      </c>
      <c r="B1828" s="30">
        <f>VLOOKUP(A1828,'Database Claims'!$A:$C,3,)</f>
        <v>389000</v>
      </c>
      <c r="C1828" s="30">
        <f t="shared" si="56"/>
        <v>-4000</v>
      </c>
      <c r="D1828" s="30">
        <f>VLOOKUP(A1828,'Database Claims'!$A:$C,2,)</f>
        <v>3637000</v>
      </c>
      <c r="E1828" s="30">
        <f t="shared" si="57"/>
        <v>11000</v>
      </c>
    </row>
    <row r="1829" spans="1:5" x14ac:dyDescent="0.2">
      <c r="A1829" s="29">
        <v>37247</v>
      </c>
      <c r="B1829" s="26">
        <f>VLOOKUP(A1829,'Database Claims'!$A:$C,3,)</f>
        <v>416000</v>
      </c>
      <c r="C1829" s="30">
        <f t="shared" si="56"/>
        <v>27000</v>
      </c>
      <c r="D1829" s="26">
        <f>VLOOKUP(A1829,'Database Claims'!$A:$C,2,)</f>
        <v>3591000</v>
      </c>
      <c r="E1829" s="30">
        <f t="shared" si="57"/>
        <v>-46000</v>
      </c>
    </row>
    <row r="1830" spans="1:5" x14ac:dyDescent="0.2">
      <c r="A1830" s="29">
        <v>37254</v>
      </c>
      <c r="B1830" s="30">
        <f>VLOOKUP(A1830,'Database Claims'!$A:$C,3,)</f>
        <v>421000</v>
      </c>
      <c r="C1830" s="30">
        <f t="shared" si="56"/>
        <v>5000</v>
      </c>
      <c r="D1830" s="30">
        <f>VLOOKUP(A1830,'Database Claims'!$A:$C,2,)</f>
        <v>3474000</v>
      </c>
      <c r="E1830" s="30">
        <f t="shared" si="57"/>
        <v>-117000</v>
      </c>
    </row>
    <row r="1831" spans="1:5" x14ac:dyDescent="0.2">
      <c r="A1831" s="29">
        <v>37261</v>
      </c>
      <c r="B1831" s="26">
        <f>VLOOKUP(A1831,'Database Claims'!$A:$C,3,)</f>
        <v>397000</v>
      </c>
      <c r="C1831" s="30">
        <f t="shared" si="56"/>
        <v>-24000</v>
      </c>
      <c r="D1831" s="26">
        <f>VLOOKUP(A1831,'Database Claims'!$A:$C,2,)</f>
        <v>3587000</v>
      </c>
      <c r="E1831" s="30">
        <f t="shared" si="57"/>
        <v>113000</v>
      </c>
    </row>
    <row r="1832" spans="1:5" x14ac:dyDescent="0.2">
      <c r="A1832" s="29">
        <v>37268</v>
      </c>
      <c r="B1832" s="30">
        <f>VLOOKUP(A1832,'Database Claims'!$A:$C,3,)</f>
        <v>418000</v>
      </c>
      <c r="C1832" s="30">
        <f t="shared" si="56"/>
        <v>21000</v>
      </c>
      <c r="D1832" s="30">
        <f>VLOOKUP(A1832,'Database Claims'!$A:$C,2,)</f>
        <v>3500000</v>
      </c>
      <c r="E1832" s="30">
        <f t="shared" si="57"/>
        <v>-87000</v>
      </c>
    </row>
    <row r="1833" spans="1:5" x14ac:dyDescent="0.2">
      <c r="A1833" s="29">
        <v>37275</v>
      </c>
      <c r="B1833" s="26">
        <f>VLOOKUP(A1833,'Database Claims'!$A:$C,3,)</f>
        <v>405000</v>
      </c>
      <c r="C1833" s="30">
        <f t="shared" si="56"/>
        <v>-13000</v>
      </c>
      <c r="D1833" s="26">
        <f>VLOOKUP(A1833,'Database Claims'!$A:$C,2,)</f>
        <v>3557000</v>
      </c>
      <c r="E1833" s="30">
        <f t="shared" si="57"/>
        <v>57000</v>
      </c>
    </row>
    <row r="1834" spans="1:5" x14ac:dyDescent="0.2">
      <c r="A1834" s="29">
        <v>37282</v>
      </c>
      <c r="B1834" s="30">
        <f>VLOOKUP(A1834,'Database Claims'!$A:$C,3,)</f>
        <v>414000</v>
      </c>
      <c r="C1834" s="30">
        <f t="shared" si="56"/>
        <v>9000</v>
      </c>
      <c r="D1834" s="30">
        <f>VLOOKUP(A1834,'Database Claims'!$A:$C,2,)</f>
        <v>3558000</v>
      </c>
      <c r="E1834" s="30">
        <f t="shared" si="57"/>
        <v>1000</v>
      </c>
    </row>
    <row r="1835" spans="1:5" x14ac:dyDescent="0.2">
      <c r="A1835" s="29">
        <v>37289</v>
      </c>
      <c r="B1835" s="26">
        <f>VLOOKUP(A1835,'Database Claims'!$A:$C,3,)</f>
        <v>404000</v>
      </c>
      <c r="C1835" s="30">
        <f t="shared" si="56"/>
        <v>-10000</v>
      </c>
      <c r="D1835" s="26">
        <f>VLOOKUP(A1835,'Database Claims'!$A:$C,2,)</f>
        <v>3537000</v>
      </c>
      <c r="E1835" s="30">
        <f t="shared" si="57"/>
        <v>-21000</v>
      </c>
    </row>
    <row r="1836" spans="1:5" x14ac:dyDescent="0.2">
      <c r="A1836" s="29">
        <v>37296</v>
      </c>
      <c r="B1836" s="30">
        <f>VLOOKUP(A1836,'Database Claims'!$A:$C,3,)</f>
        <v>397000</v>
      </c>
      <c r="C1836" s="30">
        <f t="shared" si="56"/>
        <v>-7000</v>
      </c>
      <c r="D1836" s="30">
        <f>VLOOKUP(A1836,'Database Claims'!$A:$C,2,)</f>
        <v>3562000</v>
      </c>
      <c r="E1836" s="30">
        <f t="shared" si="57"/>
        <v>25000</v>
      </c>
    </row>
    <row r="1837" spans="1:5" x14ac:dyDescent="0.2">
      <c r="A1837" s="29">
        <v>37303</v>
      </c>
      <c r="B1837" s="26">
        <f>VLOOKUP(A1837,'Database Claims'!$A:$C,3,)</f>
        <v>397000</v>
      </c>
      <c r="C1837" s="30">
        <f t="shared" si="56"/>
        <v>0</v>
      </c>
      <c r="D1837" s="26">
        <f>VLOOKUP(A1837,'Database Claims'!$A:$C,2,)</f>
        <v>3580000</v>
      </c>
      <c r="E1837" s="30">
        <f t="shared" si="57"/>
        <v>18000</v>
      </c>
    </row>
    <row r="1838" spans="1:5" x14ac:dyDescent="0.2">
      <c r="A1838" s="29">
        <v>37310</v>
      </c>
      <c r="B1838" s="30">
        <f>VLOOKUP(A1838,'Database Claims'!$A:$C,3,)</f>
        <v>398000</v>
      </c>
      <c r="C1838" s="30">
        <f t="shared" si="56"/>
        <v>1000</v>
      </c>
      <c r="D1838" s="30">
        <f>VLOOKUP(A1838,'Database Claims'!$A:$C,2,)</f>
        <v>3538000</v>
      </c>
      <c r="E1838" s="30">
        <f t="shared" si="57"/>
        <v>-42000</v>
      </c>
    </row>
    <row r="1839" spans="1:5" x14ac:dyDescent="0.2">
      <c r="A1839" s="29">
        <v>37317</v>
      </c>
      <c r="B1839" s="26">
        <f>VLOOKUP(A1839,'Database Claims'!$A:$C,3,)</f>
        <v>392000</v>
      </c>
      <c r="C1839" s="30">
        <f t="shared" si="56"/>
        <v>-6000</v>
      </c>
      <c r="D1839" s="26">
        <f>VLOOKUP(A1839,'Database Claims'!$A:$C,2,)</f>
        <v>3567000</v>
      </c>
      <c r="E1839" s="30">
        <f t="shared" si="57"/>
        <v>29000</v>
      </c>
    </row>
    <row r="1840" spans="1:5" x14ac:dyDescent="0.2">
      <c r="A1840" s="29">
        <v>37324</v>
      </c>
      <c r="B1840" s="30">
        <f>VLOOKUP(A1840,'Database Claims'!$A:$C,3,)</f>
        <v>399000</v>
      </c>
      <c r="C1840" s="30">
        <f t="shared" si="56"/>
        <v>7000</v>
      </c>
      <c r="D1840" s="30">
        <f>VLOOKUP(A1840,'Database Claims'!$A:$C,2,)</f>
        <v>3567000</v>
      </c>
      <c r="E1840" s="30">
        <f t="shared" si="57"/>
        <v>0</v>
      </c>
    </row>
    <row r="1841" spans="1:5" x14ac:dyDescent="0.2">
      <c r="A1841" s="29">
        <v>37331</v>
      </c>
      <c r="B1841" s="26">
        <f>VLOOKUP(A1841,'Database Claims'!$A:$C,3,)</f>
        <v>392000</v>
      </c>
      <c r="C1841" s="30">
        <f t="shared" si="56"/>
        <v>-7000</v>
      </c>
      <c r="D1841" s="26">
        <f>VLOOKUP(A1841,'Database Claims'!$A:$C,2,)</f>
        <v>3598000</v>
      </c>
      <c r="E1841" s="30">
        <f t="shared" si="57"/>
        <v>31000</v>
      </c>
    </row>
    <row r="1842" spans="1:5" x14ac:dyDescent="0.2">
      <c r="A1842" s="29">
        <v>37338</v>
      </c>
      <c r="B1842" s="30">
        <f>VLOOKUP(A1842,'Database Claims'!$A:$C,3,)</f>
        <v>415000</v>
      </c>
      <c r="C1842" s="30">
        <f t="shared" si="56"/>
        <v>23000</v>
      </c>
      <c r="D1842" s="30">
        <f>VLOOKUP(A1842,'Database Claims'!$A:$C,2,)</f>
        <v>3599000</v>
      </c>
      <c r="E1842" s="30">
        <f t="shared" si="57"/>
        <v>1000</v>
      </c>
    </row>
    <row r="1843" spans="1:5" x14ac:dyDescent="0.2">
      <c r="A1843" s="29">
        <v>37345</v>
      </c>
      <c r="B1843" s="26">
        <f>VLOOKUP(A1843,'Database Claims'!$A:$C,3,)</f>
        <v>479000</v>
      </c>
      <c r="C1843" s="30">
        <f t="shared" si="56"/>
        <v>64000</v>
      </c>
      <c r="D1843" s="26">
        <f>VLOOKUP(A1843,'Database Claims'!$A:$C,2,)</f>
        <v>3723000</v>
      </c>
      <c r="E1843" s="30">
        <f t="shared" si="57"/>
        <v>124000</v>
      </c>
    </row>
    <row r="1844" spans="1:5" x14ac:dyDescent="0.2">
      <c r="A1844" s="29">
        <v>37352</v>
      </c>
      <c r="B1844" s="30">
        <f>VLOOKUP(A1844,'Database Claims'!$A:$C,3,)</f>
        <v>445000</v>
      </c>
      <c r="C1844" s="30">
        <f t="shared" si="56"/>
        <v>-34000</v>
      </c>
      <c r="D1844" s="30">
        <f>VLOOKUP(A1844,'Database Claims'!$A:$C,2,)</f>
        <v>3732000</v>
      </c>
      <c r="E1844" s="30">
        <f t="shared" si="57"/>
        <v>9000</v>
      </c>
    </row>
    <row r="1845" spans="1:5" x14ac:dyDescent="0.2">
      <c r="A1845" s="29">
        <v>37359</v>
      </c>
      <c r="B1845" s="26">
        <f>VLOOKUP(A1845,'Database Claims'!$A:$C,3,)</f>
        <v>442000</v>
      </c>
      <c r="C1845" s="30">
        <f t="shared" si="56"/>
        <v>-3000</v>
      </c>
      <c r="D1845" s="26">
        <f>VLOOKUP(A1845,'Database Claims'!$A:$C,2,)</f>
        <v>3650000</v>
      </c>
      <c r="E1845" s="30">
        <f t="shared" si="57"/>
        <v>-82000</v>
      </c>
    </row>
    <row r="1846" spans="1:5" x14ac:dyDescent="0.2">
      <c r="A1846" s="29">
        <v>37366</v>
      </c>
      <c r="B1846" s="30">
        <f>VLOOKUP(A1846,'Database Claims'!$A:$C,3,)</f>
        <v>416000</v>
      </c>
      <c r="C1846" s="30">
        <f t="shared" si="56"/>
        <v>-26000</v>
      </c>
      <c r="D1846" s="30">
        <f>VLOOKUP(A1846,'Database Claims'!$A:$C,2,)</f>
        <v>3675000</v>
      </c>
      <c r="E1846" s="30">
        <f t="shared" si="57"/>
        <v>25000</v>
      </c>
    </row>
    <row r="1847" spans="1:5" x14ac:dyDescent="0.2">
      <c r="A1847" s="29">
        <v>37373</v>
      </c>
      <c r="B1847" s="26">
        <f>VLOOKUP(A1847,'Database Claims'!$A:$C,3,)</f>
        <v>414000</v>
      </c>
      <c r="C1847" s="30">
        <f t="shared" si="56"/>
        <v>-2000</v>
      </c>
      <c r="D1847" s="26">
        <f>VLOOKUP(A1847,'Database Claims'!$A:$C,2,)</f>
        <v>3700000</v>
      </c>
      <c r="E1847" s="30">
        <f t="shared" si="57"/>
        <v>25000</v>
      </c>
    </row>
    <row r="1848" spans="1:5" x14ac:dyDescent="0.2">
      <c r="A1848" s="29">
        <v>37380</v>
      </c>
      <c r="B1848" s="30">
        <f>VLOOKUP(A1848,'Database Claims'!$A:$C,3,)</f>
        <v>409000</v>
      </c>
      <c r="C1848" s="30">
        <f t="shared" si="56"/>
        <v>-5000</v>
      </c>
      <c r="D1848" s="30">
        <f>VLOOKUP(A1848,'Database Claims'!$A:$C,2,)</f>
        <v>3712000</v>
      </c>
      <c r="E1848" s="30">
        <f t="shared" si="57"/>
        <v>12000</v>
      </c>
    </row>
    <row r="1849" spans="1:5" x14ac:dyDescent="0.2">
      <c r="A1849" s="29">
        <v>37387</v>
      </c>
      <c r="B1849" s="26">
        <f>VLOOKUP(A1849,'Database Claims'!$A:$C,3,)</f>
        <v>413000</v>
      </c>
      <c r="C1849" s="30">
        <f t="shared" si="56"/>
        <v>4000</v>
      </c>
      <c r="D1849" s="26">
        <f>VLOOKUP(A1849,'Database Claims'!$A:$C,2,)</f>
        <v>3729000</v>
      </c>
      <c r="E1849" s="30">
        <f t="shared" si="57"/>
        <v>17000</v>
      </c>
    </row>
    <row r="1850" spans="1:5" x14ac:dyDescent="0.2">
      <c r="A1850" s="29">
        <v>37394</v>
      </c>
      <c r="B1850" s="30">
        <f>VLOOKUP(A1850,'Database Claims'!$A:$C,3,)</f>
        <v>411000</v>
      </c>
      <c r="C1850" s="30">
        <f t="shared" si="56"/>
        <v>-2000</v>
      </c>
      <c r="D1850" s="30">
        <f>VLOOKUP(A1850,'Database Claims'!$A:$C,2,)</f>
        <v>3695000</v>
      </c>
      <c r="E1850" s="30">
        <f t="shared" si="57"/>
        <v>-34000</v>
      </c>
    </row>
    <row r="1851" spans="1:5" x14ac:dyDescent="0.2">
      <c r="A1851" s="29">
        <v>37401</v>
      </c>
      <c r="B1851" s="26">
        <f>VLOOKUP(A1851,'Database Claims'!$A:$C,3,)</f>
        <v>403000</v>
      </c>
      <c r="C1851" s="30">
        <f t="shared" si="56"/>
        <v>-8000</v>
      </c>
      <c r="D1851" s="26">
        <f>VLOOKUP(A1851,'Database Claims'!$A:$C,2,)</f>
        <v>3712000</v>
      </c>
      <c r="E1851" s="30">
        <f t="shared" si="57"/>
        <v>17000</v>
      </c>
    </row>
    <row r="1852" spans="1:5" x14ac:dyDescent="0.2">
      <c r="A1852" s="29">
        <v>37408</v>
      </c>
      <c r="B1852" s="30">
        <f>VLOOKUP(A1852,'Database Claims'!$A:$C,3,)</f>
        <v>378000</v>
      </c>
      <c r="C1852" s="30">
        <f t="shared" si="56"/>
        <v>-25000</v>
      </c>
      <c r="D1852" s="30">
        <f>VLOOKUP(A1852,'Database Claims'!$A:$C,2,)</f>
        <v>3664000</v>
      </c>
      <c r="E1852" s="30">
        <f t="shared" si="57"/>
        <v>-48000</v>
      </c>
    </row>
    <row r="1853" spans="1:5" x14ac:dyDescent="0.2">
      <c r="A1853" s="29">
        <v>37415</v>
      </c>
      <c r="B1853" s="26">
        <f>VLOOKUP(A1853,'Database Claims'!$A:$C,3,)</f>
        <v>388000</v>
      </c>
      <c r="C1853" s="30">
        <f t="shared" si="56"/>
        <v>10000</v>
      </c>
      <c r="D1853" s="26">
        <f>VLOOKUP(A1853,'Database Claims'!$A:$C,2,)</f>
        <v>3681000</v>
      </c>
      <c r="E1853" s="30">
        <f t="shared" si="57"/>
        <v>17000</v>
      </c>
    </row>
    <row r="1854" spans="1:5" x14ac:dyDescent="0.2">
      <c r="A1854" s="29">
        <v>37422</v>
      </c>
      <c r="B1854" s="30">
        <f>VLOOKUP(A1854,'Database Claims'!$A:$C,3,)</f>
        <v>396000</v>
      </c>
      <c r="C1854" s="30">
        <f t="shared" si="56"/>
        <v>8000</v>
      </c>
      <c r="D1854" s="30">
        <f>VLOOKUP(A1854,'Database Claims'!$A:$C,2,)</f>
        <v>3604000</v>
      </c>
      <c r="E1854" s="30">
        <f t="shared" si="57"/>
        <v>-77000</v>
      </c>
    </row>
    <row r="1855" spans="1:5" x14ac:dyDescent="0.2">
      <c r="A1855" s="29">
        <v>37429</v>
      </c>
      <c r="B1855" s="26">
        <f>VLOOKUP(A1855,'Database Claims'!$A:$C,3,)</f>
        <v>388000</v>
      </c>
      <c r="C1855" s="30">
        <f t="shared" si="56"/>
        <v>-8000</v>
      </c>
      <c r="D1855" s="26">
        <f>VLOOKUP(A1855,'Database Claims'!$A:$C,2,)</f>
        <v>3639000</v>
      </c>
      <c r="E1855" s="30">
        <f t="shared" si="57"/>
        <v>35000</v>
      </c>
    </row>
    <row r="1856" spans="1:5" x14ac:dyDescent="0.2">
      <c r="A1856" s="29">
        <v>37436</v>
      </c>
      <c r="B1856" s="30">
        <f>VLOOKUP(A1856,'Database Claims'!$A:$C,3,)</f>
        <v>386000</v>
      </c>
      <c r="C1856" s="30">
        <f t="shared" si="56"/>
        <v>-2000</v>
      </c>
      <c r="D1856" s="30">
        <f>VLOOKUP(A1856,'Database Claims'!$A:$C,2,)</f>
        <v>3588000</v>
      </c>
      <c r="E1856" s="30">
        <f t="shared" si="57"/>
        <v>-51000</v>
      </c>
    </row>
    <row r="1857" spans="1:5" x14ac:dyDescent="0.2">
      <c r="A1857" s="29">
        <v>37443</v>
      </c>
      <c r="B1857" s="26">
        <f>VLOOKUP(A1857,'Database Claims'!$A:$C,3,)</f>
        <v>391000</v>
      </c>
      <c r="C1857" s="30">
        <f t="shared" si="56"/>
        <v>5000</v>
      </c>
      <c r="D1857" s="26">
        <f>VLOOKUP(A1857,'Database Claims'!$A:$C,2,)</f>
        <v>3554000</v>
      </c>
      <c r="E1857" s="30">
        <f t="shared" si="57"/>
        <v>-34000</v>
      </c>
    </row>
    <row r="1858" spans="1:5" x14ac:dyDescent="0.2">
      <c r="A1858" s="29">
        <v>37450</v>
      </c>
      <c r="B1858" s="30">
        <f>VLOOKUP(A1858,'Database Claims'!$A:$C,3,)</f>
        <v>384000</v>
      </c>
      <c r="C1858" s="30">
        <f t="shared" si="56"/>
        <v>-7000</v>
      </c>
      <c r="D1858" s="30">
        <f>VLOOKUP(A1858,'Database Claims'!$A:$C,2,)</f>
        <v>3495000</v>
      </c>
      <c r="E1858" s="30">
        <f t="shared" si="57"/>
        <v>-59000</v>
      </c>
    </row>
    <row r="1859" spans="1:5" x14ac:dyDescent="0.2">
      <c r="A1859" s="29">
        <v>37457</v>
      </c>
      <c r="B1859" s="26">
        <f>VLOOKUP(A1859,'Database Claims'!$A:$C,3,)</f>
        <v>379000</v>
      </c>
      <c r="C1859" s="30">
        <f t="shared" si="56"/>
        <v>-5000</v>
      </c>
      <c r="D1859" s="26">
        <f>VLOOKUP(A1859,'Database Claims'!$A:$C,2,)</f>
        <v>3473000</v>
      </c>
      <c r="E1859" s="30">
        <f t="shared" si="57"/>
        <v>-22000</v>
      </c>
    </row>
    <row r="1860" spans="1:5" x14ac:dyDescent="0.2">
      <c r="A1860" s="29">
        <v>37464</v>
      </c>
      <c r="B1860" s="30">
        <f>VLOOKUP(A1860,'Database Claims'!$A:$C,3,)</f>
        <v>390000</v>
      </c>
      <c r="C1860" s="30">
        <f t="shared" si="56"/>
        <v>11000</v>
      </c>
      <c r="D1860" s="30">
        <f>VLOOKUP(A1860,'Database Claims'!$A:$C,2,)</f>
        <v>3495000</v>
      </c>
      <c r="E1860" s="30">
        <f t="shared" si="57"/>
        <v>22000</v>
      </c>
    </row>
    <row r="1861" spans="1:5" x14ac:dyDescent="0.2">
      <c r="A1861" s="29">
        <v>37471</v>
      </c>
      <c r="B1861" s="26">
        <f>VLOOKUP(A1861,'Database Claims'!$A:$C,3,)</f>
        <v>388000</v>
      </c>
      <c r="C1861" s="30">
        <f t="shared" si="56"/>
        <v>-2000</v>
      </c>
      <c r="D1861" s="26">
        <f>VLOOKUP(A1861,'Database Claims'!$A:$C,2,)</f>
        <v>3498000</v>
      </c>
      <c r="E1861" s="30">
        <f t="shared" si="57"/>
        <v>3000</v>
      </c>
    </row>
    <row r="1862" spans="1:5" x14ac:dyDescent="0.2">
      <c r="A1862" s="29">
        <v>37478</v>
      </c>
      <c r="B1862" s="30">
        <f>VLOOKUP(A1862,'Database Claims'!$A:$C,3,)</f>
        <v>389000</v>
      </c>
      <c r="C1862" s="30">
        <f t="shared" ref="C1862:C1925" si="58">B1862-B1861</f>
        <v>1000</v>
      </c>
      <c r="D1862" s="30">
        <f>VLOOKUP(A1862,'Database Claims'!$A:$C,2,)</f>
        <v>3485000</v>
      </c>
      <c r="E1862" s="30">
        <f t="shared" ref="E1862:E1925" si="59">D1862-D1861</f>
        <v>-13000</v>
      </c>
    </row>
    <row r="1863" spans="1:5" x14ac:dyDescent="0.2">
      <c r="A1863" s="29">
        <v>37485</v>
      </c>
      <c r="B1863" s="26">
        <f>VLOOKUP(A1863,'Database Claims'!$A:$C,3,)</f>
        <v>399000</v>
      </c>
      <c r="C1863" s="30">
        <f t="shared" si="58"/>
        <v>10000</v>
      </c>
      <c r="D1863" s="26">
        <f>VLOOKUP(A1863,'Database Claims'!$A:$C,2,)</f>
        <v>3531000</v>
      </c>
      <c r="E1863" s="30">
        <f t="shared" si="59"/>
        <v>46000</v>
      </c>
    </row>
    <row r="1864" spans="1:5" x14ac:dyDescent="0.2">
      <c r="A1864" s="29">
        <v>37492</v>
      </c>
      <c r="B1864" s="30">
        <f>VLOOKUP(A1864,'Database Claims'!$A:$C,3,)</f>
        <v>398000</v>
      </c>
      <c r="C1864" s="30">
        <f t="shared" si="58"/>
        <v>-1000</v>
      </c>
      <c r="D1864" s="30">
        <f>VLOOKUP(A1864,'Database Claims'!$A:$C,2,)</f>
        <v>3521000</v>
      </c>
      <c r="E1864" s="30">
        <f t="shared" si="59"/>
        <v>-10000</v>
      </c>
    </row>
    <row r="1865" spans="1:5" x14ac:dyDescent="0.2">
      <c r="A1865" s="29">
        <v>37499</v>
      </c>
      <c r="B1865" s="26">
        <f>VLOOKUP(A1865,'Database Claims'!$A:$C,3,)</f>
        <v>394000</v>
      </c>
      <c r="C1865" s="30">
        <f t="shared" si="58"/>
        <v>-4000</v>
      </c>
      <c r="D1865" s="26">
        <f>VLOOKUP(A1865,'Database Claims'!$A:$C,2,)</f>
        <v>3549000</v>
      </c>
      <c r="E1865" s="30">
        <f t="shared" si="59"/>
        <v>28000</v>
      </c>
    </row>
    <row r="1866" spans="1:5" x14ac:dyDescent="0.2">
      <c r="A1866" s="29">
        <v>37506</v>
      </c>
      <c r="B1866" s="30">
        <f>VLOOKUP(A1866,'Database Claims'!$A:$C,3,)</f>
        <v>416000</v>
      </c>
      <c r="C1866" s="30">
        <f t="shared" si="58"/>
        <v>22000</v>
      </c>
      <c r="D1866" s="30">
        <f>VLOOKUP(A1866,'Database Claims'!$A:$C,2,)</f>
        <v>3532000</v>
      </c>
      <c r="E1866" s="30">
        <f t="shared" si="59"/>
        <v>-17000</v>
      </c>
    </row>
    <row r="1867" spans="1:5" x14ac:dyDescent="0.2">
      <c r="A1867" s="29">
        <v>37513</v>
      </c>
      <c r="B1867" s="26">
        <f>VLOOKUP(A1867,'Database Claims'!$A:$C,3,)</f>
        <v>412000</v>
      </c>
      <c r="C1867" s="30">
        <f t="shared" si="58"/>
        <v>-4000</v>
      </c>
      <c r="D1867" s="26">
        <f>VLOOKUP(A1867,'Database Claims'!$A:$C,2,)</f>
        <v>3554000</v>
      </c>
      <c r="E1867" s="30">
        <f t="shared" si="59"/>
        <v>22000</v>
      </c>
    </row>
    <row r="1868" spans="1:5" x14ac:dyDescent="0.2">
      <c r="A1868" s="29">
        <v>37520</v>
      </c>
      <c r="B1868" s="30">
        <f>VLOOKUP(A1868,'Database Claims'!$A:$C,3,)</f>
        <v>401000</v>
      </c>
      <c r="C1868" s="30">
        <f t="shared" si="58"/>
        <v>-11000</v>
      </c>
      <c r="D1868" s="30">
        <f>VLOOKUP(A1868,'Database Claims'!$A:$C,2,)</f>
        <v>3579000</v>
      </c>
      <c r="E1868" s="30">
        <f t="shared" si="59"/>
        <v>25000</v>
      </c>
    </row>
    <row r="1869" spans="1:5" x14ac:dyDescent="0.2">
      <c r="A1869" s="29">
        <v>37527</v>
      </c>
      <c r="B1869" s="26">
        <f>VLOOKUP(A1869,'Database Claims'!$A:$C,3,)</f>
        <v>409000</v>
      </c>
      <c r="C1869" s="30">
        <f t="shared" si="58"/>
        <v>8000</v>
      </c>
      <c r="D1869" s="26">
        <f>VLOOKUP(A1869,'Database Claims'!$A:$C,2,)</f>
        <v>3555000</v>
      </c>
      <c r="E1869" s="30">
        <f t="shared" si="59"/>
        <v>-24000</v>
      </c>
    </row>
    <row r="1870" spans="1:5" x14ac:dyDescent="0.2">
      <c r="A1870" s="29">
        <v>37534</v>
      </c>
      <c r="B1870" s="30">
        <f>VLOOKUP(A1870,'Database Claims'!$A:$C,3,)</f>
        <v>404000</v>
      </c>
      <c r="C1870" s="30">
        <f t="shared" si="58"/>
        <v>-5000</v>
      </c>
      <c r="D1870" s="30">
        <f>VLOOKUP(A1870,'Database Claims'!$A:$C,2,)</f>
        <v>3619000</v>
      </c>
      <c r="E1870" s="30">
        <f t="shared" si="59"/>
        <v>64000</v>
      </c>
    </row>
    <row r="1871" spans="1:5" x14ac:dyDescent="0.2">
      <c r="A1871" s="29">
        <v>37541</v>
      </c>
      <c r="B1871" s="26">
        <f>VLOOKUP(A1871,'Database Claims'!$A:$C,3,)</f>
        <v>405000</v>
      </c>
      <c r="C1871" s="30">
        <f t="shared" si="58"/>
        <v>1000</v>
      </c>
      <c r="D1871" s="26">
        <f>VLOOKUP(A1871,'Database Claims'!$A:$C,2,)</f>
        <v>3529000</v>
      </c>
      <c r="E1871" s="30">
        <f t="shared" si="59"/>
        <v>-90000</v>
      </c>
    </row>
    <row r="1872" spans="1:5" x14ac:dyDescent="0.2">
      <c r="A1872" s="29">
        <v>37548</v>
      </c>
      <c r="B1872" s="30">
        <f>VLOOKUP(A1872,'Database Claims'!$A:$C,3,)</f>
        <v>412000</v>
      </c>
      <c r="C1872" s="30">
        <f t="shared" si="58"/>
        <v>7000</v>
      </c>
      <c r="D1872" s="30">
        <f>VLOOKUP(A1872,'Database Claims'!$A:$C,2,)</f>
        <v>3518000</v>
      </c>
      <c r="E1872" s="30">
        <f t="shared" si="59"/>
        <v>-11000</v>
      </c>
    </row>
    <row r="1873" spans="1:5" x14ac:dyDescent="0.2">
      <c r="A1873" s="29">
        <v>37555</v>
      </c>
      <c r="B1873" s="26">
        <f>VLOOKUP(A1873,'Database Claims'!$A:$C,3,)</f>
        <v>409000</v>
      </c>
      <c r="C1873" s="30">
        <f t="shared" si="58"/>
        <v>-3000</v>
      </c>
      <c r="D1873" s="26">
        <f>VLOOKUP(A1873,'Database Claims'!$A:$C,2,)</f>
        <v>3557000</v>
      </c>
      <c r="E1873" s="30">
        <f t="shared" si="59"/>
        <v>39000</v>
      </c>
    </row>
    <row r="1874" spans="1:5" x14ac:dyDescent="0.2">
      <c r="A1874" s="29">
        <v>37562</v>
      </c>
      <c r="B1874" s="30">
        <f>VLOOKUP(A1874,'Database Claims'!$A:$C,3,)</f>
        <v>405000</v>
      </c>
      <c r="C1874" s="30">
        <f t="shared" si="58"/>
        <v>-4000</v>
      </c>
      <c r="D1874" s="30">
        <f>VLOOKUP(A1874,'Database Claims'!$A:$C,2,)</f>
        <v>3557000</v>
      </c>
      <c r="E1874" s="30">
        <f t="shared" si="59"/>
        <v>0</v>
      </c>
    </row>
    <row r="1875" spans="1:5" x14ac:dyDescent="0.2">
      <c r="A1875" s="29">
        <v>37569</v>
      </c>
      <c r="B1875" s="26">
        <f>VLOOKUP(A1875,'Database Claims'!$A:$C,3,)</f>
        <v>400000</v>
      </c>
      <c r="C1875" s="30">
        <f t="shared" si="58"/>
        <v>-5000</v>
      </c>
      <c r="D1875" s="26">
        <f>VLOOKUP(A1875,'Database Claims'!$A:$C,2,)</f>
        <v>3539000</v>
      </c>
      <c r="E1875" s="30">
        <f t="shared" si="59"/>
        <v>-18000</v>
      </c>
    </row>
    <row r="1876" spans="1:5" x14ac:dyDescent="0.2">
      <c r="A1876" s="29">
        <v>37576</v>
      </c>
      <c r="B1876" s="30">
        <f>VLOOKUP(A1876,'Database Claims'!$A:$C,3,)</f>
        <v>389000</v>
      </c>
      <c r="C1876" s="30">
        <f t="shared" si="58"/>
        <v>-11000</v>
      </c>
      <c r="D1876" s="30">
        <f>VLOOKUP(A1876,'Database Claims'!$A:$C,2,)</f>
        <v>3438000</v>
      </c>
      <c r="E1876" s="30">
        <f t="shared" si="59"/>
        <v>-101000</v>
      </c>
    </row>
    <row r="1877" spans="1:5" x14ac:dyDescent="0.2">
      <c r="A1877" s="29">
        <v>37583</v>
      </c>
      <c r="B1877" s="26">
        <f>VLOOKUP(A1877,'Database Claims'!$A:$C,3,)</f>
        <v>390000</v>
      </c>
      <c r="C1877" s="30">
        <f t="shared" si="58"/>
        <v>1000</v>
      </c>
      <c r="D1877" s="26">
        <f>VLOOKUP(A1877,'Database Claims'!$A:$C,2,)</f>
        <v>3474000</v>
      </c>
      <c r="E1877" s="30">
        <f t="shared" si="59"/>
        <v>36000</v>
      </c>
    </row>
    <row r="1878" spans="1:5" x14ac:dyDescent="0.2">
      <c r="A1878" s="29">
        <v>37590</v>
      </c>
      <c r="B1878" s="30">
        <f>VLOOKUP(A1878,'Database Claims'!$A:$C,3,)</f>
        <v>377000</v>
      </c>
      <c r="C1878" s="30">
        <f t="shared" si="58"/>
        <v>-13000</v>
      </c>
      <c r="D1878" s="30">
        <f>VLOOKUP(A1878,'Database Claims'!$A:$C,2,)</f>
        <v>3404000</v>
      </c>
      <c r="E1878" s="30">
        <f t="shared" si="59"/>
        <v>-70000</v>
      </c>
    </row>
    <row r="1879" spans="1:5" x14ac:dyDescent="0.2">
      <c r="A1879" s="29">
        <v>37597</v>
      </c>
      <c r="B1879" s="26">
        <f>VLOOKUP(A1879,'Database Claims'!$A:$C,3,)</f>
        <v>425000</v>
      </c>
      <c r="C1879" s="30">
        <f t="shared" si="58"/>
        <v>48000</v>
      </c>
      <c r="D1879" s="26">
        <f>VLOOKUP(A1879,'Database Claims'!$A:$C,2,)</f>
        <v>3537000</v>
      </c>
      <c r="E1879" s="30">
        <f t="shared" si="59"/>
        <v>133000</v>
      </c>
    </row>
    <row r="1880" spans="1:5" x14ac:dyDescent="0.2">
      <c r="A1880" s="29">
        <v>37604</v>
      </c>
      <c r="B1880" s="30">
        <f>VLOOKUP(A1880,'Database Claims'!$A:$C,3,)</f>
        <v>429000</v>
      </c>
      <c r="C1880" s="30">
        <f t="shared" si="58"/>
        <v>4000</v>
      </c>
      <c r="D1880" s="30">
        <f>VLOOKUP(A1880,'Database Claims'!$A:$C,2,)</f>
        <v>3497000</v>
      </c>
      <c r="E1880" s="30">
        <f t="shared" si="59"/>
        <v>-40000</v>
      </c>
    </row>
    <row r="1881" spans="1:5" x14ac:dyDescent="0.2">
      <c r="A1881" s="29">
        <v>37611</v>
      </c>
      <c r="B1881" s="26">
        <f>VLOOKUP(A1881,'Database Claims'!$A:$C,3,)</f>
        <v>394000</v>
      </c>
      <c r="C1881" s="30">
        <f t="shared" si="58"/>
        <v>-35000</v>
      </c>
      <c r="D1881" s="26">
        <f>VLOOKUP(A1881,'Database Claims'!$A:$C,2,)</f>
        <v>3435000</v>
      </c>
      <c r="E1881" s="30">
        <f t="shared" si="59"/>
        <v>-62000</v>
      </c>
    </row>
    <row r="1882" spans="1:5" x14ac:dyDescent="0.2">
      <c r="A1882" s="29">
        <v>37618</v>
      </c>
      <c r="B1882" s="30">
        <f>VLOOKUP(A1882,'Database Claims'!$A:$C,3,)</f>
        <v>409000</v>
      </c>
      <c r="C1882" s="30">
        <f t="shared" si="58"/>
        <v>15000</v>
      </c>
      <c r="D1882" s="30">
        <f>VLOOKUP(A1882,'Database Claims'!$A:$C,2,)</f>
        <v>3462000</v>
      </c>
      <c r="E1882" s="30">
        <f t="shared" si="59"/>
        <v>27000</v>
      </c>
    </row>
    <row r="1883" spans="1:5" x14ac:dyDescent="0.2">
      <c r="A1883" s="29">
        <v>37625</v>
      </c>
      <c r="B1883" s="26">
        <f>VLOOKUP(A1883,'Database Claims'!$A:$C,3,)</f>
        <v>393000</v>
      </c>
      <c r="C1883" s="30">
        <f t="shared" si="58"/>
        <v>-16000</v>
      </c>
      <c r="D1883" s="26">
        <f>VLOOKUP(A1883,'Database Claims'!$A:$C,2,)</f>
        <v>3438000</v>
      </c>
      <c r="E1883" s="30">
        <f t="shared" si="59"/>
        <v>-24000</v>
      </c>
    </row>
    <row r="1884" spans="1:5" x14ac:dyDescent="0.2">
      <c r="A1884" s="29">
        <v>37632</v>
      </c>
      <c r="B1884" s="30">
        <f>VLOOKUP(A1884,'Database Claims'!$A:$C,3,)</f>
        <v>378000</v>
      </c>
      <c r="C1884" s="30">
        <f t="shared" si="58"/>
        <v>-15000</v>
      </c>
      <c r="D1884" s="30">
        <f>VLOOKUP(A1884,'Database Claims'!$A:$C,2,)</f>
        <v>3388000</v>
      </c>
      <c r="E1884" s="30">
        <f t="shared" si="59"/>
        <v>-50000</v>
      </c>
    </row>
    <row r="1885" spans="1:5" x14ac:dyDescent="0.2">
      <c r="A1885" s="29">
        <v>37639</v>
      </c>
      <c r="B1885" s="26">
        <f>VLOOKUP(A1885,'Database Claims'!$A:$C,3,)</f>
        <v>402000</v>
      </c>
      <c r="C1885" s="30">
        <f t="shared" si="58"/>
        <v>24000</v>
      </c>
      <c r="D1885" s="26">
        <f>VLOOKUP(A1885,'Database Claims'!$A:$C,2,)</f>
        <v>3357000</v>
      </c>
      <c r="E1885" s="30">
        <f t="shared" si="59"/>
        <v>-31000</v>
      </c>
    </row>
    <row r="1886" spans="1:5" x14ac:dyDescent="0.2">
      <c r="A1886" s="29">
        <v>37646</v>
      </c>
      <c r="B1886" s="30">
        <f>VLOOKUP(A1886,'Database Claims'!$A:$C,3,)</f>
        <v>407000</v>
      </c>
      <c r="C1886" s="30">
        <f t="shared" si="58"/>
        <v>5000</v>
      </c>
      <c r="D1886" s="30">
        <f>VLOOKUP(A1886,'Database Claims'!$A:$C,2,)</f>
        <v>3475000</v>
      </c>
      <c r="E1886" s="30">
        <f t="shared" si="59"/>
        <v>118000</v>
      </c>
    </row>
    <row r="1887" spans="1:5" x14ac:dyDescent="0.2">
      <c r="A1887" s="29">
        <v>37653</v>
      </c>
      <c r="B1887" s="26">
        <f>VLOOKUP(A1887,'Database Claims'!$A:$C,3,)</f>
        <v>413000</v>
      </c>
      <c r="C1887" s="30">
        <f t="shared" si="58"/>
        <v>6000</v>
      </c>
      <c r="D1887" s="26">
        <f>VLOOKUP(A1887,'Database Claims'!$A:$C,2,)</f>
        <v>3368000</v>
      </c>
      <c r="E1887" s="30">
        <f t="shared" si="59"/>
        <v>-107000</v>
      </c>
    </row>
    <row r="1888" spans="1:5" x14ac:dyDescent="0.2">
      <c r="A1888" s="29">
        <v>37660</v>
      </c>
      <c r="B1888" s="30">
        <f>VLOOKUP(A1888,'Database Claims'!$A:$C,3,)</f>
        <v>390000</v>
      </c>
      <c r="C1888" s="30">
        <f t="shared" si="58"/>
        <v>-23000</v>
      </c>
      <c r="D1888" s="30">
        <f>VLOOKUP(A1888,'Database Claims'!$A:$C,2,)</f>
        <v>3457000</v>
      </c>
      <c r="E1888" s="30">
        <f t="shared" si="59"/>
        <v>89000</v>
      </c>
    </row>
    <row r="1889" spans="1:5" x14ac:dyDescent="0.2">
      <c r="A1889" s="29">
        <v>37667</v>
      </c>
      <c r="B1889" s="26">
        <f>VLOOKUP(A1889,'Database Claims'!$A:$C,3,)</f>
        <v>420000</v>
      </c>
      <c r="C1889" s="30">
        <f t="shared" si="58"/>
        <v>30000</v>
      </c>
      <c r="D1889" s="26">
        <f>VLOOKUP(A1889,'Database Claims'!$A:$C,2,)</f>
        <v>3423000</v>
      </c>
      <c r="E1889" s="30">
        <f t="shared" si="59"/>
        <v>-34000</v>
      </c>
    </row>
    <row r="1890" spans="1:5" x14ac:dyDescent="0.2">
      <c r="A1890" s="29">
        <v>37674</v>
      </c>
      <c r="B1890" s="30">
        <f>VLOOKUP(A1890,'Database Claims'!$A:$C,3,)</f>
        <v>421000</v>
      </c>
      <c r="C1890" s="30">
        <f t="shared" si="58"/>
        <v>1000</v>
      </c>
      <c r="D1890" s="30">
        <f>VLOOKUP(A1890,'Database Claims'!$A:$C,2,)</f>
        <v>3500000</v>
      </c>
      <c r="E1890" s="30">
        <f t="shared" si="59"/>
        <v>77000</v>
      </c>
    </row>
    <row r="1891" spans="1:5" x14ac:dyDescent="0.2">
      <c r="A1891" s="29">
        <v>37681</v>
      </c>
      <c r="B1891" s="26">
        <f>VLOOKUP(A1891,'Database Claims'!$A:$C,3,)</f>
        <v>436000</v>
      </c>
      <c r="C1891" s="30">
        <f t="shared" si="58"/>
        <v>15000</v>
      </c>
      <c r="D1891" s="26">
        <f>VLOOKUP(A1891,'Database Claims'!$A:$C,2,)</f>
        <v>3496000</v>
      </c>
      <c r="E1891" s="30">
        <f t="shared" si="59"/>
        <v>-4000</v>
      </c>
    </row>
    <row r="1892" spans="1:5" x14ac:dyDescent="0.2">
      <c r="A1892" s="29">
        <v>37688</v>
      </c>
      <c r="B1892" s="30">
        <f>VLOOKUP(A1892,'Database Claims'!$A:$C,3,)</f>
        <v>424000</v>
      </c>
      <c r="C1892" s="30">
        <f t="shared" si="58"/>
        <v>-12000</v>
      </c>
      <c r="D1892" s="30">
        <f>VLOOKUP(A1892,'Database Claims'!$A:$C,2,)</f>
        <v>3559000</v>
      </c>
      <c r="E1892" s="30">
        <f t="shared" si="59"/>
        <v>63000</v>
      </c>
    </row>
    <row r="1893" spans="1:5" x14ac:dyDescent="0.2">
      <c r="A1893" s="29">
        <v>37695</v>
      </c>
      <c r="B1893" s="26">
        <f>VLOOKUP(A1893,'Database Claims'!$A:$C,3,)</f>
        <v>430000</v>
      </c>
      <c r="C1893" s="30">
        <f t="shared" si="58"/>
        <v>6000</v>
      </c>
      <c r="D1893" s="26">
        <f>VLOOKUP(A1893,'Database Claims'!$A:$C,2,)</f>
        <v>3528000</v>
      </c>
      <c r="E1893" s="30">
        <f t="shared" si="59"/>
        <v>-31000</v>
      </c>
    </row>
    <row r="1894" spans="1:5" x14ac:dyDescent="0.2">
      <c r="A1894" s="29">
        <v>37702</v>
      </c>
      <c r="B1894" s="30">
        <f>VLOOKUP(A1894,'Database Claims'!$A:$C,3,)</f>
        <v>411000</v>
      </c>
      <c r="C1894" s="30">
        <f t="shared" si="58"/>
        <v>-19000</v>
      </c>
      <c r="D1894" s="30">
        <f>VLOOKUP(A1894,'Database Claims'!$A:$C,2,)</f>
        <v>3585000</v>
      </c>
      <c r="E1894" s="30">
        <f t="shared" si="59"/>
        <v>57000</v>
      </c>
    </row>
    <row r="1895" spans="1:5" x14ac:dyDescent="0.2">
      <c r="A1895" s="29">
        <v>37709</v>
      </c>
      <c r="B1895" s="26">
        <f>VLOOKUP(A1895,'Database Claims'!$A:$C,3,)</f>
        <v>436000</v>
      </c>
      <c r="C1895" s="30">
        <f t="shared" si="58"/>
        <v>25000</v>
      </c>
      <c r="D1895" s="26">
        <f>VLOOKUP(A1895,'Database Claims'!$A:$C,2,)</f>
        <v>3536000</v>
      </c>
      <c r="E1895" s="30">
        <f t="shared" si="59"/>
        <v>-49000</v>
      </c>
    </row>
    <row r="1896" spans="1:5" x14ac:dyDescent="0.2">
      <c r="A1896" s="29">
        <v>37716</v>
      </c>
      <c r="B1896" s="30">
        <f>VLOOKUP(A1896,'Database Claims'!$A:$C,3,)</f>
        <v>417000</v>
      </c>
      <c r="C1896" s="30">
        <f t="shared" si="58"/>
        <v>-19000</v>
      </c>
      <c r="D1896" s="30">
        <f>VLOOKUP(A1896,'Database Claims'!$A:$C,2,)</f>
        <v>3583000</v>
      </c>
      <c r="E1896" s="30">
        <f t="shared" si="59"/>
        <v>47000</v>
      </c>
    </row>
    <row r="1897" spans="1:5" x14ac:dyDescent="0.2">
      <c r="A1897" s="29">
        <v>37723</v>
      </c>
      <c r="B1897" s="26">
        <f>VLOOKUP(A1897,'Database Claims'!$A:$C,3,)</f>
        <v>434000</v>
      </c>
      <c r="C1897" s="30">
        <f t="shared" si="58"/>
        <v>17000</v>
      </c>
      <c r="D1897" s="26">
        <f>VLOOKUP(A1897,'Database Claims'!$A:$C,2,)</f>
        <v>3586000</v>
      </c>
      <c r="E1897" s="30">
        <f t="shared" si="59"/>
        <v>3000</v>
      </c>
    </row>
    <row r="1898" spans="1:5" x14ac:dyDescent="0.2">
      <c r="A1898" s="29">
        <v>37730</v>
      </c>
      <c r="B1898" s="30">
        <f>VLOOKUP(A1898,'Database Claims'!$A:$C,3,)</f>
        <v>450000</v>
      </c>
      <c r="C1898" s="30">
        <f t="shared" si="58"/>
        <v>16000</v>
      </c>
      <c r="D1898" s="30">
        <f>VLOOKUP(A1898,'Database Claims'!$A:$C,2,)</f>
        <v>3674000</v>
      </c>
      <c r="E1898" s="30">
        <f t="shared" si="59"/>
        <v>88000</v>
      </c>
    </row>
    <row r="1899" spans="1:5" x14ac:dyDescent="0.2">
      <c r="A1899" s="29">
        <v>37737</v>
      </c>
      <c r="B1899" s="26">
        <f>VLOOKUP(A1899,'Database Claims'!$A:$C,3,)</f>
        <v>444000</v>
      </c>
      <c r="C1899" s="30">
        <f t="shared" si="58"/>
        <v>-6000</v>
      </c>
      <c r="D1899" s="26">
        <f>VLOOKUP(A1899,'Database Claims'!$A:$C,2,)</f>
        <v>3676000</v>
      </c>
      <c r="E1899" s="30">
        <f t="shared" si="59"/>
        <v>2000</v>
      </c>
    </row>
    <row r="1900" spans="1:5" x14ac:dyDescent="0.2">
      <c r="A1900" s="29">
        <v>37744</v>
      </c>
      <c r="B1900" s="30">
        <f>VLOOKUP(A1900,'Database Claims'!$A:$C,3,)</f>
        <v>428000</v>
      </c>
      <c r="C1900" s="30">
        <f t="shared" si="58"/>
        <v>-16000</v>
      </c>
      <c r="D1900" s="30">
        <f>VLOOKUP(A1900,'Database Claims'!$A:$C,2,)</f>
        <v>3730000</v>
      </c>
      <c r="E1900" s="30">
        <f t="shared" si="59"/>
        <v>54000</v>
      </c>
    </row>
    <row r="1901" spans="1:5" x14ac:dyDescent="0.2">
      <c r="A1901" s="29">
        <v>37751</v>
      </c>
      <c r="B1901" s="26">
        <f>VLOOKUP(A1901,'Database Claims'!$A:$C,3,)</f>
        <v>417000</v>
      </c>
      <c r="C1901" s="30">
        <f t="shared" si="58"/>
        <v>-11000</v>
      </c>
      <c r="D1901" s="26">
        <f>VLOOKUP(A1901,'Database Claims'!$A:$C,2,)</f>
        <v>3704000</v>
      </c>
      <c r="E1901" s="30">
        <f t="shared" si="59"/>
        <v>-26000</v>
      </c>
    </row>
    <row r="1902" spans="1:5" x14ac:dyDescent="0.2">
      <c r="A1902" s="29">
        <v>37758</v>
      </c>
      <c r="B1902" s="30">
        <f>VLOOKUP(A1902,'Database Claims'!$A:$C,3,)</f>
        <v>425000</v>
      </c>
      <c r="C1902" s="30">
        <f t="shared" si="58"/>
        <v>8000</v>
      </c>
      <c r="D1902" s="30">
        <f>VLOOKUP(A1902,'Database Claims'!$A:$C,2,)</f>
        <v>3716000</v>
      </c>
      <c r="E1902" s="30">
        <f t="shared" si="59"/>
        <v>12000</v>
      </c>
    </row>
    <row r="1903" spans="1:5" x14ac:dyDescent="0.2">
      <c r="A1903" s="29">
        <v>37765</v>
      </c>
      <c r="B1903" s="26">
        <f>VLOOKUP(A1903,'Database Claims'!$A:$C,3,)</f>
        <v>419000</v>
      </c>
      <c r="C1903" s="30">
        <f t="shared" si="58"/>
        <v>-6000</v>
      </c>
      <c r="D1903" s="26">
        <f>VLOOKUP(A1903,'Database Claims'!$A:$C,2,)</f>
        <v>3672000</v>
      </c>
      <c r="E1903" s="30">
        <f t="shared" si="59"/>
        <v>-44000</v>
      </c>
    </row>
    <row r="1904" spans="1:5" x14ac:dyDescent="0.2">
      <c r="A1904" s="29">
        <v>37772</v>
      </c>
      <c r="B1904" s="30">
        <f>VLOOKUP(A1904,'Database Claims'!$A:$C,3,)</f>
        <v>431000</v>
      </c>
      <c r="C1904" s="30">
        <f t="shared" si="58"/>
        <v>12000</v>
      </c>
      <c r="D1904" s="30">
        <f>VLOOKUP(A1904,'Database Claims'!$A:$C,2,)</f>
        <v>3774000</v>
      </c>
      <c r="E1904" s="30">
        <f t="shared" si="59"/>
        <v>102000</v>
      </c>
    </row>
    <row r="1905" spans="1:5" x14ac:dyDescent="0.2">
      <c r="A1905" s="29">
        <v>37779</v>
      </c>
      <c r="B1905" s="26">
        <f>VLOOKUP(A1905,'Database Claims'!$A:$C,3,)</f>
        <v>429000</v>
      </c>
      <c r="C1905" s="30">
        <f t="shared" si="58"/>
        <v>-2000</v>
      </c>
      <c r="D1905" s="26">
        <f>VLOOKUP(A1905,'Database Claims'!$A:$C,2,)</f>
        <v>3682000</v>
      </c>
      <c r="E1905" s="30">
        <f t="shared" si="59"/>
        <v>-92000</v>
      </c>
    </row>
    <row r="1906" spans="1:5" x14ac:dyDescent="0.2">
      <c r="A1906" s="29">
        <v>37786</v>
      </c>
      <c r="B1906" s="30">
        <f>VLOOKUP(A1906,'Database Claims'!$A:$C,3,)</f>
        <v>421000</v>
      </c>
      <c r="C1906" s="30">
        <f t="shared" si="58"/>
        <v>-8000</v>
      </c>
      <c r="D1906" s="30">
        <f>VLOOKUP(A1906,'Database Claims'!$A:$C,2,)</f>
        <v>3695000</v>
      </c>
      <c r="E1906" s="30">
        <f t="shared" si="59"/>
        <v>13000</v>
      </c>
    </row>
    <row r="1907" spans="1:5" x14ac:dyDescent="0.2">
      <c r="A1907" s="29">
        <v>37793</v>
      </c>
      <c r="B1907" s="26">
        <f>VLOOKUP(A1907,'Database Claims'!$A:$C,3,)</f>
        <v>408000</v>
      </c>
      <c r="C1907" s="30">
        <f t="shared" si="58"/>
        <v>-13000</v>
      </c>
      <c r="D1907" s="26">
        <f>VLOOKUP(A1907,'Database Claims'!$A:$C,2,)</f>
        <v>3692000</v>
      </c>
      <c r="E1907" s="30">
        <f t="shared" si="59"/>
        <v>-3000</v>
      </c>
    </row>
    <row r="1908" spans="1:5" x14ac:dyDescent="0.2">
      <c r="A1908" s="29">
        <v>37800</v>
      </c>
      <c r="B1908" s="30">
        <f>VLOOKUP(A1908,'Database Claims'!$A:$C,3,)</f>
        <v>429000</v>
      </c>
      <c r="C1908" s="30">
        <f t="shared" si="58"/>
        <v>21000</v>
      </c>
      <c r="D1908" s="30">
        <f>VLOOKUP(A1908,'Database Claims'!$A:$C,2,)</f>
        <v>3737000</v>
      </c>
      <c r="E1908" s="30">
        <f t="shared" si="59"/>
        <v>45000</v>
      </c>
    </row>
    <row r="1909" spans="1:5" x14ac:dyDescent="0.2">
      <c r="A1909" s="29">
        <v>37807</v>
      </c>
      <c r="B1909" s="26">
        <f>VLOOKUP(A1909,'Database Claims'!$A:$C,3,)</f>
        <v>433000</v>
      </c>
      <c r="C1909" s="30">
        <f t="shared" si="58"/>
        <v>4000</v>
      </c>
      <c r="D1909" s="26">
        <f>VLOOKUP(A1909,'Database Claims'!$A:$C,2,)</f>
        <v>3627000</v>
      </c>
      <c r="E1909" s="30">
        <f t="shared" si="59"/>
        <v>-110000</v>
      </c>
    </row>
    <row r="1910" spans="1:5" x14ac:dyDescent="0.2">
      <c r="A1910" s="29">
        <v>37814</v>
      </c>
      <c r="B1910" s="30">
        <f>VLOOKUP(A1910,'Database Claims'!$A:$C,3,)</f>
        <v>412000</v>
      </c>
      <c r="C1910" s="30">
        <f t="shared" si="58"/>
        <v>-21000</v>
      </c>
      <c r="D1910" s="30">
        <f>VLOOKUP(A1910,'Database Claims'!$A:$C,2,)</f>
        <v>3599000</v>
      </c>
      <c r="E1910" s="30">
        <f t="shared" si="59"/>
        <v>-28000</v>
      </c>
    </row>
    <row r="1911" spans="1:5" x14ac:dyDescent="0.2">
      <c r="A1911" s="29">
        <v>37821</v>
      </c>
      <c r="B1911" s="26">
        <f>VLOOKUP(A1911,'Database Claims'!$A:$C,3,)</f>
        <v>403000</v>
      </c>
      <c r="C1911" s="30">
        <f t="shared" si="58"/>
        <v>-9000</v>
      </c>
      <c r="D1911" s="26">
        <f>VLOOKUP(A1911,'Database Claims'!$A:$C,2,)</f>
        <v>3592000</v>
      </c>
      <c r="E1911" s="30">
        <f t="shared" si="59"/>
        <v>-7000</v>
      </c>
    </row>
    <row r="1912" spans="1:5" x14ac:dyDescent="0.2">
      <c r="A1912" s="29">
        <v>37828</v>
      </c>
      <c r="B1912" s="30">
        <f>VLOOKUP(A1912,'Database Claims'!$A:$C,3,)</f>
        <v>398000</v>
      </c>
      <c r="C1912" s="30">
        <f t="shared" si="58"/>
        <v>-5000</v>
      </c>
      <c r="D1912" s="30">
        <f>VLOOKUP(A1912,'Database Claims'!$A:$C,2,)</f>
        <v>3647000</v>
      </c>
      <c r="E1912" s="30">
        <f t="shared" si="59"/>
        <v>55000</v>
      </c>
    </row>
    <row r="1913" spans="1:5" x14ac:dyDescent="0.2">
      <c r="A1913" s="29">
        <v>37835</v>
      </c>
      <c r="B1913" s="26">
        <f>VLOOKUP(A1913,'Database Claims'!$A:$C,3,)</f>
        <v>401000</v>
      </c>
      <c r="C1913" s="30">
        <f t="shared" si="58"/>
        <v>3000</v>
      </c>
      <c r="D1913" s="26">
        <f>VLOOKUP(A1913,'Database Claims'!$A:$C,2,)</f>
        <v>3601000</v>
      </c>
      <c r="E1913" s="30">
        <f t="shared" si="59"/>
        <v>-46000</v>
      </c>
    </row>
    <row r="1914" spans="1:5" x14ac:dyDescent="0.2">
      <c r="A1914" s="29">
        <v>37842</v>
      </c>
      <c r="B1914" s="30">
        <f>VLOOKUP(A1914,'Database Claims'!$A:$C,3,)</f>
        <v>404000</v>
      </c>
      <c r="C1914" s="30">
        <f t="shared" si="58"/>
        <v>3000</v>
      </c>
      <c r="D1914" s="30">
        <f>VLOOKUP(A1914,'Database Claims'!$A:$C,2,)</f>
        <v>3596000</v>
      </c>
      <c r="E1914" s="30">
        <f t="shared" si="59"/>
        <v>-5000</v>
      </c>
    </row>
    <row r="1915" spans="1:5" x14ac:dyDescent="0.2">
      <c r="A1915" s="29">
        <v>37849</v>
      </c>
      <c r="B1915" s="26">
        <f>VLOOKUP(A1915,'Database Claims'!$A:$C,3,)</f>
        <v>398000</v>
      </c>
      <c r="C1915" s="30">
        <f t="shared" si="58"/>
        <v>-6000</v>
      </c>
      <c r="D1915" s="26">
        <f>VLOOKUP(A1915,'Database Claims'!$A:$C,2,)</f>
        <v>3603000</v>
      </c>
      <c r="E1915" s="30">
        <f t="shared" si="59"/>
        <v>7000</v>
      </c>
    </row>
    <row r="1916" spans="1:5" x14ac:dyDescent="0.2">
      <c r="A1916" s="29">
        <v>37856</v>
      </c>
      <c r="B1916" s="30">
        <f>VLOOKUP(A1916,'Database Claims'!$A:$C,3,)</f>
        <v>391000</v>
      </c>
      <c r="C1916" s="30">
        <f t="shared" si="58"/>
        <v>-7000</v>
      </c>
      <c r="D1916" s="30">
        <f>VLOOKUP(A1916,'Database Claims'!$A:$C,2,)</f>
        <v>3574000</v>
      </c>
      <c r="E1916" s="30">
        <f t="shared" si="59"/>
        <v>-29000</v>
      </c>
    </row>
    <row r="1917" spans="1:5" x14ac:dyDescent="0.2">
      <c r="A1917" s="29">
        <v>37863</v>
      </c>
      <c r="B1917" s="26">
        <f>VLOOKUP(A1917,'Database Claims'!$A:$C,3,)</f>
        <v>407000</v>
      </c>
      <c r="C1917" s="30">
        <f t="shared" si="58"/>
        <v>16000</v>
      </c>
      <c r="D1917" s="26">
        <f>VLOOKUP(A1917,'Database Claims'!$A:$C,2,)</f>
        <v>3608000</v>
      </c>
      <c r="E1917" s="30">
        <f t="shared" si="59"/>
        <v>34000</v>
      </c>
    </row>
    <row r="1918" spans="1:5" x14ac:dyDescent="0.2">
      <c r="A1918" s="29">
        <v>37870</v>
      </c>
      <c r="B1918" s="30">
        <f>VLOOKUP(A1918,'Database Claims'!$A:$C,3,)</f>
        <v>422000</v>
      </c>
      <c r="C1918" s="30">
        <f t="shared" si="58"/>
        <v>15000</v>
      </c>
      <c r="D1918" s="30">
        <f>VLOOKUP(A1918,'Database Claims'!$A:$C,2,)</f>
        <v>3598000</v>
      </c>
      <c r="E1918" s="30">
        <f t="shared" si="59"/>
        <v>-10000</v>
      </c>
    </row>
    <row r="1919" spans="1:5" x14ac:dyDescent="0.2">
      <c r="A1919" s="29">
        <v>37877</v>
      </c>
      <c r="B1919" s="26">
        <f>VLOOKUP(A1919,'Database Claims'!$A:$C,3,)</f>
        <v>394000</v>
      </c>
      <c r="C1919" s="30">
        <f t="shared" si="58"/>
        <v>-28000</v>
      </c>
      <c r="D1919" s="26">
        <f>VLOOKUP(A1919,'Database Claims'!$A:$C,2,)</f>
        <v>3559000</v>
      </c>
      <c r="E1919" s="30">
        <f t="shared" si="59"/>
        <v>-39000</v>
      </c>
    </row>
    <row r="1920" spans="1:5" x14ac:dyDescent="0.2">
      <c r="A1920" s="29">
        <v>37884</v>
      </c>
      <c r="B1920" s="30">
        <f>VLOOKUP(A1920,'Database Claims'!$A:$C,3,)</f>
        <v>379000</v>
      </c>
      <c r="C1920" s="30">
        <f t="shared" si="58"/>
        <v>-15000</v>
      </c>
      <c r="D1920" s="30">
        <f>VLOOKUP(A1920,'Database Claims'!$A:$C,2,)</f>
        <v>3588000</v>
      </c>
      <c r="E1920" s="30">
        <f t="shared" si="59"/>
        <v>29000</v>
      </c>
    </row>
    <row r="1921" spans="1:5" x14ac:dyDescent="0.2">
      <c r="A1921" s="29">
        <v>37891</v>
      </c>
      <c r="B1921" s="26">
        <f>VLOOKUP(A1921,'Database Claims'!$A:$C,3,)</f>
        <v>387000</v>
      </c>
      <c r="C1921" s="30">
        <f t="shared" si="58"/>
        <v>8000</v>
      </c>
      <c r="D1921" s="26">
        <f>VLOOKUP(A1921,'Database Claims'!$A:$C,2,)</f>
        <v>3558000</v>
      </c>
      <c r="E1921" s="30">
        <f t="shared" si="59"/>
        <v>-30000</v>
      </c>
    </row>
    <row r="1922" spans="1:5" x14ac:dyDescent="0.2">
      <c r="A1922" s="29">
        <v>37898</v>
      </c>
      <c r="B1922" s="30">
        <f>VLOOKUP(A1922,'Database Claims'!$A:$C,3,)</f>
        <v>386000</v>
      </c>
      <c r="C1922" s="30">
        <f t="shared" si="58"/>
        <v>-1000</v>
      </c>
      <c r="D1922" s="30">
        <f>VLOOKUP(A1922,'Database Claims'!$A:$C,2,)</f>
        <v>3570000</v>
      </c>
      <c r="E1922" s="30">
        <f t="shared" si="59"/>
        <v>12000</v>
      </c>
    </row>
    <row r="1923" spans="1:5" x14ac:dyDescent="0.2">
      <c r="A1923" s="29">
        <v>37905</v>
      </c>
      <c r="B1923" s="26">
        <f>VLOOKUP(A1923,'Database Claims'!$A:$C,3,)</f>
        <v>376000</v>
      </c>
      <c r="C1923" s="30">
        <f t="shared" si="58"/>
        <v>-10000</v>
      </c>
      <c r="D1923" s="26">
        <f>VLOOKUP(A1923,'Database Claims'!$A:$C,2,)</f>
        <v>3468000</v>
      </c>
      <c r="E1923" s="30">
        <f t="shared" si="59"/>
        <v>-102000</v>
      </c>
    </row>
    <row r="1924" spans="1:5" x14ac:dyDescent="0.2">
      <c r="A1924" s="29">
        <v>37912</v>
      </c>
      <c r="B1924" s="30">
        <f>VLOOKUP(A1924,'Database Claims'!$A:$C,3,)</f>
        <v>387000</v>
      </c>
      <c r="C1924" s="30">
        <f t="shared" si="58"/>
        <v>11000</v>
      </c>
      <c r="D1924" s="30">
        <f>VLOOKUP(A1924,'Database Claims'!$A:$C,2,)</f>
        <v>3466000</v>
      </c>
      <c r="E1924" s="30">
        <f t="shared" si="59"/>
        <v>-2000</v>
      </c>
    </row>
    <row r="1925" spans="1:5" x14ac:dyDescent="0.2">
      <c r="A1925" s="29">
        <v>37919</v>
      </c>
      <c r="B1925" s="26">
        <f>VLOOKUP(A1925,'Database Claims'!$A:$C,3,)</f>
        <v>379000</v>
      </c>
      <c r="C1925" s="30">
        <f t="shared" si="58"/>
        <v>-8000</v>
      </c>
      <c r="D1925" s="26">
        <f>VLOOKUP(A1925,'Database Claims'!$A:$C,2,)</f>
        <v>3441000</v>
      </c>
      <c r="E1925" s="30">
        <f t="shared" si="59"/>
        <v>-25000</v>
      </c>
    </row>
    <row r="1926" spans="1:5" x14ac:dyDescent="0.2">
      <c r="A1926" s="29">
        <v>37926</v>
      </c>
      <c r="B1926" s="30">
        <f>VLOOKUP(A1926,'Database Claims'!$A:$C,3,)</f>
        <v>363000</v>
      </c>
      <c r="C1926" s="30">
        <f t="shared" ref="C1926:C1989" si="60">B1926-B1925</f>
        <v>-16000</v>
      </c>
      <c r="D1926" s="30">
        <f>VLOOKUP(A1926,'Database Claims'!$A:$C,2,)</f>
        <v>3427000</v>
      </c>
      <c r="E1926" s="30">
        <f t="shared" ref="E1926:E1989" si="61">D1926-D1925</f>
        <v>-14000</v>
      </c>
    </row>
    <row r="1927" spans="1:5" x14ac:dyDescent="0.2">
      <c r="A1927" s="29">
        <v>37933</v>
      </c>
      <c r="B1927" s="26">
        <f>VLOOKUP(A1927,'Database Claims'!$A:$C,3,)</f>
        <v>371000</v>
      </c>
      <c r="C1927" s="30">
        <f t="shared" si="60"/>
        <v>8000</v>
      </c>
      <c r="D1927" s="26">
        <f>VLOOKUP(A1927,'Database Claims'!$A:$C,2,)</f>
        <v>3441000</v>
      </c>
      <c r="E1927" s="30">
        <f t="shared" si="61"/>
        <v>14000</v>
      </c>
    </row>
    <row r="1928" spans="1:5" x14ac:dyDescent="0.2">
      <c r="A1928" s="29">
        <v>37940</v>
      </c>
      <c r="B1928" s="30">
        <f>VLOOKUP(A1928,'Database Claims'!$A:$C,3,)</f>
        <v>370000</v>
      </c>
      <c r="C1928" s="30">
        <f t="shared" si="60"/>
        <v>-1000</v>
      </c>
      <c r="D1928" s="30">
        <f>VLOOKUP(A1928,'Database Claims'!$A:$C,2,)</f>
        <v>3331000</v>
      </c>
      <c r="E1928" s="30">
        <f t="shared" si="61"/>
        <v>-110000</v>
      </c>
    </row>
    <row r="1929" spans="1:5" x14ac:dyDescent="0.2">
      <c r="A1929" s="29">
        <v>37947</v>
      </c>
      <c r="B1929" s="26">
        <f>VLOOKUP(A1929,'Database Claims'!$A:$C,3,)</f>
        <v>354000</v>
      </c>
      <c r="C1929" s="30">
        <f t="shared" si="60"/>
        <v>-16000</v>
      </c>
      <c r="D1929" s="26">
        <f>VLOOKUP(A1929,'Database Claims'!$A:$C,2,)</f>
        <v>3337000</v>
      </c>
      <c r="E1929" s="30">
        <f t="shared" si="61"/>
        <v>6000</v>
      </c>
    </row>
    <row r="1930" spans="1:5" x14ac:dyDescent="0.2">
      <c r="A1930" s="29">
        <v>37954</v>
      </c>
      <c r="B1930" s="30">
        <f>VLOOKUP(A1930,'Database Claims'!$A:$C,3,)</f>
        <v>357000</v>
      </c>
      <c r="C1930" s="30">
        <f t="shared" si="60"/>
        <v>3000</v>
      </c>
      <c r="D1930" s="30">
        <f>VLOOKUP(A1930,'Database Claims'!$A:$C,2,)</f>
        <v>3331000</v>
      </c>
      <c r="E1930" s="30">
        <f t="shared" si="61"/>
        <v>-6000</v>
      </c>
    </row>
    <row r="1931" spans="1:5" x14ac:dyDescent="0.2">
      <c r="A1931" s="29">
        <v>37961</v>
      </c>
      <c r="B1931" s="26">
        <f>VLOOKUP(A1931,'Database Claims'!$A:$C,3,)</f>
        <v>367000</v>
      </c>
      <c r="C1931" s="30">
        <f t="shared" si="60"/>
        <v>10000</v>
      </c>
      <c r="D1931" s="26">
        <f>VLOOKUP(A1931,'Database Claims'!$A:$C,2,)</f>
        <v>3318000</v>
      </c>
      <c r="E1931" s="30">
        <f t="shared" si="61"/>
        <v>-13000</v>
      </c>
    </row>
    <row r="1932" spans="1:5" x14ac:dyDescent="0.2">
      <c r="A1932" s="29">
        <v>37968</v>
      </c>
      <c r="B1932" s="30">
        <f>VLOOKUP(A1932,'Database Claims'!$A:$C,3,)</f>
        <v>363000</v>
      </c>
      <c r="C1932" s="30">
        <f t="shared" si="60"/>
        <v>-4000</v>
      </c>
      <c r="D1932" s="30">
        <f>VLOOKUP(A1932,'Database Claims'!$A:$C,2,)</f>
        <v>3251000</v>
      </c>
      <c r="E1932" s="30">
        <f t="shared" si="61"/>
        <v>-67000</v>
      </c>
    </row>
    <row r="1933" spans="1:5" x14ac:dyDescent="0.2">
      <c r="A1933" s="29">
        <v>37975</v>
      </c>
      <c r="B1933" s="26">
        <f>VLOOKUP(A1933,'Database Claims'!$A:$C,3,)</f>
        <v>354000</v>
      </c>
      <c r="C1933" s="30">
        <f t="shared" si="60"/>
        <v>-9000</v>
      </c>
      <c r="D1933" s="26">
        <f>VLOOKUP(A1933,'Database Claims'!$A:$C,2,)</f>
        <v>3254000</v>
      </c>
      <c r="E1933" s="30">
        <f t="shared" si="61"/>
        <v>3000</v>
      </c>
    </row>
    <row r="1934" spans="1:5" x14ac:dyDescent="0.2">
      <c r="A1934" s="29">
        <v>37982</v>
      </c>
      <c r="B1934" s="30">
        <f>VLOOKUP(A1934,'Database Claims'!$A:$C,3,)</f>
        <v>349000</v>
      </c>
      <c r="C1934" s="30">
        <f t="shared" si="60"/>
        <v>-5000</v>
      </c>
      <c r="D1934" s="30">
        <f>VLOOKUP(A1934,'Database Claims'!$A:$C,2,)</f>
        <v>3258000</v>
      </c>
      <c r="E1934" s="30">
        <f t="shared" si="61"/>
        <v>4000</v>
      </c>
    </row>
    <row r="1935" spans="1:5" x14ac:dyDescent="0.2">
      <c r="A1935" s="29">
        <v>37989</v>
      </c>
      <c r="B1935" s="26">
        <f>VLOOKUP(A1935,'Database Claims'!$A:$C,3,)</f>
        <v>356000</v>
      </c>
      <c r="C1935" s="30">
        <f t="shared" si="60"/>
        <v>7000</v>
      </c>
      <c r="D1935" s="26">
        <f>VLOOKUP(A1935,'Database Claims'!$A:$C,2,)</f>
        <v>3188000</v>
      </c>
      <c r="E1935" s="30">
        <f t="shared" si="61"/>
        <v>-70000</v>
      </c>
    </row>
    <row r="1936" spans="1:5" x14ac:dyDescent="0.2">
      <c r="A1936" s="29">
        <v>37996</v>
      </c>
      <c r="B1936" s="30">
        <f>VLOOKUP(A1936,'Database Claims'!$A:$C,3,)</f>
        <v>354000</v>
      </c>
      <c r="C1936" s="30">
        <f t="shared" si="60"/>
        <v>-2000</v>
      </c>
      <c r="D1936" s="30">
        <f>VLOOKUP(A1936,'Database Claims'!$A:$C,2,)</f>
        <v>3154000</v>
      </c>
      <c r="E1936" s="30">
        <f t="shared" si="61"/>
        <v>-34000</v>
      </c>
    </row>
    <row r="1937" spans="1:5" x14ac:dyDescent="0.2">
      <c r="A1937" s="29">
        <v>38003</v>
      </c>
      <c r="B1937" s="26">
        <f>VLOOKUP(A1937,'Database Claims'!$A:$C,3,)</f>
        <v>362000</v>
      </c>
      <c r="C1937" s="30">
        <f t="shared" si="60"/>
        <v>8000</v>
      </c>
      <c r="D1937" s="26">
        <f>VLOOKUP(A1937,'Database Claims'!$A:$C,2,)</f>
        <v>3139000</v>
      </c>
      <c r="E1937" s="30">
        <f t="shared" si="61"/>
        <v>-15000</v>
      </c>
    </row>
    <row r="1938" spans="1:5" x14ac:dyDescent="0.2">
      <c r="A1938" s="29">
        <v>38010</v>
      </c>
      <c r="B1938" s="30">
        <f>VLOOKUP(A1938,'Database Claims'!$A:$C,3,)</f>
        <v>353000</v>
      </c>
      <c r="C1938" s="30">
        <f t="shared" si="60"/>
        <v>-9000</v>
      </c>
      <c r="D1938" s="30">
        <f>VLOOKUP(A1938,'Database Claims'!$A:$C,2,)</f>
        <v>3142000</v>
      </c>
      <c r="E1938" s="30">
        <f t="shared" si="61"/>
        <v>3000</v>
      </c>
    </row>
    <row r="1939" spans="1:5" x14ac:dyDescent="0.2">
      <c r="A1939" s="29">
        <v>38017</v>
      </c>
      <c r="B1939" s="26">
        <f>VLOOKUP(A1939,'Database Claims'!$A:$C,3,)</f>
        <v>376000</v>
      </c>
      <c r="C1939" s="30">
        <f t="shared" si="60"/>
        <v>23000</v>
      </c>
      <c r="D1939" s="26">
        <f>VLOOKUP(A1939,'Database Claims'!$A:$C,2,)</f>
        <v>3118000</v>
      </c>
      <c r="E1939" s="30">
        <f t="shared" si="61"/>
        <v>-24000</v>
      </c>
    </row>
    <row r="1940" spans="1:5" x14ac:dyDescent="0.2">
      <c r="A1940" s="29">
        <v>38024</v>
      </c>
      <c r="B1940" s="30">
        <f>VLOOKUP(A1940,'Database Claims'!$A:$C,3,)</f>
        <v>380000</v>
      </c>
      <c r="C1940" s="30">
        <f t="shared" si="60"/>
        <v>4000</v>
      </c>
      <c r="D1940" s="30">
        <f>VLOOKUP(A1940,'Database Claims'!$A:$C,2,)</f>
        <v>3179000</v>
      </c>
      <c r="E1940" s="30">
        <f t="shared" si="61"/>
        <v>61000</v>
      </c>
    </row>
    <row r="1941" spans="1:5" x14ac:dyDescent="0.2">
      <c r="A1941" s="29">
        <v>38031</v>
      </c>
      <c r="B1941" s="26">
        <f>VLOOKUP(A1941,'Database Claims'!$A:$C,3,)</f>
        <v>356000</v>
      </c>
      <c r="C1941" s="30">
        <f t="shared" si="60"/>
        <v>-24000</v>
      </c>
      <c r="D1941" s="26">
        <f>VLOOKUP(A1941,'Database Claims'!$A:$C,2,)</f>
        <v>3131000</v>
      </c>
      <c r="E1941" s="30">
        <f t="shared" si="61"/>
        <v>-48000</v>
      </c>
    </row>
    <row r="1942" spans="1:5" x14ac:dyDescent="0.2">
      <c r="A1942" s="29">
        <v>38038</v>
      </c>
      <c r="B1942" s="30">
        <f>VLOOKUP(A1942,'Database Claims'!$A:$C,3,)</f>
        <v>359000</v>
      </c>
      <c r="C1942" s="30">
        <f t="shared" si="60"/>
        <v>3000</v>
      </c>
      <c r="D1942" s="30">
        <f>VLOOKUP(A1942,'Database Claims'!$A:$C,2,)</f>
        <v>3092000</v>
      </c>
      <c r="E1942" s="30">
        <f t="shared" si="61"/>
        <v>-39000</v>
      </c>
    </row>
    <row r="1943" spans="1:5" x14ac:dyDescent="0.2">
      <c r="A1943" s="29">
        <v>38045</v>
      </c>
      <c r="B1943" s="26">
        <f>VLOOKUP(A1943,'Database Claims'!$A:$C,3,)</f>
        <v>348000</v>
      </c>
      <c r="C1943" s="30">
        <f t="shared" si="60"/>
        <v>-11000</v>
      </c>
      <c r="D1943" s="26">
        <f>VLOOKUP(A1943,'Database Claims'!$A:$C,2,)</f>
        <v>3057000</v>
      </c>
      <c r="E1943" s="30">
        <f t="shared" si="61"/>
        <v>-35000</v>
      </c>
    </row>
    <row r="1944" spans="1:5" x14ac:dyDescent="0.2">
      <c r="A1944" s="29">
        <v>38052</v>
      </c>
      <c r="B1944" s="30">
        <f>VLOOKUP(A1944,'Database Claims'!$A:$C,3,)</f>
        <v>344000</v>
      </c>
      <c r="C1944" s="30">
        <f t="shared" si="60"/>
        <v>-4000</v>
      </c>
      <c r="D1944" s="30">
        <f>VLOOKUP(A1944,'Database Claims'!$A:$C,2,)</f>
        <v>3072000</v>
      </c>
      <c r="E1944" s="30">
        <f t="shared" si="61"/>
        <v>15000</v>
      </c>
    </row>
    <row r="1945" spans="1:5" x14ac:dyDescent="0.2">
      <c r="A1945" s="29">
        <v>38059</v>
      </c>
      <c r="B1945" s="26">
        <f>VLOOKUP(A1945,'Database Claims'!$A:$C,3,)</f>
        <v>338000</v>
      </c>
      <c r="C1945" s="30">
        <f t="shared" si="60"/>
        <v>-6000</v>
      </c>
      <c r="D1945" s="26">
        <f>VLOOKUP(A1945,'Database Claims'!$A:$C,2,)</f>
        <v>3040000</v>
      </c>
      <c r="E1945" s="30">
        <f t="shared" si="61"/>
        <v>-32000</v>
      </c>
    </row>
    <row r="1946" spans="1:5" x14ac:dyDescent="0.2">
      <c r="A1946" s="29">
        <v>38066</v>
      </c>
      <c r="B1946" s="30">
        <f>VLOOKUP(A1946,'Database Claims'!$A:$C,3,)</f>
        <v>346000</v>
      </c>
      <c r="C1946" s="30">
        <f t="shared" si="60"/>
        <v>8000</v>
      </c>
      <c r="D1946" s="30">
        <f>VLOOKUP(A1946,'Database Claims'!$A:$C,2,)</f>
        <v>3066000</v>
      </c>
      <c r="E1946" s="30">
        <f t="shared" si="61"/>
        <v>26000</v>
      </c>
    </row>
    <row r="1947" spans="1:5" x14ac:dyDescent="0.2">
      <c r="A1947" s="29">
        <v>38073</v>
      </c>
      <c r="B1947" s="26">
        <f>VLOOKUP(A1947,'Database Claims'!$A:$C,3,)</f>
        <v>340000</v>
      </c>
      <c r="C1947" s="30">
        <f t="shared" si="60"/>
        <v>-6000</v>
      </c>
      <c r="D1947" s="26">
        <f>VLOOKUP(A1947,'Database Claims'!$A:$C,2,)</f>
        <v>3007000</v>
      </c>
      <c r="E1947" s="30">
        <f t="shared" si="61"/>
        <v>-59000</v>
      </c>
    </row>
    <row r="1948" spans="1:5" x14ac:dyDescent="0.2">
      <c r="A1948" s="29">
        <v>38080</v>
      </c>
      <c r="B1948" s="30">
        <f>VLOOKUP(A1948,'Database Claims'!$A:$C,3,)</f>
        <v>335000</v>
      </c>
      <c r="C1948" s="30">
        <f t="shared" si="60"/>
        <v>-5000</v>
      </c>
      <c r="D1948" s="30">
        <f>VLOOKUP(A1948,'Database Claims'!$A:$C,2,)</f>
        <v>2990000</v>
      </c>
      <c r="E1948" s="30">
        <f t="shared" si="61"/>
        <v>-17000</v>
      </c>
    </row>
    <row r="1949" spans="1:5" x14ac:dyDescent="0.2">
      <c r="A1949" s="29">
        <v>38087</v>
      </c>
      <c r="B1949" s="26">
        <f>VLOOKUP(A1949,'Database Claims'!$A:$C,3,)</f>
        <v>355000</v>
      </c>
      <c r="C1949" s="30">
        <f t="shared" si="60"/>
        <v>20000</v>
      </c>
      <c r="D1949" s="26">
        <f>VLOOKUP(A1949,'Database Claims'!$A:$C,2,)</f>
        <v>3022000</v>
      </c>
      <c r="E1949" s="30">
        <f t="shared" si="61"/>
        <v>32000</v>
      </c>
    </row>
    <row r="1950" spans="1:5" x14ac:dyDescent="0.2">
      <c r="A1950" s="29">
        <v>38094</v>
      </c>
      <c r="B1950" s="30">
        <f>VLOOKUP(A1950,'Database Claims'!$A:$C,3,)</f>
        <v>364000</v>
      </c>
      <c r="C1950" s="30">
        <f t="shared" si="60"/>
        <v>9000</v>
      </c>
      <c r="D1950" s="30">
        <f>VLOOKUP(A1950,'Database Claims'!$A:$C,2,)</f>
        <v>3031000</v>
      </c>
      <c r="E1950" s="30">
        <f t="shared" si="61"/>
        <v>9000</v>
      </c>
    </row>
    <row r="1951" spans="1:5" x14ac:dyDescent="0.2">
      <c r="A1951" s="29">
        <v>38101</v>
      </c>
      <c r="B1951" s="26">
        <f>VLOOKUP(A1951,'Database Claims'!$A:$C,3,)</f>
        <v>339000</v>
      </c>
      <c r="C1951" s="30">
        <f t="shared" si="60"/>
        <v>-25000</v>
      </c>
      <c r="D1951" s="26">
        <f>VLOOKUP(A1951,'Database Claims'!$A:$C,2,)</f>
        <v>2960000</v>
      </c>
      <c r="E1951" s="30">
        <f t="shared" si="61"/>
        <v>-71000</v>
      </c>
    </row>
    <row r="1952" spans="1:5" x14ac:dyDescent="0.2">
      <c r="A1952" s="29">
        <v>38108</v>
      </c>
      <c r="B1952" s="30">
        <f>VLOOKUP(A1952,'Database Claims'!$A:$C,3,)</f>
        <v>324000</v>
      </c>
      <c r="C1952" s="30">
        <f t="shared" si="60"/>
        <v>-15000</v>
      </c>
      <c r="D1952" s="30">
        <f>VLOOKUP(A1952,'Database Claims'!$A:$C,2,)</f>
        <v>2998000</v>
      </c>
      <c r="E1952" s="30">
        <f t="shared" si="61"/>
        <v>38000</v>
      </c>
    </row>
    <row r="1953" spans="1:5" x14ac:dyDescent="0.2">
      <c r="A1953" s="29">
        <v>38115</v>
      </c>
      <c r="B1953" s="26">
        <f>VLOOKUP(A1953,'Database Claims'!$A:$C,3,)</f>
        <v>329000</v>
      </c>
      <c r="C1953" s="30">
        <f t="shared" si="60"/>
        <v>5000</v>
      </c>
      <c r="D1953" s="26">
        <f>VLOOKUP(A1953,'Database Claims'!$A:$C,2,)</f>
        <v>2978000</v>
      </c>
      <c r="E1953" s="30">
        <f t="shared" si="61"/>
        <v>-20000</v>
      </c>
    </row>
    <row r="1954" spans="1:5" x14ac:dyDescent="0.2">
      <c r="A1954" s="29">
        <v>38122</v>
      </c>
      <c r="B1954" s="30">
        <f>VLOOKUP(A1954,'Database Claims'!$A:$C,3,)</f>
        <v>349000</v>
      </c>
      <c r="C1954" s="30">
        <f t="shared" si="60"/>
        <v>20000</v>
      </c>
      <c r="D1954" s="30">
        <f>VLOOKUP(A1954,'Database Claims'!$A:$C,2,)</f>
        <v>2976000</v>
      </c>
      <c r="E1954" s="30">
        <f t="shared" si="61"/>
        <v>-2000</v>
      </c>
    </row>
    <row r="1955" spans="1:5" x14ac:dyDescent="0.2">
      <c r="A1955" s="29">
        <v>38129</v>
      </c>
      <c r="B1955" s="26">
        <f>VLOOKUP(A1955,'Database Claims'!$A:$C,3,)</f>
        <v>342000</v>
      </c>
      <c r="C1955" s="30">
        <f t="shared" si="60"/>
        <v>-7000</v>
      </c>
      <c r="D1955" s="26">
        <f>VLOOKUP(A1955,'Database Claims'!$A:$C,2,)</f>
        <v>3010000</v>
      </c>
      <c r="E1955" s="30">
        <f t="shared" si="61"/>
        <v>34000</v>
      </c>
    </row>
    <row r="1956" spans="1:5" x14ac:dyDescent="0.2">
      <c r="A1956" s="29">
        <v>38136</v>
      </c>
      <c r="B1956" s="30">
        <f>VLOOKUP(A1956,'Database Claims'!$A:$C,3,)</f>
        <v>337000</v>
      </c>
      <c r="C1956" s="30">
        <f t="shared" si="60"/>
        <v>-5000</v>
      </c>
      <c r="D1956" s="30">
        <f>VLOOKUP(A1956,'Database Claims'!$A:$C,2,)</f>
        <v>2916000</v>
      </c>
      <c r="E1956" s="30">
        <f t="shared" si="61"/>
        <v>-94000</v>
      </c>
    </row>
    <row r="1957" spans="1:5" x14ac:dyDescent="0.2">
      <c r="A1957" s="29">
        <v>38143</v>
      </c>
      <c r="B1957" s="26">
        <f>VLOOKUP(A1957,'Database Claims'!$A:$C,3,)</f>
        <v>355000</v>
      </c>
      <c r="C1957" s="30">
        <f t="shared" si="60"/>
        <v>18000</v>
      </c>
      <c r="D1957" s="26">
        <f>VLOOKUP(A1957,'Database Claims'!$A:$C,2,)</f>
        <v>2923000</v>
      </c>
      <c r="E1957" s="30">
        <f t="shared" si="61"/>
        <v>7000</v>
      </c>
    </row>
    <row r="1958" spans="1:5" x14ac:dyDescent="0.2">
      <c r="A1958" s="29">
        <v>38150</v>
      </c>
      <c r="B1958" s="30">
        <f>VLOOKUP(A1958,'Database Claims'!$A:$C,3,)</f>
        <v>339000</v>
      </c>
      <c r="C1958" s="30">
        <f t="shared" si="60"/>
        <v>-16000</v>
      </c>
      <c r="D1958" s="30">
        <f>VLOOKUP(A1958,'Database Claims'!$A:$C,2,)</f>
        <v>2990000</v>
      </c>
      <c r="E1958" s="30">
        <f t="shared" si="61"/>
        <v>67000</v>
      </c>
    </row>
    <row r="1959" spans="1:5" x14ac:dyDescent="0.2">
      <c r="A1959" s="29">
        <v>38157</v>
      </c>
      <c r="B1959" s="26">
        <f>VLOOKUP(A1959,'Database Claims'!$A:$C,3,)</f>
        <v>354000</v>
      </c>
      <c r="C1959" s="30">
        <f t="shared" si="60"/>
        <v>15000</v>
      </c>
      <c r="D1959" s="26">
        <f>VLOOKUP(A1959,'Database Claims'!$A:$C,2,)</f>
        <v>2973000</v>
      </c>
      <c r="E1959" s="30">
        <f t="shared" si="61"/>
        <v>-17000</v>
      </c>
    </row>
    <row r="1960" spans="1:5" x14ac:dyDescent="0.2">
      <c r="A1960" s="29">
        <v>38164</v>
      </c>
      <c r="B1960" s="30">
        <f>VLOOKUP(A1960,'Database Claims'!$A:$C,3,)</f>
        <v>348000</v>
      </c>
      <c r="C1960" s="30">
        <f t="shared" si="60"/>
        <v>-6000</v>
      </c>
      <c r="D1960" s="30">
        <f>VLOOKUP(A1960,'Database Claims'!$A:$C,2,)</f>
        <v>2917000</v>
      </c>
      <c r="E1960" s="30">
        <f t="shared" si="61"/>
        <v>-56000</v>
      </c>
    </row>
    <row r="1961" spans="1:5" x14ac:dyDescent="0.2">
      <c r="A1961" s="29">
        <v>38171</v>
      </c>
      <c r="B1961" s="26">
        <f>VLOOKUP(A1961,'Database Claims'!$A:$C,3,)</f>
        <v>326000</v>
      </c>
      <c r="C1961" s="30">
        <f t="shared" si="60"/>
        <v>-22000</v>
      </c>
      <c r="D1961" s="26">
        <f>VLOOKUP(A1961,'Database Claims'!$A:$C,2,)</f>
        <v>2948000</v>
      </c>
      <c r="E1961" s="30">
        <f t="shared" si="61"/>
        <v>31000</v>
      </c>
    </row>
    <row r="1962" spans="1:5" x14ac:dyDescent="0.2">
      <c r="A1962" s="29">
        <v>38178</v>
      </c>
      <c r="B1962" s="30">
        <f>VLOOKUP(A1962,'Database Claims'!$A:$C,3,)</f>
        <v>345000</v>
      </c>
      <c r="C1962" s="30">
        <f t="shared" si="60"/>
        <v>19000</v>
      </c>
      <c r="D1962" s="30">
        <f>VLOOKUP(A1962,'Database Claims'!$A:$C,2,)</f>
        <v>2852000</v>
      </c>
      <c r="E1962" s="30">
        <f t="shared" si="61"/>
        <v>-96000</v>
      </c>
    </row>
    <row r="1963" spans="1:5" x14ac:dyDescent="0.2">
      <c r="A1963" s="29">
        <v>38185</v>
      </c>
      <c r="B1963" s="26">
        <f>VLOOKUP(A1963,'Database Claims'!$A:$C,3,)</f>
        <v>355000</v>
      </c>
      <c r="C1963" s="30">
        <f t="shared" si="60"/>
        <v>10000</v>
      </c>
      <c r="D1963" s="26">
        <f>VLOOKUP(A1963,'Database Claims'!$A:$C,2,)</f>
        <v>2956000</v>
      </c>
      <c r="E1963" s="30">
        <f t="shared" si="61"/>
        <v>104000</v>
      </c>
    </row>
    <row r="1964" spans="1:5" x14ac:dyDescent="0.2">
      <c r="A1964" s="29">
        <v>38192</v>
      </c>
      <c r="B1964" s="30">
        <f>VLOOKUP(A1964,'Database Claims'!$A:$C,3,)</f>
        <v>348000</v>
      </c>
      <c r="C1964" s="30">
        <f t="shared" si="60"/>
        <v>-7000</v>
      </c>
      <c r="D1964" s="30">
        <f>VLOOKUP(A1964,'Database Claims'!$A:$C,2,)</f>
        <v>2935000</v>
      </c>
      <c r="E1964" s="30">
        <f t="shared" si="61"/>
        <v>-21000</v>
      </c>
    </row>
    <row r="1965" spans="1:5" x14ac:dyDescent="0.2">
      <c r="A1965" s="29">
        <v>38199</v>
      </c>
      <c r="B1965" s="26">
        <f>VLOOKUP(A1965,'Database Claims'!$A:$C,3,)</f>
        <v>341000</v>
      </c>
      <c r="C1965" s="30">
        <f t="shared" si="60"/>
        <v>-7000</v>
      </c>
      <c r="D1965" s="26">
        <f>VLOOKUP(A1965,'Database Claims'!$A:$C,2,)</f>
        <v>2894000</v>
      </c>
      <c r="E1965" s="30">
        <f t="shared" si="61"/>
        <v>-41000</v>
      </c>
    </row>
    <row r="1966" spans="1:5" x14ac:dyDescent="0.2">
      <c r="A1966" s="29">
        <v>38206</v>
      </c>
      <c r="B1966" s="30">
        <f>VLOOKUP(A1966,'Database Claims'!$A:$C,3,)</f>
        <v>336000</v>
      </c>
      <c r="C1966" s="30">
        <f t="shared" si="60"/>
        <v>-5000</v>
      </c>
      <c r="D1966" s="30">
        <f>VLOOKUP(A1966,'Database Claims'!$A:$C,2,)</f>
        <v>2920000</v>
      </c>
      <c r="E1966" s="30">
        <f t="shared" si="61"/>
        <v>26000</v>
      </c>
    </row>
    <row r="1967" spans="1:5" x14ac:dyDescent="0.2">
      <c r="A1967" s="29">
        <v>38213</v>
      </c>
      <c r="B1967" s="26">
        <f>VLOOKUP(A1967,'Database Claims'!$A:$C,3,)</f>
        <v>332000</v>
      </c>
      <c r="C1967" s="30">
        <f t="shared" si="60"/>
        <v>-4000</v>
      </c>
      <c r="D1967" s="26">
        <f>VLOOKUP(A1967,'Database Claims'!$A:$C,2,)</f>
        <v>2889000</v>
      </c>
      <c r="E1967" s="30">
        <f t="shared" si="61"/>
        <v>-31000</v>
      </c>
    </row>
    <row r="1968" spans="1:5" x14ac:dyDescent="0.2">
      <c r="A1968" s="29">
        <v>38220</v>
      </c>
      <c r="B1968" s="30">
        <f>VLOOKUP(A1968,'Database Claims'!$A:$C,3,)</f>
        <v>343000</v>
      </c>
      <c r="C1968" s="30">
        <f t="shared" si="60"/>
        <v>11000</v>
      </c>
      <c r="D1968" s="30">
        <f>VLOOKUP(A1968,'Database Claims'!$A:$C,2,)</f>
        <v>2877000</v>
      </c>
      <c r="E1968" s="30">
        <f t="shared" si="61"/>
        <v>-12000</v>
      </c>
    </row>
    <row r="1969" spans="1:5" x14ac:dyDescent="0.2">
      <c r="A1969" s="29">
        <v>38227</v>
      </c>
      <c r="B1969" s="26">
        <f>VLOOKUP(A1969,'Database Claims'!$A:$C,3,)</f>
        <v>352000</v>
      </c>
      <c r="C1969" s="30">
        <f t="shared" si="60"/>
        <v>9000</v>
      </c>
      <c r="D1969" s="26">
        <f>VLOOKUP(A1969,'Database Claims'!$A:$C,2,)</f>
        <v>2880000</v>
      </c>
      <c r="E1969" s="30">
        <f t="shared" si="61"/>
        <v>3000</v>
      </c>
    </row>
    <row r="1970" spans="1:5" x14ac:dyDescent="0.2">
      <c r="A1970" s="29">
        <v>38234</v>
      </c>
      <c r="B1970" s="30">
        <f>VLOOKUP(A1970,'Database Claims'!$A:$C,3,)</f>
        <v>326000</v>
      </c>
      <c r="C1970" s="30">
        <f t="shared" si="60"/>
        <v>-26000</v>
      </c>
      <c r="D1970" s="30">
        <f>VLOOKUP(A1970,'Database Claims'!$A:$C,2,)</f>
        <v>2872000</v>
      </c>
      <c r="E1970" s="30">
        <f t="shared" si="61"/>
        <v>-8000</v>
      </c>
    </row>
    <row r="1971" spans="1:5" x14ac:dyDescent="0.2">
      <c r="A1971" s="29">
        <v>38241</v>
      </c>
      <c r="B1971" s="26">
        <f>VLOOKUP(A1971,'Database Claims'!$A:$C,3,)</f>
        <v>331000</v>
      </c>
      <c r="C1971" s="30">
        <f t="shared" si="60"/>
        <v>5000</v>
      </c>
      <c r="D1971" s="26">
        <f>VLOOKUP(A1971,'Database Claims'!$A:$C,2,)</f>
        <v>2875000</v>
      </c>
      <c r="E1971" s="30">
        <f t="shared" si="61"/>
        <v>3000</v>
      </c>
    </row>
    <row r="1972" spans="1:5" x14ac:dyDescent="0.2">
      <c r="A1972" s="29">
        <v>38248</v>
      </c>
      <c r="B1972" s="30">
        <f>VLOOKUP(A1972,'Database Claims'!$A:$C,3,)</f>
        <v>341000</v>
      </c>
      <c r="C1972" s="30">
        <f t="shared" si="60"/>
        <v>10000</v>
      </c>
      <c r="D1972" s="30">
        <f>VLOOKUP(A1972,'Database Claims'!$A:$C,2,)</f>
        <v>2865000</v>
      </c>
      <c r="E1972" s="30">
        <f t="shared" si="61"/>
        <v>-10000</v>
      </c>
    </row>
    <row r="1973" spans="1:5" x14ac:dyDescent="0.2">
      <c r="A1973" s="29">
        <v>38255</v>
      </c>
      <c r="B1973" s="26">
        <f>VLOOKUP(A1973,'Database Claims'!$A:$C,3,)</f>
        <v>351000</v>
      </c>
      <c r="C1973" s="30">
        <f t="shared" si="60"/>
        <v>10000</v>
      </c>
      <c r="D1973" s="26">
        <f>VLOOKUP(A1973,'Database Claims'!$A:$C,2,)</f>
        <v>2839000</v>
      </c>
      <c r="E1973" s="30">
        <f t="shared" si="61"/>
        <v>-26000</v>
      </c>
    </row>
    <row r="1974" spans="1:5" x14ac:dyDescent="0.2">
      <c r="A1974" s="29">
        <v>38262</v>
      </c>
      <c r="B1974" s="30">
        <f>VLOOKUP(A1974,'Database Claims'!$A:$C,3,)</f>
        <v>335000</v>
      </c>
      <c r="C1974" s="30">
        <f t="shared" si="60"/>
        <v>-16000</v>
      </c>
      <c r="D1974" s="30">
        <f>VLOOKUP(A1974,'Database Claims'!$A:$C,2,)</f>
        <v>2799000</v>
      </c>
      <c r="E1974" s="30">
        <f t="shared" si="61"/>
        <v>-40000</v>
      </c>
    </row>
    <row r="1975" spans="1:5" x14ac:dyDescent="0.2">
      <c r="A1975" s="29">
        <v>38269</v>
      </c>
      <c r="B1975" s="26">
        <f>VLOOKUP(A1975,'Database Claims'!$A:$C,3,)</f>
        <v>338000</v>
      </c>
      <c r="C1975" s="30">
        <f t="shared" si="60"/>
        <v>3000</v>
      </c>
      <c r="D1975" s="26">
        <f>VLOOKUP(A1975,'Database Claims'!$A:$C,2,)</f>
        <v>2773000</v>
      </c>
      <c r="E1975" s="30">
        <f t="shared" si="61"/>
        <v>-26000</v>
      </c>
    </row>
    <row r="1976" spans="1:5" x14ac:dyDescent="0.2">
      <c r="A1976" s="29">
        <v>38276</v>
      </c>
      <c r="B1976" s="30">
        <f>VLOOKUP(A1976,'Database Claims'!$A:$C,3,)</f>
        <v>327000</v>
      </c>
      <c r="C1976" s="30">
        <f t="shared" si="60"/>
        <v>-11000</v>
      </c>
      <c r="D1976" s="30">
        <f>VLOOKUP(A1976,'Database Claims'!$A:$C,2,)</f>
        <v>2781000</v>
      </c>
      <c r="E1976" s="30">
        <f t="shared" si="61"/>
        <v>8000</v>
      </c>
    </row>
    <row r="1977" spans="1:5" x14ac:dyDescent="0.2">
      <c r="A1977" s="29">
        <v>38283</v>
      </c>
      <c r="B1977" s="26">
        <f>VLOOKUP(A1977,'Database Claims'!$A:$C,3,)</f>
        <v>338000</v>
      </c>
      <c r="C1977" s="30">
        <f t="shared" si="60"/>
        <v>11000</v>
      </c>
      <c r="D1977" s="26">
        <f>VLOOKUP(A1977,'Database Claims'!$A:$C,2,)</f>
        <v>2774000</v>
      </c>
      <c r="E1977" s="30">
        <f t="shared" si="61"/>
        <v>-7000</v>
      </c>
    </row>
    <row r="1978" spans="1:5" x14ac:dyDescent="0.2">
      <c r="A1978" s="29">
        <v>38290</v>
      </c>
      <c r="B1978" s="30">
        <f>VLOOKUP(A1978,'Database Claims'!$A:$C,3,)</f>
        <v>332000</v>
      </c>
      <c r="C1978" s="30">
        <f t="shared" si="60"/>
        <v>-6000</v>
      </c>
      <c r="D1978" s="30">
        <f>VLOOKUP(A1978,'Database Claims'!$A:$C,2,)</f>
        <v>2763000</v>
      </c>
      <c r="E1978" s="30">
        <f t="shared" si="61"/>
        <v>-11000</v>
      </c>
    </row>
    <row r="1979" spans="1:5" x14ac:dyDescent="0.2">
      <c r="A1979" s="29">
        <v>38297</v>
      </c>
      <c r="B1979" s="26">
        <f>VLOOKUP(A1979,'Database Claims'!$A:$C,3,)</f>
        <v>330000</v>
      </c>
      <c r="C1979" s="30">
        <f t="shared" si="60"/>
        <v>-2000</v>
      </c>
      <c r="D1979" s="26">
        <f>VLOOKUP(A1979,'Database Claims'!$A:$C,2,)</f>
        <v>2765000</v>
      </c>
      <c r="E1979" s="30">
        <f t="shared" si="61"/>
        <v>2000</v>
      </c>
    </row>
    <row r="1980" spans="1:5" x14ac:dyDescent="0.2">
      <c r="A1980" s="29">
        <v>38304</v>
      </c>
      <c r="B1980" s="30">
        <f>VLOOKUP(A1980,'Database Claims'!$A:$C,3,)</f>
        <v>337000</v>
      </c>
      <c r="C1980" s="30">
        <f t="shared" si="60"/>
        <v>7000</v>
      </c>
      <c r="D1980" s="30">
        <f>VLOOKUP(A1980,'Database Claims'!$A:$C,2,)</f>
        <v>2707000</v>
      </c>
      <c r="E1980" s="30">
        <f t="shared" si="61"/>
        <v>-58000</v>
      </c>
    </row>
    <row r="1981" spans="1:5" x14ac:dyDescent="0.2">
      <c r="A1981" s="29">
        <v>38311</v>
      </c>
      <c r="B1981" s="26">
        <f>VLOOKUP(A1981,'Database Claims'!$A:$C,3,)</f>
        <v>313000</v>
      </c>
      <c r="C1981" s="30">
        <f t="shared" si="60"/>
        <v>-24000</v>
      </c>
      <c r="D1981" s="26">
        <f>VLOOKUP(A1981,'Database Claims'!$A:$C,2,)</f>
        <v>2705000</v>
      </c>
      <c r="E1981" s="30">
        <f t="shared" si="61"/>
        <v>-2000</v>
      </c>
    </row>
    <row r="1982" spans="1:5" x14ac:dyDescent="0.2">
      <c r="A1982" s="29">
        <v>38318</v>
      </c>
      <c r="B1982" s="30">
        <f>VLOOKUP(A1982,'Database Claims'!$A:$C,3,)</f>
        <v>335000</v>
      </c>
      <c r="C1982" s="30">
        <f t="shared" si="60"/>
        <v>22000</v>
      </c>
      <c r="D1982" s="30">
        <f>VLOOKUP(A1982,'Database Claims'!$A:$C,2,)</f>
        <v>2761000</v>
      </c>
      <c r="E1982" s="30">
        <f t="shared" si="61"/>
        <v>56000</v>
      </c>
    </row>
    <row r="1983" spans="1:5" x14ac:dyDescent="0.2">
      <c r="A1983" s="29">
        <v>38325</v>
      </c>
      <c r="B1983" s="26">
        <f>VLOOKUP(A1983,'Database Claims'!$A:$C,3,)</f>
        <v>343000</v>
      </c>
      <c r="C1983" s="30">
        <f t="shared" si="60"/>
        <v>8000</v>
      </c>
      <c r="D1983" s="26">
        <f>VLOOKUP(A1983,'Database Claims'!$A:$C,2,)</f>
        <v>2725000</v>
      </c>
      <c r="E1983" s="30">
        <f t="shared" si="61"/>
        <v>-36000</v>
      </c>
    </row>
    <row r="1984" spans="1:5" x14ac:dyDescent="0.2">
      <c r="A1984" s="29">
        <v>38332</v>
      </c>
      <c r="B1984" s="30">
        <f>VLOOKUP(A1984,'Database Claims'!$A:$C,3,)</f>
        <v>316000</v>
      </c>
      <c r="C1984" s="30">
        <f t="shared" si="60"/>
        <v>-27000</v>
      </c>
      <c r="D1984" s="30">
        <f>VLOOKUP(A1984,'Database Claims'!$A:$C,2,)</f>
        <v>2692000</v>
      </c>
      <c r="E1984" s="30">
        <f t="shared" si="61"/>
        <v>-33000</v>
      </c>
    </row>
    <row r="1985" spans="1:5" x14ac:dyDescent="0.2">
      <c r="A1985" s="29">
        <v>38339</v>
      </c>
      <c r="B1985" s="26">
        <f>VLOOKUP(A1985,'Database Claims'!$A:$C,3,)</f>
        <v>322000</v>
      </c>
      <c r="C1985" s="30">
        <f t="shared" si="60"/>
        <v>6000</v>
      </c>
      <c r="D1985" s="26">
        <f>VLOOKUP(A1985,'Database Claims'!$A:$C,2,)</f>
        <v>2688000</v>
      </c>
      <c r="E1985" s="30">
        <f t="shared" si="61"/>
        <v>-4000</v>
      </c>
    </row>
    <row r="1986" spans="1:5" x14ac:dyDescent="0.2">
      <c r="A1986" s="29">
        <v>38346</v>
      </c>
      <c r="B1986" s="30">
        <f>VLOOKUP(A1986,'Database Claims'!$A:$C,3,)</f>
        <v>320000</v>
      </c>
      <c r="C1986" s="30">
        <f t="shared" si="60"/>
        <v>-2000</v>
      </c>
      <c r="D1986" s="30">
        <f>VLOOKUP(A1986,'Database Claims'!$A:$C,2,)</f>
        <v>2771000</v>
      </c>
      <c r="E1986" s="30">
        <f t="shared" si="61"/>
        <v>83000</v>
      </c>
    </row>
    <row r="1987" spans="1:5" x14ac:dyDescent="0.2">
      <c r="A1987" s="29">
        <v>38353</v>
      </c>
      <c r="B1987" s="26">
        <f>VLOOKUP(A1987,'Database Claims'!$A:$C,3,)</f>
        <v>356000</v>
      </c>
      <c r="C1987" s="30">
        <f t="shared" si="60"/>
        <v>36000</v>
      </c>
      <c r="D1987" s="26">
        <f>VLOOKUP(A1987,'Database Claims'!$A:$C,2,)</f>
        <v>2672000</v>
      </c>
      <c r="E1987" s="30">
        <f t="shared" si="61"/>
        <v>-99000</v>
      </c>
    </row>
    <row r="1988" spans="1:5" x14ac:dyDescent="0.2">
      <c r="A1988" s="29">
        <v>38360</v>
      </c>
      <c r="B1988" s="30">
        <f>VLOOKUP(A1988,'Database Claims'!$A:$C,3,)</f>
        <v>369000</v>
      </c>
      <c r="C1988" s="30">
        <f t="shared" si="60"/>
        <v>13000</v>
      </c>
      <c r="D1988" s="30">
        <f>VLOOKUP(A1988,'Database Claims'!$A:$C,2,)</f>
        <v>2720000</v>
      </c>
      <c r="E1988" s="30">
        <f t="shared" si="61"/>
        <v>48000</v>
      </c>
    </row>
    <row r="1989" spans="1:5" x14ac:dyDescent="0.2">
      <c r="A1989" s="29">
        <v>38367</v>
      </c>
      <c r="B1989" s="26">
        <f>VLOOKUP(A1989,'Database Claims'!$A:$C,3,)</f>
        <v>332000</v>
      </c>
      <c r="C1989" s="30">
        <f t="shared" si="60"/>
        <v>-37000</v>
      </c>
      <c r="D1989" s="26">
        <f>VLOOKUP(A1989,'Database Claims'!$A:$C,2,)</f>
        <v>2790000</v>
      </c>
      <c r="E1989" s="30">
        <f t="shared" si="61"/>
        <v>70000</v>
      </c>
    </row>
    <row r="1990" spans="1:5" x14ac:dyDescent="0.2">
      <c r="A1990" s="29">
        <v>38374</v>
      </c>
      <c r="B1990" s="30">
        <f>VLOOKUP(A1990,'Database Claims'!$A:$C,3,)</f>
        <v>329000</v>
      </c>
      <c r="C1990" s="30">
        <f t="shared" ref="C1990:C2053" si="62">B1990-B1989</f>
        <v>-3000</v>
      </c>
      <c r="D1990" s="30">
        <f>VLOOKUP(A1990,'Database Claims'!$A:$C,2,)</f>
        <v>2706000</v>
      </c>
      <c r="E1990" s="30">
        <f t="shared" ref="E1990:E2053" si="63">D1990-D1989</f>
        <v>-84000</v>
      </c>
    </row>
    <row r="1991" spans="1:5" x14ac:dyDescent="0.2">
      <c r="A1991" s="29">
        <v>38381</v>
      </c>
      <c r="B1991" s="26">
        <f>VLOOKUP(A1991,'Database Claims'!$A:$C,3,)</f>
        <v>331000</v>
      </c>
      <c r="C1991" s="30">
        <f t="shared" si="62"/>
        <v>2000</v>
      </c>
      <c r="D1991" s="26">
        <f>VLOOKUP(A1991,'Database Claims'!$A:$C,2,)</f>
        <v>2731000</v>
      </c>
      <c r="E1991" s="30">
        <f t="shared" si="63"/>
        <v>25000</v>
      </c>
    </row>
    <row r="1992" spans="1:5" x14ac:dyDescent="0.2">
      <c r="A1992" s="29">
        <v>38388</v>
      </c>
      <c r="B1992" s="30">
        <f>VLOOKUP(A1992,'Database Claims'!$A:$C,3,)</f>
        <v>307000</v>
      </c>
      <c r="C1992" s="30">
        <f t="shared" si="62"/>
        <v>-24000</v>
      </c>
      <c r="D1992" s="30">
        <f>VLOOKUP(A1992,'Database Claims'!$A:$C,2,)</f>
        <v>2710000</v>
      </c>
      <c r="E1992" s="30">
        <f t="shared" si="63"/>
        <v>-21000</v>
      </c>
    </row>
    <row r="1993" spans="1:5" x14ac:dyDescent="0.2">
      <c r="A1993" s="29">
        <v>38395</v>
      </c>
      <c r="B1993" s="26">
        <f>VLOOKUP(A1993,'Database Claims'!$A:$C,3,)</f>
        <v>308000</v>
      </c>
      <c r="C1993" s="30">
        <f t="shared" si="62"/>
        <v>1000</v>
      </c>
      <c r="D1993" s="26">
        <f>VLOOKUP(A1993,'Database Claims'!$A:$C,2,)</f>
        <v>2666000</v>
      </c>
      <c r="E1993" s="30">
        <f t="shared" si="63"/>
        <v>-44000</v>
      </c>
    </row>
    <row r="1994" spans="1:5" x14ac:dyDescent="0.2">
      <c r="A1994" s="29">
        <v>38402</v>
      </c>
      <c r="B1994" s="30">
        <f>VLOOKUP(A1994,'Database Claims'!$A:$C,3,)</f>
        <v>318000</v>
      </c>
      <c r="C1994" s="30">
        <f t="shared" si="62"/>
        <v>10000</v>
      </c>
      <c r="D1994" s="30">
        <f>VLOOKUP(A1994,'Database Claims'!$A:$C,2,)</f>
        <v>2667000</v>
      </c>
      <c r="E1994" s="30">
        <f t="shared" si="63"/>
        <v>1000</v>
      </c>
    </row>
    <row r="1995" spans="1:5" x14ac:dyDescent="0.2">
      <c r="A1995" s="29">
        <v>38409</v>
      </c>
      <c r="B1995" s="26">
        <f>VLOOKUP(A1995,'Database Claims'!$A:$C,3,)</f>
        <v>314000</v>
      </c>
      <c r="C1995" s="30">
        <f t="shared" si="62"/>
        <v>-4000</v>
      </c>
      <c r="D1995" s="26">
        <f>VLOOKUP(A1995,'Database Claims'!$A:$C,2,)</f>
        <v>2703000</v>
      </c>
      <c r="E1995" s="30">
        <f t="shared" si="63"/>
        <v>36000</v>
      </c>
    </row>
    <row r="1996" spans="1:5" x14ac:dyDescent="0.2">
      <c r="A1996" s="29">
        <v>38416</v>
      </c>
      <c r="B1996" s="30">
        <f>VLOOKUP(A1996,'Database Claims'!$A:$C,3,)</f>
        <v>333000</v>
      </c>
      <c r="C1996" s="30">
        <f t="shared" si="62"/>
        <v>19000</v>
      </c>
      <c r="D1996" s="30">
        <f>VLOOKUP(A1996,'Database Claims'!$A:$C,2,)</f>
        <v>2658000</v>
      </c>
      <c r="E1996" s="30">
        <f t="shared" si="63"/>
        <v>-45000</v>
      </c>
    </row>
    <row r="1997" spans="1:5" x14ac:dyDescent="0.2">
      <c r="A1997" s="29">
        <v>38423</v>
      </c>
      <c r="B1997" s="26">
        <f>VLOOKUP(A1997,'Database Claims'!$A:$C,3,)</f>
        <v>324000</v>
      </c>
      <c r="C1997" s="30">
        <f t="shared" si="62"/>
        <v>-9000</v>
      </c>
      <c r="D1997" s="26">
        <f>VLOOKUP(A1997,'Database Claims'!$A:$C,2,)</f>
        <v>2681000</v>
      </c>
      <c r="E1997" s="30">
        <f t="shared" si="63"/>
        <v>23000</v>
      </c>
    </row>
    <row r="1998" spans="1:5" x14ac:dyDescent="0.2">
      <c r="A1998" s="29">
        <v>38430</v>
      </c>
      <c r="B1998" s="30">
        <f>VLOOKUP(A1998,'Database Claims'!$A:$C,3,)</f>
        <v>329000</v>
      </c>
      <c r="C1998" s="30">
        <f t="shared" si="62"/>
        <v>5000</v>
      </c>
      <c r="D1998" s="30">
        <f>VLOOKUP(A1998,'Database Claims'!$A:$C,2,)</f>
        <v>2616000</v>
      </c>
      <c r="E1998" s="30">
        <f t="shared" si="63"/>
        <v>-65000</v>
      </c>
    </row>
    <row r="1999" spans="1:5" x14ac:dyDescent="0.2">
      <c r="A1999" s="29">
        <v>38437</v>
      </c>
      <c r="B1999" s="26">
        <f>VLOOKUP(A1999,'Database Claims'!$A:$C,3,)</f>
        <v>342000</v>
      </c>
      <c r="C1999" s="30">
        <f t="shared" si="62"/>
        <v>13000</v>
      </c>
      <c r="D1999" s="26">
        <f>VLOOKUP(A1999,'Database Claims'!$A:$C,2,)</f>
        <v>2683000</v>
      </c>
      <c r="E1999" s="30">
        <f t="shared" si="63"/>
        <v>67000</v>
      </c>
    </row>
    <row r="2000" spans="1:5" x14ac:dyDescent="0.2">
      <c r="A2000" s="29">
        <v>38444</v>
      </c>
      <c r="B2000" s="30">
        <f>VLOOKUP(A2000,'Database Claims'!$A:$C,3,)</f>
        <v>335000</v>
      </c>
      <c r="C2000" s="30">
        <f t="shared" si="62"/>
        <v>-7000</v>
      </c>
      <c r="D2000" s="30">
        <f>VLOOKUP(A2000,'Database Claims'!$A:$C,2,)</f>
        <v>2653000</v>
      </c>
      <c r="E2000" s="30">
        <f t="shared" si="63"/>
        <v>-30000</v>
      </c>
    </row>
    <row r="2001" spans="1:5" x14ac:dyDescent="0.2">
      <c r="A2001" s="29">
        <v>38451</v>
      </c>
      <c r="B2001" s="26">
        <f>VLOOKUP(A2001,'Database Claims'!$A:$C,3,)</f>
        <v>323000</v>
      </c>
      <c r="C2001" s="30">
        <f t="shared" si="62"/>
        <v>-12000</v>
      </c>
      <c r="D2001" s="26">
        <f>VLOOKUP(A2001,'Database Claims'!$A:$C,2,)</f>
        <v>2626000</v>
      </c>
      <c r="E2001" s="30">
        <f t="shared" si="63"/>
        <v>-27000</v>
      </c>
    </row>
    <row r="2002" spans="1:5" x14ac:dyDescent="0.2">
      <c r="A2002" s="29">
        <v>38458</v>
      </c>
      <c r="B2002" s="30">
        <f>VLOOKUP(A2002,'Database Claims'!$A:$C,3,)</f>
        <v>307000</v>
      </c>
      <c r="C2002" s="30">
        <f t="shared" si="62"/>
        <v>-16000</v>
      </c>
      <c r="D2002" s="30">
        <f>VLOOKUP(A2002,'Database Claims'!$A:$C,2,)</f>
        <v>2559000</v>
      </c>
      <c r="E2002" s="30">
        <f t="shared" si="63"/>
        <v>-67000</v>
      </c>
    </row>
    <row r="2003" spans="1:5" x14ac:dyDescent="0.2">
      <c r="A2003" s="29">
        <v>38465</v>
      </c>
      <c r="B2003" s="26">
        <f>VLOOKUP(A2003,'Database Claims'!$A:$C,3,)</f>
        <v>317000</v>
      </c>
      <c r="C2003" s="30">
        <f t="shared" si="62"/>
        <v>10000</v>
      </c>
      <c r="D2003" s="26">
        <f>VLOOKUP(A2003,'Database Claims'!$A:$C,2,)</f>
        <v>2588000</v>
      </c>
      <c r="E2003" s="30">
        <f t="shared" si="63"/>
        <v>29000</v>
      </c>
    </row>
    <row r="2004" spans="1:5" x14ac:dyDescent="0.2">
      <c r="A2004" s="29">
        <v>38472</v>
      </c>
      <c r="B2004" s="30">
        <f>VLOOKUP(A2004,'Database Claims'!$A:$C,3,)</f>
        <v>334000</v>
      </c>
      <c r="C2004" s="30">
        <f t="shared" si="62"/>
        <v>17000</v>
      </c>
      <c r="D2004" s="30">
        <f>VLOOKUP(A2004,'Database Claims'!$A:$C,2,)</f>
        <v>2596000</v>
      </c>
      <c r="E2004" s="30">
        <f t="shared" si="63"/>
        <v>8000</v>
      </c>
    </row>
    <row r="2005" spans="1:5" x14ac:dyDescent="0.2">
      <c r="A2005" s="29">
        <v>38479</v>
      </c>
      <c r="B2005" s="26">
        <f>VLOOKUP(A2005,'Database Claims'!$A:$C,3,)</f>
        <v>327000</v>
      </c>
      <c r="C2005" s="30">
        <f t="shared" si="62"/>
        <v>-7000</v>
      </c>
      <c r="D2005" s="26">
        <f>VLOOKUP(A2005,'Database Claims'!$A:$C,2,)</f>
        <v>2605000</v>
      </c>
      <c r="E2005" s="30">
        <f t="shared" si="63"/>
        <v>9000</v>
      </c>
    </row>
    <row r="2006" spans="1:5" x14ac:dyDescent="0.2">
      <c r="A2006" s="29">
        <v>38486</v>
      </c>
      <c r="B2006" s="30">
        <f>VLOOKUP(A2006,'Database Claims'!$A:$C,3,)</f>
        <v>321000</v>
      </c>
      <c r="C2006" s="30">
        <f t="shared" si="62"/>
        <v>-6000</v>
      </c>
      <c r="D2006" s="30">
        <f>VLOOKUP(A2006,'Database Claims'!$A:$C,2,)</f>
        <v>2568000</v>
      </c>
      <c r="E2006" s="30">
        <f t="shared" si="63"/>
        <v>-37000</v>
      </c>
    </row>
    <row r="2007" spans="1:5" x14ac:dyDescent="0.2">
      <c r="A2007" s="29">
        <v>38493</v>
      </c>
      <c r="B2007" s="26">
        <f>VLOOKUP(A2007,'Database Claims'!$A:$C,3,)</f>
        <v>320000</v>
      </c>
      <c r="C2007" s="30">
        <f t="shared" si="62"/>
        <v>-1000</v>
      </c>
      <c r="D2007" s="26">
        <f>VLOOKUP(A2007,'Database Claims'!$A:$C,2,)</f>
        <v>2595000</v>
      </c>
      <c r="E2007" s="30">
        <f t="shared" si="63"/>
        <v>27000</v>
      </c>
    </row>
    <row r="2008" spans="1:5" x14ac:dyDescent="0.2">
      <c r="A2008" s="29">
        <v>38500</v>
      </c>
      <c r="B2008" s="30">
        <f>VLOOKUP(A2008,'Database Claims'!$A:$C,3,)</f>
        <v>340000</v>
      </c>
      <c r="C2008" s="30">
        <f t="shared" si="62"/>
        <v>20000</v>
      </c>
      <c r="D2008" s="30">
        <f>VLOOKUP(A2008,'Database Claims'!$A:$C,2,)</f>
        <v>2577000</v>
      </c>
      <c r="E2008" s="30">
        <f t="shared" si="63"/>
        <v>-18000</v>
      </c>
    </row>
    <row r="2009" spans="1:5" x14ac:dyDescent="0.2">
      <c r="A2009" s="29">
        <v>38507</v>
      </c>
      <c r="B2009" s="26">
        <f>VLOOKUP(A2009,'Database Claims'!$A:$C,3,)</f>
        <v>338000</v>
      </c>
      <c r="C2009" s="30">
        <f t="shared" si="62"/>
        <v>-2000</v>
      </c>
      <c r="D2009" s="26">
        <f>VLOOKUP(A2009,'Database Claims'!$A:$C,2,)</f>
        <v>2630000</v>
      </c>
      <c r="E2009" s="30">
        <f t="shared" si="63"/>
        <v>53000</v>
      </c>
    </row>
    <row r="2010" spans="1:5" x14ac:dyDescent="0.2">
      <c r="A2010" s="29">
        <v>38514</v>
      </c>
      <c r="B2010" s="30">
        <f>VLOOKUP(A2010,'Database Claims'!$A:$C,3,)</f>
        <v>333000</v>
      </c>
      <c r="C2010" s="30">
        <f t="shared" si="62"/>
        <v>-5000</v>
      </c>
      <c r="D2010" s="30">
        <f>VLOOKUP(A2010,'Database Claims'!$A:$C,2,)</f>
        <v>2599000</v>
      </c>
      <c r="E2010" s="30">
        <f t="shared" si="63"/>
        <v>-31000</v>
      </c>
    </row>
    <row r="2011" spans="1:5" x14ac:dyDescent="0.2">
      <c r="A2011" s="29">
        <v>38521</v>
      </c>
      <c r="B2011" s="26">
        <f>VLOOKUP(A2011,'Database Claims'!$A:$C,3,)</f>
        <v>321000</v>
      </c>
      <c r="C2011" s="30">
        <f t="shared" si="62"/>
        <v>-12000</v>
      </c>
      <c r="D2011" s="26">
        <f>VLOOKUP(A2011,'Database Claims'!$A:$C,2,)</f>
        <v>2602000</v>
      </c>
      <c r="E2011" s="30">
        <f t="shared" si="63"/>
        <v>3000</v>
      </c>
    </row>
    <row r="2012" spans="1:5" x14ac:dyDescent="0.2">
      <c r="A2012" s="29">
        <v>38528</v>
      </c>
      <c r="B2012" s="30">
        <f>VLOOKUP(A2012,'Database Claims'!$A:$C,3,)</f>
        <v>311000</v>
      </c>
      <c r="C2012" s="30">
        <f t="shared" si="62"/>
        <v>-10000</v>
      </c>
      <c r="D2012" s="30">
        <f>VLOOKUP(A2012,'Database Claims'!$A:$C,2,)</f>
        <v>2569000</v>
      </c>
      <c r="E2012" s="30">
        <f t="shared" si="63"/>
        <v>-33000</v>
      </c>
    </row>
    <row r="2013" spans="1:5" x14ac:dyDescent="0.2">
      <c r="A2013" s="29">
        <v>38535</v>
      </c>
      <c r="B2013" s="26">
        <f>VLOOKUP(A2013,'Database Claims'!$A:$C,3,)</f>
        <v>327000</v>
      </c>
      <c r="C2013" s="30">
        <f t="shared" si="62"/>
        <v>16000</v>
      </c>
      <c r="D2013" s="26">
        <f>VLOOKUP(A2013,'Database Claims'!$A:$C,2,)</f>
        <v>2612000</v>
      </c>
      <c r="E2013" s="30">
        <f t="shared" si="63"/>
        <v>43000</v>
      </c>
    </row>
    <row r="2014" spans="1:5" x14ac:dyDescent="0.2">
      <c r="A2014" s="29">
        <v>38542</v>
      </c>
      <c r="B2014" s="30">
        <f>VLOOKUP(A2014,'Database Claims'!$A:$C,3,)</f>
        <v>338000</v>
      </c>
      <c r="C2014" s="30">
        <f t="shared" si="62"/>
        <v>11000</v>
      </c>
      <c r="D2014" s="30">
        <f>VLOOKUP(A2014,'Database Claims'!$A:$C,2,)</f>
        <v>2583000</v>
      </c>
      <c r="E2014" s="30">
        <f t="shared" si="63"/>
        <v>-29000</v>
      </c>
    </row>
    <row r="2015" spans="1:5" x14ac:dyDescent="0.2">
      <c r="A2015" s="29">
        <v>38549</v>
      </c>
      <c r="B2015" s="26">
        <f>VLOOKUP(A2015,'Database Claims'!$A:$C,3,)</f>
        <v>323000</v>
      </c>
      <c r="C2015" s="30">
        <f t="shared" si="62"/>
        <v>-15000</v>
      </c>
      <c r="D2015" s="26">
        <f>VLOOKUP(A2015,'Database Claims'!$A:$C,2,)</f>
        <v>2619000</v>
      </c>
      <c r="E2015" s="30">
        <f t="shared" si="63"/>
        <v>36000</v>
      </c>
    </row>
    <row r="2016" spans="1:5" x14ac:dyDescent="0.2">
      <c r="A2016" s="29">
        <v>38556</v>
      </c>
      <c r="B2016" s="30">
        <f>VLOOKUP(A2016,'Database Claims'!$A:$C,3,)</f>
        <v>318000</v>
      </c>
      <c r="C2016" s="30">
        <f t="shared" si="62"/>
        <v>-5000</v>
      </c>
      <c r="D2016" s="30">
        <f>VLOOKUP(A2016,'Database Claims'!$A:$C,2,)</f>
        <v>2592000</v>
      </c>
      <c r="E2016" s="30">
        <f t="shared" si="63"/>
        <v>-27000</v>
      </c>
    </row>
    <row r="2017" spans="1:5" x14ac:dyDescent="0.2">
      <c r="A2017" s="29">
        <v>38563</v>
      </c>
      <c r="B2017" s="26">
        <f>VLOOKUP(A2017,'Database Claims'!$A:$C,3,)</f>
        <v>316000</v>
      </c>
      <c r="C2017" s="30">
        <f t="shared" si="62"/>
        <v>-2000</v>
      </c>
      <c r="D2017" s="26">
        <f>VLOOKUP(A2017,'Database Claims'!$A:$C,2,)</f>
        <v>2570000</v>
      </c>
      <c r="E2017" s="30">
        <f t="shared" si="63"/>
        <v>-22000</v>
      </c>
    </row>
    <row r="2018" spans="1:5" x14ac:dyDescent="0.2">
      <c r="A2018" s="29">
        <v>38570</v>
      </c>
      <c r="B2018" s="30">
        <f>VLOOKUP(A2018,'Database Claims'!$A:$C,3,)</f>
        <v>311000</v>
      </c>
      <c r="C2018" s="30">
        <f t="shared" si="62"/>
        <v>-5000</v>
      </c>
      <c r="D2018" s="30">
        <f>VLOOKUP(A2018,'Database Claims'!$A:$C,2,)</f>
        <v>2584000</v>
      </c>
      <c r="E2018" s="30">
        <f t="shared" si="63"/>
        <v>14000</v>
      </c>
    </row>
    <row r="2019" spans="1:5" x14ac:dyDescent="0.2">
      <c r="A2019" s="29">
        <v>38577</v>
      </c>
      <c r="B2019" s="26">
        <f>VLOOKUP(A2019,'Database Claims'!$A:$C,3,)</f>
        <v>319000</v>
      </c>
      <c r="C2019" s="30">
        <f t="shared" si="62"/>
        <v>8000</v>
      </c>
      <c r="D2019" s="26">
        <f>VLOOKUP(A2019,'Database Claims'!$A:$C,2,)</f>
        <v>2573000</v>
      </c>
      <c r="E2019" s="30">
        <f t="shared" si="63"/>
        <v>-11000</v>
      </c>
    </row>
    <row r="2020" spans="1:5" x14ac:dyDescent="0.2">
      <c r="A2020" s="29">
        <v>38584</v>
      </c>
      <c r="B2020" s="30">
        <f>VLOOKUP(A2020,'Database Claims'!$A:$C,3,)</f>
        <v>315000</v>
      </c>
      <c r="C2020" s="30">
        <f t="shared" si="62"/>
        <v>-4000</v>
      </c>
      <c r="D2020" s="30">
        <f>VLOOKUP(A2020,'Database Claims'!$A:$C,2,)</f>
        <v>2598000</v>
      </c>
      <c r="E2020" s="30">
        <f t="shared" si="63"/>
        <v>25000</v>
      </c>
    </row>
    <row r="2021" spans="1:5" x14ac:dyDescent="0.2">
      <c r="A2021" s="29">
        <v>38591</v>
      </c>
      <c r="B2021" s="26">
        <f>VLOOKUP(A2021,'Database Claims'!$A:$C,3,)</f>
        <v>318000</v>
      </c>
      <c r="C2021" s="30">
        <f t="shared" si="62"/>
        <v>3000</v>
      </c>
      <c r="D2021" s="26">
        <f>VLOOKUP(A2021,'Database Claims'!$A:$C,2,)</f>
        <v>2568000</v>
      </c>
      <c r="E2021" s="30">
        <f t="shared" si="63"/>
        <v>-30000</v>
      </c>
    </row>
    <row r="2022" spans="1:5" x14ac:dyDescent="0.2">
      <c r="A2022" s="29">
        <v>38598</v>
      </c>
      <c r="B2022" s="30">
        <f>VLOOKUP(A2022,'Database Claims'!$A:$C,3,)</f>
        <v>326000</v>
      </c>
      <c r="C2022" s="30">
        <f t="shared" si="62"/>
        <v>8000</v>
      </c>
      <c r="D2022" s="30">
        <f>VLOOKUP(A2022,'Database Claims'!$A:$C,2,)</f>
        <v>2575000</v>
      </c>
      <c r="E2022" s="30">
        <f t="shared" si="63"/>
        <v>7000</v>
      </c>
    </row>
    <row r="2023" spans="1:5" x14ac:dyDescent="0.2">
      <c r="A2023" s="29">
        <v>38605</v>
      </c>
      <c r="B2023" s="26">
        <f>VLOOKUP(A2023,'Database Claims'!$A:$C,3,)</f>
        <v>422000</v>
      </c>
      <c r="C2023" s="30">
        <f t="shared" si="62"/>
        <v>96000</v>
      </c>
      <c r="D2023" s="26">
        <f>VLOOKUP(A2023,'Database Claims'!$A:$C,2,)</f>
        <v>2651000</v>
      </c>
      <c r="E2023" s="30">
        <f t="shared" si="63"/>
        <v>76000</v>
      </c>
    </row>
    <row r="2024" spans="1:5" x14ac:dyDescent="0.2">
      <c r="A2024" s="29">
        <v>38612</v>
      </c>
      <c r="B2024" s="30">
        <f>VLOOKUP(A2024,'Database Claims'!$A:$C,3,)</f>
        <v>424000</v>
      </c>
      <c r="C2024" s="30">
        <f t="shared" si="62"/>
        <v>2000</v>
      </c>
      <c r="D2024" s="30">
        <f>VLOOKUP(A2024,'Database Claims'!$A:$C,2,)</f>
        <v>2787000</v>
      </c>
      <c r="E2024" s="30">
        <f t="shared" si="63"/>
        <v>136000</v>
      </c>
    </row>
    <row r="2025" spans="1:5" x14ac:dyDescent="0.2">
      <c r="A2025" s="29">
        <v>38619</v>
      </c>
      <c r="B2025" s="26">
        <f>VLOOKUP(A2025,'Database Claims'!$A:$C,3,)</f>
        <v>359000</v>
      </c>
      <c r="C2025" s="30">
        <f t="shared" si="62"/>
        <v>-65000</v>
      </c>
      <c r="D2025" s="26">
        <f>VLOOKUP(A2025,'Database Claims'!$A:$C,2,)</f>
        <v>2853000</v>
      </c>
      <c r="E2025" s="30">
        <f t="shared" si="63"/>
        <v>66000</v>
      </c>
    </row>
    <row r="2026" spans="1:5" x14ac:dyDescent="0.2">
      <c r="A2026" s="29">
        <v>38626</v>
      </c>
      <c r="B2026" s="30">
        <f>VLOOKUP(A2026,'Database Claims'!$A:$C,3,)</f>
        <v>384000</v>
      </c>
      <c r="C2026" s="30">
        <f t="shared" si="62"/>
        <v>25000</v>
      </c>
      <c r="D2026" s="30">
        <f>VLOOKUP(A2026,'Database Claims'!$A:$C,2,)</f>
        <v>2841000</v>
      </c>
      <c r="E2026" s="30">
        <f t="shared" si="63"/>
        <v>-12000</v>
      </c>
    </row>
    <row r="2027" spans="1:5" x14ac:dyDescent="0.2">
      <c r="A2027" s="29">
        <v>38633</v>
      </c>
      <c r="B2027" s="26">
        <f>VLOOKUP(A2027,'Database Claims'!$A:$C,3,)</f>
        <v>383000</v>
      </c>
      <c r="C2027" s="30">
        <f t="shared" si="62"/>
        <v>-1000</v>
      </c>
      <c r="D2027" s="26">
        <f>VLOOKUP(A2027,'Database Claims'!$A:$C,2,)</f>
        <v>2831000</v>
      </c>
      <c r="E2027" s="30">
        <f t="shared" si="63"/>
        <v>-10000</v>
      </c>
    </row>
    <row r="2028" spans="1:5" x14ac:dyDescent="0.2">
      <c r="A2028" s="29">
        <v>38640</v>
      </c>
      <c r="B2028" s="30">
        <f>VLOOKUP(A2028,'Database Claims'!$A:$C,3,)</f>
        <v>348000</v>
      </c>
      <c r="C2028" s="30">
        <f t="shared" si="62"/>
        <v>-35000</v>
      </c>
      <c r="D2028" s="30">
        <f>VLOOKUP(A2028,'Database Claims'!$A:$C,2,)</f>
        <v>2821000</v>
      </c>
      <c r="E2028" s="30">
        <f t="shared" si="63"/>
        <v>-10000</v>
      </c>
    </row>
    <row r="2029" spans="1:5" x14ac:dyDescent="0.2">
      <c r="A2029" s="29">
        <v>38647</v>
      </c>
      <c r="B2029" s="26">
        <f>VLOOKUP(A2029,'Database Claims'!$A:$C,3,)</f>
        <v>324000</v>
      </c>
      <c r="C2029" s="30">
        <f t="shared" si="62"/>
        <v>-24000</v>
      </c>
      <c r="D2029" s="26">
        <f>VLOOKUP(A2029,'Database Claims'!$A:$C,2,)</f>
        <v>2772000</v>
      </c>
      <c r="E2029" s="30">
        <f t="shared" si="63"/>
        <v>-49000</v>
      </c>
    </row>
    <row r="2030" spans="1:5" x14ac:dyDescent="0.2">
      <c r="A2030" s="29">
        <v>38654</v>
      </c>
      <c r="B2030" s="30">
        <f>VLOOKUP(A2030,'Database Claims'!$A:$C,3,)</f>
        <v>322000</v>
      </c>
      <c r="C2030" s="30">
        <f t="shared" si="62"/>
        <v>-2000</v>
      </c>
      <c r="D2030" s="30">
        <f>VLOOKUP(A2030,'Database Claims'!$A:$C,2,)</f>
        <v>2752000</v>
      </c>
      <c r="E2030" s="30">
        <f t="shared" si="63"/>
        <v>-20000</v>
      </c>
    </row>
    <row r="2031" spans="1:5" x14ac:dyDescent="0.2">
      <c r="A2031" s="29">
        <v>38661</v>
      </c>
      <c r="B2031" s="26">
        <f>VLOOKUP(A2031,'Database Claims'!$A:$C,3,)</f>
        <v>325000</v>
      </c>
      <c r="C2031" s="30">
        <f t="shared" si="62"/>
        <v>3000</v>
      </c>
      <c r="D2031" s="26">
        <f>VLOOKUP(A2031,'Database Claims'!$A:$C,2,)</f>
        <v>2746000</v>
      </c>
      <c r="E2031" s="30">
        <f t="shared" si="63"/>
        <v>-6000</v>
      </c>
    </row>
    <row r="2032" spans="1:5" x14ac:dyDescent="0.2">
      <c r="A2032" s="29">
        <v>38668</v>
      </c>
      <c r="B2032" s="30">
        <f>VLOOKUP(A2032,'Database Claims'!$A:$C,3,)</f>
        <v>309000</v>
      </c>
      <c r="C2032" s="30">
        <f t="shared" si="62"/>
        <v>-16000</v>
      </c>
      <c r="D2032" s="30">
        <f>VLOOKUP(A2032,'Database Claims'!$A:$C,2,)</f>
        <v>2760000</v>
      </c>
      <c r="E2032" s="30">
        <f t="shared" si="63"/>
        <v>14000</v>
      </c>
    </row>
    <row r="2033" spans="1:5" x14ac:dyDescent="0.2">
      <c r="A2033" s="29">
        <v>38675</v>
      </c>
      <c r="B2033" s="26">
        <f>VLOOKUP(A2033,'Database Claims'!$A:$C,3,)</f>
        <v>324000</v>
      </c>
      <c r="C2033" s="30">
        <f t="shared" si="62"/>
        <v>15000</v>
      </c>
      <c r="D2033" s="26">
        <f>VLOOKUP(A2033,'Database Claims'!$A:$C,2,)</f>
        <v>2712000</v>
      </c>
      <c r="E2033" s="30">
        <f t="shared" si="63"/>
        <v>-48000</v>
      </c>
    </row>
    <row r="2034" spans="1:5" x14ac:dyDescent="0.2">
      <c r="A2034" s="29">
        <v>38682</v>
      </c>
      <c r="B2034" s="30">
        <f>VLOOKUP(A2034,'Database Claims'!$A:$C,3,)</f>
        <v>311000</v>
      </c>
      <c r="C2034" s="30">
        <f t="shared" si="62"/>
        <v>-13000</v>
      </c>
      <c r="D2034" s="30">
        <f>VLOOKUP(A2034,'Database Claims'!$A:$C,2,)</f>
        <v>2587000</v>
      </c>
      <c r="E2034" s="30">
        <f t="shared" si="63"/>
        <v>-125000</v>
      </c>
    </row>
    <row r="2035" spans="1:5" x14ac:dyDescent="0.2">
      <c r="A2035" s="29">
        <v>38689</v>
      </c>
      <c r="B2035" s="26">
        <f>VLOOKUP(A2035,'Database Claims'!$A:$C,3,)</f>
        <v>321000</v>
      </c>
      <c r="C2035" s="30">
        <f t="shared" si="62"/>
        <v>10000</v>
      </c>
      <c r="D2035" s="26">
        <f>VLOOKUP(A2035,'Database Claims'!$A:$C,2,)</f>
        <v>2589000</v>
      </c>
      <c r="E2035" s="30">
        <f t="shared" si="63"/>
        <v>2000</v>
      </c>
    </row>
    <row r="2036" spans="1:5" x14ac:dyDescent="0.2">
      <c r="A2036" s="29">
        <v>38696</v>
      </c>
      <c r="B2036" s="30">
        <f>VLOOKUP(A2036,'Database Claims'!$A:$C,3,)</f>
        <v>327000</v>
      </c>
      <c r="C2036" s="30">
        <f t="shared" si="62"/>
        <v>6000</v>
      </c>
      <c r="D2036" s="30">
        <f>VLOOKUP(A2036,'Database Claims'!$A:$C,2,)</f>
        <v>2620000</v>
      </c>
      <c r="E2036" s="30">
        <f t="shared" si="63"/>
        <v>31000</v>
      </c>
    </row>
    <row r="2037" spans="1:5" x14ac:dyDescent="0.2">
      <c r="A2037" s="29">
        <v>38703</v>
      </c>
      <c r="B2037" s="26">
        <f>VLOOKUP(A2037,'Database Claims'!$A:$C,3,)</f>
        <v>312000</v>
      </c>
      <c r="C2037" s="30">
        <f t="shared" si="62"/>
        <v>-15000</v>
      </c>
      <c r="D2037" s="26">
        <f>VLOOKUP(A2037,'Database Claims'!$A:$C,2,)</f>
        <v>2660000</v>
      </c>
      <c r="E2037" s="30">
        <f t="shared" si="63"/>
        <v>40000</v>
      </c>
    </row>
    <row r="2038" spans="1:5" x14ac:dyDescent="0.2">
      <c r="A2038" s="29">
        <v>38710</v>
      </c>
      <c r="B2038" s="30">
        <f>VLOOKUP(A2038,'Database Claims'!$A:$C,3,)</f>
        <v>320000</v>
      </c>
      <c r="C2038" s="30">
        <f t="shared" si="62"/>
        <v>8000</v>
      </c>
      <c r="D2038" s="30">
        <f>VLOOKUP(A2038,'Database Claims'!$A:$C,2,)</f>
        <v>2668000</v>
      </c>
      <c r="E2038" s="30">
        <f t="shared" si="63"/>
        <v>8000</v>
      </c>
    </row>
    <row r="2039" spans="1:5" x14ac:dyDescent="0.2">
      <c r="A2039" s="29">
        <v>38717</v>
      </c>
      <c r="B2039" s="26">
        <f>VLOOKUP(A2039,'Database Claims'!$A:$C,3,)</f>
        <v>302000</v>
      </c>
      <c r="C2039" s="30">
        <f t="shared" si="62"/>
        <v>-18000</v>
      </c>
      <c r="D2039" s="26">
        <f>VLOOKUP(A2039,'Database Claims'!$A:$C,2,)</f>
        <v>2660000</v>
      </c>
      <c r="E2039" s="30">
        <f t="shared" si="63"/>
        <v>-8000</v>
      </c>
    </row>
    <row r="2040" spans="1:5" x14ac:dyDescent="0.2">
      <c r="A2040" s="29">
        <v>38724</v>
      </c>
      <c r="B2040" s="30">
        <f>VLOOKUP(A2040,'Database Claims'!$A:$C,3,)</f>
        <v>326000</v>
      </c>
      <c r="C2040" s="30">
        <f t="shared" si="62"/>
        <v>24000</v>
      </c>
      <c r="D2040" s="30">
        <f>VLOOKUP(A2040,'Database Claims'!$A:$C,2,)</f>
        <v>2561000</v>
      </c>
      <c r="E2040" s="30">
        <f t="shared" si="63"/>
        <v>-99000</v>
      </c>
    </row>
    <row r="2041" spans="1:5" x14ac:dyDescent="0.2">
      <c r="A2041" s="29">
        <v>38731</v>
      </c>
      <c r="B2041" s="26">
        <f>VLOOKUP(A2041,'Database Claims'!$A:$C,3,)</f>
        <v>285000</v>
      </c>
      <c r="C2041" s="30">
        <f t="shared" si="62"/>
        <v>-41000</v>
      </c>
      <c r="D2041" s="26">
        <f>VLOOKUP(A2041,'Database Claims'!$A:$C,2,)</f>
        <v>2586000</v>
      </c>
      <c r="E2041" s="30">
        <f t="shared" si="63"/>
        <v>25000</v>
      </c>
    </row>
    <row r="2042" spans="1:5" x14ac:dyDescent="0.2">
      <c r="A2042" s="29">
        <v>38738</v>
      </c>
      <c r="B2042" s="30">
        <f>VLOOKUP(A2042,'Database Claims'!$A:$C,3,)</f>
        <v>290000</v>
      </c>
      <c r="C2042" s="30">
        <f t="shared" si="62"/>
        <v>5000</v>
      </c>
      <c r="D2042" s="30">
        <f>VLOOKUP(A2042,'Database Claims'!$A:$C,2,)</f>
        <v>2516000</v>
      </c>
      <c r="E2042" s="30">
        <f t="shared" si="63"/>
        <v>-70000</v>
      </c>
    </row>
    <row r="2043" spans="1:5" x14ac:dyDescent="0.2">
      <c r="A2043" s="29">
        <v>38745</v>
      </c>
      <c r="B2043" s="26">
        <f>VLOOKUP(A2043,'Database Claims'!$A:$C,3,)</f>
        <v>282000</v>
      </c>
      <c r="C2043" s="30">
        <f t="shared" si="62"/>
        <v>-8000</v>
      </c>
      <c r="D2043" s="26">
        <f>VLOOKUP(A2043,'Database Claims'!$A:$C,2,)</f>
        <v>2565000</v>
      </c>
      <c r="E2043" s="30">
        <f t="shared" si="63"/>
        <v>49000</v>
      </c>
    </row>
    <row r="2044" spans="1:5" x14ac:dyDescent="0.2">
      <c r="A2044" s="29">
        <v>38752</v>
      </c>
      <c r="B2044" s="30">
        <f>VLOOKUP(A2044,'Database Claims'!$A:$C,3,)</f>
        <v>289000</v>
      </c>
      <c r="C2044" s="30">
        <f t="shared" si="62"/>
        <v>7000</v>
      </c>
      <c r="D2044" s="30">
        <f>VLOOKUP(A2044,'Database Claims'!$A:$C,2,)</f>
        <v>2520000</v>
      </c>
      <c r="E2044" s="30">
        <f t="shared" si="63"/>
        <v>-45000</v>
      </c>
    </row>
    <row r="2045" spans="1:5" x14ac:dyDescent="0.2">
      <c r="A2045" s="29">
        <v>38759</v>
      </c>
      <c r="B2045" s="26">
        <f>VLOOKUP(A2045,'Database Claims'!$A:$C,3,)</f>
        <v>298000</v>
      </c>
      <c r="C2045" s="30">
        <f t="shared" si="62"/>
        <v>9000</v>
      </c>
      <c r="D2045" s="26">
        <f>VLOOKUP(A2045,'Database Claims'!$A:$C,2,)</f>
        <v>2517000</v>
      </c>
      <c r="E2045" s="30">
        <f t="shared" si="63"/>
        <v>-3000</v>
      </c>
    </row>
    <row r="2046" spans="1:5" x14ac:dyDescent="0.2">
      <c r="A2046" s="29">
        <v>38766</v>
      </c>
      <c r="B2046" s="30">
        <f>VLOOKUP(A2046,'Database Claims'!$A:$C,3,)</f>
        <v>283000</v>
      </c>
      <c r="C2046" s="30">
        <f t="shared" si="62"/>
        <v>-15000</v>
      </c>
      <c r="D2046" s="30">
        <f>VLOOKUP(A2046,'Database Claims'!$A:$C,2,)</f>
        <v>2488000</v>
      </c>
      <c r="E2046" s="30">
        <f t="shared" si="63"/>
        <v>-29000</v>
      </c>
    </row>
    <row r="2047" spans="1:5" x14ac:dyDescent="0.2">
      <c r="A2047" s="29">
        <v>38773</v>
      </c>
      <c r="B2047" s="26">
        <f>VLOOKUP(A2047,'Database Claims'!$A:$C,3,)</f>
        <v>293000</v>
      </c>
      <c r="C2047" s="30">
        <f t="shared" si="62"/>
        <v>10000</v>
      </c>
      <c r="D2047" s="26">
        <f>VLOOKUP(A2047,'Database Claims'!$A:$C,2,)</f>
        <v>2504000</v>
      </c>
      <c r="E2047" s="30">
        <f t="shared" si="63"/>
        <v>16000</v>
      </c>
    </row>
    <row r="2048" spans="1:5" x14ac:dyDescent="0.2">
      <c r="A2048" s="29">
        <v>38780</v>
      </c>
      <c r="B2048" s="30">
        <f>VLOOKUP(A2048,'Database Claims'!$A:$C,3,)</f>
        <v>302000</v>
      </c>
      <c r="C2048" s="30">
        <f t="shared" si="62"/>
        <v>9000</v>
      </c>
      <c r="D2048" s="30">
        <f>VLOOKUP(A2048,'Database Claims'!$A:$C,2,)</f>
        <v>2453000</v>
      </c>
      <c r="E2048" s="30">
        <f t="shared" si="63"/>
        <v>-51000</v>
      </c>
    </row>
    <row r="2049" spans="1:5" x14ac:dyDescent="0.2">
      <c r="A2049" s="29">
        <v>38787</v>
      </c>
      <c r="B2049" s="26">
        <f>VLOOKUP(A2049,'Database Claims'!$A:$C,3,)</f>
        <v>307000</v>
      </c>
      <c r="C2049" s="30">
        <f t="shared" si="62"/>
        <v>5000</v>
      </c>
      <c r="D2049" s="26">
        <f>VLOOKUP(A2049,'Database Claims'!$A:$C,2,)</f>
        <v>2474000</v>
      </c>
      <c r="E2049" s="30">
        <f t="shared" si="63"/>
        <v>21000</v>
      </c>
    </row>
    <row r="2050" spans="1:5" x14ac:dyDescent="0.2">
      <c r="A2050" s="29">
        <v>38794</v>
      </c>
      <c r="B2050" s="30">
        <f>VLOOKUP(A2050,'Database Claims'!$A:$C,3,)</f>
        <v>303000</v>
      </c>
      <c r="C2050" s="30">
        <f t="shared" si="62"/>
        <v>-4000</v>
      </c>
      <c r="D2050" s="30">
        <f>VLOOKUP(A2050,'Database Claims'!$A:$C,2,)</f>
        <v>2456000</v>
      </c>
      <c r="E2050" s="30">
        <f t="shared" si="63"/>
        <v>-18000</v>
      </c>
    </row>
    <row r="2051" spans="1:5" x14ac:dyDescent="0.2">
      <c r="A2051" s="29">
        <v>38801</v>
      </c>
      <c r="B2051" s="26">
        <f>VLOOKUP(A2051,'Database Claims'!$A:$C,3,)</f>
        <v>295000</v>
      </c>
      <c r="C2051" s="30">
        <f t="shared" si="62"/>
        <v>-8000</v>
      </c>
      <c r="D2051" s="26">
        <f>VLOOKUP(A2051,'Database Claims'!$A:$C,2,)</f>
        <v>2439000</v>
      </c>
      <c r="E2051" s="30">
        <f t="shared" si="63"/>
        <v>-17000</v>
      </c>
    </row>
    <row r="2052" spans="1:5" x14ac:dyDescent="0.2">
      <c r="A2052" s="29">
        <v>38808</v>
      </c>
      <c r="B2052" s="30">
        <f>VLOOKUP(A2052,'Database Claims'!$A:$C,3,)</f>
        <v>291000</v>
      </c>
      <c r="C2052" s="30">
        <f t="shared" si="62"/>
        <v>-4000</v>
      </c>
      <c r="D2052" s="30">
        <f>VLOOKUP(A2052,'Database Claims'!$A:$C,2,)</f>
        <v>2405000</v>
      </c>
      <c r="E2052" s="30">
        <f t="shared" si="63"/>
        <v>-34000</v>
      </c>
    </row>
    <row r="2053" spans="1:5" x14ac:dyDescent="0.2">
      <c r="A2053" s="29">
        <v>38815</v>
      </c>
      <c r="B2053" s="26">
        <f>VLOOKUP(A2053,'Database Claims'!$A:$C,3,)</f>
        <v>299000</v>
      </c>
      <c r="C2053" s="30">
        <f t="shared" si="62"/>
        <v>8000</v>
      </c>
      <c r="D2053" s="26">
        <f>VLOOKUP(A2053,'Database Claims'!$A:$C,2,)</f>
        <v>2411000</v>
      </c>
      <c r="E2053" s="30">
        <f t="shared" si="63"/>
        <v>6000</v>
      </c>
    </row>
    <row r="2054" spans="1:5" x14ac:dyDescent="0.2">
      <c r="A2054" s="29">
        <v>38822</v>
      </c>
      <c r="B2054" s="30">
        <f>VLOOKUP(A2054,'Database Claims'!$A:$C,3,)</f>
        <v>299000</v>
      </c>
      <c r="C2054" s="30">
        <f t="shared" ref="C2054:C2117" si="64">B2054-B2053</f>
        <v>0</v>
      </c>
      <c r="D2054" s="30">
        <f>VLOOKUP(A2054,'Database Claims'!$A:$C,2,)</f>
        <v>2408000</v>
      </c>
      <c r="E2054" s="30">
        <f t="shared" ref="E2054:E2117" si="65">D2054-D2053</f>
        <v>-3000</v>
      </c>
    </row>
    <row r="2055" spans="1:5" x14ac:dyDescent="0.2">
      <c r="A2055" s="29">
        <v>38829</v>
      </c>
      <c r="B2055" s="26">
        <f>VLOOKUP(A2055,'Database Claims'!$A:$C,3,)</f>
        <v>308000</v>
      </c>
      <c r="C2055" s="30">
        <f t="shared" si="64"/>
        <v>9000</v>
      </c>
      <c r="D2055" s="26">
        <f>VLOOKUP(A2055,'Database Claims'!$A:$C,2,)</f>
        <v>2424000</v>
      </c>
      <c r="E2055" s="30">
        <f t="shared" si="65"/>
        <v>16000</v>
      </c>
    </row>
    <row r="2056" spans="1:5" x14ac:dyDescent="0.2">
      <c r="A2056" s="29">
        <v>38836</v>
      </c>
      <c r="B2056" s="30">
        <f>VLOOKUP(A2056,'Database Claims'!$A:$C,3,)</f>
        <v>321000</v>
      </c>
      <c r="C2056" s="30">
        <f t="shared" si="64"/>
        <v>13000</v>
      </c>
      <c r="D2056" s="30">
        <f>VLOOKUP(A2056,'Database Claims'!$A:$C,2,)</f>
        <v>2357000</v>
      </c>
      <c r="E2056" s="30">
        <f t="shared" si="65"/>
        <v>-67000</v>
      </c>
    </row>
    <row r="2057" spans="1:5" x14ac:dyDescent="0.2">
      <c r="A2057" s="29">
        <v>38843</v>
      </c>
      <c r="B2057" s="26">
        <f>VLOOKUP(A2057,'Database Claims'!$A:$C,3,)</f>
        <v>347000</v>
      </c>
      <c r="C2057" s="30">
        <f t="shared" si="64"/>
        <v>26000</v>
      </c>
      <c r="D2057" s="26">
        <f>VLOOKUP(A2057,'Database Claims'!$A:$C,2,)</f>
        <v>2372000</v>
      </c>
      <c r="E2057" s="30">
        <f t="shared" si="65"/>
        <v>15000</v>
      </c>
    </row>
    <row r="2058" spans="1:5" x14ac:dyDescent="0.2">
      <c r="A2058" s="29">
        <v>38850</v>
      </c>
      <c r="B2058" s="30">
        <f>VLOOKUP(A2058,'Database Claims'!$A:$C,3,)</f>
        <v>335000</v>
      </c>
      <c r="C2058" s="30">
        <f t="shared" si="64"/>
        <v>-12000</v>
      </c>
      <c r="D2058" s="30">
        <f>VLOOKUP(A2058,'Database Claims'!$A:$C,2,)</f>
        <v>2383000</v>
      </c>
      <c r="E2058" s="30">
        <f t="shared" si="65"/>
        <v>11000</v>
      </c>
    </row>
    <row r="2059" spans="1:5" x14ac:dyDescent="0.2">
      <c r="A2059" s="29">
        <v>38857</v>
      </c>
      <c r="B2059" s="26">
        <f>VLOOKUP(A2059,'Database Claims'!$A:$C,3,)</f>
        <v>319000</v>
      </c>
      <c r="C2059" s="30">
        <f t="shared" si="64"/>
        <v>-16000</v>
      </c>
      <c r="D2059" s="26">
        <f>VLOOKUP(A2059,'Database Claims'!$A:$C,2,)</f>
        <v>2399000</v>
      </c>
      <c r="E2059" s="30">
        <f t="shared" si="65"/>
        <v>16000</v>
      </c>
    </row>
    <row r="2060" spans="1:5" x14ac:dyDescent="0.2">
      <c r="A2060" s="29">
        <v>38864</v>
      </c>
      <c r="B2060" s="30">
        <f>VLOOKUP(A2060,'Database Claims'!$A:$C,3,)</f>
        <v>330000</v>
      </c>
      <c r="C2060" s="30">
        <f t="shared" si="64"/>
        <v>11000</v>
      </c>
      <c r="D2060" s="30">
        <f>VLOOKUP(A2060,'Database Claims'!$A:$C,2,)</f>
        <v>2381000</v>
      </c>
      <c r="E2060" s="30">
        <f t="shared" si="65"/>
        <v>-18000</v>
      </c>
    </row>
    <row r="2061" spans="1:5" x14ac:dyDescent="0.2">
      <c r="A2061" s="29">
        <v>38871</v>
      </c>
      <c r="B2061" s="26">
        <f>VLOOKUP(A2061,'Database Claims'!$A:$C,3,)</f>
        <v>307000</v>
      </c>
      <c r="C2061" s="30">
        <f t="shared" si="64"/>
        <v>-23000</v>
      </c>
      <c r="D2061" s="26">
        <f>VLOOKUP(A2061,'Database Claims'!$A:$C,2,)</f>
        <v>2408000</v>
      </c>
      <c r="E2061" s="30">
        <f t="shared" si="65"/>
        <v>27000</v>
      </c>
    </row>
    <row r="2062" spans="1:5" x14ac:dyDescent="0.2">
      <c r="A2062" s="29">
        <v>38878</v>
      </c>
      <c r="B2062" s="30">
        <f>VLOOKUP(A2062,'Database Claims'!$A:$C,3,)</f>
        <v>298000</v>
      </c>
      <c r="C2062" s="30">
        <f t="shared" si="64"/>
        <v>-9000</v>
      </c>
      <c r="D2062" s="30">
        <f>VLOOKUP(A2062,'Database Claims'!$A:$C,2,)</f>
        <v>2412000</v>
      </c>
      <c r="E2062" s="30">
        <f t="shared" si="65"/>
        <v>4000</v>
      </c>
    </row>
    <row r="2063" spans="1:5" x14ac:dyDescent="0.2">
      <c r="A2063" s="29">
        <v>38885</v>
      </c>
      <c r="B2063" s="26">
        <f>VLOOKUP(A2063,'Database Claims'!$A:$C,3,)</f>
        <v>308000</v>
      </c>
      <c r="C2063" s="30">
        <f t="shared" si="64"/>
        <v>10000</v>
      </c>
      <c r="D2063" s="26">
        <f>VLOOKUP(A2063,'Database Claims'!$A:$C,2,)</f>
        <v>2395000</v>
      </c>
      <c r="E2063" s="30">
        <f t="shared" si="65"/>
        <v>-17000</v>
      </c>
    </row>
    <row r="2064" spans="1:5" x14ac:dyDescent="0.2">
      <c r="A2064" s="29">
        <v>38892</v>
      </c>
      <c r="B2064" s="30">
        <f>VLOOKUP(A2064,'Database Claims'!$A:$C,3,)</f>
        <v>309000</v>
      </c>
      <c r="C2064" s="30">
        <f t="shared" si="64"/>
        <v>1000</v>
      </c>
      <c r="D2064" s="30">
        <f>VLOOKUP(A2064,'Database Claims'!$A:$C,2,)</f>
        <v>2419000</v>
      </c>
      <c r="E2064" s="30">
        <f t="shared" si="65"/>
        <v>24000</v>
      </c>
    </row>
    <row r="2065" spans="1:5" x14ac:dyDescent="0.2">
      <c r="A2065" s="29">
        <v>38899</v>
      </c>
      <c r="B2065" s="26">
        <f>VLOOKUP(A2065,'Database Claims'!$A:$C,3,)</f>
        <v>316000</v>
      </c>
      <c r="C2065" s="30">
        <f t="shared" si="64"/>
        <v>7000</v>
      </c>
      <c r="D2065" s="26">
        <f>VLOOKUP(A2065,'Database Claims'!$A:$C,2,)</f>
        <v>2399000</v>
      </c>
      <c r="E2065" s="30">
        <f t="shared" si="65"/>
        <v>-20000</v>
      </c>
    </row>
    <row r="2066" spans="1:5" x14ac:dyDescent="0.2">
      <c r="A2066" s="29">
        <v>38906</v>
      </c>
      <c r="B2066" s="30">
        <f>VLOOKUP(A2066,'Database Claims'!$A:$C,3,)</f>
        <v>343000</v>
      </c>
      <c r="C2066" s="30">
        <f t="shared" si="64"/>
        <v>27000</v>
      </c>
      <c r="D2066" s="30">
        <f>VLOOKUP(A2066,'Database Claims'!$A:$C,2,)</f>
        <v>2491000</v>
      </c>
      <c r="E2066" s="30">
        <f t="shared" si="65"/>
        <v>92000</v>
      </c>
    </row>
    <row r="2067" spans="1:5" x14ac:dyDescent="0.2">
      <c r="A2067" s="29">
        <v>38913</v>
      </c>
      <c r="B2067" s="26">
        <f>VLOOKUP(A2067,'Database Claims'!$A:$C,3,)</f>
        <v>318000</v>
      </c>
      <c r="C2067" s="30">
        <f t="shared" si="64"/>
        <v>-25000</v>
      </c>
      <c r="D2067" s="26">
        <f>VLOOKUP(A2067,'Database Claims'!$A:$C,2,)</f>
        <v>2475000</v>
      </c>
      <c r="E2067" s="30">
        <f t="shared" si="65"/>
        <v>-16000</v>
      </c>
    </row>
    <row r="2068" spans="1:5" x14ac:dyDescent="0.2">
      <c r="A2068" s="29">
        <v>38920</v>
      </c>
      <c r="B2068" s="30">
        <f>VLOOKUP(A2068,'Database Claims'!$A:$C,3,)</f>
        <v>306000</v>
      </c>
      <c r="C2068" s="30">
        <f t="shared" si="64"/>
        <v>-12000</v>
      </c>
      <c r="D2068" s="30">
        <f>VLOOKUP(A2068,'Database Claims'!$A:$C,2,)</f>
        <v>2422000</v>
      </c>
      <c r="E2068" s="30">
        <f t="shared" si="65"/>
        <v>-53000</v>
      </c>
    </row>
    <row r="2069" spans="1:5" x14ac:dyDescent="0.2">
      <c r="A2069" s="29">
        <v>38927</v>
      </c>
      <c r="B2069" s="26">
        <f>VLOOKUP(A2069,'Database Claims'!$A:$C,3,)</f>
        <v>311000</v>
      </c>
      <c r="C2069" s="30">
        <f t="shared" si="64"/>
        <v>5000</v>
      </c>
      <c r="D2069" s="26">
        <f>VLOOKUP(A2069,'Database Claims'!$A:$C,2,)</f>
        <v>2460000</v>
      </c>
      <c r="E2069" s="30">
        <f t="shared" si="65"/>
        <v>38000</v>
      </c>
    </row>
    <row r="2070" spans="1:5" x14ac:dyDescent="0.2">
      <c r="A2070" s="29">
        <v>38934</v>
      </c>
      <c r="B2070" s="30">
        <f>VLOOKUP(A2070,'Database Claims'!$A:$C,3,)</f>
        <v>318000</v>
      </c>
      <c r="C2070" s="30">
        <f t="shared" si="64"/>
        <v>7000</v>
      </c>
      <c r="D2070" s="30">
        <f>VLOOKUP(A2070,'Database Claims'!$A:$C,2,)</f>
        <v>2477000</v>
      </c>
      <c r="E2070" s="30">
        <f t="shared" si="65"/>
        <v>17000</v>
      </c>
    </row>
    <row r="2071" spans="1:5" x14ac:dyDescent="0.2">
      <c r="A2071" s="29">
        <v>38941</v>
      </c>
      <c r="B2071" s="26">
        <f>VLOOKUP(A2071,'Database Claims'!$A:$C,3,)</f>
        <v>310000</v>
      </c>
      <c r="C2071" s="30">
        <f t="shared" si="64"/>
        <v>-8000</v>
      </c>
      <c r="D2071" s="26">
        <f>VLOOKUP(A2071,'Database Claims'!$A:$C,2,)</f>
        <v>2467000</v>
      </c>
      <c r="E2071" s="30">
        <f t="shared" si="65"/>
        <v>-10000</v>
      </c>
    </row>
    <row r="2072" spans="1:5" x14ac:dyDescent="0.2">
      <c r="A2072" s="29">
        <v>38948</v>
      </c>
      <c r="B2072" s="30">
        <f>VLOOKUP(A2072,'Database Claims'!$A:$C,3,)</f>
        <v>315000</v>
      </c>
      <c r="C2072" s="30">
        <f t="shared" si="64"/>
        <v>5000</v>
      </c>
      <c r="D2072" s="30">
        <f>VLOOKUP(A2072,'Database Claims'!$A:$C,2,)</f>
        <v>2464000</v>
      </c>
      <c r="E2072" s="30">
        <f t="shared" si="65"/>
        <v>-3000</v>
      </c>
    </row>
    <row r="2073" spans="1:5" x14ac:dyDescent="0.2">
      <c r="A2073" s="29">
        <v>38955</v>
      </c>
      <c r="B2073" s="26">
        <f>VLOOKUP(A2073,'Database Claims'!$A:$C,3,)</f>
        <v>314000</v>
      </c>
      <c r="C2073" s="30">
        <f t="shared" si="64"/>
        <v>-1000</v>
      </c>
      <c r="D2073" s="26">
        <f>VLOOKUP(A2073,'Database Claims'!$A:$C,2,)</f>
        <v>2457000</v>
      </c>
      <c r="E2073" s="30">
        <f t="shared" si="65"/>
        <v>-7000</v>
      </c>
    </row>
    <row r="2074" spans="1:5" x14ac:dyDescent="0.2">
      <c r="A2074" s="29">
        <v>38962</v>
      </c>
      <c r="B2074" s="30">
        <f>VLOOKUP(A2074,'Database Claims'!$A:$C,3,)</f>
        <v>315000</v>
      </c>
      <c r="C2074" s="30">
        <f t="shared" si="64"/>
        <v>1000</v>
      </c>
      <c r="D2074" s="30">
        <f>VLOOKUP(A2074,'Database Claims'!$A:$C,2,)</f>
        <v>2467000</v>
      </c>
      <c r="E2074" s="30">
        <f t="shared" si="65"/>
        <v>10000</v>
      </c>
    </row>
    <row r="2075" spans="1:5" x14ac:dyDescent="0.2">
      <c r="A2075" s="29">
        <v>38969</v>
      </c>
      <c r="B2075" s="26">
        <f>VLOOKUP(A2075,'Database Claims'!$A:$C,3,)</f>
        <v>314000</v>
      </c>
      <c r="C2075" s="30">
        <f t="shared" si="64"/>
        <v>-1000</v>
      </c>
      <c r="D2075" s="26">
        <f>VLOOKUP(A2075,'Database Claims'!$A:$C,2,)</f>
        <v>2449000</v>
      </c>
      <c r="E2075" s="30">
        <f t="shared" si="65"/>
        <v>-18000</v>
      </c>
    </row>
    <row r="2076" spans="1:5" x14ac:dyDescent="0.2">
      <c r="A2076" s="29">
        <v>38976</v>
      </c>
      <c r="B2076" s="30">
        <f>VLOOKUP(A2076,'Database Claims'!$A:$C,3,)</f>
        <v>324000</v>
      </c>
      <c r="C2076" s="30">
        <f t="shared" si="64"/>
        <v>10000</v>
      </c>
      <c r="D2076" s="30">
        <f>VLOOKUP(A2076,'Database Claims'!$A:$C,2,)</f>
        <v>2438000</v>
      </c>
      <c r="E2076" s="30">
        <f t="shared" si="65"/>
        <v>-11000</v>
      </c>
    </row>
    <row r="2077" spans="1:5" x14ac:dyDescent="0.2">
      <c r="A2077" s="29">
        <v>38983</v>
      </c>
      <c r="B2077" s="26">
        <f>VLOOKUP(A2077,'Database Claims'!$A:$C,3,)</f>
        <v>319000</v>
      </c>
      <c r="C2077" s="30">
        <f t="shared" si="64"/>
        <v>-5000</v>
      </c>
      <c r="D2077" s="26">
        <f>VLOOKUP(A2077,'Database Claims'!$A:$C,2,)</f>
        <v>2440000</v>
      </c>
      <c r="E2077" s="30">
        <f t="shared" si="65"/>
        <v>2000</v>
      </c>
    </row>
    <row r="2078" spans="1:5" x14ac:dyDescent="0.2">
      <c r="A2078" s="29">
        <v>38990</v>
      </c>
      <c r="B2078" s="30">
        <f>VLOOKUP(A2078,'Database Claims'!$A:$C,3,)</f>
        <v>309000</v>
      </c>
      <c r="C2078" s="30">
        <f t="shared" si="64"/>
        <v>-10000</v>
      </c>
      <c r="D2078" s="30">
        <f>VLOOKUP(A2078,'Database Claims'!$A:$C,2,)</f>
        <v>2437000</v>
      </c>
      <c r="E2078" s="30">
        <f t="shared" si="65"/>
        <v>-3000</v>
      </c>
    </row>
    <row r="2079" spans="1:5" x14ac:dyDescent="0.2">
      <c r="A2079" s="29">
        <v>38997</v>
      </c>
      <c r="B2079" s="26">
        <f>VLOOKUP(A2079,'Database Claims'!$A:$C,3,)</f>
        <v>316000</v>
      </c>
      <c r="C2079" s="30">
        <f t="shared" si="64"/>
        <v>7000</v>
      </c>
      <c r="D2079" s="26">
        <f>VLOOKUP(A2079,'Database Claims'!$A:$C,2,)</f>
        <v>2449000</v>
      </c>
      <c r="E2079" s="30">
        <f t="shared" si="65"/>
        <v>12000</v>
      </c>
    </row>
    <row r="2080" spans="1:5" x14ac:dyDescent="0.2">
      <c r="A2080" s="29">
        <v>39004</v>
      </c>
      <c r="B2080" s="30">
        <f>VLOOKUP(A2080,'Database Claims'!$A:$C,3,)</f>
        <v>305000</v>
      </c>
      <c r="C2080" s="30">
        <f t="shared" si="64"/>
        <v>-11000</v>
      </c>
      <c r="D2080" s="30">
        <f>VLOOKUP(A2080,'Database Claims'!$A:$C,2,)</f>
        <v>2459000</v>
      </c>
      <c r="E2080" s="30">
        <f t="shared" si="65"/>
        <v>10000</v>
      </c>
    </row>
    <row r="2081" spans="1:5" x14ac:dyDescent="0.2">
      <c r="A2081" s="29">
        <v>39011</v>
      </c>
      <c r="B2081" s="26">
        <f>VLOOKUP(A2081,'Database Claims'!$A:$C,3,)</f>
        <v>313000</v>
      </c>
      <c r="C2081" s="30">
        <f t="shared" si="64"/>
        <v>8000</v>
      </c>
      <c r="D2081" s="26">
        <f>VLOOKUP(A2081,'Database Claims'!$A:$C,2,)</f>
        <v>2428000</v>
      </c>
      <c r="E2081" s="30">
        <f t="shared" si="65"/>
        <v>-31000</v>
      </c>
    </row>
    <row r="2082" spans="1:5" x14ac:dyDescent="0.2">
      <c r="A2082" s="29">
        <v>39018</v>
      </c>
      <c r="B2082" s="30">
        <f>VLOOKUP(A2082,'Database Claims'!$A:$C,3,)</f>
        <v>328000</v>
      </c>
      <c r="C2082" s="30">
        <f t="shared" si="64"/>
        <v>15000</v>
      </c>
      <c r="D2082" s="30">
        <f>VLOOKUP(A2082,'Database Claims'!$A:$C,2,)</f>
        <v>2449000</v>
      </c>
      <c r="E2082" s="30">
        <f t="shared" si="65"/>
        <v>21000</v>
      </c>
    </row>
    <row r="2083" spans="1:5" x14ac:dyDescent="0.2">
      <c r="A2083" s="29">
        <v>39025</v>
      </c>
      <c r="B2083" s="26">
        <f>VLOOKUP(A2083,'Database Claims'!$A:$C,3,)</f>
        <v>319000</v>
      </c>
      <c r="C2083" s="30">
        <f t="shared" si="64"/>
        <v>-9000</v>
      </c>
      <c r="D2083" s="26">
        <f>VLOOKUP(A2083,'Database Claims'!$A:$C,2,)</f>
        <v>2414000</v>
      </c>
      <c r="E2083" s="30">
        <f t="shared" si="65"/>
        <v>-35000</v>
      </c>
    </row>
    <row r="2084" spans="1:5" x14ac:dyDescent="0.2">
      <c r="A2084" s="29">
        <v>39032</v>
      </c>
      <c r="B2084" s="30">
        <f>VLOOKUP(A2084,'Database Claims'!$A:$C,3,)</f>
        <v>311000</v>
      </c>
      <c r="C2084" s="30">
        <f t="shared" si="64"/>
        <v>-8000</v>
      </c>
      <c r="D2084" s="30">
        <f>VLOOKUP(A2084,'Database Claims'!$A:$C,2,)</f>
        <v>2467000</v>
      </c>
      <c r="E2084" s="30">
        <f t="shared" si="65"/>
        <v>53000</v>
      </c>
    </row>
    <row r="2085" spans="1:5" x14ac:dyDescent="0.2">
      <c r="A2085" s="29">
        <v>39039</v>
      </c>
      <c r="B2085" s="26">
        <f>VLOOKUP(A2085,'Database Claims'!$A:$C,3,)</f>
        <v>326000</v>
      </c>
      <c r="C2085" s="30">
        <f t="shared" si="64"/>
        <v>15000</v>
      </c>
      <c r="D2085" s="26">
        <f>VLOOKUP(A2085,'Database Claims'!$A:$C,2,)</f>
        <v>2506000</v>
      </c>
      <c r="E2085" s="30">
        <f t="shared" si="65"/>
        <v>39000</v>
      </c>
    </row>
    <row r="2086" spans="1:5" x14ac:dyDescent="0.2">
      <c r="A2086" s="29">
        <v>39046</v>
      </c>
      <c r="B2086" s="30">
        <f>VLOOKUP(A2086,'Database Claims'!$A:$C,3,)</f>
        <v>349000</v>
      </c>
      <c r="C2086" s="30">
        <f t="shared" si="64"/>
        <v>23000</v>
      </c>
      <c r="D2086" s="30">
        <f>VLOOKUP(A2086,'Database Claims'!$A:$C,2,)</f>
        <v>2517000</v>
      </c>
      <c r="E2086" s="30">
        <f t="shared" si="65"/>
        <v>11000</v>
      </c>
    </row>
    <row r="2087" spans="1:5" x14ac:dyDescent="0.2">
      <c r="A2087" s="29">
        <v>39053</v>
      </c>
      <c r="B2087" s="26">
        <f>VLOOKUP(A2087,'Database Claims'!$A:$C,3,)</f>
        <v>327000</v>
      </c>
      <c r="C2087" s="30">
        <f t="shared" si="64"/>
        <v>-22000</v>
      </c>
      <c r="D2087" s="26">
        <f>VLOOKUP(A2087,'Database Claims'!$A:$C,2,)</f>
        <v>2472000</v>
      </c>
      <c r="E2087" s="30">
        <f t="shared" si="65"/>
        <v>-45000</v>
      </c>
    </row>
    <row r="2088" spans="1:5" x14ac:dyDescent="0.2">
      <c r="A2088" s="29">
        <v>39060</v>
      </c>
      <c r="B2088" s="30">
        <f>VLOOKUP(A2088,'Database Claims'!$A:$C,3,)</f>
        <v>311000</v>
      </c>
      <c r="C2088" s="30">
        <f t="shared" si="64"/>
        <v>-16000</v>
      </c>
      <c r="D2088" s="30">
        <f>VLOOKUP(A2088,'Database Claims'!$A:$C,2,)</f>
        <v>2517000</v>
      </c>
      <c r="E2088" s="30">
        <f t="shared" si="65"/>
        <v>45000</v>
      </c>
    </row>
    <row r="2089" spans="1:5" x14ac:dyDescent="0.2">
      <c r="A2089" s="29">
        <v>39067</v>
      </c>
      <c r="B2089" s="26">
        <f>VLOOKUP(A2089,'Database Claims'!$A:$C,3,)</f>
        <v>318000</v>
      </c>
      <c r="C2089" s="30">
        <f t="shared" si="64"/>
        <v>7000</v>
      </c>
      <c r="D2089" s="26">
        <f>VLOOKUP(A2089,'Database Claims'!$A:$C,2,)</f>
        <v>2513000</v>
      </c>
      <c r="E2089" s="30">
        <f t="shared" si="65"/>
        <v>-4000</v>
      </c>
    </row>
    <row r="2090" spans="1:5" x14ac:dyDescent="0.2">
      <c r="A2090" s="29">
        <v>39074</v>
      </c>
      <c r="B2090" s="30">
        <f>VLOOKUP(A2090,'Database Claims'!$A:$C,3,)</f>
        <v>323000</v>
      </c>
      <c r="C2090" s="30">
        <f t="shared" si="64"/>
        <v>5000</v>
      </c>
      <c r="D2090" s="30">
        <f>VLOOKUP(A2090,'Database Claims'!$A:$C,2,)</f>
        <v>2449000</v>
      </c>
      <c r="E2090" s="30">
        <f t="shared" si="65"/>
        <v>-64000</v>
      </c>
    </row>
    <row r="2091" spans="1:5" x14ac:dyDescent="0.2">
      <c r="A2091" s="29">
        <v>39081</v>
      </c>
      <c r="B2091" s="26">
        <f>VLOOKUP(A2091,'Database Claims'!$A:$C,3,)</f>
        <v>341000</v>
      </c>
      <c r="C2091" s="30">
        <f t="shared" si="64"/>
        <v>18000</v>
      </c>
      <c r="D2091" s="26">
        <f>VLOOKUP(A2091,'Database Claims'!$A:$C,2,)</f>
        <v>2455000</v>
      </c>
      <c r="E2091" s="30">
        <f t="shared" si="65"/>
        <v>6000</v>
      </c>
    </row>
    <row r="2092" spans="1:5" x14ac:dyDescent="0.2">
      <c r="A2092" s="29">
        <v>39088</v>
      </c>
      <c r="B2092" s="30">
        <f>VLOOKUP(A2092,'Database Claims'!$A:$C,3,)</f>
        <v>330000</v>
      </c>
      <c r="C2092" s="30">
        <f t="shared" si="64"/>
        <v>-11000</v>
      </c>
      <c r="D2092" s="30">
        <f>VLOOKUP(A2092,'Database Claims'!$A:$C,2,)</f>
        <v>2518000</v>
      </c>
      <c r="E2092" s="30">
        <f t="shared" si="65"/>
        <v>63000</v>
      </c>
    </row>
    <row r="2093" spans="1:5" x14ac:dyDescent="0.2">
      <c r="A2093" s="29">
        <v>39095</v>
      </c>
      <c r="B2093" s="26">
        <f>VLOOKUP(A2093,'Database Claims'!$A:$C,3,)</f>
        <v>296000</v>
      </c>
      <c r="C2093" s="30">
        <f t="shared" si="64"/>
        <v>-34000</v>
      </c>
      <c r="D2093" s="26">
        <f>VLOOKUP(A2093,'Database Claims'!$A:$C,2,)</f>
        <v>2507000</v>
      </c>
      <c r="E2093" s="30">
        <f t="shared" si="65"/>
        <v>-11000</v>
      </c>
    </row>
    <row r="2094" spans="1:5" x14ac:dyDescent="0.2">
      <c r="A2094" s="29">
        <v>39102</v>
      </c>
      <c r="B2094" s="30">
        <f>VLOOKUP(A2094,'Database Claims'!$A:$C,3,)</f>
        <v>335000</v>
      </c>
      <c r="C2094" s="30">
        <f t="shared" si="64"/>
        <v>39000</v>
      </c>
      <c r="D2094" s="30">
        <f>VLOOKUP(A2094,'Database Claims'!$A:$C,2,)</f>
        <v>2552000</v>
      </c>
      <c r="E2094" s="30">
        <f t="shared" si="65"/>
        <v>45000</v>
      </c>
    </row>
    <row r="2095" spans="1:5" x14ac:dyDescent="0.2">
      <c r="A2095" s="29">
        <v>39109</v>
      </c>
      <c r="B2095" s="26">
        <f>VLOOKUP(A2095,'Database Claims'!$A:$C,3,)</f>
        <v>308000</v>
      </c>
      <c r="C2095" s="30">
        <f t="shared" si="64"/>
        <v>-27000</v>
      </c>
      <c r="D2095" s="26">
        <f>VLOOKUP(A2095,'Database Claims'!$A:$C,2,)</f>
        <v>2520000</v>
      </c>
      <c r="E2095" s="30">
        <f t="shared" si="65"/>
        <v>-32000</v>
      </c>
    </row>
    <row r="2096" spans="1:5" x14ac:dyDescent="0.2">
      <c r="A2096" s="29">
        <v>39116</v>
      </c>
      <c r="B2096" s="30">
        <f>VLOOKUP(A2096,'Database Claims'!$A:$C,3,)</f>
        <v>310000</v>
      </c>
      <c r="C2096" s="30">
        <f t="shared" si="64"/>
        <v>2000</v>
      </c>
      <c r="D2096" s="30">
        <f>VLOOKUP(A2096,'Database Claims'!$A:$C,2,)</f>
        <v>2575000</v>
      </c>
      <c r="E2096" s="30">
        <f t="shared" si="65"/>
        <v>55000</v>
      </c>
    </row>
    <row r="2097" spans="1:5" x14ac:dyDescent="0.2">
      <c r="A2097" s="29">
        <v>39123</v>
      </c>
      <c r="B2097" s="26">
        <f>VLOOKUP(A2097,'Database Claims'!$A:$C,3,)</f>
        <v>338000</v>
      </c>
      <c r="C2097" s="30">
        <f t="shared" si="64"/>
        <v>28000</v>
      </c>
      <c r="D2097" s="26">
        <f>VLOOKUP(A2097,'Database Claims'!$A:$C,2,)</f>
        <v>2527000</v>
      </c>
      <c r="E2097" s="30">
        <f t="shared" si="65"/>
        <v>-48000</v>
      </c>
    </row>
    <row r="2098" spans="1:5" x14ac:dyDescent="0.2">
      <c r="A2098" s="29">
        <v>39130</v>
      </c>
      <c r="B2098" s="30">
        <f>VLOOKUP(A2098,'Database Claims'!$A:$C,3,)</f>
        <v>321000</v>
      </c>
      <c r="C2098" s="30">
        <f t="shared" si="64"/>
        <v>-17000</v>
      </c>
      <c r="D2098" s="30">
        <f>VLOOKUP(A2098,'Database Claims'!$A:$C,2,)</f>
        <v>2626000</v>
      </c>
      <c r="E2098" s="30">
        <f t="shared" si="65"/>
        <v>99000</v>
      </c>
    </row>
    <row r="2099" spans="1:5" x14ac:dyDescent="0.2">
      <c r="A2099" s="29">
        <v>39137</v>
      </c>
      <c r="B2099" s="26">
        <f>VLOOKUP(A2099,'Database Claims'!$A:$C,3,)</f>
        <v>322000</v>
      </c>
      <c r="C2099" s="30">
        <f t="shared" si="64"/>
        <v>1000</v>
      </c>
      <c r="D2099" s="26">
        <f>VLOOKUP(A2099,'Database Claims'!$A:$C,2,)</f>
        <v>2549000</v>
      </c>
      <c r="E2099" s="30">
        <f t="shared" si="65"/>
        <v>-77000</v>
      </c>
    </row>
    <row r="2100" spans="1:5" x14ac:dyDescent="0.2">
      <c r="A2100" s="29">
        <v>39144</v>
      </c>
      <c r="B2100" s="30">
        <f>VLOOKUP(A2100,'Database Claims'!$A:$C,3,)</f>
        <v>320000</v>
      </c>
      <c r="C2100" s="30">
        <f t="shared" si="64"/>
        <v>-2000</v>
      </c>
      <c r="D2100" s="30">
        <f>VLOOKUP(A2100,'Database Claims'!$A:$C,2,)</f>
        <v>2581000</v>
      </c>
      <c r="E2100" s="30">
        <f t="shared" si="65"/>
        <v>32000</v>
      </c>
    </row>
    <row r="2101" spans="1:5" x14ac:dyDescent="0.2">
      <c r="A2101" s="29">
        <v>39151</v>
      </c>
      <c r="B2101" s="26">
        <f>VLOOKUP(A2101,'Database Claims'!$A:$C,3,)</f>
        <v>308000</v>
      </c>
      <c r="C2101" s="30">
        <f t="shared" si="64"/>
        <v>-12000</v>
      </c>
      <c r="D2101" s="26">
        <f>VLOOKUP(A2101,'Database Claims'!$A:$C,2,)</f>
        <v>2511000</v>
      </c>
      <c r="E2101" s="30">
        <f t="shared" si="65"/>
        <v>-70000</v>
      </c>
    </row>
    <row r="2102" spans="1:5" x14ac:dyDescent="0.2">
      <c r="A2102" s="29">
        <v>39158</v>
      </c>
      <c r="B2102" s="30">
        <f>VLOOKUP(A2102,'Database Claims'!$A:$C,3,)</f>
        <v>309000</v>
      </c>
      <c r="C2102" s="30">
        <f t="shared" si="64"/>
        <v>1000</v>
      </c>
      <c r="D2102" s="30">
        <f>VLOOKUP(A2102,'Database Claims'!$A:$C,2,)</f>
        <v>2515000</v>
      </c>
      <c r="E2102" s="30">
        <f t="shared" si="65"/>
        <v>4000</v>
      </c>
    </row>
    <row r="2103" spans="1:5" x14ac:dyDescent="0.2">
      <c r="A2103" s="29">
        <v>39165</v>
      </c>
      <c r="B2103" s="26">
        <f>VLOOKUP(A2103,'Database Claims'!$A:$C,3,)</f>
        <v>303000</v>
      </c>
      <c r="C2103" s="30">
        <f t="shared" si="64"/>
        <v>-6000</v>
      </c>
      <c r="D2103" s="26">
        <f>VLOOKUP(A2103,'Database Claims'!$A:$C,2,)</f>
        <v>2489000</v>
      </c>
      <c r="E2103" s="30">
        <f t="shared" si="65"/>
        <v>-26000</v>
      </c>
    </row>
    <row r="2104" spans="1:5" x14ac:dyDescent="0.2">
      <c r="A2104" s="29">
        <v>39172</v>
      </c>
      <c r="B2104" s="30">
        <f>VLOOKUP(A2104,'Database Claims'!$A:$C,3,)</f>
        <v>307000</v>
      </c>
      <c r="C2104" s="30">
        <f t="shared" si="64"/>
        <v>4000</v>
      </c>
      <c r="D2104" s="30">
        <f>VLOOKUP(A2104,'Database Claims'!$A:$C,2,)</f>
        <v>2499000</v>
      </c>
      <c r="E2104" s="30">
        <f t="shared" si="65"/>
        <v>10000</v>
      </c>
    </row>
    <row r="2105" spans="1:5" x14ac:dyDescent="0.2">
      <c r="A2105" s="29">
        <v>39179</v>
      </c>
      <c r="B2105" s="26">
        <f>VLOOKUP(A2105,'Database Claims'!$A:$C,3,)</f>
        <v>332000</v>
      </c>
      <c r="C2105" s="30">
        <f t="shared" si="64"/>
        <v>25000</v>
      </c>
      <c r="D2105" s="26">
        <f>VLOOKUP(A2105,'Database Claims'!$A:$C,2,)</f>
        <v>2497000</v>
      </c>
      <c r="E2105" s="30">
        <f t="shared" si="65"/>
        <v>-2000</v>
      </c>
    </row>
    <row r="2106" spans="1:5" x14ac:dyDescent="0.2">
      <c r="A2106" s="29">
        <v>39186</v>
      </c>
      <c r="B2106" s="30">
        <f>VLOOKUP(A2106,'Database Claims'!$A:$C,3,)</f>
        <v>327000</v>
      </c>
      <c r="C2106" s="30">
        <f t="shared" si="64"/>
        <v>-5000</v>
      </c>
      <c r="D2106" s="30">
        <f>VLOOKUP(A2106,'Database Claims'!$A:$C,2,)</f>
        <v>2538000</v>
      </c>
      <c r="E2106" s="30">
        <f t="shared" si="65"/>
        <v>41000</v>
      </c>
    </row>
    <row r="2107" spans="1:5" x14ac:dyDescent="0.2">
      <c r="A2107" s="29">
        <v>39193</v>
      </c>
      <c r="B2107" s="26">
        <f>VLOOKUP(A2107,'Database Claims'!$A:$C,3,)</f>
        <v>321000</v>
      </c>
      <c r="C2107" s="30">
        <f t="shared" si="64"/>
        <v>-6000</v>
      </c>
      <c r="D2107" s="26">
        <f>VLOOKUP(A2107,'Database Claims'!$A:$C,2,)</f>
        <v>2463000</v>
      </c>
      <c r="E2107" s="30">
        <f t="shared" si="65"/>
        <v>-75000</v>
      </c>
    </row>
    <row r="2108" spans="1:5" x14ac:dyDescent="0.2">
      <c r="A2108" s="29">
        <v>39200</v>
      </c>
      <c r="B2108" s="30">
        <f>VLOOKUP(A2108,'Database Claims'!$A:$C,3,)</f>
        <v>301000</v>
      </c>
      <c r="C2108" s="30">
        <f t="shared" si="64"/>
        <v>-20000</v>
      </c>
      <c r="D2108" s="30">
        <f>VLOOKUP(A2108,'Database Claims'!$A:$C,2,)</f>
        <v>2486000</v>
      </c>
      <c r="E2108" s="30">
        <f t="shared" si="65"/>
        <v>23000</v>
      </c>
    </row>
    <row r="2109" spans="1:5" x14ac:dyDescent="0.2">
      <c r="A2109" s="29">
        <v>39207</v>
      </c>
      <c r="B2109" s="26">
        <f>VLOOKUP(A2109,'Database Claims'!$A:$C,3,)</f>
        <v>300000</v>
      </c>
      <c r="C2109" s="30">
        <f t="shared" si="64"/>
        <v>-1000</v>
      </c>
      <c r="D2109" s="26">
        <f>VLOOKUP(A2109,'Database Claims'!$A:$C,2,)</f>
        <v>2429000</v>
      </c>
      <c r="E2109" s="30">
        <f t="shared" si="65"/>
        <v>-57000</v>
      </c>
    </row>
    <row r="2110" spans="1:5" x14ac:dyDescent="0.2">
      <c r="A2110" s="29">
        <v>39214</v>
      </c>
      <c r="B2110" s="30">
        <f>VLOOKUP(A2110,'Database Claims'!$A:$C,3,)</f>
        <v>297000</v>
      </c>
      <c r="C2110" s="30">
        <f t="shared" si="64"/>
        <v>-3000</v>
      </c>
      <c r="D2110" s="30">
        <f>VLOOKUP(A2110,'Database Claims'!$A:$C,2,)</f>
        <v>2465000</v>
      </c>
      <c r="E2110" s="30">
        <f t="shared" si="65"/>
        <v>36000</v>
      </c>
    </row>
    <row r="2111" spans="1:5" x14ac:dyDescent="0.2">
      <c r="A2111" s="29">
        <v>39221</v>
      </c>
      <c r="B2111" s="26">
        <f>VLOOKUP(A2111,'Database Claims'!$A:$C,3,)</f>
        <v>310000</v>
      </c>
      <c r="C2111" s="30">
        <f t="shared" si="64"/>
        <v>13000</v>
      </c>
      <c r="D2111" s="26">
        <f>VLOOKUP(A2111,'Database Claims'!$A:$C,2,)</f>
        <v>2417000</v>
      </c>
      <c r="E2111" s="30">
        <f t="shared" si="65"/>
        <v>-48000</v>
      </c>
    </row>
    <row r="2112" spans="1:5" x14ac:dyDescent="0.2">
      <c r="A2112" s="29">
        <v>39228</v>
      </c>
      <c r="B2112" s="30">
        <f>VLOOKUP(A2112,'Database Claims'!$A:$C,3,)</f>
        <v>310000</v>
      </c>
      <c r="C2112" s="30">
        <f t="shared" si="64"/>
        <v>0</v>
      </c>
      <c r="D2112" s="30">
        <f>VLOOKUP(A2112,'Database Claims'!$A:$C,2,)</f>
        <v>2480000</v>
      </c>
      <c r="E2112" s="30">
        <f t="shared" si="65"/>
        <v>63000</v>
      </c>
    </row>
    <row r="2113" spans="1:5" x14ac:dyDescent="0.2">
      <c r="A2113" s="29">
        <v>39235</v>
      </c>
      <c r="B2113" s="26">
        <f>VLOOKUP(A2113,'Database Claims'!$A:$C,3,)</f>
        <v>313000</v>
      </c>
      <c r="C2113" s="30">
        <f t="shared" si="64"/>
        <v>3000</v>
      </c>
      <c r="D2113" s="26">
        <f>VLOOKUP(A2113,'Database Claims'!$A:$C,2,)</f>
        <v>2452000</v>
      </c>
      <c r="E2113" s="30">
        <f t="shared" si="65"/>
        <v>-28000</v>
      </c>
    </row>
    <row r="2114" spans="1:5" x14ac:dyDescent="0.2">
      <c r="A2114" s="29">
        <v>39242</v>
      </c>
      <c r="B2114" s="30">
        <f>VLOOKUP(A2114,'Database Claims'!$A:$C,3,)</f>
        <v>313000</v>
      </c>
      <c r="C2114" s="30">
        <f t="shared" si="64"/>
        <v>0</v>
      </c>
      <c r="D2114" s="30">
        <f>VLOOKUP(A2114,'Database Claims'!$A:$C,2,)</f>
        <v>2484000</v>
      </c>
      <c r="E2114" s="30">
        <f t="shared" si="65"/>
        <v>32000</v>
      </c>
    </row>
    <row r="2115" spans="1:5" x14ac:dyDescent="0.2">
      <c r="A2115" s="29">
        <v>39249</v>
      </c>
      <c r="B2115" s="26">
        <f>VLOOKUP(A2115,'Database Claims'!$A:$C,3,)</f>
        <v>320000</v>
      </c>
      <c r="C2115" s="30">
        <f t="shared" si="64"/>
        <v>7000</v>
      </c>
      <c r="D2115" s="26">
        <f>VLOOKUP(A2115,'Database Claims'!$A:$C,2,)</f>
        <v>2453000</v>
      </c>
      <c r="E2115" s="30">
        <f t="shared" si="65"/>
        <v>-31000</v>
      </c>
    </row>
    <row r="2116" spans="1:5" x14ac:dyDescent="0.2">
      <c r="A2116" s="29">
        <v>39256</v>
      </c>
      <c r="B2116" s="30">
        <f>VLOOKUP(A2116,'Database Claims'!$A:$C,3,)</f>
        <v>313000</v>
      </c>
      <c r="C2116" s="30">
        <f t="shared" si="64"/>
        <v>-7000</v>
      </c>
      <c r="D2116" s="30">
        <f>VLOOKUP(A2116,'Database Claims'!$A:$C,2,)</f>
        <v>2520000</v>
      </c>
      <c r="E2116" s="30">
        <f t="shared" si="65"/>
        <v>67000</v>
      </c>
    </row>
    <row r="2117" spans="1:5" x14ac:dyDescent="0.2">
      <c r="A2117" s="29">
        <v>39263</v>
      </c>
      <c r="B2117" s="26">
        <f>VLOOKUP(A2117,'Database Claims'!$A:$C,3,)</f>
        <v>317000</v>
      </c>
      <c r="C2117" s="30">
        <f t="shared" si="64"/>
        <v>4000</v>
      </c>
      <c r="D2117" s="26">
        <f>VLOOKUP(A2117,'Database Claims'!$A:$C,2,)</f>
        <v>2501000</v>
      </c>
      <c r="E2117" s="30">
        <f t="shared" si="65"/>
        <v>-19000</v>
      </c>
    </row>
    <row r="2118" spans="1:5" x14ac:dyDescent="0.2">
      <c r="A2118" s="29">
        <v>39270</v>
      </c>
      <c r="B2118" s="30">
        <f>VLOOKUP(A2118,'Database Claims'!$A:$C,3,)</f>
        <v>321000</v>
      </c>
      <c r="C2118" s="30">
        <f t="shared" ref="C2118:C2181" si="66">B2118-B2117</f>
        <v>4000</v>
      </c>
      <c r="D2118" s="30">
        <f>VLOOKUP(A2118,'Database Claims'!$A:$C,2,)</f>
        <v>2563000</v>
      </c>
      <c r="E2118" s="30">
        <f t="shared" ref="E2118:E2181" si="67">D2118-D2117</f>
        <v>62000</v>
      </c>
    </row>
    <row r="2119" spans="1:5" x14ac:dyDescent="0.2">
      <c r="A2119" s="29">
        <v>39277</v>
      </c>
      <c r="B2119" s="26">
        <f>VLOOKUP(A2119,'Database Claims'!$A:$C,3,)</f>
        <v>317000</v>
      </c>
      <c r="C2119" s="30">
        <f t="shared" si="66"/>
        <v>-4000</v>
      </c>
      <c r="D2119" s="26">
        <f>VLOOKUP(A2119,'Database Claims'!$A:$C,2,)</f>
        <v>2555000</v>
      </c>
      <c r="E2119" s="30">
        <f t="shared" si="67"/>
        <v>-8000</v>
      </c>
    </row>
    <row r="2120" spans="1:5" x14ac:dyDescent="0.2">
      <c r="A2120" s="29">
        <v>39284</v>
      </c>
      <c r="B2120" s="30">
        <f>VLOOKUP(A2120,'Database Claims'!$A:$C,3,)</f>
        <v>310000</v>
      </c>
      <c r="C2120" s="30">
        <f t="shared" si="66"/>
        <v>-7000</v>
      </c>
      <c r="D2120" s="30">
        <f>VLOOKUP(A2120,'Database Claims'!$A:$C,2,)</f>
        <v>2514000</v>
      </c>
      <c r="E2120" s="30">
        <f t="shared" si="67"/>
        <v>-41000</v>
      </c>
    </row>
    <row r="2121" spans="1:5" x14ac:dyDescent="0.2">
      <c r="A2121" s="29">
        <v>39291</v>
      </c>
      <c r="B2121" s="26">
        <f>VLOOKUP(A2121,'Database Claims'!$A:$C,3,)</f>
        <v>305000</v>
      </c>
      <c r="C2121" s="30">
        <f t="shared" si="66"/>
        <v>-5000</v>
      </c>
      <c r="D2121" s="26">
        <f>VLOOKUP(A2121,'Database Claims'!$A:$C,2,)</f>
        <v>2537000</v>
      </c>
      <c r="E2121" s="30">
        <f t="shared" si="67"/>
        <v>23000</v>
      </c>
    </row>
    <row r="2122" spans="1:5" x14ac:dyDescent="0.2">
      <c r="A2122" s="29">
        <v>39298</v>
      </c>
      <c r="B2122" s="30">
        <f>VLOOKUP(A2122,'Database Claims'!$A:$C,3,)</f>
        <v>314000</v>
      </c>
      <c r="C2122" s="30">
        <f t="shared" si="66"/>
        <v>9000</v>
      </c>
      <c r="D2122" s="30">
        <f>VLOOKUP(A2122,'Database Claims'!$A:$C,2,)</f>
        <v>2531000</v>
      </c>
      <c r="E2122" s="30">
        <f t="shared" si="67"/>
        <v>-6000</v>
      </c>
    </row>
    <row r="2123" spans="1:5" x14ac:dyDescent="0.2">
      <c r="A2123" s="29">
        <v>39305</v>
      </c>
      <c r="B2123" s="26">
        <f>VLOOKUP(A2123,'Database Claims'!$A:$C,3,)</f>
        <v>316000</v>
      </c>
      <c r="C2123" s="30">
        <f t="shared" si="66"/>
        <v>2000</v>
      </c>
      <c r="D2123" s="26">
        <f>VLOOKUP(A2123,'Database Claims'!$A:$C,2,)</f>
        <v>2556000</v>
      </c>
      <c r="E2123" s="30">
        <f t="shared" si="67"/>
        <v>25000</v>
      </c>
    </row>
    <row r="2124" spans="1:5" x14ac:dyDescent="0.2">
      <c r="A2124" s="29">
        <v>39312</v>
      </c>
      <c r="B2124" s="30">
        <f>VLOOKUP(A2124,'Database Claims'!$A:$C,3,)</f>
        <v>321000</v>
      </c>
      <c r="C2124" s="30">
        <f t="shared" si="66"/>
        <v>5000</v>
      </c>
      <c r="D2124" s="30">
        <f>VLOOKUP(A2124,'Database Claims'!$A:$C,2,)</f>
        <v>2556000</v>
      </c>
      <c r="E2124" s="30">
        <f t="shared" si="67"/>
        <v>0</v>
      </c>
    </row>
    <row r="2125" spans="1:5" x14ac:dyDescent="0.2">
      <c r="A2125" s="29">
        <v>39319</v>
      </c>
      <c r="B2125" s="26">
        <f>VLOOKUP(A2125,'Database Claims'!$A:$C,3,)</f>
        <v>329000</v>
      </c>
      <c r="C2125" s="30">
        <f t="shared" si="66"/>
        <v>8000</v>
      </c>
      <c r="D2125" s="26">
        <f>VLOOKUP(A2125,'Database Claims'!$A:$C,2,)</f>
        <v>2569000</v>
      </c>
      <c r="E2125" s="30">
        <f t="shared" si="67"/>
        <v>13000</v>
      </c>
    </row>
    <row r="2126" spans="1:5" x14ac:dyDescent="0.2">
      <c r="A2126" s="29">
        <v>39326</v>
      </c>
      <c r="B2126" s="30">
        <f>VLOOKUP(A2126,'Database Claims'!$A:$C,3,)</f>
        <v>314000</v>
      </c>
      <c r="C2126" s="30">
        <f t="shared" si="66"/>
        <v>-15000</v>
      </c>
      <c r="D2126" s="30">
        <f>VLOOKUP(A2126,'Database Claims'!$A:$C,2,)</f>
        <v>2565000</v>
      </c>
      <c r="E2126" s="30">
        <f t="shared" si="67"/>
        <v>-4000</v>
      </c>
    </row>
    <row r="2127" spans="1:5" x14ac:dyDescent="0.2">
      <c r="A2127" s="29">
        <v>39333</v>
      </c>
      <c r="B2127" s="26">
        <f>VLOOKUP(A2127,'Database Claims'!$A:$C,3,)</f>
        <v>321000</v>
      </c>
      <c r="C2127" s="30">
        <f t="shared" si="66"/>
        <v>7000</v>
      </c>
      <c r="D2127" s="26">
        <f>VLOOKUP(A2127,'Database Claims'!$A:$C,2,)</f>
        <v>2537000</v>
      </c>
      <c r="E2127" s="30">
        <f t="shared" si="67"/>
        <v>-28000</v>
      </c>
    </row>
    <row r="2128" spans="1:5" x14ac:dyDescent="0.2">
      <c r="A2128" s="29">
        <v>39340</v>
      </c>
      <c r="B2128" s="30">
        <f>VLOOKUP(A2128,'Database Claims'!$A:$C,3,)</f>
        <v>313000</v>
      </c>
      <c r="C2128" s="30">
        <f t="shared" si="66"/>
        <v>-8000</v>
      </c>
      <c r="D2128" s="30">
        <f>VLOOKUP(A2128,'Database Claims'!$A:$C,2,)</f>
        <v>2536000</v>
      </c>
      <c r="E2128" s="30">
        <f t="shared" si="67"/>
        <v>-1000</v>
      </c>
    </row>
    <row r="2129" spans="1:5" x14ac:dyDescent="0.2">
      <c r="A2129" s="29">
        <v>39347</v>
      </c>
      <c r="B2129" s="26">
        <f>VLOOKUP(A2129,'Database Claims'!$A:$C,3,)</f>
        <v>302000</v>
      </c>
      <c r="C2129" s="30">
        <f t="shared" si="66"/>
        <v>-11000</v>
      </c>
      <c r="D2129" s="26">
        <f>VLOOKUP(A2129,'Database Claims'!$A:$C,2,)</f>
        <v>2530000</v>
      </c>
      <c r="E2129" s="30">
        <f t="shared" si="67"/>
        <v>-6000</v>
      </c>
    </row>
    <row r="2130" spans="1:5" x14ac:dyDescent="0.2">
      <c r="A2130" s="29">
        <v>39354</v>
      </c>
      <c r="B2130" s="30">
        <f>VLOOKUP(A2130,'Database Claims'!$A:$C,3,)</f>
        <v>317000</v>
      </c>
      <c r="C2130" s="30">
        <f t="shared" si="66"/>
        <v>15000</v>
      </c>
      <c r="D2130" s="30">
        <f>VLOOKUP(A2130,'Database Claims'!$A:$C,2,)</f>
        <v>2518000</v>
      </c>
      <c r="E2130" s="30">
        <f t="shared" si="67"/>
        <v>-12000</v>
      </c>
    </row>
    <row r="2131" spans="1:5" x14ac:dyDescent="0.2">
      <c r="A2131" s="29">
        <v>39361</v>
      </c>
      <c r="B2131" s="26">
        <f>VLOOKUP(A2131,'Database Claims'!$A:$C,3,)</f>
        <v>316000</v>
      </c>
      <c r="C2131" s="30">
        <f t="shared" si="66"/>
        <v>-1000</v>
      </c>
      <c r="D2131" s="26">
        <f>VLOOKUP(A2131,'Database Claims'!$A:$C,2,)</f>
        <v>2521000</v>
      </c>
      <c r="E2131" s="30">
        <f t="shared" si="67"/>
        <v>3000</v>
      </c>
    </row>
    <row r="2132" spans="1:5" x14ac:dyDescent="0.2">
      <c r="A2132" s="29">
        <v>39368</v>
      </c>
      <c r="B2132" s="30">
        <f>VLOOKUP(A2132,'Database Claims'!$A:$C,3,)</f>
        <v>335000</v>
      </c>
      <c r="C2132" s="30">
        <f t="shared" si="66"/>
        <v>19000</v>
      </c>
      <c r="D2132" s="30">
        <f>VLOOKUP(A2132,'Database Claims'!$A:$C,2,)</f>
        <v>2541000</v>
      </c>
      <c r="E2132" s="30">
        <f t="shared" si="67"/>
        <v>20000</v>
      </c>
    </row>
    <row r="2133" spans="1:5" x14ac:dyDescent="0.2">
      <c r="A2133" s="29">
        <v>39375</v>
      </c>
      <c r="B2133" s="26">
        <f>VLOOKUP(A2133,'Database Claims'!$A:$C,3,)</f>
        <v>334000</v>
      </c>
      <c r="C2133" s="30">
        <f t="shared" si="66"/>
        <v>-1000</v>
      </c>
      <c r="D2133" s="26">
        <f>VLOOKUP(A2133,'Database Claims'!$A:$C,2,)</f>
        <v>2598000</v>
      </c>
      <c r="E2133" s="30">
        <f t="shared" si="67"/>
        <v>57000</v>
      </c>
    </row>
    <row r="2134" spans="1:5" x14ac:dyDescent="0.2">
      <c r="A2134" s="29">
        <v>39382</v>
      </c>
      <c r="B2134" s="30">
        <f>VLOOKUP(A2134,'Database Claims'!$A:$C,3,)</f>
        <v>328000</v>
      </c>
      <c r="C2134" s="30">
        <f t="shared" si="66"/>
        <v>-6000</v>
      </c>
      <c r="D2134" s="30">
        <f>VLOOKUP(A2134,'Database Claims'!$A:$C,2,)</f>
        <v>2587000</v>
      </c>
      <c r="E2134" s="30">
        <f t="shared" si="67"/>
        <v>-11000</v>
      </c>
    </row>
    <row r="2135" spans="1:5" x14ac:dyDescent="0.2">
      <c r="A2135" s="29">
        <v>39389</v>
      </c>
      <c r="B2135" s="26">
        <f>VLOOKUP(A2135,'Database Claims'!$A:$C,3,)</f>
        <v>327000</v>
      </c>
      <c r="C2135" s="30">
        <f t="shared" si="66"/>
        <v>-1000</v>
      </c>
      <c r="D2135" s="26">
        <f>VLOOKUP(A2135,'Database Claims'!$A:$C,2,)</f>
        <v>2617000</v>
      </c>
      <c r="E2135" s="30">
        <f t="shared" si="67"/>
        <v>30000</v>
      </c>
    </row>
    <row r="2136" spans="1:5" x14ac:dyDescent="0.2">
      <c r="A2136" s="29">
        <v>39396</v>
      </c>
      <c r="B2136" s="30">
        <f>VLOOKUP(A2136,'Database Claims'!$A:$C,3,)</f>
        <v>333000</v>
      </c>
      <c r="C2136" s="30">
        <f t="shared" si="66"/>
        <v>6000</v>
      </c>
      <c r="D2136" s="30">
        <f>VLOOKUP(A2136,'Database Claims'!$A:$C,2,)</f>
        <v>2607000</v>
      </c>
      <c r="E2136" s="30">
        <f t="shared" si="67"/>
        <v>-10000</v>
      </c>
    </row>
    <row r="2137" spans="1:5" x14ac:dyDescent="0.2">
      <c r="A2137" s="29">
        <v>39403</v>
      </c>
      <c r="B2137" s="26">
        <f>VLOOKUP(A2137,'Database Claims'!$A:$C,3,)</f>
        <v>332000</v>
      </c>
      <c r="C2137" s="30">
        <f t="shared" si="66"/>
        <v>-1000</v>
      </c>
      <c r="D2137" s="26">
        <f>VLOOKUP(A2137,'Database Claims'!$A:$C,2,)</f>
        <v>2609000</v>
      </c>
      <c r="E2137" s="30">
        <f t="shared" si="67"/>
        <v>2000</v>
      </c>
    </row>
    <row r="2138" spans="1:5" x14ac:dyDescent="0.2">
      <c r="A2138" s="29">
        <v>39410</v>
      </c>
      <c r="B2138" s="30">
        <f>VLOOKUP(A2138,'Database Claims'!$A:$C,3,)</f>
        <v>352000</v>
      </c>
      <c r="C2138" s="30">
        <f t="shared" si="66"/>
        <v>20000</v>
      </c>
      <c r="D2138" s="30">
        <f>VLOOKUP(A2138,'Database Claims'!$A:$C,2,)</f>
        <v>2634000</v>
      </c>
      <c r="E2138" s="30">
        <f t="shared" si="67"/>
        <v>25000</v>
      </c>
    </row>
    <row r="2139" spans="1:5" x14ac:dyDescent="0.2">
      <c r="A2139" s="29">
        <v>39417</v>
      </c>
      <c r="B2139" s="26">
        <f>VLOOKUP(A2139,'Database Claims'!$A:$C,3,)</f>
        <v>344000</v>
      </c>
      <c r="C2139" s="30">
        <f t="shared" si="66"/>
        <v>-8000</v>
      </c>
      <c r="D2139" s="26">
        <f>VLOOKUP(A2139,'Database Claims'!$A:$C,2,)</f>
        <v>2639000</v>
      </c>
      <c r="E2139" s="30">
        <f t="shared" si="67"/>
        <v>5000</v>
      </c>
    </row>
    <row r="2140" spans="1:5" x14ac:dyDescent="0.2">
      <c r="A2140" s="29">
        <v>39424</v>
      </c>
      <c r="B2140" s="30">
        <f>VLOOKUP(A2140,'Database Claims'!$A:$C,3,)</f>
        <v>332000</v>
      </c>
      <c r="C2140" s="30">
        <f t="shared" si="66"/>
        <v>-12000</v>
      </c>
      <c r="D2140" s="30">
        <f>VLOOKUP(A2140,'Database Claims'!$A:$C,2,)</f>
        <v>2672000</v>
      </c>
      <c r="E2140" s="30">
        <f t="shared" si="67"/>
        <v>33000</v>
      </c>
    </row>
    <row r="2141" spans="1:5" x14ac:dyDescent="0.2">
      <c r="A2141" s="29">
        <v>39431</v>
      </c>
      <c r="B2141" s="26">
        <f>VLOOKUP(A2141,'Database Claims'!$A:$C,3,)</f>
        <v>350000</v>
      </c>
      <c r="C2141" s="30">
        <f t="shared" si="66"/>
        <v>18000</v>
      </c>
      <c r="D2141" s="26">
        <f>VLOOKUP(A2141,'Database Claims'!$A:$C,2,)</f>
        <v>2737000</v>
      </c>
      <c r="E2141" s="30">
        <f t="shared" si="67"/>
        <v>65000</v>
      </c>
    </row>
    <row r="2142" spans="1:5" x14ac:dyDescent="0.2">
      <c r="A2142" s="29">
        <v>39438</v>
      </c>
      <c r="B2142" s="30">
        <f>VLOOKUP(A2142,'Database Claims'!$A:$C,3,)</f>
        <v>355000</v>
      </c>
      <c r="C2142" s="30">
        <f t="shared" si="66"/>
        <v>5000</v>
      </c>
      <c r="D2142" s="30">
        <f>VLOOKUP(A2142,'Database Claims'!$A:$C,2,)</f>
        <v>2752000</v>
      </c>
      <c r="E2142" s="30">
        <f t="shared" si="67"/>
        <v>15000</v>
      </c>
    </row>
    <row r="2143" spans="1:5" x14ac:dyDescent="0.2">
      <c r="A2143" s="29">
        <v>39445</v>
      </c>
      <c r="B2143" s="26">
        <f>VLOOKUP(A2143,'Database Claims'!$A:$C,3,)</f>
        <v>360000</v>
      </c>
      <c r="C2143" s="30">
        <f t="shared" si="66"/>
        <v>5000</v>
      </c>
      <c r="D2143" s="26">
        <f>VLOOKUP(A2143,'Database Claims'!$A:$C,2,)</f>
        <v>2760000</v>
      </c>
      <c r="E2143" s="30">
        <f t="shared" si="67"/>
        <v>8000</v>
      </c>
    </row>
    <row r="2144" spans="1:5" x14ac:dyDescent="0.2">
      <c r="A2144" s="29">
        <v>39452</v>
      </c>
      <c r="B2144" s="30">
        <f>VLOOKUP(A2144,'Database Claims'!$A:$C,3,)</f>
        <v>346000</v>
      </c>
      <c r="C2144" s="30">
        <f t="shared" si="66"/>
        <v>-14000</v>
      </c>
      <c r="D2144" s="30">
        <f>VLOOKUP(A2144,'Database Claims'!$A:$C,2,)</f>
        <v>2828000</v>
      </c>
      <c r="E2144" s="30">
        <f t="shared" si="67"/>
        <v>68000</v>
      </c>
    </row>
    <row r="2145" spans="1:5" x14ac:dyDescent="0.2">
      <c r="A2145" s="29">
        <v>39459</v>
      </c>
      <c r="B2145" s="26">
        <f>VLOOKUP(A2145,'Database Claims'!$A:$C,3,)</f>
        <v>322000</v>
      </c>
      <c r="C2145" s="30">
        <f t="shared" si="66"/>
        <v>-24000</v>
      </c>
      <c r="D2145" s="26">
        <f>VLOOKUP(A2145,'Database Claims'!$A:$C,2,)</f>
        <v>2752000</v>
      </c>
      <c r="E2145" s="30">
        <f t="shared" si="67"/>
        <v>-76000</v>
      </c>
    </row>
    <row r="2146" spans="1:5" x14ac:dyDescent="0.2">
      <c r="A2146" s="29">
        <v>39466</v>
      </c>
      <c r="B2146" s="30">
        <f>VLOOKUP(A2146,'Database Claims'!$A:$C,3,)</f>
        <v>321000</v>
      </c>
      <c r="C2146" s="30">
        <f t="shared" si="66"/>
        <v>-1000</v>
      </c>
      <c r="D2146" s="30">
        <f>VLOOKUP(A2146,'Database Claims'!$A:$C,2,)</f>
        <v>2770000</v>
      </c>
      <c r="E2146" s="30">
        <f t="shared" si="67"/>
        <v>18000</v>
      </c>
    </row>
    <row r="2147" spans="1:5" x14ac:dyDescent="0.2">
      <c r="A2147" s="29">
        <v>39473</v>
      </c>
      <c r="B2147" s="26">
        <f>VLOOKUP(A2147,'Database Claims'!$A:$C,3,)</f>
        <v>366000</v>
      </c>
      <c r="C2147" s="30">
        <f t="shared" si="66"/>
        <v>45000</v>
      </c>
      <c r="D2147" s="26">
        <f>VLOOKUP(A2147,'Database Claims'!$A:$C,2,)</f>
        <v>2845000</v>
      </c>
      <c r="E2147" s="30">
        <f t="shared" si="67"/>
        <v>75000</v>
      </c>
    </row>
    <row r="2148" spans="1:5" x14ac:dyDescent="0.2">
      <c r="A2148" s="29">
        <v>39480</v>
      </c>
      <c r="B2148" s="30">
        <f>VLOOKUP(A2148,'Database Claims'!$A:$C,3,)</f>
        <v>350000</v>
      </c>
      <c r="C2148" s="30">
        <f t="shared" si="66"/>
        <v>-16000</v>
      </c>
      <c r="D2148" s="30">
        <f>VLOOKUP(A2148,'Database Claims'!$A:$C,2,)</f>
        <v>2810000</v>
      </c>
      <c r="E2148" s="30">
        <f t="shared" si="67"/>
        <v>-35000</v>
      </c>
    </row>
    <row r="2149" spans="1:5" x14ac:dyDescent="0.2">
      <c r="A2149" s="29">
        <v>39487</v>
      </c>
      <c r="B2149" s="26">
        <f>VLOOKUP(A2149,'Database Claims'!$A:$C,3,)</f>
        <v>344000</v>
      </c>
      <c r="C2149" s="30">
        <f t="shared" si="66"/>
        <v>-6000</v>
      </c>
      <c r="D2149" s="26">
        <f>VLOOKUP(A2149,'Database Claims'!$A:$C,2,)</f>
        <v>2846000</v>
      </c>
      <c r="E2149" s="30">
        <f t="shared" si="67"/>
        <v>36000</v>
      </c>
    </row>
    <row r="2150" spans="1:5" x14ac:dyDescent="0.2">
      <c r="A2150" s="29">
        <v>39494</v>
      </c>
      <c r="B2150" s="30">
        <f>VLOOKUP(A2150,'Database Claims'!$A:$C,3,)</f>
        <v>339000</v>
      </c>
      <c r="C2150" s="30">
        <f t="shared" si="66"/>
        <v>-5000</v>
      </c>
      <c r="D2150" s="30">
        <f>VLOOKUP(A2150,'Database Claims'!$A:$C,2,)</f>
        <v>2837000</v>
      </c>
      <c r="E2150" s="30">
        <f t="shared" si="67"/>
        <v>-9000</v>
      </c>
    </row>
    <row r="2151" spans="1:5" x14ac:dyDescent="0.2">
      <c r="A2151" s="29">
        <v>39501</v>
      </c>
      <c r="B2151" s="26">
        <f>VLOOKUP(A2151,'Database Claims'!$A:$C,3,)</f>
        <v>354000</v>
      </c>
      <c r="C2151" s="30">
        <f t="shared" si="66"/>
        <v>15000</v>
      </c>
      <c r="D2151" s="26">
        <f>VLOOKUP(A2151,'Database Claims'!$A:$C,2,)</f>
        <v>2884000</v>
      </c>
      <c r="E2151" s="30">
        <f t="shared" si="67"/>
        <v>47000</v>
      </c>
    </row>
    <row r="2152" spans="1:5" x14ac:dyDescent="0.2">
      <c r="A2152" s="29">
        <v>39508</v>
      </c>
      <c r="B2152" s="30">
        <f>VLOOKUP(A2152,'Database Claims'!$A:$C,3,)</f>
        <v>345000</v>
      </c>
      <c r="C2152" s="30">
        <f t="shared" si="66"/>
        <v>-9000</v>
      </c>
      <c r="D2152" s="30">
        <f>VLOOKUP(A2152,'Database Claims'!$A:$C,2,)</f>
        <v>2867000</v>
      </c>
      <c r="E2152" s="30">
        <f t="shared" si="67"/>
        <v>-17000</v>
      </c>
    </row>
    <row r="2153" spans="1:5" x14ac:dyDescent="0.2">
      <c r="A2153" s="29">
        <v>39515</v>
      </c>
      <c r="B2153" s="26">
        <f>VLOOKUP(A2153,'Database Claims'!$A:$C,3,)</f>
        <v>348000</v>
      </c>
      <c r="C2153" s="30">
        <f t="shared" si="66"/>
        <v>3000</v>
      </c>
      <c r="D2153" s="26">
        <f>VLOOKUP(A2153,'Database Claims'!$A:$C,2,)</f>
        <v>2895000</v>
      </c>
      <c r="E2153" s="30">
        <f t="shared" si="67"/>
        <v>28000</v>
      </c>
    </row>
    <row r="2154" spans="1:5" x14ac:dyDescent="0.2">
      <c r="A2154" s="29">
        <v>39522</v>
      </c>
      <c r="B2154" s="30">
        <f>VLOOKUP(A2154,'Database Claims'!$A:$C,3,)</f>
        <v>369000</v>
      </c>
      <c r="C2154" s="30">
        <f t="shared" si="66"/>
        <v>21000</v>
      </c>
      <c r="D2154" s="30">
        <f>VLOOKUP(A2154,'Database Claims'!$A:$C,2,)</f>
        <v>2897000</v>
      </c>
      <c r="E2154" s="30">
        <f t="shared" si="67"/>
        <v>2000</v>
      </c>
    </row>
    <row r="2155" spans="1:5" x14ac:dyDescent="0.2">
      <c r="A2155" s="29">
        <v>39529</v>
      </c>
      <c r="B2155" s="26">
        <f>VLOOKUP(A2155,'Database Claims'!$A:$C,3,)</f>
        <v>368000</v>
      </c>
      <c r="C2155" s="30">
        <f t="shared" si="66"/>
        <v>-1000</v>
      </c>
      <c r="D2155" s="26">
        <f>VLOOKUP(A2155,'Database Claims'!$A:$C,2,)</f>
        <v>2938000</v>
      </c>
      <c r="E2155" s="30">
        <f t="shared" si="67"/>
        <v>41000</v>
      </c>
    </row>
    <row r="2156" spans="1:5" x14ac:dyDescent="0.2">
      <c r="A2156" s="29">
        <v>39536</v>
      </c>
      <c r="B2156" s="30">
        <f>VLOOKUP(A2156,'Database Claims'!$A:$C,3,)</f>
        <v>387000</v>
      </c>
      <c r="C2156" s="30">
        <f t="shared" si="66"/>
        <v>19000</v>
      </c>
      <c r="D2156" s="30">
        <f>VLOOKUP(A2156,'Database Claims'!$A:$C,2,)</f>
        <v>2967000</v>
      </c>
      <c r="E2156" s="30">
        <f t="shared" si="67"/>
        <v>29000</v>
      </c>
    </row>
    <row r="2157" spans="1:5" x14ac:dyDescent="0.2">
      <c r="A2157" s="29">
        <v>39543</v>
      </c>
      <c r="B2157" s="26">
        <f>VLOOKUP(A2157,'Database Claims'!$A:$C,3,)</f>
        <v>354000</v>
      </c>
      <c r="C2157" s="30">
        <f t="shared" si="66"/>
        <v>-33000</v>
      </c>
      <c r="D2157" s="26">
        <f>VLOOKUP(A2157,'Database Claims'!$A:$C,2,)</f>
        <v>2969000</v>
      </c>
      <c r="E2157" s="30">
        <f t="shared" si="67"/>
        <v>2000</v>
      </c>
    </row>
    <row r="2158" spans="1:5" x14ac:dyDescent="0.2">
      <c r="A2158" s="29">
        <v>39550</v>
      </c>
      <c r="B2158" s="30">
        <f>VLOOKUP(A2158,'Database Claims'!$A:$C,3,)</f>
        <v>365000</v>
      </c>
      <c r="C2158" s="30">
        <f t="shared" si="66"/>
        <v>11000</v>
      </c>
      <c r="D2158" s="30">
        <f>VLOOKUP(A2158,'Database Claims'!$A:$C,2,)</f>
        <v>2937000</v>
      </c>
      <c r="E2158" s="30">
        <f t="shared" si="67"/>
        <v>-32000</v>
      </c>
    </row>
    <row r="2159" spans="1:5" x14ac:dyDescent="0.2">
      <c r="A2159" s="29">
        <v>39557</v>
      </c>
      <c r="B2159" s="26">
        <f>VLOOKUP(A2159,'Database Claims'!$A:$C,3,)</f>
        <v>349000</v>
      </c>
      <c r="C2159" s="30">
        <f t="shared" si="66"/>
        <v>-16000</v>
      </c>
      <c r="D2159" s="26">
        <f>VLOOKUP(A2159,'Database Claims'!$A:$C,2,)</f>
        <v>2964000</v>
      </c>
      <c r="E2159" s="30">
        <f t="shared" si="67"/>
        <v>27000</v>
      </c>
    </row>
    <row r="2160" spans="1:5" x14ac:dyDescent="0.2">
      <c r="A2160" s="29">
        <v>39564</v>
      </c>
      <c r="B2160" s="30">
        <f>VLOOKUP(A2160,'Database Claims'!$A:$C,3,)</f>
        <v>370000</v>
      </c>
      <c r="C2160" s="30">
        <f t="shared" si="66"/>
        <v>21000</v>
      </c>
      <c r="D2160" s="30">
        <f>VLOOKUP(A2160,'Database Claims'!$A:$C,2,)</f>
        <v>2986000</v>
      </c>
      <c r="E2160" s="30">
        <f t="shared" si="67"/>
        <v>22000</v>
      </c>
    </row>
    <row r="2161" spans="1:5" x14ac:dyDescent="0.2">
      <c r="A2161" s="29">
        <v>39571</v>
      </c>
      <c r="B2161" s="26">
        <f>VLOOKUP(A2161,'Database Claims'!$A:$C,3,)</f>
        <v>370000</v>
      </c>
      <c r="C2161" s="30">
        <f t="shared" si="66"/>
        <v>0</v>
      </c>
      <c r="D2161" s="26">
        <f>VLOOKUP(A2161,'Database Claims'!$A:$C,2,)</f>
        <v>2993000</v>
      </c>
      <c r="E2161" s="30">
        <f t="shared" si="67"/>
        <v>7000</v>
      </c>
    </row>
    <row r="2162" spans="1:5" x14ac:dyDescent="0.2">
      <c r="A2162" s="29">
        <v>39578</v>
      </c>
      <c r="B2162" s="30">
        <f>VLOOKUP(A2162,'Database Claims'!$A:$C,3,)</f>
        <v>366000</v>
      </c>
      <c r="C2162" s="30">
        <f t="shared" si="66"/>
        <v>-4000</v>
      </c>
      <c r="D2162" s="30">
        <f>VLOOKUP(A2162,'Database Claims'!$A:$C,2,)</f>
        <v>2997000</v>
      </c>
      <c r="E2162" s="30">
        <f t="shared" si="67"/>
        <v>4000</v>
      </c>
    </row>
    <row r="2163" spans="1:5" x14ac:dyDescent="0.2">
      <c r="A2163" s="29">
        <v>39585</v>
      </c>
      <c r="B2163" s="26">
        <f>VLOOKUP(A2163,'Database Claims'!$A:$C,3,)</f>
        <v>367000</v>
      </c>
      <c r="C2163" s="30">
        <f t="shared" si="66"/>
        <v>1000</v>
      </c>
      <c r="D2163" s="26">
        <f>VLOOKUP(A2163,'Database Claims'!$A:$C,2,)</f>
        <v>3016000</v>
      </c>
      <c r="E2163" s="30">
        <f t="shared" si="67"/>
        <v>19000</v>
      </c>
    </row>
    <row r="2164" spans="1:5" x14ac:dyDescent="0.2">
      <c r="A2164" s="29">
        <v>39592</v>
      </c>
      <c r="B2164" s="30">
        <f>VLOOKUP(A2164,'Database Claims'!$A:$C,3,)</f>
        <v>369000</v>
      </c>
      <c r="C2164" s="30">
        <f t="shared" si="66"/>
        <v>2000</v>
      </c>
      <c r="D2164" s="30">
        <f>VLOOKUP(A2164,'Database Claims'!$A:$C,2,)</f>
        <v>3007000</v>
      </c>
      <c r="E2164" s="30">
        <f t="shared" si="67"/>
        <v>-9000</v>
      </c>
    </row>
    <row r="2165" spans="1:5" x14ac:dyDescent="0.2">
      <c r="A2165" s="29">
        <v>39599</v>
      </c>
      <c r="B2165" s="26">
        <f>VLOOKUP(A2165,'Database Claims'!$A:$C,3,)</f>
        <v>362000</v>
      </c>
      <c r="C2165" s="30">
        <f t="shared" si="66"/>
        <v>-7000</v>
      </c>
      <c r="D2165" s="26">
        <f>VLOOKUP(A2165,'Database Claims'!$A:$C,2,)</f>
        <v>3055000</v>
      </c>
      <c r="E2165" s="30">
        <f t="shared" si="67"/>
        <v>48000</v>
      </c>
    </row>
    <row r="2166" spans="1:5" x14ac:dyDescent="0.2">
      <c r="A2166" s="29">
        <v>39606</v>
      </c>
      <c r="B2166" s="30">
        <f>VLOOKUP(A2166,'Database Claims'!$A:$C,3,)</f>
        <v>382000</v>
      </c>
      <c r="C2166" s="30">
        <f t="shared" si="66"/>
        <v>20000</v>
      </c>
      <c r="D2166" s="30">
        <f>VLOOKUP(A2166,'Database Claims'!$A:$C,2,)</f>
        <v>3010000</v>
      </c>
      <c r="E2166" s="30">
        <f t="shared" si="67"/>
        <v>-45000</v>
      </c>
    </row>
    <row r="2167" spans="1:5" x14ac:dyDescent="0.2">
      <c r="A2167" s="29">
        <v>39613</v>
      </c>
      <c r="B2167" s="26">
        <f>VLOOKUP(A2167,'Database Claims'!$A:$C,3,)</f>
        <v>378000</v>
      </c>
      <c r="C2167" s="30">
        <f t="shared" si="66"/>
        <v>-4000</v>
      </c>
      <c r="D2167" s="26">
        <f>VLOOKUP(A2167,'Database Claims'!$A:$C,2,)</f>
        <v>3057000</v>
      </c>
      <c r="E2167" s="30">
        <f t="shared" si="67"/>
        <v>47000</v>
      </c>
    </row>
    <row r="2168" spans="1:5" x14ac:dyDescent="0.2">
      <c r="A2168" s="29">
        <v>39620</v>
      </c>
      <c r="B2168" s="30">
        <f>VLOOKUP(A2168,'Database Claims'!$A:$C,3,)</f>
        <v>381000</v>
      </c>
      <c r="C2168" s="30">
        <f t="shared" si="66"/>
        <v>3000</v>
      </c>
      <c r="D2168" s="30">
        <f>VLOOKUP(A2168,'Database Claims'!$A:$C,2,)</f>
        <v>3054000</v>
      </c>
      <c r="E2168" s="30">
        <f t="shared" si="67"/>
        <v>-3000</v>
      </c>
    </row>
    <row r="2169" spans="1:5" x14ac:dyDescent="0.2">
      <c r="A2169" s="29">
        <v>39627</v>
      </c>
      <c r="B2169" s="26">
        <f>VLOOKUP(A2169,'Database Claims'!$A:$C,3,)</f>
        <v>392000</v>
      </c>
      <c r="C2169" s="30">
        <f t="shared" si="66"/>
        <v>11000</v>
      </c>
      <c r="D2169" s="26">
        <f>VLOOKUP(A2169,'Database Claims'!$A:$C,2,)</f>
        <v>3110000</v>
      </c>
      <c r="E2169" s="30">
        <f t="shared" si="67"/>
        <v>56000</v>
      </c>
    </row>
    <row r="2170" spans="1:5" x14ac:dyDescent="0.2">
      <c r="A2170" s="29">
        <v>39634</v>
      </c>
      <c r="B2170" s="30">
        <f>VLOOKUP(A2170,'Database Claims'!$A:$C,3,)</f>
        <v>371000</v>
      </c>
      <c r="C2170" s="30">
        <f t="shared" si="66"/>
        <v>-21000</v>
      </c>
      <c r="D2170" s="30">
        <f>VLOOKUP(A2170,'Database Claims'!$A:$C,2,)</f>
        <v>3113000</v>
      </c>
      <c r="E2170" s="30">
        <f t="shared" si="67"/>
        <v>3000</v>
      </c>
    </row>
    <row r="2171" spans="1:5" x14ac:dyDescent="0.2">
      <c r="A2171" s="29">
        <v>39641</v>
      </c>
      <c r="B2171" s="26">
        <f>VLOOKUP(A2171,'Database Claims'!$A:$C,3,)</f>
        <v>385000</v>
      </c>
      <c r="C2171" s="30">
        <f t="shared" si="66"/>
        <v>14000</v>
      </c>
      <c r="D2171" s="26">
        <f>VLOOKUP(A2171,'Database Claims'!$A:$C,2,)</f>
        <v>3104000</v>
      </c>
      <c r="E2171" s="30">
        <f t="shared" si="67"/>
        <v>-9000</v>
      </c>
    </row>
    <row r="2172" spans="1:5" x14ac:dyDescent="0.2">
      <c r="A2172" s="29">
        <v>39648</v>
      </c>
      <c r="B2172" s="30">
        <f>VLOOKUP(A2172,'Database Claims'!$A:$C,3,)</f>
        <v>402000</v>
      </c>
      <c r="C2172" s="30">
        <f t="shared" si="66"/>
        <v>17000</v>
      </c>
      <c r="D2172" s="30">
        <f>VLOOKUP(A2172,'Database Claims'!$A:$C,2,)</f>
        <v>3227000</v>
      </c>
      <c r="E2172" s="30">
        <f t="shared" si="67"/>
        <v>123000</v>
      </c>
    </row>
    <row r="2173" spans="1:5" x14ac:dyDescent="0.2">
      <c r="A2173" s="29">
        <v>39655</v>
      </c>
      <c r="B2173" s="26">
        <f>VLOOKUP(A2173,'Database Claims'!$A:$C,3,)</f>
        <v>434000</v>
      </c>
      <c r="C2173" s="30">
        <f t="shared" si="66"/>
        <v>32000</v>
      </c>
      <c r="D2173" s="26">
        <f>VLOOKUP(A2173,'Database Claims'!$A:$C,2,)</f>
        <v>3261000</v>
      </c>
      <c r="E2173" s="30">
        <f t="shared" si="67"/>
        <v>34000</v>
      </c>
    </row>
    <row r="2174" spans="1:5" x14ac:dyDescent="0.2">
      <c r="A2174" s="29">
        <v>39662</v>
      </c>
      <c r="B2174" s="30">
        <f>VLOOKUP(A2174,'Database Claims'!$A:$C,3,)</f>
        <v>448000</v>
      </c>
      <c r="C2174" s="30">
        <f t="shared" si="66"/>
        <v>14000</v>
      </c>
      <c r="D2174" s="30">
        <f>VLOOKUP(A2174,'Database Claims'!$A:$C,2,)</f>
        <v>3330000</v>
      </c>
      <c r="E2174" s="30">
        <f t="shared" si="67"/>
        <v>69000</v>
      </c>
    </row>
    <row r="2175" spans="1:5" x14ac:dyDescent="0.2">
      <c r="A2175" s="29">
        <v>39669</v>
      </c>
      <c r="B2175" s="26">
        <f>VLOOKUP(A2175,'Database Claims'!$A:$C,3,)</f>
        <v>430000</v>
      </c>
      <c r="C2175" s="30">
        <f t="shared" si="66"/>
        <v>-18000</v>
      </c>
      <c r="D2175" s="26">
        <f>VLOOKUP(A2175,'Database Claims'!$A:$C,2,)</f>
        <v>3327000</v>
      </c>
      <c r="E2175" s="30">
        <f t="shared" si="67"/>
        <v>-3000</v>
      </c>
    </row>
    <row r="2176" spans="1:5" x14ac:dyDescent="0.2">
      <c r="A2176" s="29">
        <v>39676</v>
      </c>
      <c r="B2176" s="30">
        <f>VLOOKUP(A2176,'Database Claims'!$A:$C,3,)</f>
        <v>424000</v>
      </c>
      <c r="C2176" s="30">
        <f t="shared" si="66"/>
        <v>-6000</v>
      </c>
      <c r="D2176" s="30">
        <f>VLOOKUP(A2176,'Database Claims'!$A:$C,2,)</f>
        <v>3385000</v>
      </c>
      <c r="E2176" s="30">
        <f t="shared" si="67"/>
        <v>58000</v>
      </c>
    </row>
    <row r="2177" spans="1:5" x14ac:dyDescent="0.2">
      <c r="A2177" s="29">
        <v>39683</v>
      </c>
      <c r="B2177" s="26">
        <f>VLOOKUP(A2177,'Database Claims'!$A:$C,3,)</f>
        <v>421000</v>
      </c>
      <c r="C2177" s="30">
        <f t="shared" si="66"/>
        <v>-3000</v>
      </c>
      <c r="D2177" s="26">
        <f>VLOOKUP(A2177,'Database Claims'!$A:$C,2,)</f>
        <v>3384000</v>
      </c>
      <c r="E2177" s="30">
        <f t="shared" si="67"/>
        <v>-1000</v>
      </c>
    </row>
    <row r="2178" spans="1:5" x14ac:dyDescent="0.2">
      <c r="A2178" s="29">
        <v>39690</v>
      </c>
      <c r="B2178" s="30">
        <f>VLOOKUP(A2178,'Database Claims'!$A:$C,3,)</f>
        <v>442000</v>
      </c>
      <c r="C2178" s="30">
        <f t="shared" si="66"/>
        <v>21000</v>
      </c>
      <c r="D2178" s="30">
        <f>VLOOKUP(A2178,'Database Claims'!$A:$C,2,)</f>
        <v>3464000</v>
      </c>
      <c r="E2178" s="30">
        <f t="shared" si="67"/>
        <v>80000</v>
      </c>
    </row>
    <row r="2179" spans="1:5" x14ac:dyDescent="0.2">
      <c r="A2179" s="29">
        <v>39697</v>
      </c>
      <c r="B2179" s="26">
        <f>VLOOKUP(A2179,'Database Claims'!$A:$C,3,)</f>
        <v>441000</v>
      </c>
      <c r="C2179" s="30">
        <f t="shared" si="66"/>
        <v>-1000</v>
      </c>
      <c r="D2179" s="26">
        <f>VLOOKUP(A2179,'Database Claims'!$A:$C,2,)</f>
        <v>3420000</v>
      </c>
      <c r="E2179" s="30">
        <f t="shared" si="67"/>
        <v>-44000</v>
      </c>
    </row>
    <row r="2180" spans="1:5" x14ac:dyDescent="0.2">
      <c r="A2180" s="29">
        <v>39704</v>
      </c>
      <c r="B2180" s="30">
        <f>VLOOKUP(A2180,'Database Claims'!$A:$C,3,)</f>
        <v>449000</v>
      </c>
      <c r="C2180" s="30">
        <f t="shared" si="66"/>
        <v>8000</v>
      </c>
      <c r="D2180" s="30">
        <f>VLOOKUP(A2180,'Database Claims'!$A:$C,2,)</f>
        <v>3493000</v>
      </c>
      <c r="E2180" s="30">
        <f t="shared" si="67"/>
        <v>73000</v>
      </c>
    </row>
    <row r="2181" spans="1:5" x14ac:dyDescent="0.2">
      <c r="A2181" s="29">
        <v>39711</v>
      </c>
      <c r="B2181" s="26">
        <f>VLOOKUP(A2181,'Database Claims'!$A:$C,3,)</f>
        <v>483000</v>
      </c>
      <c r="C2181" s="30">
        <f t="shared" si="66"/>
        <v>34000</v>
      </c>
      <c r="D2181" s="26">
        <f>VLOOKUP(A2181,'Database Claims'!$A:$C,2,)</f>
        <v>3551000</v>
      </c>
      <c r="E2181" s="30">
        <f t="shared" si="67"/>
        <v>58000</v>
      </c>
    </row>
    <row r="2182" spans="1:5" x14ac:dyDescent="0.2">
      <c r="A2182" s="29">
        <v>39718</v>
      </c>
      <c r="B2182" s="30">
        <f>VLOOKUP(A2182,'Database Claims'!$A:$C,3,)</f>
        <v>483000</v>
      </c>
      <c r="C2182" s="30">
        <f t="shared" ref="C2182:C2245" si="68">B2182-B2181</f>
        <v>0</v>
      </c>
      <c r="D2182" s="30">
        <f>VLOOKUP(A2182,'Database Claims'!$A:$C,2,)</f>
        <v>3623000</v>
      </c>
      <c r="E2182" s="30">
        <f t="shared" ref="E2182:E2245" si="69">D2182-D2181</f>
        <v>72000</v>
      </c>
    </row>
    <row r="2183" spans="1:5" x14ac:dyDescent="0.2">
      <c r="A2183" s="29">
        <v>39725</v>
      </c>
      <c r="B2183" s="26">
        <f>VLOOKUP(A2183,'Database Claims'!$A:$C,3,)</f>
        <v>482000</v>
      </c>
      <c r="C2183" s="30">
        <f t="shared" si="68"/>
        <v>-1000</v>
      </c>
      <c r="D2183" s="26">
        <f>VLOOKUP(A2183,'Database Claims'!$A:$C,2,)</f>
        <v>3676000</v>
      </c>
      <c r="E2183" s="30">
        <f t="shared" si="69"/>
        <v>53000</v>
      </c>
    </row>
    <row r="2184" spans="1:5" x14ac:dyDescent="0.2">
      <c r="A2184" s="29">
        <v>39732</v>
      </c>
      <c r="B2184" s="30">
        <f>VLOOKUP(A2184,'Database Claims'!$A:$C,3,)</f>
        <v>461000</v>
      </c>
      <c r="C2184" s="30">
        <f t="shared" si="68"/>
        <v>-21000</v>
      </c>
      <c r="D2184" s="30">
        <f>VLOOKUP(A2184,'Database Claims'!$A:$C,2,)</f>
        <v>3696000</v>
      </c>
      <c r="E2184" s="30">
        <f t="shared" si="69"/>
        <v>20000</v>
      </c>
    </row>
    <row r="2185" spans="1:5" x14ac:dyDescent="0.2">
      <c r="A2185" s="29">
        <v>39739</v>
      </c>
      <c r="B2185" s="26">
        <f>VLOOKUP(A2185,'Database Claims'!$A:$C,3,)</f>
        <v>478000</v>
      </c>
      <c r="C2185" s="30">
        <f t="shared" si="68"/>
        <v>17000</v>
      </c>
      <c r="D2185" s="26">
        <f>VLOOKUP(A2185,'Database Claims'!$A:$C,2,)</f>
        <v>3729000</v>
      </c>
      <c r="E2185" s="30">
        <f t="shared" si="69"/>
        <v>33000</v>
      </c>
    </row>
    <row r="2186" spans="1:5" x14ac:dyDescent="0.2">
      <c r="A2186" s="29">
        <v>39746</v>
      </c>
      <c r="B2186" s="30">
        <f>VLOOKUP(A2186,'Database Claims'!$A:$C,3,)</f>
        <v>480000</v>
      </c>
      <c r="C2186" s="30">
        <f t="shared" si="68"/>
        <v>2000</v>
      </c>
      <c r="D2186" s="30">
        <f>VLOOKUP(A2186,'Database Claims'!$A:$C,2,)</f>
        <v>3823000</v>
      </c>
      <c r="E2186" s="30">
        <f t="shared" si="69"/>
        <v>94000</v>
      </c>
    </row>
    <row r="2187" spans="1:5" x14ac:dyDescent="0.2">
      <c r="A2187" s="29">
        <v>39753</v>
      </c>
      <c r="B2187" s="26">
        <f>VLOOKUP(A2187,'Database Claims'!$A:$C,3,)</f>
        <v>490000</v>
      </c>
      <c r="C2187" s="30">
        <f t="shared" si="68"/>
        <v>10000</v>
      </c>
      <c r="D2187" s="26">
        <f>VLOOKUP(A2187,'Database Claims'!$A:$C,2,)</f>
        <v>3928000</v>
      </c>
      <c r="E2187" s="30">
        <f t="shared" si="69"/>
        <v>105000</v>
      </c>
    </row>
    <row r="2188" spans="1:5" x14ac:dyDescent="0.2">
      <c r="A2188" s="29">
        <v>39760</v>
      </c>
      <c r="B2188" s="30">
        <f>VLOOKUP(A2188,'Database Claims'!$A:$C,3,)</f>
        <v>512000</v>
      </c>
      <c r="C2188" s="30">
        <f t="shared" si="68"/>
        <v>22000</v>
      </c>
      <c r="D2188" s="30">
        <f>VLOOKUP(A2188,'Database Claims'!$A:$C,2,)</f>
        <v>4011000</v>
      </c>
      <c r="E2188" s="30">
        <f t="shared" si="69"/>
        <v>83000</v>
      </c>
    </row>
    <row r="2189" spans="1:5" x14ac:dyDescent="0.2">
      <c r="A2189" s="29">
        <v>39767</v>
      </c>
      <c r="B2189" s="26">
        <f>VLOOKUP(A2189,'Database Claims'!$A:$C,3,)</f>
        <v>536000</v>
      </c>
      <c r="C2189" s="30">
        <f t="shared" si="68"/>
        <v>24000</v>
      </c>
      <c r="D2189" s="26">
        <f>VLOOKUP(A2189,'Database Claims'!$A:$C,2,)</f>
        <v>4002000</v>
      </c>
      <c r="E2189" s="30">
        <f t="shared" si="69"/>
        <v>-9000</v>
      </c>
    </row>
    <row r="2190" spans="1:5" x14ac:dyDescent="0.2">
      <c r="A2190" s="29">
        <v>39774</v>
      </c>
      <c r="B2190" s="30">
        <f>VLOOKUP(A2190,'Database Claims'!$A:$C,3,)</f>
        <v>532000</v>
      </c>
      <c r="C2190" s="30">
        <f t="shared" si="68"/>
        <v>-4000</v>
      </c>
      <c r="D2190" s="30">
        <f>VLOOKUP(A2190,'Database Claims'!$A:$C,2,)</f>
        <v>4095000</v>
      </c>
      <c r="E2190" s="30">
        <f t="shared" si="69"/>
        <v>93000</v>
      </c>
    </row>
    <row r="2191" spans="1:5" x14ac:dyDescent="0.2">
      <c r="A2191" s="29">
        <v>39781</v>
      </c>
      <c r="B2191" s="26">
        <f>VLOOKUP(A2191,'Database Claims'!$A:$C,3,)</f>
        <v>529000</v>
      </c>
      <c r="C2191" s="30">
        <f t="shared" si="68"/>
        <v>-3000</v>
      </c>
      <c r="D2191" s="26">
        <f>VLOOKUP(A2191,'Database Claims'!$A:$C,2,)</f>
        <v>4447000</v>
      </c>
      <c r="E2191" s="30">
        <f t="shared" si="69"/>
        <v>352000</v>
      </c>
    </row>
    <row r="2192" spans="1:5" x14ac:dyDescent="0.2">
      <c r="A2192" s="29">
        <v>39788</v>
      </c>
      <c r="B2192" s="30">
        <f>VLOOKUP(A2192,'Database Claims'!$A:$C,3,)</f>
        <v>570000</v>
      </c>
      <c r="C2192" s="30">
        <f t="shared" si="68"/>
        <v>41000</v>
      </c>
      <c r="D2192" s="30">
        <f>VLOOKUP(A2192,'Database Claims'!$A:$C,2,)</f>
        <v>4417000</v>
      </c>
      <c r="E2192" s="30">
        <f t="shared" si="69"/>
        <v>-30000</v>
      </c>
    </row>
    <row r="2193" spans="1:5" x14ac:dyDescent="0.2">
      <c r="A2193" s="29">
        <v>39795</v>
      </c>
      <c r="B2193" s="26">
        <f>VLOOKUP(A2193,'Database Claims'!$A:$C,3,)</f>
        <v>566000</v>
      </c>
      <c r="C2193" s="30">
        <f t="shared" si="68"/>
        <v>-4000</v>
      </c>
      <c r="D2193" s="26">
        <f>VLOOKUP(A2193,'Database Claims'!$A:$C,2,)</f>
        <v>4445000</v>
      </c>
      <c r="E2193" s="30">
        <f t="shared" si="69"/>
        <v>28000</v>
      </c>
    </row>
    <row r="2194" spans="1:5" x14ac:dyDescent="0.2">
      <c r="A2194" s="29">
        <v>39802</v>
      </c>
      <c r="B2194" s="30">
        <f>VLOOKUP(A2194,'Database Claims'!$A:$C,3,)</f>
        <v>587000</v>
      </c>
      <c r="C2194" s="30">
        <f t="shared" si="68"/>
        <v>21000</v>
      </c>
      <c r="D2194" s="30">
        <f>VLOOKUP(A2194,'Database Claims'!$A:$C,2,)</f>
        <v>4548000</v>
      </c>
      <c r="E2194" s="30">
        <f t="shared" si="69"/>
        <v>103000</v>
      </c>
    </row>
    <row r="2195" spans="1:5" x14ac:dyDescent="0.2">
      <c r="A2195" s="29">
        <v>39809</v>
      </c>
      <c r="B2195" s="26">
        <f>VLOOKUP(A2195,'Database Claims'!$A:$C,3,)</f>
        <v>533000</v>
      </c>
      <c r="C2195" s="30">
        <f t="shared" si="68"/>
        <v>-54000</v>
      </c>
      <c r="D2195" s="26">
        <f>VLOOKUP(A2195,'Database Claims'!$A:$C,2,)</f>
        <v>4679000</v>
      </c>
      <c r="E2195" s="30">
        <f t="shared" si="69"/>
        <v>131000</v>
      </c>
    </row>
    <row r="2196" spans="1:5" x14ac:dyDescent="0.2">
      <c r="A2196" s="29">
        <v>39816</v>
      </c>
      <c r="B2196" s="30">
        <f>VLOOKUP(A2196,'Database Claims'!$A:$C,3,)</f>
        <v>503000</v>
      </c>
      <c r="C2196" s="30">
        <f t="shared" si="68"/>
        <v>-30000</v>
      </c>
      <c r="D2196" s="30">
        <f>VLOOKUP(A2196,'Database Claims'!$A:$C,2,)</f>
        <v>4692000</v>
      </c>
      <c r="E2196" s="30">
        <f t="shared" si="69"/>
        <v>13000</v>
      </c>
    </row>
    <row r="2197" spans="1:5" x14ac:dyDescent="0.2">
      <c r="A2197" s="29">
        <v>39823</v>
      </c>
      <c r="B2197" s="26">
        <f>VLOOKUP(A2197,'Database Claims'!$A:$C,3,)</f>
        <v>551000</v>
      </c>
      <c r="C2197" s="30">
        <f t="shared" si="68"/>
        <v>48000</v>
      </c>
      <c r="D2197" s="26">
        <f>VLOOKUP(A2197,'Database Claims'!$A:$C,2,)</f>
        <v>4760000</v>
      </c>
      <c r="E2197" s="30">
        <f t="shared" si="69"/>
        <v>68000</v>
      </c>
    </row>
    <row r="2198" spans="1:5" x14ac:dyDescent="0.2">
      <c r="A2198" s="29">
        <v>39830</v>
      </c>
      <c r="B2198" s="30">
        <f>VLOOKUP(A2198,'Database Claims'!$A:$C,3,)</f>
        <v>591000</v>
      </c>
      <c r="C2198" s="30">
        <f t="shared" si="68"/>
        <v>40000</v>
      </c>
      <c r="D2198" s="30">
        <f>VLOOKUP(A2198,'Database Claims'!$A:$C,2,)</f>
        <v>4864000</v>
      </c>
      <c r="E2198" s="30">
        <f t="shared" si="69"/>
        <v>104000</v>
      </c>
    </row>
    <row r="2199" spans="1:5" x14ac:dyDescent="0.2">
      <c r="A2199" s="29">
        <v>39837</v>
      </c>
      <c r="B2199" s="26">
        <f>VLOOKUP(A2199,'Database Claims'!$A:$C,3,)</f>
        <v>586000</v>
      </c>
      <c r="C2199" s="30">
        <f t="shared" si="68"/>
        <v>-5000</v>
      </c>
      <c r="D2199" s="26">
        <f>VLOOKUP(A2199,'Database Claims'!$A:$C,2,)</f>
        <v>4980000</v>
      </c>
      <c r="E2199" s="30">
        <f t="shared" si="69"/>
        <v>116000</v>
      </c>
    </row>
    <row r="2200" spans="1:5" x14ac:dyDescent="0.2">
      <c r="A2200" s="29">
        <v>39844</v>
      </c>
      <c r="B2200" s="30">
        <f>VLOOKUP(A2200,'Database Claims'!$A:$C,3,)</f>
        <v>629000</v>
      </c>
      <c r="C2200" s="30">
        <f t="shared" si="68"/>
        <v>43000</v>
      </c>
      <c r="D2200" s="30">
        <f>VLOOKUP(A2200,'Database Claims'!$A:$C,2,)</f>
        <v>5010000</v>
      </c>
      <c r="E2200" s="30">
        <f t="shared" si="69"/>
        <v>30000</v>
      </c>
    </row>
    <row r="2201" spans="1:5" x14ac:dyDescent="0.2">
      <c r="A2201" s="29">
        <v>39851</v>
      </c>
      <c r="B2201" s="26">
        <f>VLOOKUP(A2201,'Database Claims'!$A:$C,3,)</f>
        <v>637000</v>
      </c>
      <c r="C2201" s="30">
        <f t="shared" si="68"/>
        <v>8000</v>
      </c>
      <c r="D2201" s="26">
        <f>VLOOKUP(A2201,'Database Claims'!$A:$C,2,)</f>
        <v>5157000</v>
      </c>
      <c r="E2201" s="30">
        <f t="shared" si="69"/>
        <v>147000</v>
      </c>
    </row>
    <row r="2202" spans="1:5" x14ac:dyDescent="0.2">
      <c r="A2202" s="29">
        <v>39858</v>
      </c>
      <c r="B2202" s="30">
        <f>VLOOKUP(A2202,'Database Claims'!$A:$C,3,)</f>
        <v>632000</v>
      </c>
      <c r="C2202" s="30">
        <f t="shared" si="68"/>
        <v>-5000</v>
      </c>
      <c r="D2202" s="30">
        <f>VLOOKUP(A2202,'Database Claims'!$A:$C,2,)</f>
        <v>5279000</v>
      </c>
      <c r="E2202" s="30">
        <f t="shared" si="69"/>
        <v>122000</v>
      </c>
    </row>
    <row r="2203" spans="1:5" x14ac:dyDescent="0.2">
      <c r="A2203" s="29">
        <v>39865</v>
      </c>
      <c r="B2203" s="26">
        <f>VLOOKUP(A2203,'Database Claims'!$A:$C,3,)</f>
        <v>655000</v>
      </c>
      <c r="C2203" s="30">
        <f t="shared" si="68"/>
        <v>23000</v>
      </c>
      <c r="D2203" s="26">
        <f>VLOOKUP(A2203,'Database Claims'!$A:$C,2,)</f>
        <v>5307000</v>
      </c>
      <c r="E2203" s="30">
        <f t="shared" si="69"/>
        <v>28000</v>
      </c>
    </row>
    <row r="2204" spans="1:5" x14ac:dyDescent="0.2">
      <c r="A2204" s="29">
        <v>39872</v>
      </c>
      <c r="B2204" s="30">
        <f>VLOOKUP(A2204,'Database Claims'!$A:$C,3,)</f>
        <v>652000</v>
      </c>
      <c r="C2204" s="30">
        <f t="shared" si="68"/>
        <v>-3000</v>
      </c>
      <c r="D2204" s="30">
        <f>VLOOKUP(A2204,'Database Claims'!$A:$C,2,)</f>
        <v>5445000</v>
      </c>
      <c r="E2204" s="30">
        <f t="shared" si="69"/>
        <v>138000</v>
      </c>
    </row>
    <row r="2205" spans="1:5" x14ac:dyDescent="0.2">
      <c r="A2205" s="29">
        <v>39879</v>
      </c>
      <c r="B2205" s="26">
        <f>VLOOKUP(A2205,'Database Claims'!$A:$C,3,)</f>
        <v>660000</v>
      </c>
      <c r="C2205" s="30">
        <f t="shared" si="68"/>
        <v>8000</v>
      </c>
      <c r="D2205" s="26">
        <f>VLOOKUP(A2205,'Database Claims'!$A:$C,2,)</f>
        <v>5600000</v>
      </c>
      <c r="E2205" s="30">
        <f t="shared" si="69"/>
        <v>155000</v>
      </c>
    </row>
    <row r="2206" spans="1:5" x14ac:dyDescent="0.2">
      <c r="A2206" s="29">
        <v>39886</v>
      </c>
      <c r="B2206" s="30">
        <f>VLOOKUP(A2206,'Database Claims'!$A:$C,3,)</f>
        <v>651000</v>
      </c>
      <c r="C2206" s="30">
        <f t="shared" si="68"/>
        <v>-9000</v>
      </c>
      <c r="D2206" s="30">
        <f>VLOOKUP(A2206,'Database Claims'!$A:$C,2,)</f>
        <v>5699000</v>
      </c>
      <c r="E2206" s="30">
        <f t="shared" si="69"/>
        <v>99000</v>
      </c>
    </row>
    <row r="2207" spans="1:5" x14ac:dyDescent="0.2">
      <c r="A2207" s="29">
        <v>39893</v>
      </c>
      <c r="B2207" s="26">
        <f>VLOOKUP(A2207,'Database Claims'!$A:$C,3,)</f>
        <v>661000</v>
      </c>
      <c r="C2207" s="30">
        <f t="shared" si="68"/>
        <v>10000</v>
      </c>
      <c r="D2207" s="26">
        <f>VLOOKUP(A2207,'Database Claims'!$A:$C,2,)</f>
        <v>5829000</v>
      </c>
      <c r="E2207" s="30">
        <f t="shared" si="69"/>
        <v>130000</v>
      </c>
    </row>
    <row r="2208" spans="1:5" x14ac:dyDescent="0.2">
      <c r="A2208" s="29">
        <v>39900</v>
      </c>
      <c r="B2208" s="30">
        <f>VLOOKUP(A2208,'Database Claims'!$A:$C,3,)</f>
        <v>665000</v>
      </c>
      <c r="C2208" s="30">
        <f t="shared" si="68"/>
        <v>4000</v>
      </c>
      <c r="D2208" s="30">
        <f>VLOOKUP(A2208,'Database Claims'!$A:$C,2,)</f>
        <v>5935000</v>
      </c>
      <c r="E2208" s="30">
        <f t="shared" si="69"/>
        <v>106000</v>
      </c>
    </row>
    <row r="2209" spans="1:5" x14ac:dyDescent="0.2">
      <c r="A2209" s="29">
        <v>39907</v>
      </c>
      <c r="B2209" s="26">
        <f>VLOOKUP(A2209,'Database Claims'!$A:$C,3,)</f>
        <v>653000</v>
      </c>
      <c r="C2209" s="30">
        <f t="shared" si="68"/>
        <v>-12000</v>
      </c>
      <c r="D2209" s="26">
        <f>VLOOKUP(A2209,'Database Claims'!$A:$C,2,)</f>
        <v>6044000</v>
      </c>
      <c r="E2209" s="30">
        <f t="shared" si="69"/>
        <v>109000</v>
      </c>
    </row>
    <row r="2210" spans="1:5" x14ac:dyDescent="0.2">
      <c r="A2210" s="29">
        <v>39914</v>
      </c>
      <c r="B2210" s="30">
        <f>VLOOKUP(A2210,'Database Claims'!$A:$C,3,)</f>
        <v>599000</v>
      </c>
      <c r="C2210" s="30">
        <f t="shared" si="68"/>
        <v>-54000</v>
      </c>
      <c r="D2210" s="30">
        <f>VLOOKUP(A2210,'Database Claims'!$A:$C,2,)</f>
        <v>6130000</v>
      </c>
      <c r="E2210" s="30">
        <f t="shared" si="69"/>
        <v>86000</v>
      </c>
    </row>
    <row r="2211" spans="1:5" x14ac:dyDescent="0.2">
      <c r="A2211" s="29">
        <v>39921</v>
      </c>
      <c r="B2211" s="26">
        <f>VLOOKUP(A2211,'Database Claims'!$A:$C,3,)</f>
        <v>639000</v>
      </c>
      <c r="C2211" s="30">
        <f t="shared" si="68"/>
        <v>40000</v>
      </c>
      <c r="D2211" s="26">
        <f>VLOOKUP(A2211,'Database Claims'!$A:$C,2,)</f>
        <v>6264000</v>
      </c>
      <c r="E2211" s="30">
        <f t="shared" si="69"/>
        <v>134000</v>
      </c>
    </row>
    <row r="2212" spans="1:5" x14ac:dyDescent="0.2">
      <c r="A2212" s="29">
        <v>39928</v>
      </c>
      <c r="B2212" s="30">
        <f>VLOOKUP(A2212,'Database Claims'!$A:$C,3,)</f>
        <v>620000</v>
      </c>
      <c r="C2212" s="30">
        <f t="shared" si="68"/>
        <v>-19000</v>
      </c>
      <c r="D2212" s="30">
        <f>VLOOKUP(A2212,'Database Claims'!$A:$C,2,)</f>
        <v>6300000</v>
      </c>
      <c r="E2212" s="30">
        <f t="shared" si="69"/>
        <v>36000</v>
      </c>
    </row>
    <row r="2213" spans="1:5" x14ac:dyDescent="0.2">
      <c r="A2213" s="29">
        <v>39935</v>
      </c>
      <c r="B2213" s="26">
        <f>VLOOKUP(A2213,'Database Claims'!$A:$C,3,)</f>
        <v>602000</v>
      </c>
      <c r="C2213" s="30">
        <f t="shared" si="68"/>
        <v>-18000</v>
      </c>
      <c r="D2213" s="26">
        <f>VLOOKUP(A2213,'Database Claims'!$A:$C,2,)</f>
        <v>6416000</v>
      </c>
      <c r="E2213" s="30">
        <f t="shared" si="69"/>
        <v>116000</v>
      </c>
    </row>
    <row r="2214" spans="1:5" x14ac:dyDescent="0.2">
      <c r="A2214" s="29">
        <v>39942</v>
      </c>
      <c r="B2214" s="30">
        <f>VLOOKUP(A2214,'Database Claims'!$A:$C,3,)</f>
        <v>625000</v>
      </c>
      <c r="C2214" s="30">
        <f t="shared" si="68"/>
        <v>23000</v>
      </c>
      <c r="D2214" s="30">
        <f>VLOOKUP(A2214,'Database Claims'!$A:$C,2,)</f>
        <v>6516000</v>
      </c>
      <c r="E2214" s="30">
        <f t="shared" si="69"/>
        <v>100000</v>
      </c>
    </row>
    <row r="2215" spans="1:5" x14ac:dyDescent="0.2">
      <c r="A2215" s="29">
        <v>39949</v>
      </c>
      <c r="B2215" s="26">
        <f>VLOOKUP(A2215,'Database Claims'!$A:$C,3,)</f>
        <v>620000</v>
      </c>
      <c r="C2215" s="30">
        <f t="shared" si="68"/>
        <v>-5000</v>
      </c>
      <c r="D2215" s="26">
        <f>VLOOKUP(A2215,'Database Claims'!$A:$C,2,)</f>
        <v>6539000</v>
      </c>
      <c r="E2215" s="30">
        <f t="shared" si="69"/>
        <v>23000</v>
      </c>
    </row>
    <row r="2216" spans="1:5" x14ac:dyDescent="0.2">
      <c r="A2216" s="29">
        <v>39956</v>
      </c>
      <c r="B2216" s="30">
        <f>VLOOKUP(A2216,'Database Claims'!$A:$C,3,)</f>
        <v>606000</v>
      </c>
      <c r="C2216" s="30">
        <f t="shared" si="68"/>
        <v>-14000</v>
      </c>
      <c r="D2216" s="30">
        <f>VLOOKUP(A2216,'Database Claims'!$A:$C,2,)</f>
        <v>6522000</v>
      </c>
      <c r="E2216" s="30">
        <f t="shared" si="69"/>
        <v>-17000</v>
      </c>
    </row>
    <row r="2217" spans="1:5" x14ac:dyDescent="0.2">
      <c r="A2217" s="29">
        <v>39963</v>
      </c>
      <c r="B2217" s="26">
        <f>VLOOKUP(A2217,'Database Claims'!$A:$C,3,)</f>
        <v>607000</v>
      </c>
      <c r="C2217" s="30">
        <f t="shared" si="68"/>
        <v>1000</v>
      </c>
      <c r="D2217" s="26">
        <f>VLOOKUP(A2217,'Database Claims'!$A:$C,2,)</f>
        <v>6635000</v>
      </c>
      <c r="E2217" s="30">
        <f t="shared" si="69"/>
        <v>113000</v>
      </c>
    </row>
    <row r="2218" spans="1:5" x14ac:dyDescent="0.2">
      <c r="A2218" s="29">
        <v>39970</v>
      </c>
      <c r="B2218" s="30">
        <f>VLOOKUP(A2218,'Database Claims'!$A:$C,3,)</f>
        <v>596000</v>
      </c>
      <c r="C2218" s="30">
        <f t="shared" si="68"/>
        <v>-11000</v>
      </c>
      <c r="D2218" s="30">
        <f>VLOOKUP(A2218,'Database Claims'!$A:$C,2,)</f>
        <v>6506000</v>
      </c>
      <c r="E2218" s="30">
        <f t="shared" si="69"/>
        <v>-129000</v>
      </c>
    </row>
    <row r="2219" spans="1:5" x14ac:dyDescent="0.2">
      <c r="A2219" s="29">
        <v>39977</v>
      </c>
      <c r="B2219" s="26">
        <f>VLOOKUP(A2219,'Database Claims'!$A:$C,3,)</f>
        <v>595000</v>
      </c>
      <c r="C2219" s="30">
        <f t="shared" si="68"/>
        <v>-1000</v>
      </c>
      <c r="D2219" s="26">
        <f>VLOOKUP(A2219,'Database Claims'!$A:$C,2,)</f>
        <v>6525000</v>
      </c>
      <c r="E2219" s="30">
        <f t="shared" si="69"/>
        <v>19000</v>
      </c>
    </row>
    <row r="2220" spans="1:5" x14ac:dyDescent="0.2">
      <c r="A2220" s="29">
        <v>39984</v>
      </c>
      <c r="B2220" s="30">
        <f>VLOOKUP(A2220,'Database Claims'!$A:$C,3,)</f>
        <v>608000</v>
      </c>
      <c r="C2220" s="30">
        <f t="shared" si="68"/>
        <v>13000</v>
      </c>
      <c r="D2220" s="30">
        <f>VLOOKUP(A2220,'Database Claims'!$A:$C,2,)</f>
        <v>6488000</v>
      </c>
      <c r="E2220" s="30">
        <f t="shared" si="69"/>
        <v>-37000</v>
      </c>
    </row>
    <row r="2221" spans="1:5" x14ac:dyDescent="0.2">
      <c r="A2221" s="29">
        <v>39991</v>
      </c>
      <c r="B2221" s="26">
        <f>VLOOKUP(A2221,'Database Claims'!$A:$C,3,)</f>
        <v>594000</v>
      </c>
      <c r="C2221" s="30">
        <f t="shared" si="68"/>
        <v>-14000</v>
      </c>
      <c r="D2221" s="26">
        <f>VLOOKUP(A2221,'Database Claims'!$A:$C,2,)</f>
        <v>6618000</v>
      </c>
      <c r="E2221" s="30">
        <f t="shared" si="69"/>
        <v>130000</v>
      </c>
    </row>
    <row r="2222" spans="1:5" x14ac:dyDescent="0.2">
      <c r="A2222" s="29">
        <v>39998</v>
      </c>
      <c r="B2222" s="30">
        <f>VLOOKUP(A2222,'Database Claims'!$A:$C,3,)</f>
        <v>573000</v>
      </c>
      <c r="C2222" s="30">
        <f t="shared" si="68"/>
        <v>-21000</v>
      </c>
      <c r="D2222" s="30">
        <f>VLOOKUP(A2222,'Database Claims'!$A:$C,2,)</f>
        <v>6145000</v>
      </c>
      <c r="E2222" s="30">
        <f t="shared" si="69"/>
        <v>-473000</v>
      </c>
    </row>
    <row r="2223" spans="1:5" x14ac:dyDescent="0.2">
      <c r="A2223" s="29">
        <v>40005</v>
      </c>
      <c r="B2223" s="26">
        <f>VLOOKUP(A2223,'Database Claims'!$A:$C,3,)</f>
        <v>546000</v>
      </c>
      <c r="C2223" s="30">
        <f t="shared" si="68"/>
        <v>-27000</v>
      </c>
      <c r="D2223" s="26">
        <f>VLOOKUP(A2223,'Database Claims'!$A:$C,2,)</f>
        <v>6136000</v>
      </c>
      <c r="E2223" s="30">
        <f t="shared" si="69"/>
        <v>-9000</v>
      </c>
    </row>
    <row r="2224" spans="1:5" x14ac:dyDescent="0.2">
      <c r="A2224" s="29">
        <v>40012</v>
      </c>
      <c r="B2224" s="30">
        <f>VLOOKUP(A2224,'Database Claims'!$A:$C,3,)</f>
        <v>560000</v>
      </c>
      <c r="C2224" s="30">
        <f t="shared" si="68"/>
        <v>14000</v>
      </c>
      <c r="D2224" s="30">
        <f>VLOOKUP(A2224,'Database Claims'!$A:$C,2,)</f>
        <v>6118000</v>
      </c>
      <c r="E2224" s="30">
        <f t="shared" si="69"/>
        <v>-18000</v>
      </c>
    </row>
    <row r="2225" spans="1:5" x14ac:dyDescent="0.2">
      <c r="A2225" s="29">
        <v>40019</v>
      </c>
      <c r="B2225" s="26">
        <f>VLOOKUP(A2225,'Database Claims'!$A:$C,3,)</f>
        <v>587000</v>
      </c>
      <c r="C2225" s="30">
        <f t="shared" si="68"/>
        <v>27000</v>
      </c>
      <c r="D2225" s="26">
        <f>VLOOKUP(A2225,'Database Claims'!$A:$C,2,)</f>
        <v>6157000</v>
      </c>
      <c r="E2225" s="30">
        <f t="shared" si="69"/>
        <v>39000</v>
      </c>
    </row>
    <row r="2226" spans="1:5" x14ac:dyDescent="0.2">
      <c r="A2226" s="29">
        <v>40026</v>
      </c>
      <c r="B2226" s="30">
        <f>VLOOKUP(A2226,'Database Claims'!$A:$C,3,)</f>
        <v>555000</v>
      </c>
      <c r="C2226" s="30">
        <f t="shared" si="68"/>
        <v>-32000</v>
      </c>
      <c r="D2226" s="30">
        <f>VLOOKUP(A2226,'Database Claims'!$A:$C,2,)</f>
        <v>6111000</v>
      </c>
      <c r="E2226" s="30">
        <f t="shared" si="69"/>
        <v>-46000</v>
      </c>
    </row>
    <row r="2227" spans="1:5" x14ac:dyDescent="0.2">
      <c r="A2227" s="29">
        <v>40033</v>
      </c>
      <c r="B2227" s="26">
        <f>VLOOKUP(A2227,'Database Claims'!$A:$C,3,)</f>
        <v>555000</v>
      </c>
      <c r="C2227" s="30">
        <f t="shared" si="68"/>
        <v>0</v>
      </c>
      <c r="D2227" s="26">
        <f>VLOOKUP(A2227,'Database Claims'!$A:$C,2,)</f>
        <v>6090000</v>
      </c>
      <c r="E2227" s="30">
        <f t="shared" si="69"/>
        <v>-21000</v>
      </c>
    </row>
    <row r="2228" spans="1:5" x14ac:dyDescent="0.2">
      <c r="A2228" s="29">
        <v>40040</v>
      </c>
      <c r="B2228" s="30">
        <f>VLOOKUP(A2228,'Database Claims'!$A:$C,3,)</f>
        <v>562000</v>
      </c>
      <c r="C2228" s="30">
        <f t="shared" si="68"/>
        <v>7000</v>
      </c>
      <c r="D2228" s="30">
        <f>VLOOKUP(A2228,'Database Claims'!$A:$C,2,)</f>
        <v>6008000</v>
      </c>
      <c r="E2228" s="30">
        <f t="shared" si="69"/>
        <v>-82000</v>
      </c>
    </row>
    <row r="2229" spans="1:5" x14ac:dyDescent="0.2">
      <c r="A2229" s="29">
        <v>40047</v>
      </c>
      <c r="B2229" s="26">
        <f>VLOOKUP(A2229,'Database Claims'!$A:$C,3,)</f>
        <v>560000</v>
      </c>
      <c r="C2229" s="30">
        <f t="shared" si="68"/>
        <v>-2000</v>
      </c>
      <c r="D2229" s="26">
        <f>VLOOKUP(A2229,'Database Claims'!$A:$C,2,)</f>
        <v>6060000</v>
      </c>
      <c r="E2229" s="30">
        <f t="shared" si="69"/>
        <v>52000</v>
      </c>
    </row>
    <row r="2230" spans="1:5" x14ac:dyDescent="0.2">
      <c r="A2230" s="29">
        <v>40054</v>
      </c>
      <c r="B2230" s="30">
        <f>VLOOKUP(A2230,'Database Claims'!$A:$C,3,)</f>
        <v>564000</v>
      </c>
      <c r="C2230" s="30">
        <f t="shared" si="68"/>
        <v>4000</v>
      </c>
      <c r="D2230" s="30">
        <f>VLOOKUP(A2230,'Database Claims'!$A:$C,2,)</f>
        <v>5970000</v>
      </c>
      <c r="E2230" s="30">
        <f t="shared" si="69"/>
        <v>-90000</v>
      </c>
    </row>
    <row r="2231" spans="1:5" x14ac:dyDescent="0.2">
      <c r="A2231" s="29">
        <v>40061</v>
      </c>
      <c r="B2231" s="26">
        <f>VLOOKUP(A2231,'Database Claims'!$A:$C,3,)</f>
        <v>558000</v>
      </c>
      <c r="C2231" s="30">
        <f t="shared" si="68"/>
        <v>-6000</v>
      </c>
      <c r="D2231" s="26">
        <f>VLOOKUP(A2231,'Database Claims'!$A:$C,2,)</f>
        <v>6079000</v>
      </c>
      <c r="E2231" s="30">
        <f t="shared" si="69"/>
        <v>109000</v>
      </c>
    </row>
    <row r="2232" spans="1:5" x14ac:dyDescent="0.2">
      <c r="A2232" s="29">
        <v>40068</v>
      </c>
      <c r="B2232" s="30">
        <f>VLOOKUP(A2232,'Database Claims'!$A:$C,3,)</f>
        <v>542000</v>
      </c>
      <c r="C2232" s="30">
        <f t="shared" si="68"/>
        <v>-16000</v>
      </c>
      <c r="D2232" s="30">
        <f>VLOOKUP(A2232,'Database Claims'!$A:$C,2,)</f>
        <v>6006000</v>
      </c>
      <c r="E2232" s="30">
        <f t="shared" si="69"/>
        <v>-73000</v>
      </c>
    </row>
    <row r="2233" spans="1:5" x14ac:dyDescent="0.2">
      <c r="A2233" s="29">
        <v>40075</v>
      </c>
      <c r="B2233" s="26">
        <f>VLOOKUP(A2233,'Database Claims'!$A:$C,3,)</f>
        <v>536000</v>
      </c>
      <c r="C2233" s="30">
        <f t="shared" si="68"/>
        <v>-6000</v>
      </c>
      <c r="D2233" s="26">
        <f>VLOOKUP(A2233,'Database Claims'!$A:$C,2,)</f>
        <v>5942000</v>
      </c>
      <c r="E2233" s="30">
        <f t="shared" si="69"/>
        <v>-64000</v>
      </c>
    </row>
    <row r="2234" spans="1:5" x14ac:dyDescent="0.2">
      <c r="A2234" s="29">
        <v>40082</v>
      </c>
      <c r="B2234" s="30">
        <f>VLOOKUP(A2234,'Database Claims'!$A:$C,3,)</f>
        <v>554000</v>
      </c>
      <c r="C2234" s="30">
        <f t="shared" si="68"/>
        <v>18000</v>
      </c>
      <c r="D2234" s="30">
        <f>VLOOKUP(A2234,'Database Claims'!$A:$C,2,)</f>
        <v>5912000</v>
      </c>
      <c r="E2234" s="30">
        <f t="shared" si="69"/>
        <v>-30000</v>
      </c>
    </row>
    <row r="2235" spans="1:5" x14ac:dyDescent="0.2">
      <c r="A2235" s="29">
        <v>40089</v>
      </c>
      <c r="B2235" s="26">
        <f>VLOOKUP(A2235,'Database Claims'!$A:$C,3,)</f>
        <v>533000</v>
      </c>
      <c r="C2235" s="30">
        <f t="shared" si="68"/>
        <v>-21000</v>
      </c>
      <c r="D2235" s="26">
        <f>VLOOKUP(A2235,'Database Claims'!$A:$C,2,)</f>
        <v>5900000</v>
      </c>
      <c r="E2235" s="30">
        <f t="shared" si="69"/>
        <v>-12000</v>
      </c>
    </row>
    <row r="2236" spans="1:5" x14ac:dyDescent="0.2">
      <c r="A2236" s="29">
        <v>40096</v>
      </c>
      <c r="B2236" s="30">
        <f>VLOOKUP(A2236,'Database Claims'!$A:$C,3,)</f>
        <v>511000</v>
      </c>
      <c r="C2236" s="30">
        <f t="shared" si="68"/>
        <v>-22000</v>
      </c>
      <c r="D2236" s="30">
        <f>VLOOKUP(A2236,'Database Claims'!$A:$C,2,)</f>
        <v>5828000</v>
      </c>
      <c r="E2236" s="30">
        <f t="shared" si="69"/>
        <v>-72000</v>
      </c>
    </row>
    <row r="2237" spans="1:5" x14ac:dyDescent="0.2">
      <c r="A2237" s="29">
        <v>40103</v>
      </c>
      <c r="B2237" s="26">
        <f>VLOOKUP(A2237,'Database Claims'!$A:$C,3,)</f>
        <v>531000</v>
      </c>
      <c r="C2237" s="30">
        <f t="shared" si="68"/>
        <v>20000</v>
      </c>
      <c r="D2237" s="26">
        <f>VLOOKUP(A2237,'Database Claims'!$A:$C,2,)</f>
        <v>5746000</v>
      </c>
      <c r="E2237" s="30">
        <f t="shared" si="69"/>
        <v>-82000</v>
      </c>
    </row>
    <row r="2238" spans="1:5" x14ac:dyDescent="0.2">
      <c r="A2238" s="29">
        <v>40110</v>
      </c>
      <c r="B2238" s="30">
        <f>VLOOKUP(A2238,'Database Claims'!$A:$C,3,)</f>
        <v>530000</v>
      </c>
      <c r="C2238" s="30">
        <f t="shared" si="68"/>
        <v>-1000</v>
      </c>
      <c r="D2238" s="30">
        <f>VLOOKUP(A2238,'Database Claims'!$A:$C,2,)</f>
        <v>5705000</v>
      </c>
      <c r="E2238" s="30">
        <f t="shared" si="69"/>
        <v>-41000</v>
      </c>
    </row>
    <row r="2239" spans="1:5" x14ac:dyDescent="0.2">
      <c r="A2239" s="29">
        <v>40117</v>
      </c>
      <c r="B2239" s="26">
        <f>VLOOKUP(A2239,'Database Claims'!$A:$C,3,)</f>
        <v>522000</v>
      </c>
      <c r="C2239" s="30">
        <f t="shared" si="68"/>
        <v>-8000</v>
      </c>
      <c r="D2239" s="26">
        <f>VLOOKUP(A2239,'Database Claims'!$A:$C,2,)</f>
        <v>5649000</v>
      </c>
      <c r="E2239" s="30">
        <f t="shared" si="69"/>
        <v>-56000</v>
      </c>
    </row>
    <row r="2240" spans="1:5" x14ac:dyDescent="0.2">
      <c r="A2240" s="29">
        <v>40124</v>
      </c>
      <c r="B2240" s="30">
        <f>VLOOKUP(A2240,'Database Claims'!$A:$C,3,)</f>
        <v>512000</v>
      </c>
      <c r="C2240" s="30">
        <f t="shared" si="68"/>
        <v>-10000</v>
      </c>
      <c r="D2240" s="30">
        <f>VLOOKUP(A2240,'Database Claims'!$A:$C,2,)</f>
        <v>5568000</v>
      </c>
      <c r="E2240" s="30">
        <f t="shared" si="69"/>
        <v>-81000</v>
      </c>
    </row>
    <row r="2241" spans="1:5" x14ac:dyDescent="0.2">
      <c r="A2241" s="29">
        <v>40131</v>
      </c>
      <c r="B2241" s="26">
        <f>VLOOKUP(A2241,'Database Claims'!$A:$C,3,)</f>
        <v>507000</v>
      </c>
      <c r="C2241" s="30">
        <f t="shared" si="68"/>
        <v>-5000</v>
      </c>
      <c r="D2241" s="26">
        <f>VLOOKUP(A2241,'Database Claims'!$A:$C,2,)</f>
        <v>5462000</v>
      </c>
      <c r="E2241" s="30">
        <f t="shared" si="69"/>
        <v>-106000</v>
      </c>
    </row>
    <row r="2242" spans="1:5" x14ac:dyDescent="0.2">
      <c r="A2242" s="29">
        <v>40138</v>
      </c>
      <c r="B2242" s="30">
        <f>VLOOKUP(A2242,'Database Claims'!$A:$C,3,)</f>
        <v>482000</v>
      </c>
      <c r="C2242" s="30">
        <f t="shared" si="68"/>
        <v>-25000</v>
      </c>
      <c r="D2242" s="30">
        <f>VLOOKUP(A2242,'Database Claims'!$A:$C,2,)</f>
        <v>5489000</v>
      </c>
      <c r="E2242" s="30">
        <f t="shared" si="69"/>
        <v>27000</v>
      </c>
    </row>
    <row r="2243" spans="1:5" x14ac:dyDescent="0.2">
      <c r="A2243" s="29">
        <v>40145</v>
      </c>
      <c r="B2243" s="26">
        <f>VLOOKUP(A2243,'Database Claims'!$A:$C,3,)</f>
        <v>475000</v>
      </c>
      <c r="C2243" s="30">
        <f t="shared" si="68"/>
        <v>-7000</v>
      </c>
      <c r="D2243" s="26">
        <f>VLOOKUP(A2243,'Database Claims'!$A:$C,2,)</f>
        <v>5323000</v>
      </c>
      <c r="E2243" s="30">
        <f t="shared" si="69"/>
        <v>-166000</v>
      </c>
    </row>
    <row r="2244" spans="1:5" x14ac:dyDescent="0.2">
      <c r="A2244" s="29">
        <v>40152</v>
      </c>
      <c r="B2244" s="30">
        <f>VLOOKUP(A2244,'Database Claims'!$A:$C,3,)</f>
        <v>497000</v>
      </c>
      <c r="C2244" s="30">
        <f t="shared" si="68"/>
        <v>22000</v>
      </c>
      <c r="D2244" s="30">
        <f>VLOOKUP(A2244,'Database Claims'!$A:$C,2,)</f>
        <v>5289000</v>
      </c>
      <c r="E2244" s="30">
        <f t="shared" si="69"/>
        <v>-34000</v>
      </c>
    </row>
    <row r="2245" spans="1:5" x14ac:dyDescent="0.2">
      <c r="A2245" s="29">
        <v>40159</v>
      </c>
      <c r="B2245" s="26">
        <f>VLOOKUP(A2245,'Database Claims'!$A:$C,3,)</f>
        <v>498000</v>
      </c>
      <c r="C2245" s="30">
        <f t="shared" si="68"/>
        <v>1000</v>
      </c>
      <c r="D2245" s="26">
        <f>VLOOKUP(A2245,'Database Claims'!$A:$C,2,)</f>
        <v>5191000</v>
      </c>
      <c r="E2245" s="30">
        <f t="shared" si="69"/>
        <v>-98000</v>
      </c>
    </row>
    <row r="2246" spans="1:5" x14ac:dyDescent="0.2">
      <c r="A2246" s="29">
        <v>40166</v>
      </c>
      <c r="B2246" s="30">
        <f>VLOOKUP(A2246,'Database Claims'!$A:$C,3,)</f>
        <v>479000</v>
      </c>
      <c r="C2246" s="30">
        <f t="shared" ref="C2246:C2309" si="70">B2246-B2245</f>
        <v>-19000</v>
      </c>
      <c r="D2246" s="30">
        <f>VLOOKUP(A2246,'Database Claims'!$A:$C,2,)</f>
        <v>5100000</v>
      </c>
      <c r="E2246" s="30">
        <f t="shared" ref="E2246:E2309" si="71">D2246-D2245</f>
        <v>-91000</v>
      </c>
    </row>
    <row r="2247" spans="1:5" x14ac:dyDescent="0.2">
      <c r="A2247" s="29">
        <v>40173</v>
      </c>
      <c r="B2247" s="26">
        <f>VLOOKUP(A2247,'Database Claims'!$A:$C,3,)</f>
        <v>468000</v>
      </c>
      <c r="C2247" s="30">
        <f t="shared" si="70"/>
        <v>-11000</v>
      </c>
      <c r="D2247" s="26">
        <f>VLOOKUP(A2247,'Database Claims'!$A:$C,2,)</f>
        <v>4987000</v>
      </c>
      <c r="E2247" s="30">
        <f t="shared" si="71"/>
        <v>-113000</v>
      </c>
    </row>
    <row r="2248" spans="1:5" x14ac:dyDescent="0.2">
      <c r="A2248" s="29">
        <v>40180</v>
      </c>
      <c r="B2248" s="30">
        <f>VLOOKUP(A2248,'Database Claims'!$A:$C,3,)</f>
        <v>456000</v>
      </c>
      <c r="C2248" s="30">
        <f t="shared" si="70"/>
        <v>-12000</v>
      </c>
      <c r="D2248" s="30">
        <f>VLOOKUP(A2248,'Database Claims'!$A:$C,2,)</f>
        <v>4870000</v>
      </c>
      <c r="E2248" s="30">
        <f t="shared" si="71"/>
        <v>-117000</v>
      </c>
    </row>
    <row r="2249" spans="1:5" x14ac:dyDescent="0.2">
      <c r="A2249" s="29">
        <v>40187</v>
      </c>
      <c r="B2249" s="26">
        <f>VLOOKUP(A2249,'Database Claims'!$A:$C,3,)</f>
        <v>469000</v>
      </c>
      <c r="C2249" s="30">
        <f t="shared" si="70"/>
        <v>13000</v>
      </c>
      <c r="D2249" s="26">
        <f>VLOOKUP(A2249,'Database Claims'!$A:$C,2,)</f>
        <v>4879000</v>
      </c>
      <c r="E2249" s="30">
        <f t="shared" si="71"/>
        <v>9000</v>
      </c>
    </row>
    <row r="2250" spans="1:5" x14ac:dyDescent="0.2">
      <c r="A2250" s="29">
        <v>40194</v>
      </c>
      <c r="B2250" s="30">
        <f>VLOOKUP(A2250,'Database Claims'!$A:$C,3,)</f>
        <v>507000</v>
      </c>
      <c r="C2250" s="30">
        <f t="shared" si="70"/>
        <v>38000</v>
      </c>
      <c r="D2250" s="30">
        <f>VLOOKUP(A2250,'Database Claims'!$A:$C,2,)</f>
        <v>4809000</v>
      </c>
      <c r="E2250" s="30">
        <f t="shared" si="71"/>
        <v>-70000</v>
      </c>
    </row>
    <row r="2251" spans="1:5" x14ac:dyDescent="0.2">
      <c r="A2251" s="29">
        <v>40201</v>
      </c>
      <c r="B2251" s="26">
        <f>VLOOKUP(A2251,'Database Claims'!$A:$C,3,)</f>
        <v>471000</v>
      </c>
      <c r="C2251" s="30">
        <f t="shared" si="70"/>
        <v>-36000</v>
      </c>
      <c r="D2251" s="26">
        <f>VLOOKUP(A2251,'Database Claims'!$A:$C,2,)</f>
        <v>4841000</v>
      </c>
      <c r="E2251" s="30">
        <f t="shared" si="71"/>
        <v>32000</v>
      </c>
    </row>
    <row r="2252" spans="1:5" x14ac:dyDescent="0.2">
      <c r="A2252" s="29">
        <v>40208</v>
      </c>
      <c r="B2252" s="30">
        <f>VLOOKUP(A2252,'Database Claims'!$A:$C,3,)</f>
        <v>496000</v>
      </c>
      <c r="C2252" s="30">
        <f t="shared" si="70"/>
        <v>25000</v>
      </c>
      <c r="D2252" s="30">
        <f>VLOOKUP(A2252,'Database Claims'!$A:$C,2,)</f>
        <v>4796000</v>
      </c>
      <c r="E2252" s="30">
        <f t="shared" si="71"/>
        <v>-45000</v>
      </c>
    </row>
    <row r="2253" spans="1:5" x14ac:dyDescent="0.2">
      <c r="A2253" s="29">
        <v>40215</v>
      </c>
      <c r="B2253" s="26">
        <f>VLOOKUP(A2253,'Database Claims'!$A:$C,3,)</f>
        <v>466000</v>
      </c>
      <c r="C2253" s="30">
        <f t="shared" si="70"/>
        <v>-30000</v>
      </c>
      <c r="D2253" s="26">
        <f>VLOOKUP(A2253,'Database Claims'!$A:$C,2,)</f>
        <v>4838000</v>
      </c>
      <c r="E2253" s="30">
        <f t="shared" si="71"/>
        <v>42000</v>
      </c>
    </row>
    <row r="2254" spans="1:5" x14ac:dyDescent="0.2">
      <c r="A2254" s="29">
        <v>40222</v>
      </c>
      <c r="B2254" s="30">
        <f>VLOOKUP(A2254,'Database Claims'!$A:$C,3,)</f>
        <v>489000</v>
      </c>
      <c r="C2254" s="30">
        <f t="shared" si="70"/>
        <v>23000</v>
      </c>
      <c r="D2254" s="30">
        <f>VLOOKUP(A2254,'Database Claims'!$A:$C,2,)</f>
        <v>4815000</v>
      </c>
      <c r="E2254" s="30">
        <f t="shared" si="71"/>
        <v>-23000</v>
      </c>
    </row>
    <row r="2255" spans="1:5" x14ac:dyDescent="0.2">
      <c r="A2255" s="29">
        <v>40229</v>
      </c>
      <c r="B2255" s="26">
        <f>VLOOKUP(A2255,'Database Claims'!$A:$C,3,)</f>
        <v>500000</v>
      </c>
      <c r="C2255" s="30">
        <f t="shared" si="70"/>
        <v>11000</v>
      </c>
      <c r="D2255" s="26">
        <f>VLOOKUP(A2255,'Database Claims'!$A:$C,2,)</f>
        <v>4767000</v>
      </c>
      <c r="E2255" s="30">
        <f t="shared" si="71"/>
        <v>-48000</v>
      </c>
    </row>
    <row r="2256" spans="1:5" x14ac:dyDescent="0.2">
      <c r="A2256" s="29">
        <v>40236</v>
      </c>
      <c r="B2256" s="30">
        <f>VLOOKUP(A2256,'Database Claims'!$A:$C,3,)</f>
        <v>488000</v>
      </c>
      <c r="C2256" s="30">
        <f t="shared" si="70"/>
        <v>-12000</v>
      </c>
      <c r="D2256" s="30">
        <f>VLOOKUP(A2256,'Database Claims'!$A:$C,2,)</f>
        <v>4755000</v>
      </c>
      <c r="E2256" s="30">
        <f t="shared" si="71"/>
        <v>-12000</v>
      </c>
    </row>
    <row r="2257" spans="1:5" x14ac:dyDescent="0.2">
      <c r="A2257" s="29">
        <v>40243</v>
      </c>
      <c r="B2257" s="26">
        <f>VLOOKUP(A2257,'Database Claims'!$A:$C,3,)</f>
        <v>472000</v>
      </c>
      <c r="C2257" s="30">
        <f t="shared" si="70"/>
        <v>-16000</v>
      </c>
      <c r="D2257" s="26">
        <f>VLOOKUP(A2257,'Database Claims'!$A:$C,2,)</f>
        <v>4766000</v>
      </c>
      <c r="E2257" s="30">
        <f t="shared" si="71"/>
        <v>11000</v>
      </c>
    </row>
    <row r="2258" spans="1:5" x14ac:dyDescent="0.2">
      <c r="A2258" s="29">
        <v>40250</v>
      </c>
      <c r="B2258" s="30">
        <f>VLOOKUP(A2258,'Database Claims'!$A:$C,3,)</f>
        <v>478000</v>
      </c>
      <c r="C2258" s="30">
        <f t="shared" si="70"/>
        <v>6000</v>
      </c>
      <c r="D2258" s="30">
        <f>VLOOKUP(A2258,'Database Claims'!$A:$C,2,)</f>
        <v>4750000</v>
      </c>
      <c r="E2258" s="30">
        <f t="shared" si="71"/>
        <v>-16000</v>
      </c>
    </row>
    <row r="2259" spans="1:5" x14ac:dyDescent="0.2">
      <c r="A2259" s="29">
        <v>40257</v>
      </c>
      <c r="B2259" s="26">
        <f>VLOOKUP(A2259,'Database Claims'!$A:$C,3,)</f>
        <v>472000</v>
      </c>
      <c r="C2259" s="30">
        <f t="shared" si="70"/>
        <v>-6000</v>
      </c>
      <c r="D2259" s="26">
        <f>VLOOKUP(A2259,'Database Claims'!$A:$C,2,)</f>
        <v>4743000</v>
      </c>
      <c r="E2259" s="30">
        <f t="shared" si="71"/>
        <v>-7000</v>
      </c>
    </row>
    <row r="2260" spans="1:5" x14ac:dyDescent="0.2">
      <c r="A2260" s="29">
        <v>40264</v>
      </c>
      <c r="B2260" s="30">
        <f>VLOOKUP(A2260,'Database Claims'!$A:$C,3,)</f>
        <v>459000</v>
      </c>
      <c r="C2260" s="30">
        <f t="shared" si="70"/>
        <v>-13000</v>
      </c>
      <c r="D2260" s="30">
        <f>VLOOKUP(A2260,'Database Claims'!$A:$C,2,)</f>
        <v>4668000</v>
      </c>
      <c r="E2260" s="30">
        <f t="shared" si="71"/>
        <v>-75000</v>
      </c>
    </row>
    <row r="2261" spans="1:5" x14ac:dyDescent="0.2">
      <c r="A2261" s="29">
        <v>40271</v>
      </c>
      <c r="B2261" s="26">
        <f>VLOOKUP(A2261,'Database Claims'!$A:$C,3,)</f>
        <v>479000</v>
      </c>
      <c r="C2261" s="30">
        <f t="shared" si="70"/>
        <v>20000</v>
      </c>
      <c r="D2261" s="26">
        <f>VLOOKUP(A2261,'Database Claims'!$A:$C,2,)</f>
        <v>4755000</v>
      </c>
      <c r="E2261" s="30">
        <f t="shared" si="71"/>
        <v>87000</v>
      </c>
    </row>
    <row r="2262" spans="1:5" x14ac:dyDescent="0.2">
      <c r="A2262" s="29">
        <v>40278</v>
      </c>
      <c r="B2262" s="30">
        <f>VLOOKUP(A2262,'Database Claims'!$A:$C,3,)</f>
        <v>479000</v>
      </c>
      <c r="C2262" s="30">
        <f t="shared" si="70"/>
        <v>0</v>
      </c>
      <c r="D2262" s="30">
        <f>VLOOKUP(A2262,'Database Claims'!$A:$C,2,)</f>
        <v>4746000</v>
      </c>
      <c r="E2262" s="30">
        <f t="shared" si="71"/>
        <v>-9000</v>
      </c>
    </row>
    <row r="2263" spans="1:5" x14ac:dyDescent="0.2">
      <c r="A2263" s="29">
        <v>40285</v>
      </c>
      <c r="B2263" s="26">
        <f>VLOOKUP(A2263,'Database Claims'!$A:$C,3,)</f>
        <v>469000</v>
      </c>
      <c r="C2263" s="30">
        <f t="shared" si="70"/>
        <v>-10000</v>
      </c>
      <c r="D2263" s="26">
        <f>VLOOKUP(A2263,'Database Claims'!$A:$C,2,)</f>
        <v>4721000</v>
      </c>
      <c r="E2263" s="30">
        <f t="shared" si="71"/>
        <v>-25000</v>
      </c>
    </row>
    <row r="2264" spans="1:5" x14ac:dyDescent="0.2">
      <c r="A2264" s="29">
        <v>40292</v>
      </c>
      <c r="B2264" s="30">
        <f>VLOOKUP(A2264,'Database Claims'!$A:$C,3,)</f>
        <v>449000</v>
      </c>
      <c r="C2264" s="30">
        <f t="shared" si="70"/>
        <v>-20000</v>
      </c>
      <c r="D2264" s="30">
        <f>VLOOKUP(A2264,'Database Claims'!$A:$C,2,)</f>
        <v>4690000</v>
      </c>
      <c r="E2264" s="30">
        <f t="shared" si="71"/>
        <v>-31000</v>
      </c>
    </row>
    <row r="2265" spans="1:5" x14ac:dyDescent="0.2">
      <c r="A2265" s="29">
        <v>40299</v>
      </c>
      <c r="B2265" s="26">
        <f>VLOOKUP(A2265,'Database Claims'!$A:$C,3,)</f>
        <v>451000</v>
      </c>
      <c r="C2265" s="30">
        <f t="shared" si="70"/>
        <v>2000</v>
      </c>
      <c r="D2265" s="26">
        <f>VLOOKUP(A2265,'Database Claims'!$A:$C,2,)</f>
        <v>4695000</v>
      </c>
      <c r="E2265" s="30">
        <f t="shared" si="71"/>
        <v>5000</v>
      </c>
    </row>
    <row r="2266" spans="1:5" x14ac:dyDescent="0.2">
      <c r="A2266" s="29">
        <v>40306</v>
      </c>
      <c r="B2266" s="30">
        <f>VLOOKUP(A2266,'Database Claims'!$A:$C,3,)</f>
        <v>451000</v>
      </c>
      <c r="C2266" s="30">
        <f t="shared" si="70"/>
        <v>0</v>
      </c>
      <c r="D2266" s="30">
        <f>VLOOKUP(A2266,'Database Claims'!$A:$C,2,)</f>
        <v>4707000</v>
      </c>
      <c r="E2266" s="30">
        <f t="shared" si="71"/>
        <v>12000</v>
      </c>
    </row>
    <row r="2267" spans="1:5" x14ac:dyDescent="0.2">
      <c r="A2267" s="29">
        <v>40313</v>
      </c>
      <c r="B2267" s="26">
        <f>VLOOKUP(A2267,'Database Claims'!$A:$C,3,)</f>
        <v>474000</v>
      </c>
      <c r="C2267" s="30">
        <f t="shared" si="70"/>
        <v>23000</v>
      </c>
      <c r="D2267" s="26">
        <f>VLOOKUP(A2267,'Database Claims'!$A:$C,2,)</f>
        <v>4688000</v>
      </c>
      <c r="E2267" s="30">
        <f t="shared" si="71"/>
        <v>-19000</v>
      </c>
    </row>
    <row r="2268" spans="1:5" x14ac:dyDescent="0.2">
      <c r="A2268" s="29">
        <v>40320</v>
      </c>
      <c r="B2268" s="30">
        <f>VLOOKUP(A2268,'Database Claims'!$A:$C,3,)</f>
        <v>463000</v>
      </c>
      <c r="C2268" s="30">
        <f t="shared" si="70"/>
        <v>-11000</v>
      </c>
      <c r="D2268" s="30">
        <f>VLOOKUP(A2268,'Database Claims'!$A:$C,2,)</f>
        <v>4731000</v>
      </c>
      <c r="E2268" s="30">
        <f t="shared" si="71"/>
        <v>43000</v>
      </c>
    </row>
    <row r="2269" spans="1:5" x14ac:dyDescent="0.2">
      <c r="A2269" s="29">
        <v>40327</v>
      </c>
      <c r="B2269" s="26">
        <f>VLOOKUP(A2269,'Database Claims'!$A:$C,3,)</f>
        <v>458000</v>
      </c>
      <c r="C2269" s="30">
        <f t="shared" si="70"/>
        <v>-5000</v>
      </c>
      <c r="D2269" s="26">
        <f>VLOOKUP(A2269,'Database Claims'!$A:$C,2,)</f>
        <v>4553000</v>
      </c>
      <c r="E2269" s="30">
        <f t="shared" si="71"/>
        <v>-178000</v>
      </c>
    </row>
    <row r="2270" spans="1:5" x14ac:dyDescent="0.2">
      <c r="A2270" s="29">
        <v>40334</v>
      </c>
      <c r="B2270" s="30">
        <f>VLOOKUP(A2270,'Database Claims'!$A:$C,3,)</f>
        <v>459000</v>
      </c>
      <c r="C2270" s="30">
        <f t="shared" si="70"/>
        <v>1000</v>
      </c>
      <c r="D2270" s="30">
        <f>VLOOKUP(A2270,'Database Claims'!$A:$C,2,)</f>
        <v>4624000</v>
      </c>
      <c r="E2270" s="30">
        <f t="shared" si="71"/>
        <v>71000</v>
      </c>
    </row>
    <row r="2271" spans="1:5" x14ac:dyDescent="0.2">
      <c r="A2271" s="29">
        <v>40341</v>
      </c>
      <c r="B2271" s="26">
        <f>VLOOKUP(A2271,'Database Claims'!$A:$C,3,)</f>
        <v>467000</v>
      </c>
      <c r="C2271" s="30">
        <f t="shared" si="70"/>
        <v>8000</v>
      </c>
      <c r="D2271" s="26">
        <f>VLOOKUP(A2271,'Database Claims'!$A:$C,2,)</f>
        <v>4606000</v>
      </c>
      <c r="E2271" s="30">
        <f t="shared" si="71"/>
        <v>-18000</v>
      </c>
    </row>
    <row r="2272" spans="1:5" x14ac:dyDescent="0.2">
      <c r="A2272" s="29">
        <v>40348</v>
      </c>
      <c r="B2272" s="30">
        <f>VLOOKUP(A2272,'Database Claims'!$A:$C,3,)</f>
        <v>452000</v>
      </c>
      <c r="C2272" s="30">
        <f t="shared" si="70"/>
        <v>-15000</v>
      </c>
      <c r="D2272" s="30">
        <f>VLOOKUP(A2272,'Database Claims'!$A:$C,2,)</f>
        <v>4619000</v>
      </c>
      <c r="E2272" s="30">
        <f t="shared" si="71"/>
        <v>13000</v>
      </c>
    </row>
    <row r="2273" spans="1:5" x14ac:dyDescent="0.2">
      <c r="A2273" s="29">
        <v>40355</v>
      </c>
      <c r="B2273" s="26">
        <f>VLOOKUP(A2273,'Database Claims'!$A:$C,3,)</f>
        <v>464000</v>
      </c>
      <c r="C2273" s="30">
        <f t="shared" si="70"/>
        <v>12000</v>
      </c>
      <c r="D2273" s="26">
        <f>VLOOKUP(A2273,'Database Claims'!$A:$C,2,)</f>
        <v>4484000</v>
      </c>
      <c r="E2273" s="30">
        <f t="shared" si="71"/>
        <v>-135000</v>
      </c>
    </row>
    <row r="2274" spans="1:5" x14ac:dyDescent="0.2">
      <c r="A2274" s="29">
        <v>40362</v>
      </c>
      <c r="B2274" s="30">
        <f>VLOOKUP(A2274,'Database Claims'!$A:$C,3,)</f>
        <v>454000</v>
      </c>
      <c r="C2274" s="30">
        <f t="shared" si="70"/>
        <v>-10000</v>
      </c>
      <c r="D2274" s="30">
        <f>VLOOKUP(A2274,'Database Claims'!$A:$C,2,)</f>
        <v>4620000</v>
      </c>
      <c r="E2274" s="30">
        <f t="shared" si="71"/>
        <v>136000</v>
      </c>
    </row>
    <row r="2275" spans="1:5" x14ac:dyDescent="0.2">
      <c r="A2275" s="29">
        <v>40369</v>
      </c>
      <c r="B2275" s="26">
        <f>VLOOKUP(A2275,'Database Claims'!$A:$C,3,)</f>
        <v>439000</v>
      </c>
      <c r="C2275" s="30">
        <f t="shared" si="70"/>
        <v>-15000</v>
      </c>
      <c r="D2275" s="26">
        <f>VLOOKUP(A2275,'Database Claims'!$A:$C,2,)</f>
        <v>4482000</v>
      </c>
      <c r="E2275" s="30">
        <f t="shared" si="71"/>
        <v>-138000</v>
      </c>
    </row>
    <row r="2276" spans="1:5" x14ac:dyDescent="0.2">
      <c r="A2276" s="29">
        <v>40376</v>
      </c>
      <c r="B2276" s="30">
        <f>VLOOKUP(A2276,'Database Claims'!$A:$C,3,)</f>
        <v>462000</v>
      </c>
      <c r="C2276" s="30">
        <f t="shared" si="70"/>
        <v>23000</v>
      </c>
      <c r="D2276" s="30">
        <f>VLOOKUP(A2276,'Database Claims'!$A:$C,2,)</f>
        <v>4545000</v>
      </c>
      <c r="E2276" s="30">
        <f t="shared" si="71"/>
        <v>63000</v>
      </c>
    </row>
    <row r="2277" spans="1:5" x14ac:dyDescent="0.2">
      <c r="A2277" s="29">
        <v>40383</v>
      </c>
      <c r="B2277" s="26">
        <f>VLOOKUP(A2277,'Database Claims'!$A:$C,3,)</f>
        <v>465000</v>
      </c>
      <c r="C2277" s="30">
        <f t="shared" si="70"/>
        <v>3000</v>
      </c>
      <c r="D2277" s="26">
        <f>VLOOKUP(A2277,'Database Claims'!$A:$C,2,)</f>
        <v>4529000</v>
      </c>
      <c r="E2277" s="30">
        <f t="shared" si="71"/>
        <v>-16000</v>
      </c>
    </row>
    <row r="2278" spans="1:5" x14ac:dyDescent="0.2">
      <c r="A2278" s="29">
        <v>40390</v>
      </c>
      <c r="B2278" s="30">
        <f>VLOOKUP(A2278,'Database Claims'!$A:$C,3,)</f>
        <v>476000</v>
      </c>
      <c r="C2278" s="30">
        <f t="shared" si="70"/>
        <v>11000</v>
      </c>
      <c r="D2278" s="30">
        <f>VLOOKUP(A2278,'Database Claims'!$A:$C,2,)</f>
        <v>4467000</v>
      </c>
      <c r="E2278" s="30">
        <f t="shared" si="71"/>
        <v>-62000</v>
      </c>
    </row>
    <row r="2279" spans="1:5" x14ac:dyDescent="0.2">
      <c r="A2279" s="29">
        <v>40397</v>
      </c>
      <c r="B2279" s="26">
        <f>VLOOKUP(A2279,'Database Claims'!$A:$C,3,)</f>
        <v>483000</v>
      </c>
      <c r="C2279" s="30">
        <f t="shared" si="70"/>
        <v>7000</v>
      </c>
      <c r="D2279" s="26">
        <f>VLOOKUP(A2279,'Database Claims'!$A:$C,2,)</f>
        <v>4478000</v>
      </c>
      <c r="E2279" s="30">
        <f t="shared" si="71"/>
        <v>11000</v>
      </c>
    </row>
    <row r="2280" spans="1:5" x14ac:dyDescent="0.2">
      <c r="A2280" s="29">
        <v>40404</v>
      </c>
      <c r="B2280" s="30">
        <f>VLOOKUP(A2280,'Database Claims'!$A:$C,3,)</f>
        <v>486000</v>
      </c>
      <c r="C2280" s="30">
        <f t="shared" si="70"/>
        <v>3000</v>
      </c>
      <c r="D2280" s="30">
        <f>VLOOKUP(A2280,'Database Claims'!$A:$C,2,)</f>
        <v>4432000</v>
      </c>
      <c r="E2280" s="30">
        <f t="shared" si="71"/>
        <v>-46000</v>
      </c>
    </row>
    <row r="2281" spans="1:5" x14ac:dyDescent="0.2">
      <c r="A2281" s="29">
        <v>40411</v>
      </c>
      <c r="B2281" s="26">
        <f>VLOOKUP(A2281,'Database Claims'!$A:$C,3,)</f>
        <v>464000</v>
      </c>
      <c r="C2281" s="30">
        <f t="shared" si="70"/>
        <v>-22000</v>
      </c>
      <c r="D2281" s="26">
        <f>VLOOKUP(A2281,'Database Claims'!$A:$C,2,)</f>
        <v>4426000</v>
      </c>
      <c r="E2281" s="30">
        <f t="shared" si="71"/>
        <v>-6000</v>
      </c>
    </row>
    <row r="2282" spans="1:5" x14ac:dyDescent="0.2">
      <c r="A2282" s="29">
        <v>40418</v>
      </c>
      <c r="B2282" s="30">
        <f>VLOOKUP(A2282,'Database Claims'!$A:$C,3,)</f>
        <v>467000</v>
      </c>
      <c r="C2282" s="30">
        <f t="shared" si="70"/>
        <v>3000</v>
      </c>
      <c r="D2282" s="30">
        <f>VLOOKUP(A2282,'Database Claims'!$A:$C,2,)</f>
        <v>4509000</v>
      </c>
      <c r="E2282" s="30">
        <f t="shared" si="71"/>
        <v>83000</v>
      </c>
    </row>
    <row r="2283" spans="1:5" x14ac:dyDescent="0.2">
      <c r="A2283" s="29">
        <v>40425</v>
      </c>
      <c r="B2283" s="26">
        <f>VLOOKUP(A2283,'Database Claims'!$A:$C,3,)</f>
        <v>452000</v>
      </c>
      <c r="C2283" s="30">
        <f t="shared" si="70"/>
        <v>-15000</v>
      </c>
      <c r="D2283" s="26">
        <f>VLOOKUP(A2283,'Database Claims'!$A:$C,2,)</f>
        <v>4501000</v>
      </c>
      <c r="E2283" s="30">
        <f t="shared" si="71"/>
        <v>-8000</v>
      </c>
    </row>
    <row r="2284" spans="1:5" x14ac:dyDescent="0.2">
      <c r="A2284" s="29">
        <v>40432</v>
      </c>
      <c r="B2284" s="30">
        <f>VLOOKUP(A2284,'Database Claims'!$A:$C,3,)</f>
        <v>444000</v>
      </c>
      <c r="C2284" s="30">
        <f t="shared" si="70"/>
        <v>-8000</v>
      </c>
      <c r="D2284" s="30">
        <f>VLOOKUP(A2284,'Database Claims'!$A:$C,2,)</f>
        <v>4487000</v>
      </c>
      <c r="E2284" s="30">
        <f t="shared" si="71"/>
        <v>-14000</v>
      </c>
    </row>
    <row r="2285" spans="1:5" x14ac:dyDescent="0.2">
      <c r="A2285" s="29">
        <v>40439</v>
      </c>
      <c r="B2285" s="26">
        <f>VLOOKUP(A2285,'Database Claims'!$A:$C,3,)</f>
        <v>459000</v>
      </c>
      <c r="C2285" s="30">
        <f t="shared" si="70"/>
        <v>15000</v>
      </c>
      <c r="D2285" s="26">
        <f>VLOOKUP(A2285,'Database Claims'!$A:$C,2,)</f>
        <v>4452000</v>
      </c>
      <c r="E2285" s="30">
        <f t="shared" si="71"/>
        <v>-35000</v>
      </c>
    </row>
    <row r="2286" spans="1:5" x14ac:dyDescent="0.2">
      <c r="A2286" s="29">
        <v>40446</v>
      </c>
      <c r="B2286" s="30">
        <f>VLOOKUP(A2286,'Database Claims'!$A:$C,3,)</f>
        <v>459000</v>
      </c>
      <c r="C2286" s="30">
        <f t="shared" si="70"/>
        <v>0</v>
      </c>
      <c r="D2286" s="30">
        <f>VLOOKUP(A2286,'Database Claims'!$A:$C,2,)</f>
        <v>4431000</v>
      </c>
      <c r="E2286" s="30">
        <f t="shared" si="71"/>
        <v>-21000</v>
      </c>
    </row>
    <row r="2287" spans="1:5" x14ac:dyDescent="0.2">
      <c r="A2287" s="29">
        <v>40453</v>
      </c>
      <c r="B2287" s="26">
        <f>VLOOKUP(A2287,'Database Claims'!$A:$C,3,)</f>
        <v>446000</v>
      </c>
      <c r="C2287" s="30">
        <f t="shared" si="70"/>
        <v>-13000</v>
      </c>
      <c r="D2287" s="26">
        <f>VLOOKUP(A2287,'Database Claims'!$A:$C,2,)</f>
        <v>4407000</v>
      </c>
      <c r="E2287" s="30">
        <f t="shared" si="71"/>
        <v>-24000</v>
      </c>
    </row>
    <row r="2288" spans="1:5" x14ac:dyDescent="0.2">
      <c r="A2288" s="29">
        <v>40460</v>
      </c>
      <c r="B2288" s="30">
        <f>VLOOKUP(A2288,'Database Claims'!$A:$C,3,)</f>
        <v>459000</v>
      </c>
      <c r="C2288" s="30">
        <f t="shared" si="70"/>
        <v>13000</v>
      </c>
      <c r="D2288" s="30">
        <f>VLOOKUP(A2288,'Database Claims'!$A:$C,2,)</f>
        <v>4403000</v>
      </c>
      <c r="E2288" s="30">
        <f t="shared" si="71"/>
        <v>-4000</v>
      </c>
    </row>
    <row r="2289" spans="1:5" x14ac:dyDescent="0.2">
      <c r="A2289" s="29">
        <v>40467</v>
      </c>
      <c r="B2289" s="26">
        <f>VLOOKUP(A2289,'Database Claims'!$A:$C,3,)</f>
        <v>444000</v>
      </c>
      <c r="C2289" s="30">
        <f t="shared" si="70"/>
        <v>-15000</v>
      </c>
      <c r="D2289" s="26">
        <f>VLOOKUP(A2289,'Database Claims'!$A:$C,2,)</f>
        <v>4348000</v>
      </c>
      <c r="E2289" s="30">
        <f t="shared" si="71"/>
        <v>-55000</v>
      </c>
    </row>
    <row r="2290" spans="1:5" x14ac:dyDescent="0.2">
      <c r="A2290" s="29">
        <v>40474</v>
      </c>
      <c r="B2290" s="30">
        <f>VLOOKUP(A2290,'Database Claims'!$A:$C,3,)</f>
        <v>432000</v>
      </c>
      <c r="C2290" s="30">
        <f t="shared" si="70"/>
        <v>-12000</v>
      </c>
      <c r="D2290" s="30">
        <f>VLOOKUP(A2290,'Database Claims'!$A:$C,2,)</f>
        <v>4331000</v>
      </c>
      <c r="E2290" s="30">
        <f t="shared" si="71"/>
        <v>-17000</v>
      </c>
    </row>
    <row r="2291" spans="1:5" x14ac:dyDescent="0.2">
      <c r="A2291" s="29">
        <v>40481</v>
      </c>
      <c r="B2291" s="26">
        <f>VLOOKUP(A2291,'Database Claims'!$A:$C,3,)</f>
        <v>453000</v>
      </c>
      <c r="C2291" s="30">
        <f t="shared" si="70"/>
        <v>21000</v>
      </c>
      <c r="D2291" s="26">
        <f>VLOOKUP(A2291,'Database Claims'!$A:$C,2,)</f>
        <v>4328000</v>
      </c>
      <c r="E2291" s="30">
        <f t="shared" si="71"/>
        <v>-3000</v>
      </c>
    </row>
    <row r="2292" spans="1:5" x14ac:dyDescent="0.2">
      <c r="A2292" s="29">
        <v>40488</v>
      </c>
      <c r="B2292" s="30">
        <f>VLOOKUP(A2292,'Database Claims'!$A:$C,3,)</f>
        <v>434000</v>
      </c>
      <c r="C2292" s="30">
        <f t="shared" si="70"/>
        <v>-19000</v>
      </c>
      <c r="D2292" s="30">
        <f>VLOOKUP(A2292,'Database Claims'!$A:$C,2,)</f>
        <v>4270000</v>
      </c>
      <c r="E2292" s="30">
        <f t="shared" si="71"/>
        <v>-58000</v>
      </c>
    </row>
    <row r="2293" spans="1:5" x14ac:dyDescent="0.2">
      <c r="A2293" s="29">
        <v>40495</v>
      </c>
      <c r="B2293" s="26">
        <f>VLOOKUP(A2293,'Database Claims'!$A:$C,3,)</f>
        <v>432000</v>
      </c>
      <c r="C2293" s="30">
        <f t="shared" si="70"/>
        <v>-2000</v>
      </c>
      <c r="D2293" s="26">
        <f>VLOOKUP(A2293,'Database Claims'!$A:$C,2,)</f>
        <v>4176000</v>
      </c>
      <c r="E2293" s="30">
        <f t="shared" si="71"/>
        <v>-94000</v>
      </c>
    </row>
    <row r="2294" spans="1:5" x14ac:dyDescent="0.2">
      <c r="A2294" s="29">
        <v>40502</v>
      </c>
      <c r="B2294" s="30">
        <f>VLOOKUP(A2294,'Database Claims'!$A:$C,3,)</f>
        <v>407000</v>
      </c>
      <c r="C2294" s="30">
        <f t="shared" si="70"/>
        <v>-25000</v>
      </c>
      <c r="D2294" s="30">
        <f>VLOOKUP(A2294,'Database Claims'!$A:$C,2,)</f>
        <v>4218000</v>
      </c>
      <c r="E2294" s="30">
        <f t="shared" si="71"/>
        <v>42000</v>
      </c>
    </row>
    <row r="2295" spans="1:5" x14ac:dyDescent="0.2">
      <c r="A2295" s="29">
        <v>40509</v>
      </c>
      <c r="B2295" s="26">
        <f>VLOOKUP(A2295,'Database Claims'!$A:$C,3,)</f>
        <v>432000</v>
      </c>
      <c r="C2295" s="30">
        <f t="shared" si="70"/>
        <v>25000</v>
      </c>
      <c r="D2295" s="26">
        <f>VLOOKUP(A2295,'Database Claims'!$A:$C,2,)</f>
        <v>4118000</v>
      </c>
      <c r="E2295" s="30">
        <f t="shared" si="71"/>
        <v>-100000</v>
      </c>
    </row>
    <row r="2296" spans="1:5" x14ac:dyDescent="0.2">
      <c r="A2296" s="29">
        <v>40516</v>
      </c>
      <c r="B2296" s="30">
        <f>VLOOKUP(A2296,'Database Claims'!$A:$C,3,)</f>
        <v>428000</v>
      </c>
      <c r="C2296" s="30">
        <f t="shared" si="70"/>
        <v>-4000</v>
      </c>
      <c r="D2296" s="30">
        <f>VLOOKUP(A2296,'Database Claims'!$A:$C,2,)</f>
        <v>4137000</v>
      </c>
      <c r="E2296" s="30">
        <f t="shared" si="71"/>
        <v>19000</v>
      </c>
    </row>
    <row r="2297" spans="1:5" x14ac:dyDescent="0.2">
      <c r="A2297" s="29">
        <v>40523</v>
      </c>
      <c r="B2297" s="26">
        <f>VLOOKUP(A2297,'Database Claims'!$A:$C,3,)</f>
        <v>425000</v>
      </c>
      <c r="C2297" s="30">
        <f t="shared" si="70"/>
        <v>-3000</v>
      </c>
      <c r="D2297" s="26">
        <f>VLOOKUP(A2297,'Database Claims'!$A:$C,2,)</f>
        <v>4062000</v>
      </c>
      <c r="E2297" s="30">
        <f t="shared" si="71"/>
        <v>-75000</v>
      </c>
    </row>
    <row r="2298" spans="1:5" x14ac:dyDescent="0.2">
      <c r="A2298" s="29">
        <v>40530</v>
      </c>
      <c r="B2298" s="30">
        <f>VLOOKUP(A2298,'Database Claims'!$A:$C,3,)</f>
        <v>424000</v>
      </c>
      <c r="C2298" s="30">
        <f t="shared" si="70"/>
        <v>-1000</v>
      </c>
      <c r="D2298" s="30">
        <f>VLOOKUP(A2298,'Database Claims'!$A:$C,2,)</f>
        <v>4113000</v>
      </c>
      <c r="E2298" s="30">
        <f t="shared" si="71"/>
        <v>51000</v>
      </c>
    </row>
    <row r="2299" spans="1:5" x14ac:dyDescent="0.2">
      <c r="A2299" s="29">
        <v>40537</v>
      </c>
      <c r="B2299" s="26">
        <f>VLOOKUP(A2299,'Database Claims'!$A:$C,3,)</f>
        <v>404000</v>
      </c>
      <c r="C2299" s="30">
        <f t="shared" si="70"/>
        <v>-20000</v>
      </c>
      <c r="D2299" s="26">
        <f>VLOOKUP(A2299,'Database Claims'!$A:$C,2,)</f>
        <v>4088000</v>
      </c>
      <c r="E2299" s="30">
        <f t="shared" si="71"/>
        <v>-25000</v>
      </c>
    </row>
    <row r="2300" spans="1:5" x14ac:dyDescent="0.2">
      <c r="A2300" s="29">
        <v>40544</v>
      </c>
      <c r="B2300" s="30">
        <f>VLOOKUP(A2300,'Database Claims'!$A:$C,3,)</f>
        <v>413000</v>
      </c>
      <c r="C2300" s="30">
        <f t="shared" si="70"/>
        <v>9000</v>
      </c>
      <c r="D2300" s="30">
        <f>VLOOKUP(A2300,'Database Claims'!$A:$C,2,)</f>
        <v>3898000</v>
      </c>
      <c r="E2300" s="30">
        <f t="shared" si="71"/>
        <v>-190000</v>
      </c>
    </row>
    <row r="2301" spans="1:5" x14ac:dyDescent="0.2">
      <c r="A2301" s="29">
        <v>40551</v>
      </c>
      <c r="B2301" s="26">
        <f>VLOOKUP(A2301,'Database Claims'!$A:$C,3,)</f>
        <v>434000</v>
      </c>
      <c r="C2301" s="30">
        <f t="shared" si="70"/>
        <v>21000</v>
      </c>
      <c r="D2301" s="26">
        <f>VLOOKUP(A2301,'Database Claims'!$A:$C,2,)</f>
        <v>3907000</v>
      </c>
      <c r="E2301" s="30">
        <f t="shared" si="71"/>
        <v>9000</v>
      </c>
    </row>
    <row r="2302" spans="1:5" x14ac:dyDescent="0.2">
      <c r="A2302" s="29">
        <v>40558</v>
      </c>
      <c r="B2302" s="30">
        <f>VLOOKUP(A2302,'Database Claims'!$A:$C,3,)</f>
        <v>421000</v>
      </c>
      <c r="C2302" s="30">
        <f t="shared" si="70"/>
        <v>-13000</v>
      </c>
      <c r="D2302" s="30">
        <f>VLOOKUP(A2302,'Database Claims'!$A:$C,2,)</f>
        <v>3974000</v>
      </c>
      <c r="E2302" s="30">
        <f t="shared" si="71"/>
        <v>67000</v>
      </c>
    </row>
    <row r="2303" spans="1:5" x14ac:dyDescent="0.2">
      <c r="A2303" s="29">
        <v>40565</v>
      </c>
      <c r="B2303" s="26">
        <f>VLOOKUP(A2303,'Database Claims'!$A:$C,3,)</f>
        <v>446000</v>
      </c>
      <c r="C2303" s="30">
        <f t="shared" si="70"/>
        <v>25000</v>
      </c>
      <c r="D2303" s="26">
        <f>VLOOKUP(A2303,'Database Claims'!$A:$C,2,)</f>
        <v>3926000</v>
      </c>
      <c r="E2303" s="30">
        <f t="shared" si="71"/>
        <v>-48000</v>
      </c>
    </row>
    <row r="2304" spans="1:5" x14ac:dyDescent="0.2">
      <c r="A2304" s="29">
        <v>40572</v>
      </c>
      <c r="B2304" s="30">
        <f>VLOOKUP(A2304,'Database Claims'!$A:$C,3,)</f>
        <v>420000</v>
      </c>
      <c r="C2304" s="30">
        <f t="shared" si="70"/>
        <v>-26000</v>
      </c>
      <c r="D2304" s="30">
        <f>VLOOKUP(A2304,'Database Claims'!$A:$C,2,)</f>
        <v>3887000</v>
      </c>
      <c r="E2304" s="30">
        <f t="shared" si="71"/>
        <v>-39000</v>
      </c>
    </row>
    <row r="2305" spans="1:5" x14ac:dyDescent="0.2">
      <c r="A2305" s="29">
        <v>40579</v>
      </c>
      <c r="B2305" s="26">
        <f>VLOOKUP(A2305,'Database Claims'!$A:$C,3,)</f>
        <v>402000</v>
      </c>
      <c r="C2305" s="30">
        <f t="shared" si="70"/>
        <v>-18000</v>
      </c>
      <c r="D2305" s="26">
        <f>VLOOKUP(A2305,'Database Claims'!$A:$C,2,)</f>
        <v>3928000</v>
      </c>
      <c r="E2305" s="30">
        <f t="shared" si="71"/>
        <v>41000</v>
      </c>
    </row>
    <row r="2306" spans="1:5" x14ac:dyDescent="0.2">
      <c r="A2306" s="29">
        <v>40586</v>
      </c>
      <c r="B2306" s="30">
        <f>VLOOKUP(A2306,'Database Claims'!$A:$C,3,)</f>
        <v>425000</v>
      </c>
      <c r="C2306" s="30">
        <f t="shared" si="70"/>
        <v>23000</v>
      </c>
      <c r="D2306" s="30">
        <f>VLOOKUP(A2306,'Database Claims'!$A:$C,2,)</f>
        <v>3839000</v>
      </c>
      <c r="E2306" s="30">
        <f t="shared" si="71"/>
        <v>-89000</v>
      </c>
    </row>
    <row r="2307" spans="1:5" x14ac:dyDescent="0.2">
      <c r="A2307" s="29">
        <v>40593</v>
      </c>
      <c r="B2307" s="26">
        <f>VLOOKUP(A2307,'Database Claims'!$A:$C,3,)</f>
        <v>394000</v>
      </c>
      <c r="C2307" s="30">
        <f t="shared" si="70"/>
        <v>-31000</v>
      </c>
      <c r="D2307" s="26">
        <f>VLOOKUP(A2307,'Database Claims'!$A:$C,2,)</f>
        <v>3821000</v>
      </c>
      <c r="E2307" s="30">
        <f t="shared" si="71"/>
        <v>-18000</v>
      </c>
    </row>
    <row r="2308" spans="1:5" x14ac:dyDescent="0.2">
      <c r="A2308" s="29">
        <v>40600</v>
      </c>
      <c r="B2308" s="30">
        <f>VLOOKUP(A2308,'Database Claims'!$A:$C,3,)</f>
        <v>385000</v>
      </c>
      <c r="C2308" s="30">
        <f t="shared" si="70"/>
        <v>-9000</v>
      </c>
      <c r="D2308" s="30">
        <f>VLOOKUP(A2308,'Database Claims'!$A:$C,2,)</f>
        <v>3809000</v>
      </c>
      <c r="E2308" s="30">
        <f t="shared" si="71"/>
        <v>-12000</v>
      </c>
    </row>
    <row r="2309" spans="1:5" x14ac:dyDescent="0.2">
      <c r="A2309" s="29">
        <v>40607</v>
      </c>
      <c r="B2309" s="26">
        <f>VLOOKUP(A2309,'Database Claims'!$A:$C,3,)</f>
        <v>414000</v>
      </c>
      <c r="C2309" s="30">
        <f t="shared" si="70"/>
        <v>29000</v>
      </c>
      <c r="D2309" s="26">
        <f>VLOOKUP(A2309,'Database Claims'!$A:$C,2,)</f>
        <v>3772000</v>
      </c>
      <c r="E2309" s="30">
        <f t="shared" si="71"/>
        <v>-37000</v>
      </c>
    </row>
    <row r="2310" spans="1:5" x14ac:dyDescent="0.2">
      <c r="A2310" s="29">
        <v>40614</v>
      </c>
      <c r="B2310" s="30">
        <f>VLOOKUP(A2310,'Database Claims'!$A:$C,3,)</f>
        <v>404000</v>
      </c>
      <c r="C2310" s="30">
        <f t="shared" ref="C2310:C2373" si="72">B2310-B2309</f>
        <v>-10000</v>
      </c>
      <c r="D2310" s="30">
        <f>VLOOKUP(A2310,'Database Claims'!$A:$C,2,)</f>
        <v>3772000</v>
      </c>
      <c r="E2310" s="30">
        <f t="shared" ref="E2310:E2373" si="73">D2310-D2309</f>
        <v>0</v>
      </c>
    </row>
    <row r="2311" spans="1:5" x14ac:dyDescent="0.2">
      <c r="A2311" s="29">
        <v>40621</v>
      </c>
      <c r="B2311" s="26">
        <f>VLOOKUP(A2311,'Database Claims'!$A:$C,3,)</f>
        <v>407000</v>
      </c>
      <c r="C2311" s="30">
        <f t="shared" si="72"/>
        <v>3000</v>
      </c>
      <c r="D2311" s="26">
        <f>VLOOKUP(A2311,'Database Claims'!$A:$C,2,)</f>
        <v>3752000</v>
      </c>
      <c r="E2311" s="30">
        <f t="shared" si="73"/>
        <v>-20000</v>
      </c>
    </row>
    <row r="2312" spans="1:5" x14ac:dyDescent="0.2">
      <c r="A2312" s="29">
        <v>40628</v>
      </c>
      <c r="B2312" s="30">
        <f>VLOOKUP(A2312,'Database Claims'!$A:$C,3,)</f>
        <v>399000</v>
      </c>
      <c r="C2312" s="30">
        <f t="shared" si="72"/>
        <v>-8000</v>
      </c>
      <c r="D2312" s="30">
        <f>VLOOKUP(A2312,'Database Claims'!$A:$C,2,)</f>
        <v>3766000</v>
      </c>
      <c r="E2312" s="30">
        <f t="shared" si="73"/>
        <v>14000</v>
      </c>
    </row>
    <row r="2313" spans="1:5" x14ac:dyDescent="0.2">
      <c r="A2313" s="29">
        <v>40635</v>
      </c>
      <c r="B2313" s="26">
        <f>VLOOKUP(A2313,'Database Claims'!$A:$C,3,)</f>
        <v>395000</v>
      </c>
      <c r="C2313" s="30">
        <f t="shared" si="72"/>
        <v>-4000</v>
      </c>
      <c r="D2313" s="26">
        <f>VLOOKUP(A2313,'Database Claims'!$A:$C,2,)</f>
        <v>3756000</v>
      </c>
      <c r="E2313" s="30">
        <f t="shared" si="73"/>
        <v>-10000</v>
      </c>
    </row>
    <row r="2314" spans="1:5" x14ac:dyDescent="0.2">
      <c r="A2314" s="29">
        <v>40642</v>
      </c>
      <c r="B2314" s="30">
        <f>VLOOKUP(A2314,'Database Claims'!$A:$C,3,)</f>
        <v>416000</v>
      </c>
      <c r="C2314" s="30">
        <f t="shared" si="72"/>
        <v>21000</v>
      </c>
      <c r="D2314" s="30">
        <f>VLOOKUP(A2314,'Database Claims'!$A:$C,2,)</f>
        <v>3751000</v>
      </c>
      <c r="E2314" s="30">
        <f t="shared" si="73"/>
        <v>-5000</v>
      </c>
    </row>
    <row r="2315" spans="1:5" x14ac:dyDescent="0.2">
      <c r="A2315" s="29">
        <v>40649</v>
      </c>
      <c r="B2315" s="26">
        <f>VLOOKUP(A2315,'Database Claims'!$A:$C,3,)</f>
        <v>402000</v>
      </c>
      <c r="C2315" s="30">
        <f t="shared" si="72"/>
        <v>-14000</v>
      </c>
      <c r="D2315" s="26">
        <f>VLOOKUP(A2315,'Database Claims'!$A:$C,2,)</f>
        <v>3717000</v>
      </c>
      <c r="E2315" s="30">
        <f t="shared" si="73"/>
        <v>-34000</v>
      </c>
    </row>
    <row r="2316" spans="1:5" x14ac:dyDescent="0.2">
      <c r="A2316" s="29">
        <v>40656</v>
      </c>
      <c r="B2316" s="30">
        <f>VLOOKUP(A2316,'Database Claims'!$A:$C,3,)</f>
        <v>422000</v>
      </c>
      <c r="C2316" s="30">
        <f t="shared" si="72"/>
        <v>20000</v>
      </c>
      <c r="D2316" s="30">
        <f>VLOOKUP(A2316,'Database Claims'!$A:$C,2,)</f>
        <v>3796000</v>
      </c>
      <c r="E2316" s="30">
        <f t="shared" si="73"/>
        <v>79000</v>
      </c>
    </row>
    <row r="2317" spans="1:5" x14ac:dyDescent="0.2">
      <c r="A2317" s="29">
        <v>40663</v>
      </c>
      <c r="B2317" s="26">
        <f>VLOOKUP(A2317,'Database Claims'!$A:$C,3,)</f>
        <v>468000</v>
      </c>
      <c r="C2317" s="30">
        <f t="shared" si="72"/>
        <v>46000</v>
      </c>
      <c r="D2317" s="26">
        <f>VLOOKUP(A2317,'Database Claims'!$A:$C,2,)</f>
        <v>3834000</v>
      </c>
      <c r="E2317" s="30">
        <f t="shared" si="73"/>
        <v>38000</v>
      </c>
    </row>
    <row r="2318" spans="1:5" x14ac:dyDescent="0.2">
      <c r="A2318" s="29">
        <v>40670</v>
      </c>
      <c r="B2318" s="30">
        <f>VLOOKUP(A2318,'Database Claims'!$A:$C,3,)</f>
        <v>435000</v>
      </c>
      <c r="C2318" s="30">
        <f t="shared" si="72"/>
        <v>-33000</v>
      </c>
      <c r="D2318" s="30">
        <f>VLOOKUP(A2318,'Database Claims'!$A:$C,2,)</f>
        <v>3787000</v>
      </c>
      <c r="E2318" s="30">
        <f t="shared" si="73"/>
        <v>-47000</v>
      </c>
    </row>
    <row r="2319" spans="1:5" x14ac:dyDescent="0.2">
      <c r="A2319" s="29">
        <v>40677</v>
      </c>
      <c r="B2319" s="26">
        <f>VLOOKUP(A2319,'Database Claims'!$A:$C,3,)</f>
        <v>414000</v>
      </c>
      <c r="C2319" s="30">
        <f t="shared" si="72"/>
        <v>-21000</v>
      </c>
      <c r="D2319" s="26">
        <f>VLOOKUP(A2319,'Database Claims'!$A:$C,2,)</f>
        <v>3781000</v>
      </c>
      <c r="E2319" s="30">
        <f t="shared" si="73"/>
        <v>-6000</v>
      </c>
    </row>
    <row r="2320" spans="1:5" x14ac:dyDescent="0.2">
      <c r="A2320" s="29">
        <v>40684</v>
      </c>
      <c r="B2320" s="30">
        <f>VLOOKUP(A2320,'Database Claims'!$A:$C,3,)</f>
        <v>423000</v>
      </c>
      <c r="C2320" s="30">
        <f t="shared" si="72"/>
        <v>9000</v>
      </c>
      <c r="D2320" s="30">
        <f>VLOOKUP(A2320,'Database Claims'!$A:$C,2,)</f>
        <v>3799000</v>
      </c>
      <c r="E2320" s="30">
        <f t="shared" si="73"/>
        <v>18000</v>
      </c>
    </row>
    <row r="2321" spans="1:5" x14ac:dyDescent="0.2">
      <c r="A2321" s="29">
        <v>40691</v>
      </c>
      <c r="B2321" s="26">
        <f>VLOOKUP(A2321,'Database Claims'!$A:$C,3,)</f>
        <v>418000</v>
      </c>
      <c r="C2321" s="30">
        <f t="shared" si="72"/>
        <v>-5000</v>
      </c>
      <c r="D2321" s="26">
        <f>VLOOKUP(A2321,'Database Claims'!$A:$C,2,)</f>
        <v>3728000</v>
      </c>
      <c r="E2321" s="30">
        <f t="shared" si="73"/>
        <v>-71000</v>
      </c>
    </row>
    <row r="2322" spans="1:5" x14ac:dyDescent="0.2">
      <c r="A2322" s="29">
        <v>40698</v>
      </c>
      <c r="B2322" s="30">
        <f>VLOOKUP(A2322,'Database Claims'!$A:$C,3,)</f>
        <v>423000</v>
      </c>
      <c r="C2322" s="30">
        <f t="shared" si="72"/>
        <v>5000</v>
      </c>
      <c r="D2322" s="30">
        <f>VLOOKUP(A2322,'Database Claims'!$A:$C,2,)</f>
        <v>3750000</v>
      </c>
      <c r="E2322" s="30">
        <f t="shared" si="73"/>
        <v>22000</v>
      </c>
    </row>
    <row r="2323" spans="1:5" x14ac:dyDescent="0.2">
      <c r="A2323" s="29">
        <v>40705</v>
      </c>
      <c r="B2323" s="26">
        <f>VLOOKUP(A2323,'Database Claims'!$A:$C,3,)</f>
        <v>413000</v>
      </c>
      <c r="C2323" s="30">
        <f t="shared" si="72"/>
        <v>-10000</v>
      </c>
      <c r="D2323" s="26">
        <f>VLOOKUP(A2323,'Database Claims'!$A:$C,2,)</f>
        <v>3746000</v>
      </c>
      <c r="E2323" s="30">
        <f t="shared" si="73"/>
        <v>-4000</v>
      </c>
    </row>
    <row r="2324" spans="1:5" x14ac:dyDescent="0.2">
      <c r="A2324" s="29">
        <v>40712</v>
      </c>
      <c r="B2324" s="30">
        <f>VLOOKUP(A2324,'Database Claims'!$A:$C,3,)</f>
        <v>416000</v>
      </c>
      <c r="C2324" s="30">
        <f t="shared" si="72"/>
        <v>3000</v>
      </c>
      <c r="D2324" s="30">
        <f>VLOOKUP(A2324,'Database Claims'!$A:$C,2,)</f>
        <v>3752000</v>
      </c>
      <c r="E2324" s="30">
        <f t="shared" si="73"/>
        <v>6000</v>
      </c>
    </row>
    <row r="2325" spans="1:5" x14ac:dyDescent="0.2">
      <c r="A2325" s="29">
        <v>40719</v>
      </c>
      <c r="B2325" s="26">
        <f>VLOOKUP(A2325,'Database Claims'!$A:$C,3,)</f>
        <v>421000</v>
      </c>
      <c r="C2325" s="30">
        <f t="shared" si="72"/>
        <v>5000</v>
      </c>
      <c r="D2325" s="26">
        <f>VLOOKUP(A2325,'Database Claims'!$A:$C,2,)</f>
        <v>3719000</v>
      </c>
      <c r="E2325" s="30">
        <f t="shared" si="73"/>
        <v>-33000</v>
      </c>
    </row>
    <row r="2326" spans="1:5" x14ac:dyDescent="0.2">
      <c r="A2326" s="29">
        <v>40726</v>
      </c>
      <c r="B2326" s="30">
        <f>VLOOKUP(A2326,'Database Claims'!$A:$C,3,)</f>
        <v>418000</v>
      </c>
      <c r="C2326" s="30">
        <f t="shared" si="72"/>
        <v>-3000</v>
      </c>
      <c r="D2326" s="30">
        <f>VLOOKUP(A2326,'Database Claims'!$A:$C,2,)</f>
        <v>3733000</v>
      </c>
      <c r="E2326" s="30">
        <f t="shared" si="73"/>
        <v>14000</v>
      </c>
    </row>
    <row r="2327" spans="1:5" x14ac:dyDescent="0.2">
      <c r="A2327" s="29">
        <v>40733</v>
      </c>
      <c r="B2327" s="26">
        <f>VLOOKUP(A2327,'Database Claims'!$A:$C,3,)</f>
        <v>408000</v>
      </c>
      <c r="C2327" s="30">
        <f t="shared" si="72"/>
        <v>-10000</v>
      </c>
      <c r="D2327" s="26">
        <f>VLOOKUP(A2327,'Database Claims'!$A:$C,2,)</f>
        <v>3724000</v>
      </c>
      <c r="E2327" s="30">
        <f t="shared" si="73"/>
        <v>-9000</v>
      </c>
    </row>
    <row r="2328" spans="1:5" x14ac:dyDescent="0.2">
      <c r="A2328" s="29">
        <v>40740</v>
      </c>
      <c r="B2328" s="30">
        <f>VLOOKUP(A2328,'Database Claims'!$A:$C,3,)</f>
        <v>420000</v>
      </c>
      <c r="C2328" s="30">
        <f t="shared" si="72"/>
        <v>12000</v>
      </c>
      <c r="D2328" s="30">
        <f>VLOOKUP(A2328,'Database Claims'!$A:$C,2,)</f>
        <v>3734000</v>
      </c>
      <c r="E2328" s="30">
        <f t="shared" si="73"/>
        <v>10000</v>
      </c>
    </row>
    <row r="2329" spans="1:5" x14ac:dyDescent="0.2">
      <c r="A2329" s="29">
        <v>40747</v>
      </c>
      <c r="B2329" s="26">
        <f>VLOOKUP(A2329,'Database Claims'!$A:$C,3,)</f>
        <v>411000</v>
      </c>
      <c r="C2329" s="30">
        <f t="shared" si="72"/>
        <v>-9000</v>
      </c>
      <c r="D2329" s="26">
        <f>VLOOKUP(A2329,'Database Claims'!$A:$C,2,)</f>
        <v>3741000</v>
      </c>
      <c r="E2329" s="30">
        <f t="shared" si="73"/>
        <v>7000</v>
      </c>
    </row>
    <row r="2330" spans="1:5" x14ac:dyDescent="0.2">
      <c r="A2330" s="29">
        <v>40754</v>
      </c>
      <c r="B2330" s="30">
        <f>VLOOKUP(A2330,'Database Claims'!$A:$C,3,)</f>
        <v>406000</v>
      </c>
      <c r="C2330" s="30">
        <f t="shared" si="72"/>
        <v>-5000</v>
      </c>
      <c r="D2330" s="30">
        <f>VLOOKUP(A2330,'Database Claims'!$A:$C,2,)</f>
        <v>3676000</v>
      </c>
      <c r="E2330" s="30">
        <f t="shared" si="73"/>
        <v>-65000</v>
      </c>
    </row>
    <row r="2331" spans="1:5" x14ac:dyDescent="0.2">
      <c r="A2331" s="29">
        <v>40761</v>
      </c>
      <c r="B2331" s="26">
        <f>VLOOKUP(A2331,'Database Claims'!$A:$C,3,)</f>
        <v>405000</v>
      </c>
      <c r="C2331" s="30">
        <f t="shared" si="72"/>
        <v>-1000</v>
      </c>
      <c r="D2331" s="26">
        <f>VLOOKUP(A2331,'Database Claims'!$A:$C,2,)</f>
        <v>3709000</v>
      </c>
      <c r="E2331" s="30">
        <f t="shared" si="73"/>
        <v>33000</v>
      </c>
    </row>
    <row r="2332" spans="1:5" x14ac:dyDescent="0.2">
      <c r="A2332" s="29">
        <v>40768</v>
      </c>
      <c r="B2332" s="30">
        <f>VLOOKUP(A2332,'Database Claims'!$A:$C,3,)</f>
        <v>409000</v>
      </c>
      <c r="C2332" s="30">
        <f t="shared" si="72"/>
        <v>4000</v>
      </c>
      <c r="D2332" s="30">
        <f>VLOOKUP(A2332,'Database Claims'!$A:$C,2,)</f>
        <v>3717000</v>
      </c>
      <c r="E2332" s="30">
        <f t="shared" si="73"/>
        <v>8000</v>
      </c>
    </row>
    <row r="2333" spans="1:5" x14ac:dyDescent="0.2">
      <c r="A2333" s="29">
        <v>40775</v>
      </c>
      <c r="B2333" s="26">
        <f>VLOOKUP(A2333,'Database Claims'!$A:$C,3,)</f>
        <v>415000</v>
      </c>
      <c r="C2333" s="30">
        <f t="shared" si="72"/>
        <v>6000</v>
      </c>
      <c r="D2333" s="26">
        <f>VLOOKUP(A2333,'Database Claims'!$A:$C,2,)</f>
        <v>3715000</v>
      </c>
      <c r="E2333" s="30">
        <f t="shared" si="73"/>
        <v>-2000</v>
      </c>
    </row>
    <row r="2334" spans="1:5" x14ac:dyDescent="0.2">
      <c r="A2334" s="29">
        <v>40782</v>
      </c>
      <c r="B2334" s="30">
        <f>VLOOKUP(A2334,'Database Claims'!$A:$C,3,)</f>
        <v>409000</v>
      </c>
      <c r="C2334" s="30">
        <f t="shared" si="72"/>
        <v>-6000</v>
      </c>
      <c r="D2334" s="30">
        <f>VLOOKUP(A2334,'Database Claims'!$A:$C,2,)</f>
        <v>3723000</v>
      </c>
      <c r="E2334" s="30">
        <f t="shared" si="73"/>
        <v>8000</v>
      </c>
    </row>
    <row r="2335" spans="1:5" x14ac:dyDescent="0.2">
      <c r="A2335" s="29">
        <v>40789</v>
      </c>
      <c r="B2335" s="26">
        <f>VLOOKUP(A2335,'Database Claims'!$A:$C,3,)</f>
        <v>414000</v>
      </c>
      <c r="C2335" s="30">
        <f t="shared" si="72"/>
        <v>5000</v>
      </c>
      <c r="D2335" s="26">
        <f>VLOOKUP(A2335,'Database Claims'!$A:$C,2,)</f>
        <v>3759000</v>
      </c>
      <c r="E2335" s="30">
        <f t="shared" si="73"/>
        <v>36000</v>
      </c>
    </row>
    <row r="2336" spans="1:5" x14ac:dyDescent="0.2">
      <c r="A2336" s="29">
        <v>40796</v>
      </c>
      <c r="B2336" s="30">
        <f>VLOOKUP(A2336,'Database Claims'!$A:$C,3,)</f>
        <v>429000</v>
      </c>
      <c r="C2336" s="30">
        <f t="shared" si="72"/>
        <v>15000</v>
      </c>
      <c r="D2336" s="30">
        <f>VLOOKUP(A2336,'Database Claims'!$A:$C,2,)</f>
        <v>3758000</v>
      </c>
      <c r="E2336" s="30">
        <f t="shared" si="73"/>
        <v>-1000</v>
      </c>
    </row>
    <row r="2337" spans="1:5" x14ac:dyDescent="0.2">
      <c r="A2337" s="29">
        <v>40803</v>
      </c>
      <c r="B2337" s="26">
        <f>VLOOKUP(A2337,'Database Claims'!$A:$C,3,)</f>
        <v>422000</v>
      </c>
      <c r="C2337" s="30">
        <f t="shared" si="72"/>
        <v>-7000</v>
      </c>
      <c r="D2337" s="26">
        <f>VLOOKUP(A2337,'Database Claims'!$A:$C,2,)</f>
        <v>3747000</v>
      </c>
      <c r="E2337" s="30">
        <f t="shared" si="73"/>
        <v>-11000</v>
      </c>
    </row>
    <row r="2338" spans="1:5" x14ac:dyDescent="0.2">
      <c r="A2338" s="29">
        <v>40810</v>
      </c>
      <c r="B2338" s="30">
        <f>VLOOKUP(A2338,'Database Claims'!$A:$C,3,)</f>
        <v>406000</v>
      </c>
      <c r="C2338" s="30">
        <f t="shared" si="72"/>
        <v>-16000</v>
      </c>
      <c r="D2338" s="30">
        <f>VLOOKUP(A2338,'Database Claims'!$A:$C,2,)</f>
        <v>3707000</v>
      </c>
      <c r="E2338" s="30">
        <f t="shared" si="73"/>
        <v>-40000</v>
      </c>
    </row>
    <row r="2339" spans="1:5" x14ac:dyDescent="0.2">
      <c r="A2339" s="29">
        <v>40817</v>
      </c>
      <c r="B2339" s="26">
        <f>VLOOKUP(A2339,'Database Claims'!$A:$C,3,)</f>
        <v>405000</v>
      </c>
      <c r="C2339" s="30">
        <f t="shared" si="72"/>
        <v>-1000</v>
      </c>
      <c r="D2339" s="26">
        <f>VLOOKUP(A2339,'Database Claims'!$A:$C,2,)</f>
        <v>3697000</v>
      </c>
      <c r="E2339" s="30">
        <f t="shared" si="73"/>
        <v>-10000</v>
      </c>
    </row>
    <row r="2340" spans="1:5" x14ac:dyDescent="0.2">
      <c r="A2340" s="29">
        <v>40824</v>
      </c>
      <c r="B2340" s="30">
        <f>VLOOKUP(A2340,'Database Claims'!$A:$C,3,)</f>
        <v>410000</v>
      </c>
      <c r="C2340" s="30">
        <f t="shared" si="72"/>
        <v>5000</v>
      </c>
      <c r="D2340" s="30">
        <f>VLOOKUP(A2340,'Database Claims'!$A:$C,2,)</f>
        <v>3731000</v>
      </c>
      <c r="E2340" s="30">
        <f t="shared" si="73"/>
        <v>34000</v>
      </c>
    </row>
    <row r="2341" spans="1:5" x14ac:dyDescent="0.2">
      <c r="A2341" s="29">
        <v>40831</v>
      </c>
      <c r="B2341" s="26">
        <f>VLOOKUP(A2341,'Database Claims'!$A:$C,3,)</f>
        <v>395000</v>
      </c>
      <c r="C2341" s="30">
        <f t="shared" si="72"/>
        <v>-15000</v>
      </c>
      <c r="D2341" s="26">
        <f>VLOOKUP(A2341,'Database Claims'!$A:$C,2,)</f>
        <v>3704000</v>
      </c>
      <c r="E2341" s="30">
        <f t="shared" si="73"/>
        <v>-27000</v>
      </c>
    </row>
    <row r="2342" spans="1:5" x14ac:dyDescent="0.2">
      <c r="A2342" s="29">
        <v>40838</v>
      </c>
      <c r="B2342" s="30">
        <f>VLOOKUP(A2342,'Database Claims'!$A:$C,3,)</f>
        <v>403000</v>
      </c>
      <c r="C2342" s="30">
        <f t="shared" si="72"/>
        <v>8000</v>
      </c>
      <c r="D2342" s="30">
        <f>VLOOKUP(A2342,'Database Claims'!$A:$C,2,)</f>
        <v>3699000</v>
      </c>
      <c r="E2342" s="30">
        <f t="shared" si="73"/>
        <v>-5000</v>
      </c>
    </row>
    <row r="2343" spans="1:5" x14ac:dyDescent="0.2">
      <c r="A2343" s="29">
        <v>40845</v>
      </c>
      <c r="B2343" s="26">
        <f>VLOOKUP(A2343,'Database Claims'!$A:$C,3,)</f>
        <v>399000</v>
      </c>
      <c r="C2343" s="30">
        <f t="shared" si="72"/>
        <v>-4000</v>
      </c>
      <c r="D2343" s="26">
        <f>VLOOKUP(A2343,'Database Claims'!$A:$C,2,)</f>
        <v>3677000</v>
      </c>
      <c r="E2343" s="30">
        <f t="shared" si="73"/>
        <v>-22000</v>
      </c>
    </row>
    <row r="2344" spans="1:5" x14ac:dyDescent="0.2">
      <c r="A2344" s="29">
        <v>40852</v>
      </c>
      <c r="B2344" s="30">
        <f>VLOOKUP(A2344,'Database Claims'!$A:$C,3,)</f>
        <v>392000</v>
      </c>
      <c r="C2344" s="30">
        <f t="shared" si="72"/>
        <v>-7000</v>
      </c>
      <c r="D2344" s="30">
        <f>VLOOKUP(A2344,'Database Claims'!$A:$C,2,)</f>
        <v>3603000</v>
      </c>
      <c r="E2344" s="30">
        <f t="shared" si="73"/>
        <v>-74000</v>
      </c>
    </row>
    <row r="2345" spans="1:5" x14ac:dyDescent="0.2">
      <c r="A2345" s="29">
        <v>40859</v>
      </c>
      <c r="B2345" s="26">
        <f>VLOOKUP(A2345,'Database Claims'!$A:$C,3,)</f>
        <v>383000</v>
      </c>
      <c r="C2345" s="30">
        <f t="shared" si="72"/>
        <v>-9000</v>
      </c>
      <c r="D2345" s="26">
        <f>VLOOKUP(A2345,'Database Claims'!$A:$C,2,)</f>
        <v>3676000</v>
      </c>
      <c r="E2345" s="30">
        <f t="shared" si="73"/>
        <v>73000</v>
      </c>
    </row>
    <row r="2346" spans="1:5" x14ac:dyDescent="0.2">
      <c r="A2346" s="29">
        <v>40866</v>
      </c>
      <c r="B2346" s="30">
        <f>VLOOKUP(A2346,'Database Claims'!$A:$C,3,)</f>
        <v>385000</v>
      </c>
      <c r="C2346" s="30">
        <f t="shared" si="72"/>
        <v>2000</v>
      </c>
      <c r="D2346" s="30">
        <f>VLOOKUP(A2346,'Database Claims'!$A:$C,2,)</f>
        <v>3739000</v>
      </c>
      <c r="E2346" s="30">
        <f t="shared" si="73"/>
        <v>63000</v>
      </c>
    </row>
    <row r="2347" spans="1:5" x14ac:dyDescent="0.2">
      <c r="A2347" s="29">
        <v>40873</v>
      </c>
      <c r="B2347" s="26">
        <f>VLOOKUP(A2347,'Database Claims'!$A:$C,3,)</f>
        <v>397000</v>
      </c>
      <c r="C2347" s="30">
        <f t="shared" si="72"/>
        <v>12000</v>
      </c>
      <c r="D2347" s="26">
        <f>VLOOKUP(A2347,'Database Claims'!$A:$C,2,)</f>
        <v>3592000</v>
      </c>
      <c r="E2347" s="30">
        <f t="shared" si="73"/>
        <v>-147000</v>
      </c>
    </row>
    <row r="2348" spans="1:5" x14ac:dyDescent="0.2">
      <c r="A2348" s="29">
        <v>40880</v>
      </c>
      <c r="B2348" s="30">
        <f>VLOOKUP(A2348,'Database Claims'!$A:$C,3,)</f>
        <v>387000</v>
      </c>
      <c r="C2348" s="30">
        <f t="shared" si="72"/>
        <v>-10000</v>
      </c>
      <c r="D2348" s="30">
        <f>VLOOKUP(A2348,'Database Claims'!$A:$C,2,)</f>
        <v>3595000</v>
      </c>
      <c r="E2348" s="30">
        <f t="shared" si="73"/>
        <v>3000</v>
      </c>
    </row>
    <row r="2349" spans="1:5" x14ac:dyDescent="0.2">
      <c r="A2349" s="29">
        <v>40887</v>
      </c>
      <c r="B2349" s="26">
        <f>VLOOKUP(A2349,'Database Claims'!$A:$C,3,)</f>
        <v>368000</v>
      </c>
      <c r="C2349" s="30">
        <f t="shared" si="72"/>
        <v>-19000</v>
      </c>
      <c r="D2349" s="26">
        <f>VLOOKUP(A2349,'Database Claims'!$A:$C,2,)</f>
        <v>3543000</v>
      </c>
      <c r="E2349" s="30">
        <f t="shared" si="73"/>
        <v>-52000</v>
      </c>
    </row>
    <row r="2350" spans="1:5" x14ac:dyDescent="0.2">
      <c r="A2350" s="29">
        <v>40894</v>
      </c>
      <c r="B2350" s="30">
        <f>VLOOKUP(A2350,'Database Claims'!$A:$C,3,)</f>
        <v>368000</v>
      </c>
      <c r="C2350" s="30">
        <f t="shared" si="72"/>
        <v>0</v>
      </c>
      <c r="D2350" s="30">
        <f>VLOOKUP(A2350,'Database Claims'!$A:$C,2,)</f>
        <v>3588000</v>
      </c>
      <c r="E2350" s="30">
        <f t="shared" si="73"/>
        <v>45000</v>
      </c>
    </row>
    <row r="2351" spans="1:5" x14ac:dyDescent="0.2">
      <c r="A2351" s="29">
        <v>40901</v>
      </c>
      <c r="B2351" s="26">
        <f>VLOOKUP(A2351,'Database Claims'!$A:$C,3,)</f>
        <v>386000</v>
      </c>
      <c r="C2351" s="30">
        <f t="shared" si="72"/>
        <v>18000</v>
      </c>
      <c r="D2351" s="26">
        <f>VLOOKUP(A2351,'Database Claims'!$A:$C,2,)</f>
        <v>3575000</v>
      </c>
      <c r="E2351" s="30">
        <f t="shared" si="73"/>
        <v>-13000</v>
      </c>
    </row>
    <row r="2352" spans="1:5" x14ac:dyDescent="0.2">
      <c r="A2352" s="29">
        <v>40908</v>
      </c>
      <c r="B2352" s="30">
        <f>VLOOKUP(A2352,'Database Claims'!$A:$C,3,)</f>
        <v>376000</v>
      </c>
      <c r="C2352" s="30">
        <f t="shared" si="72"/>
        <v>-10000</v>
      </c>
      <c r="D2352" s="30">
        <f>VLOOKUP(A2352,'Database Claims'!$A:$C,2,)</f>
        <v>3566000</v>
      </c>
      <c r="E2352" s="30">
        <f t="shared" si="73"/>
        <v>-9000</v>
      </c>
    </row>
    <row r="2353" spans="1:5" x14ac:dyDescent="0.2">
      <c r="A2353" s="29">
        <v>40915</v>
      </c>
      <c r="B2353" s="26">
        <f>VLOOKUP(A2353,'Database Claims'!$A:$C,3,)</f>
        <v>391000</v>
      </c>
      <c r="C2353" s="30">
        <f t="shared" si="72"/>
        <v>15000</v>
      </c>
      <c r="D2353" s="26">
        <f>VLOOKUP(A2353,'Database Claims'!$A:$C,2,)</f>
        <v>3421000</v>
      </c>
      <c r="E2353" s="30">
        <f t="shared" si="73"/>
        <v>-145000</v>
      </c>
    </row>
    <row r="2354" spans="1:5" x14ac:dyDescent="0.2">
      <c r="A2354" s="29">
        <v>40922</v>
      </c>
      <c r="B2354" s="30">
        <f>VLOOKUP(A2354,'Database Claims'!$A:$C,3,)</f>
        <v>367000</v>
      </c>
      <c r="C2354" s="30">
        <f t="shared" si="72"/>
        <v>-24000</v>
      </c>
      <c r="D2354" s="30">
        <f>VLOOKUP(A2354,'Database Claims'!$A:$C,2,)</f>
        <v>3511000</v>
      </c>
      <c r="E2354" s="30">
        <f t="shared" si="73"/>
        <v>90000</v>
      </c>
    </row>
    <row r="2355" spans="1:5" x14ac:dyDescent="0.2">
      <c r="A2355" s="29">
        <v>40929</v>
      </c>
      <c r="B2355" s="26">
        <f>VLOOKUP(A2355,'Database Claims'!$A:$C,3,)</f>
        <v>381000</v>
      </c>
      <c r="C2355" s="30">
        <f t="shared" si="72"/>
        <v>14000</v>
      </c>
      <c r="D2355" s="26">
        <f>VLOOKUP(A2355,'Database Claims'!$A:$C,2,)</f>
        <v>3419000</v>
      </c>
      <c r="E2355" s="30">
        <f t="shared" si="73"/>
        <v>-92000</v>
      </c>
    </row>
    <row r="2356" spans="1:5" x14ac:dyDescent="0.2">
      <c r="A2356" s="29">
        <v>40936</v>
      </c>
      <c r="B2356" s="30">
        <f>VLOOKUP(A2356,'Database Claims'!$A:$C,3,)</f>
        <v>372000</v>
      </c>
      <c r="C2356" s="30">
        <f t="shared" si="72"/>
        <v>-9000</v>
      </c>
      <c r="D2356" s="30">
        <f>VLOOKUP(A2356,'Database Claims'!$A:$C,2,)</f>
        <v>3454000</v>
      </c>
      <c r="E2356" s="30">
        <f t="shared" si="73"/>
        <v>35000</v>
      </c>
    </row>
    <row r="2357" spans="1:5" x14ac:dyDescent="0.2">
      <c r="A2357" s="29">
        <v>40943</v>
      </c>
      <c r="B2357" s="26">
        <f>VLOOKUP(A2357,'Database Claims'!$A:$C,3,)</f>
        <v>368000</v>
      </c>
      <c r="C2357" s="30">
        <f t="shared" si="72"/>
        <v>-4000</v>
      </c>
      <c r="D2357" s="26">
        <f>VLOOKUP(A2357,'Database Claims'!$A:$C,2,)</f>
        <v>3391000</v>
      </c>
      <c r="E2357" s="30">
        <f t="shared" si="73"/>
        <v>-63000</v>
      </c>
    </row>
    <row r="2358" spans="1:5" x14ac:dyDescent="0.2">
      <c r="A2358" s="29">
        <v>40950</v>
      </c>
      <c r="B2358" s="30">
        <f>VLOOKUP(A2358,'Database Claims'!$A:$C,3,)</f>
        <v>361000</v>
      </c>
      <c r="C2358" s="30">
        <f t="shared" si="72"/>
        <v>-7000</v>
      </c>
      <c r="D2358" s="30">
        <f>VLOOKUP(A2358,'Database Claims'!$A:$C,2,)</f>
        <v>3362000</v>
      </c>
      <c r="E2358" s="30">
        <f t="shared" si="73"/>
        <v>-29000</v>
      </c>
    </row>
    <row r="2359" spans="1:5" x14ac:dyDescent="0.2">
      <c r="A2359" s="29">
        <v>40957</v>
      </c>
      <c r="B2359" s="26">
        <f>VLOOKUP(A2359,'Database Claims'!$A:$C,3,)</f>
        <v>359000</v>
      </c>
      <c r="C2359" s="30">
        <f t="shared" si="72"/>
        <v>-2000</v>
      </c>
      <c r="D2359" s="26">
        <f>VLOOKUP(A2359,'Database Claims'!$A:$C,2,)</f>
        <v>3382000</v>
      </c>
      <c r="E2359" s="30">
        <f t="shared" si="73"/>
        <v>20000</v>
      </c>
    </row>
    <row r="2360" spans="1:5" x14ac:dyDescent="0.2">
      <c r="A2360" s="29">
        <v>40964</v>
      </c>
      <c r="B2360" s="30">
        <f>VLOOKUP(A2360,'Database Claims'!$A:$C,3,)</f>
        <v>365000</v>
      </c>
      <c r="C2360" s="30">
        <f t="shared" si="72"/>
        <v>6000</v>
      </c>
      <c r="D2360" s="30">
        <f>VLOOKUP(A2360,'Database Claims'!$A:$C,2,)</f>
        <v>3392000</v>
      </c>
      <c r="E2360" s="30">
        <f t="shared" si="73"/>
        <v>10000</v>
      </c>
    </row>
    <row r="2361" spans="1:5" x14ac:dyDescent="0.2">
      <c r="A2361" s="29">
        <v>40971</v>
      </c>
      <c r="B2361" s="26">
        <f>VLOOKUP(A2361,'Database Claims'!$A:$C,3,)</f>
        <v>375000</v>
      </c>
      <c r="C2361" s="30">
        <f t="shared" si="72"/>
        <v>10000</v>
      </c>
      <c r="D2361" s="26">
        <f>VLOOKUP(A2361,'Database Claims'!$A:$C,2,)</f>
        <v>3367000</v>
      </c>
      <c r="E2361" s="30">
        <f t="shared" si="73"/>
        <v>-25000</v>
      </c>
    </row>
    <row r="2362" spans="1:5" x14ac:dyDescent="0.2">
      <c r="A2362" s="29">
        <v>40978</v>
      </c>
      <c r="B2362" s="30">
        <f>VLOOKUP(A2362,'Database Claims'!$A:$C,3,)</f>
        <v>369000</v>
      </c>
      <c r="C2362" s="30">
        <f t="shared" si="72"/>
        <v>-6000</v>
      </c>
      <c r="D2362" s="30">
        <f>VLOOKUP(A2362,'Database Claims'!$A:$C,2,)</f>
        <v>3353000</v>
      </c>
      <c r="E2362" s="30">
        <f t="shared" si="73"/>
        <v>-14000</v>
      </c>
    </row>
    <row r="2363" spans="1:5" x14ac:dyDescent="0.2">
      <c r="A2363" s="29">
        <v>40985</v>
      </c>
      <c r="B2363" s="26">
        <f>VLOOKUP(A2363,'Database Claims'!$A:$C,3,)</f>
        <v>368000</v>
      </c>
      <c r="C2363" s="30">
        <f t="shared" si="72"/>
        <v>-1000</v>
      </c>
      <c r="D2363" s="26">
        <f>VLOOKUP(A2363,'Database Claims'!$A:$C,2,)</f>
        <v>3342000</v>
      </c>
      <c r="E2363" s="30">
        <f t="shared" si="73"/>
        <v>-11000</v>
      </c>
    </row>
    <row r="2364" spans="1:5" x14ac:dyDescent="0.2">
      <c r="A2364" s="29">
        <v>40992</v>
      </c>
      <c r="B2364" s="30">
        <f>VLOOKUP(A2364,'Database Claims'!$A:$C,3,)</f>
        <v>363000</v>
      </c>
      <c r="C2364" s="30">
        <f t="shared" si="72"/>
        <v>-5000</v>
      </c>
      <c r="D2364" s="30">
        <f>VLOOKUP(A2364,'Database Claims'!$A:$C,2,)</f>
        <v>3336000</v>
      </c>
      <c r="E2364" s="30">
        <f t="shared" si="73"/>
        <v>-6000</v>
      </c>
    </row>
    <row r="2365" spans="1:5" x14ac:dyDescent="0.2">
      <c r="A2365" s="29">
        <v>40999</v>
      </c>
      <c r="B2365" s="26">
        <f>VLOOKUP(A2365,'Database Claims'!$A:$C,3,)</f>
        <v>358000</v>
      </c>
      <c r="C2365" s="30">
        <f t="shared" si="72"/>
        <v>-5000</v>
      </c>
      <c r="D2365" s="26">
        <f>VLOOKUP(A2365,'Database Claims'!$A:$C,2,)</f>
        <v>3286000</v>
      </c>
      <c r="E2365" s="30">
        <f t="shared" si="73"/>
        <v>-50000</v>
      </c>
    </row>
    <row r="2366" spans="1:5" x14ac:dyDescent="0.2">
      <c r="A2366" s="29">
        <v>41006</v>
      </c>
      <c r="B2366" s="30">
        <f>VLOOKUP(A2366,'Database Claims'!$A:$C,3,)</f>
        <v>387000</v>
      </c>
      <c r="C2366" s="30">
        <f t="shared" si="72"/>
        <v>29000</v>
      </c>
      <c r="D2366" s="30">
        <f>VLOOKUP(A2366,'Database Claims'!$A:$C,2,)</f>
        <v>3325000</v>
      </c>
      <c r="E2366" s="30">
        <f t="shared" si="73"/>
        <v>39000</v>
      </c>
    </row>
    <row r="2367" spans="1:5" x14ac:dyDescent="0.2">
      <c r="A2367" s="29">
        <v>41013</v>
      </c>
      <c r="B2367" s="26">
        <f>VLOOKUP(A2367,'Database Claims'!$A:$C,3,)</f>
        <v>381000</v>
      </c>
      <c r="C2367" s="30">
        <f t="shared" si="72"/>
        <v>-6000</v>
      </c>
      <c r="D2367" s="26">
        <f>VLOOKUP(A2367,'Database Claims'!$A:$C,2,)</f>
        <v>3355000</v>
      </c>
      <c r="E2367" s="30">
        <f t="shared" si="73"/>
        <v>30000</v>
      </c>
    </row>
    <row r="2368" spans="1:5" x14ac:dyDescent="0.2">
      <c r="A2368" s="29">
        <v>41020</v>
      </c>
      <c r="B2368" s="30">
        <f>VLOOKUP(A2368,'Database Claims'!$A:$C,3,)</f>
        <v>387000</v>
      </c>
      <c r="C2368" s="30">
        <f t="shared" si="72"/>
        <v>6000</v>
      </c>
      <c r="D2368" s="30">
        <f>VLOOKUP(A2368,'Database Claims'!$A:$C,2,)</f>
        <v>3316000</v>
      </c>
      <c r="E2368" s="30">
        <f t="shared" si="73"/>
        <v>-39000</v>
      </c>
    </row>
    <row r="2369" spans="1:5" x14ac:dyDescent="0.2">
      <c r="A2369" s="29">
        <v>41027</v>
      </c>
      <c r="B2369" s="26">
        <f>VLOOKUP(A2369,'Database Claims'!$A:$C,3,)</f>
        <v>372000</v>
      </c>
      <c r="C2369" s="30">
        <f t="shared" si="72"/>
        <v>-15000</v>
      </c>
      <c r="D2369" s="26">
        <f>VLOOKUP(A2369,'Database Claims'!$A:$C,2,)</f>
        <v>3296000</v>
      </c>
      <c r="E2369" s="30">
        <f t="shared" si="73"/>
        <v>-20000</v>
      </c>
    </row>
    <row r="2370" spans="1:5" x14ac:dyDescent="0.2">
      <c r="A2370" s="29">
        <v>41034</v>
      </c>
      <c r="B2370" s="30">
        <f>VLOOKUP(A2370,'Database Claims'!$A:$C,3,)</f>
        <v>373000</v>
      </c>
      <c r="C2370" s="30">
        <f t="shared" si="72"/>
        <v>1000</v>
      </c>
      <c r="D2370" s="30">
        <f>VLOOKUP(A2370,'Database Claims'!$A:$C,2,)</f>
        <v>3326000</v>
      </c>
      <c r="E2370" s="30">
        <f t="shared" si="73"/>
        <v>30000</v>
      </c>
    </row>
    <row r="2371" spans="1:5" x14ac:dyDescent="0.2">
      <c r="A2371" s="29">
        <v>41041</v>
      </c>
      <c r="B2371" s="26">
        <f>VLOOKUP(A2371,'Database Claims'!$A:$C,3,)</f>
        <v>369000</v>
      </c>
      <c r="C2371" s="30">
        <f t="shared" si="72"/>
        <v>-4000</v>
      </c>
      <c r="D2371" s="26">
        <f>VLOOKUP(A2371,'Database Claims'!$A:$C,2,)</f>
        <v>3334000</v>
      </c>
      <c r="E2371" s="30">
        <f t="shared" si="73"/>
        <v>8000</v>
      </c>
    </row>
    <row r="2372" spans="1:5" x14ac:dyDescent="0.2">
      <c r="A2372" s="29">
        <v>41048</v>
      </c>
      <c r="B2372" s="30">
        <f>VLOOKUP(A2372,'Database Claims'!$A:$C,3,)</f>
        <v>371000</v>
      </c>
      <c r="C2372" s="30">
        <f t="shared" si="72"/>
        <v>2000</v>
      </c>
      <c r="D2372" s="30">
        <f>VLOOKUP(A2372,'Database Claims'!$A:$C,2,)</f>
        <v>3301000</v>
      </c>
      <c r="E2372" s="30">
        <f t="shared" si="73"/>
        <v>-33000</v>
      </c>
    </row>
    <row r="2373" spans="1:5" x14ac:dyDescent="0.2">
      <c r="A2373" s="29">
        <v>41055</v>
      </c>
      <c r="B2373" s="26">
        <f>VLOOKUP(A2373,'Database Claims'!$A:$C,3,)</f>
        <v>381000</v>
      </c>
      <c r="C2373" s="30">
        <f t="shared" si="72"/>
        <v>10000</v>
      </c>
      <c r="D2373" s="26">
        <f>VLOOKUP(A2373,'Database Claims'!$A:$C,2,)</f>
        <v>3351000</v>
      </c>
      <c r="E2373" s="30">
        <f t="shared" si="73"/>
        <v>50000</v>
      </c>
    </row>
    <row r="2374" spans="1:5" x14ac:dyDescent="0.2">
      <c r="A2374" s="29">
        <v>41062</v>
      </c>
      <c r="B2374" s="30">
        <f>VLOOKUP(A2374,'Database Claims'!$A:$C,3,)</f>
        <v>377000</v>
      </c>
      <c r="C2374" s="30">
        <f t="shared" ref="C2374:C2437" si="74">B2374-B2373</f>
        <v>-4000</v>
      </c>
      <c r="D2374" s="30">
        <f>VLOOKUP(A2374,'Database Claims'!$A:$C,2,)</f>
        <v>3327000</v>
      </c>
      <c r="E2374" s="30">
        <f t="shared" ref="E2374:E2437" si="75">D2374-D2373</f>
        <v>-24000</v>
      </c>
    </row>
    <row r="2375" spans="1:5" x14ac:dyDescent="0.2">
      <c r="A2375" s="29">
        <v>41069</v>
      </c>
      <c r="B2375" s="26">
        <f>VLOOKUP(A2375,'Database Claims'!$A:$C,3,)</f>
        <v>383000</v>
      </c>
      <c r="C2375" s="30">
        <f t="shared" si="74"/>
        <v>6000</v>
      </c>
      <c r="D2375" s="26">
        <f>VLOOKUP(A2375,'Database Claims'!$A:$C,2,)</f>
        <v>3343000</v>
      </c>
      <c r="E2375" s="30">
        <f t="shared" si="75"/>
        <v>16000</v>
      </c>
    </row>
    <row r="2376" spans="1:5" x14ac:dyDescent="0.2">
      <c r="A2376" s="29">
        <v>41076</v>
      </c>
      <c r="B2376" s="30">
        <f>VLOOKUP(A2376,'Database Claims'!$A:$C,3,)</f>
        <v>384000</v>
      </c>
      <c r="C2376" s="30">
        <f t="shared" si="74"/>
        <v>1000</v>
      </c>
      <c r="D2376" s="30">
        <f>VLOOKUP(A2376,'Database Claims'!$A:$C,2,)</f>
        <v>3323000</v>
      </c>
      <c r="E2376" s="30">
        <f t="shared" si="75"/>
        <v>-20000</v>
      </c>
    </row>
    <row r="2377" spans="1:5" x14ac:dyDescent="0.2">
      <c r="A2377" s="29">
        <v>41083</v>
      </c>
      <c r="B2377" s="26">
        <f>VLOOKUP(A2377,'Database Claims'!$A:$C,3,)</f>
        <v>380000</v>
      </c>
      <c r="C2377" s="30">
        <f t="shared" si="74"/>
        <v>-4000</v>
      </c>
      <c r="D2377" s="26">
        <f>VLOOKUP(A2377,'Database Claims'!$A:$C,2,)</f>
        <v>3325000</v>
      </c>
      <c r="E2377" s="30">
        <f t="shared" si="75"/>
        <v>2000</v>
      </c>
    </row>
    <row r="2378" spans="1:5" x14ac:dyDescent="0.2">
      <c r="A2378" s="29">
        <v>41090</v>
      </c>
      <c r="B2378" s="30">
        <f>VLOOKUP(A2378,'Database Claims'!$A:$C,3,)</f>
        <v>372000</v>
      </c>
      <c r="C2378" s="30">
        <f t="shared" si="74"/>
        <v>-8000</v>
      </c>
      <c r="D2378" s="30">
        <f>VLOOKUP(A2378,'Database Claims'!$A:$C,2,)</f>
        <v>3304000</v>
      </c>
      <c r="E2378" s="30">
        <f t="shared" si="75"/>
        <v>-21000</v>
      </c>
    </row>
    <row r="2379" spans="1:5" x14ac:dyDescent="0.2">
      <c r="A2379" s="29">
        <v>41097</v>
      </c>
      <c r="B2379" s="26">
        <f>VLOOKUP(A2379,'Database Claims'!$A:$C,3,)</f>
        <v>360000</v>
      </c>
      <c r="C2379" s="30">
        <f t="shared" si="74"/>
        <v>-12000</v>
      </c>
      <c r="D2379" s="26">
        <f>VLOOKUP(A2379,'Database Claims'!$A:$C,2,)</f>
        <v>3314000</v>
      </c>
      <c r="E2379" s="30">
        <f t="shared" si="75"/>
        <v>10000</v>
      </c>
    </row>
    <row r="2380" spans="1:5" x14ac:dyDescent="0.2">
      <c r="A2380" s="29">
        <v>41104</v>
      </c>
      <c r="B2380" s="30">
        <f>VLOOKUP(A2380,'Database Claims'!$A:$C,3,)</f>
        <v>390000</v>
      </c>
      <c r="C2380" s="30">
        <f t="shared" si="74"/>
        <v>30000</v>
      </c>
      <c r="D2380" s="30">
        <f>VLOOKUP(A2380,'Database Claims'!$A:$C,2,)</f>
        <v>3307000</v>
      </c>
      <c r="E2380" s="30">
        <f t="shared" si="75"/>
        <v>-7000</v>
      </c>
    </row>
    <row r="2381" spans="1:5" x14ac:dyDescent="0.2">
      <c r="A2381" s="29">
        <v>41111</v>
      </c>
      <c r="B2381" s="26">
        <f>VLOOKUP(A2381,'Database Claims'!$A:$C,3,)</f>
        <v>368000</v>
      </c>
      <c r="C2381" s="30">
        <f t="shared" si="74"/>
        <v>-22000</v>
      </c>
      <c r="D2381" s="26">
        <f>VLOOKUP(A2381,'Database Claims'!$A:$C,2,)</f>
        <v>3290000</v>
      </c>
      <c r="E2381" s="30">
        <f t="shared" si="75"/>
        <v>-17000</v>
      </c>
    </row>
    <row r="2382" spans="1:5" x14ac:dyDescent="0.2">
      <c r="A2382" s="29">
        <v>41118</v>
      </c>
      <c r="B2382" s="30">
        <f>VLOOKUP(A2382,'Database Claims'!$A:$C,3,)</f>
        <v>372000</v>
      </c>
      <c r="C2382" s="30">
        <f t="shared" si="74"/>
        <v>4000</v>
      </c>
      <c r="D2382" s="30">
        <f>VLOOKUP(A2382,'Database Claims'!$A:$C,2,)</f>
        <v>3312000</v>
      </c>
      <c r="E2382" s="30">
        <f t="shared" si="75"/>
        <v>22000</v>
      </c>
    </row>
    <row r="2383" spans="1:5" x14ac:dyDescent="0.2">
      <c r="A2383" s="29">
        <v>41125</v>
      </c>
      <c r="B2383" s="26">
        <f>VLOOKUP(A2383,'Database Claims'!$A:$C,3,)</f>
        <v>371000</v>
      </c>
      <c r="C2383" s="30">
        <f t="shared" si="74"/>
        <v>-1000</v>
      </c>
      <c r="D2383" s="26">
        <f>VLOOKUP(A2383,'Database Claims'!$A:$C,2,)</f>
        <v>3302000</v>
      </c>
      <c r="E2383" s="30">
        <f t="shared" si="75"/>
        <v>-10000</v>
      </c>
    </row>
    <row r="2384" spans="1:5" x14ac:dyDescent="0.2">
      <c r="A2384" s="29">
        <v>41132</v>
      </c>
      <c r="B2384" s="30">
        <f>VLOOKUP(A2384,'Database Claims'!$A:$C,3,)</f>
        <v>369000</v>
      </c>
      <c r="C2384" s="30">
        <f t="shared" si="74"/>
        <v>-2000</v>
      </c>
      <c r="D2384" s="30">
        <f>VLOOKUP(A2384,'Database Claims'!$A:$C,2,)</f>
        <v>3296000</v>
      </c>
      <c r="E2384" s="30">
        <f t="shared" si="75"/>
        <v>-6000</v>
      </c>
    </row>
    <row r="2385" spans="1:5" x14ac:dyDescent="0.2">
      <c r="A2385" s="29">
        <v>41139</v>
      </c>
      <c r="B2385" s="26">
        <f>VLOOKUP(A2385,'Database Claims'!$A:$C,3,)</f>
        <v>376000</v>
      </c>
      <c r="C2385" s="30">
        <f t="shared" si="74"/>
        <v>7000</v>
      </c>
      <c r="D2385" s="26">
        <f>VLOOKUP(A2385,'Database Claims'!$A:$C,2,)</f>
        <v>3306000</v>
      </c>
      <c r="E2385" s="30">
        <f t="shared" si="75"/>
        <v>10000</v>
      </c>
    </row>
    <row r="2386" spans="1:5" x14ac:dyDescent="0.2">
      <c r="A2386" s="29">
        <v>41146</v>
      </c>
      <c r="B2386" s="30">
        <f>VLOOKUP(A2386,'Database Claims'!$A:$C,3,)</f>
        <v>377000</v>
      </c>
      <c r="C2386" s="30">
        <f t="shared" si="74"/>
        <v>1000</v>
      </c>
      <c r="D2386" s="30">
        <f>VLOOKUP(A2386,'Database Claims'!$A:$C,2,)</f>
        <v>3321000</v>
      </c>
      <c r="E2386" s="30">
        <f t="shared" si="75"/>
        <v>15000</v>
      </c>
    </row>
    <row r="2387" spans="1:5" x14ac:dyDescent="0.2">
      <c r="A2387" s="29">
        <v>41153</v>
      </c>
      <c r="B2387" s="26">
        <f>VLOOKUP(A2387,'Database Claims'!$A:$C,3,)</f>
        <v>371000</v>
      </c>
      <c r="C2387" s="30">
        <f t="shared" si="74"/>
        <v>-6000</v>
      </c>
      <c r="D2387" s="26">
        <f>VLOOKUP(A2387,'Database Claims'!$A:$C,2,)</f>
        <v>3327000</v>
      </c>
      <c r="E2387" s="30">
        <f t="shared" si="75"/>
        <v>6000</v>
      </c>
    </row>
    <row r="2388" spans="1:5" x14ac:dyDescent="0.2">
      <c r="A2388" s="29">
        <v>41160</v>
      </c>
      <c r="B2388" s="30">
        <f>VLOOKUP(A2388,'Database Claims'!$A:$C,3,)</f>
        <v>393000</v>
      </c>
      <c r="C2388" s="30">
        <f t="shared" si="74"/>
        <v>22000</v>
      </c>
      <c r="D2388" s="30">
        <f>VLOOKUP(A2388,'Database Claims'!$A:$C,2,)</f>
        <v>3312000</v>
      </c>
      <c r="E2388" s="30">
        <f t="shared" si="75"/>
        <v>-15000</v>
      </c>
    </row>
    <row r="2389" spans="1:5" x14ac:dyDescent="0.2">
      <c r="A2389" s="29">
        <v>41167</v>
      </c>
      <c r="B2389" s="26">
        <f>VLOOKUP(A2389,'Database Claims'!$A:$C,3,)</f>
        <v>392000</v>
      </c>
      <c r="C2389" s="30">
        <f t="shared" si="74"/>
        <v>-1000</v>
      </c>
      <c r="D2389" s="26">
        <f>VLOOKUP(A2389,'Database Claims'!$A:$C,2,)</f>
        <v>3316000</v>
      </c>
      <c r="E2389" s="30">
        <f t="shared" si="75"/>
        <v>4000</v>
      </c>
    </row>
    <row r="2390" spans="1:5" x14ac:dyDescent="0.2">
      <c r="A2390" s="29">
        <v>41174</v>
      </c>
      <c r="B2390" s="30">
        <f>VLOOKUP(A2390,'Database Claims'!$A:$C,3,)</f>
        <v>377000</v>
      </c>
      <c r="C2390" s="30">
        <f t="shared" si="74"/>
        <v>-15000</v>
      </c>
      <c r="D2390" s="30">
        <f>VLOOKUP(A2390,'Database Claims'!$A:$C,2,)</f>
        <v>3308000</v>
      </c>
      <c r="E2390" s="30">
        <f t="shared" si="75"/>
        <v>-8000</v>
      </c>
    </row>
    <row r="2391" spans="1:5" x14ac:dyDescent="0.2">
      <c r="A2391" s="29">
        <v>41181</v>
      </c>
      <c r="B2391" s="26">
        <f>VLOOKUP(A2391,'Database Claims'!$A:$C,3,)</f>
        <v>376000</v>
      </c>
      <c r="C2391" s="30">
        <f t="shared" si="74"/>
        <v>-1000</v>
      </c>
      <c r="D2391" s="26">
        <f>VLOOKUP(A2391,'Database Claims'!$A:$C,2,)</f>
        <v>3309000</v>
      </c>
      <c r="E2391" s="30">
        <f t="shared" si="75"/>
        <v>1000</v>
      </c>
    </row>
    <row r="2392" spans="1:5" x14ac:dyDescent="0.2">
      <c r="A2392" s="29">
        <v>41188</v>
      </c>
      <c r="B2392" s="30">
        <f>VLOOKUP(A2392,'Database Claims'!$A:$C,3,)</f>
        <v>350000</v>
      </c>
      <c r="C2392" s="30">
        <f t="shared" si="74"/>
        <v>-26000</v>
      </c>
      <c r="D2392" s="30">
        <f>VLOOKUP(A2392,'Database Claims'!$A:$C,2,)</f>
        <v>3295000</v>
      </c>
      <c r="E2392" s="30">
        <f t="shared" si="75"/>
        <v>-14000</v>
      </c>
    </row>
    <row r="2393" spans="1:5" x14ac:dyDescent="0.2">
      <c r="A2393" s="29">
        <v>41195</v>
      </c>
      <c r="B2393" s="26">
        <f>VLOOKUP(A2393,'Database Claims'!$A:$C,3,)</f>
        <v>386000</v>
      </c>
      <c r="C2393" s="30">
        <f t="shared" si="74"/>
        <v>36000</v>
      </c>
      <c r="D2393" s="26">
        <f>VLOOKUP(A2393,'Database Claims'!$A:$C,2,)</f>
        <v>3302000</v>
      </c>
      <c r="E2393" s="30">
        <f t="shared" si="75"/>
        <v>7000</v>
      </c>
    </row>
    <row r="2394" spans="1:5" x14ac:dyDescent="0.2">
      <c r="A2394" s="29">
        <v>41202</v>
      </c>
      <c r="B2394" s="30">
        <f>VLOOKUP(A2394,'Database Claims'!$A:$C,3,)</f>
        <v>374000</v>
      </c>
      <c r="C2394" s="30">
        <f t="shared" si="74"/>
        <v>-12000</v>
      </c>
      <c r="D2394" s="30">
        <f>VLOOKUP(A2394,'Database Claims'!$A:$C,2,)</f>
        <v>3285000</v>
      </c>
      <c r="E2394" s="30">
        <f t="shared" si="75"/>
        <v>-17000</v>
      </c>
    </row>
    <row r="2395" spans="1:5" x14ac:dyDescent="0.2">
      <c r="A2395" s="29">
        <v>41209</v>
      </c>
      <c r="B2395" s="26">
        <f>VLOOKUP(A2395,'Database Claims'!$A:$C,3,)</f>
        <v>364000</v>
      </c>
      <c r="C2395" s="30">
        <f t="shared" si="74"/>
        <v>-10000</v>
      </c>
      <c r="D2395" s="26">
        <f>VLOOKUP(A2395,'Database Claims'!$A:$C,2,)</f>
        <v>3223000</v>
      </c>
      <c r="E2395" s="30">
        <f t="shared" si="75"/>
        <v>-62000</v>
      </c>
    </row>
    <row r="2396" spans="1:5" x14ac:dyDescent="0.2">
      <c r="A2396" s="29">
        <v>41216</v>
      </c>
      <c r="B2396" s="30">
        <f>VLOOKUP(A2396,'Database Claims'!$A:$C,3,)</f>
        <v>365000</v>
      </c>
      <c r="C2396" s="30">
        <f t="shared" si="74"/>
        <v>1000</v>
      </c>
      <c r="D2396" s="30">
        <f>VLOOKUP(A2396,'Database Claims'!$A:$C,2,)</f>
        <v>3368000</v>
      </c>
      <c r="E2396" s="30">
        <f t="shared" si="75"/>
        <v>145000</v>
      </c>
    </row>
    <row r="2397" spans="1:5" x14ac:dyDescent="0.2">
      <c r="A2397" s="29">
        <v>41223</v>
      </c>
      <c r="B2397" s="26">
        <f>VLOOKUP(A2397,'Database Claims'!$A:$C,3,)</f>
        <v>446000</v>
      </c>
      <c r="C2397" s="30">
        <f t="shared" si="74"/>
        <v>81000</v>
      </c>
      <c r="D2397" s="26">
        <f>VLOOKUP(A2397,'Database Claims'!$A:$C,2,)</f>
        <v>3364000</v>
      </c>
      <c r="E2397" s="30">
        <f t="shared" si="75"/>
        <v>-4000</v>
      </c>
    </row>
    <row r="2398" spans="1:5" x14ac:dyDescent="0.2">
      <c r="A2398" s="29">
        <v>41230</v>
      </c>
      <c r="B2398" s="30">
        <f>VLOOKUP(A2398,'Database Claims'!$A:$C,3,)</f>
        <v>406000</v>
      </c>
      <c r="C2398" s="30">
        <f t="shared" si="74"/>
        <v>-40000</v>
      </c>
      <c r="D2398" s="30">
        <f>VLOOKUP(A2398,'Database Claims'!$A:$C,2,)</f>
        <v>3325000</v>
      </c>
      <c r="E2398" s="30">
        <f t="shared" si="75"/>
        <v>-39000</v>
      </c>
    </row>
    <row r="2399" spans="1:5" x14ac:dyDescent="0.2">
      <c r="A2399" s="29">
        <v>41237</v>
      </c>
      <c r="B2399" s="26">
        <f>VLOOKUP(A2399,'Database Claims'!$A:$C,3,)</f>
        <v>388000</v>
      </c>
      <c r="C2399" s="30">
        <f t="shared" si="74"/>
        <v>-18000</v>
      </c>
      <c r="D2399" s="26">
        <f>VLOOKUP(A2399,'Database Claims'!$A:$C,2,)</f>
        <v>3248000</v>
      </c>
      <c r="E2399" s="30">
        <f t="shared" si="75"/>
        <v>-77000</v>
      </c>
    </row>
    <row r="2400" spans="1:5" x14ac:dyDescent="0.2">
      <c r="A2400" s="29">
        <v>41244</v>
      </c>
      <c r="B2400" s="30">
        <f>VLOOKUP(A2400,'Database Claims'!$A:$C,3,)</f>
        <v>375000</v>
      </c>
      <c r="C2400" s="30">
        <f t="shared" si="74"/>
        <v>-13000</v>
      </c>
      <c r="D2400" s="30">
        <f>VLOOKUP(A2400,'Database Claims'!$A:$C,2,)</f>
        <v>3195000</v>
      </c>
      <c r="E2400" s="30">
        <f t="shared" si="75"/>
        <v>-53000</v>
      </c>
    </row>
    <row r="2401" spans="1:5" x14ac:dyDescent="0.2">
      <c r="A2401" s="29">
        <v>41251</v>
      </c>
      <c r="B2401" s="26">
        <f>VLOOKUP(A2401,'Database Claims'!$A:$C,3,)</f>
        <v>340000</v>
      </c>
      <c r="C2401" s="30">
        <f t="shared" si="74"/>
        <v>-35000</v>
      </c>
      <c r="D2401" s="26">
        <f>VLOOKUP(A2401,'Database Claims'!$A:$C,2,)</f>
        <v>3229000</v>
      </c>
      <c r="E2401" s="30">
        <f t="shared" si="75"/>
        <v>34000</v>
      </c>
    </row>
    <row r="2402" spans="1:5" x14ac:dyDescent="0.2">
      <c r="A2402" s="29">
        <v>41258</v>
      </c>
      <c r="B2402" s="30">
        <f>VLOOKUP(A2402,'Database Claims'!$A:$C,3,)</f>
        <v>356000</v>
      </c>
      <c r="C2402" s="30">
        <f t="shared" si="74"/>
        <v>16000</v>
      </c>
      <c r="D2402" s="30">
        <f>VLOOKUP(A2402,'Database Claims'!$A:$C,2,)</f>
        <v>3179000</v>
      </c>
      <c r="E2402" s="30">
        <f t="shared" si="75"/>
        <v>-50000</v>
      </c>
    </row>
    <row r="2403" spans="1:5" x14ac:dyDescent="0.2">
      <c r="A2403" s="29">
        <v>41265</v>
      </c>
      <c r="B2403" s="26">
        <f>VLOOKUP(A2403,'Database Claims'!$A:$C,3,)</f>
        <v>362000</v>
      </c>
      <c r="C2403" s="30">
        <f t="shared" si="74"/>
        <v>6000</v>
      </c>
      <c r="D2403" s="26">
        <f>VLOOKUP(A2403,'Database Claims'!$A:$C,2,)</f>
        <v>3221000</v>
      </c>
      <c r="E2403" s="30">
        <f t="shared" si="75"/>
        <v>42000</v>
      </c>
    </row>
    <row r="2404" spans="1:5" x14ac:dyDescent="0.2">
      <c r="A2404" s="29">
        <v>41272</v>
      </c>
      <c r="B2404" s="30">
        <f>VLOOKUP(A2404,'Database Claims'!$A:$C,3,)</f>
        <v>362000</v>
      </c>
      <c r="C2404" s="30">
        <f t="shared" si="74"/>
        <v>0</v>
      </c>
      <c r="D2404" s="30">
        <f>VLOOKUP(A2404,'Database Claims'!$A:$C,2,)</f>
        <v>3127000</v>
      </c>
      <c r="E2404" s="30">
        <f t="shared" si="75"/>
        <v>-94000</v>
      </c>
    </row>
    <row r="2405" spans="1:5" x14ac:dyDescent="0.2">
      <c r="A2405" s="29">
        <v>41279</v>
      </c>
      <c r="B2405" s="26">
        <f>VLOOKUP(A2405,'Database Claims'!$A:$C,3,)</f>
        <v>363000</v>
      </c>
      <c r="C2405" s="30">
        <f t="shared" si="74"/>
        <v>1000</v>
      </c>
      <c r="D2405" s="26">
        <f>VLOOKUP(A2405,'Database Claims'!$A:$C,2,)</f>
        <v>3147000</v>
      </c>
      <c r="E2405" s="30">
        <f t="shared" si="75"/>
        <v>20000</v>
      </c>
    </row>
    <row r="2406" spans="1:5" x14ac:dyDescent="0.2">
      <c r="A2406" s="29">
        <v>41286</v>
      </c>
      <c r="B2406" s="30">
        <f>VLOOKUP(A2406,'Database Claims'!$A:$C,3,)</f>
        <v>344000</v>
      </c>
      <c r="C2406" s="30">
        <f t="shared" si="74"/>
        <v>-19000</v>
      </c>
      <c r="D2406" s="30">
        <f>VLOOKUP(A2406,'Database Claims'!$A:$C,2,)</f>
        <v>3108000</v>
      </c>
      <c r="E2406" s="30">
        <f t="shared" si="75"/>
        <v>-39000</v>
      </c>
    </row>
    <row r="2407" spans="1:5" x14ac:dyDescent="0.2">
      <c r="A2407" s="29">
        <v>41293</v>
      </c>
      <c r="B2407" s="26">
        <f>VLOOKUP(A2407,'Database Claims'!$A:$C,3,)</f>
        <v>339000</v>
      </c>
      <c r="C2407" s="30">
        <f t="shared" si="74"/>
        <v>-5000</v>
      </c>
      <c r="D2407" s="26">
        <f>VLOOKUP(A2407,'Database Claims'!$A:$C,2,)</f>
        <v>3138000</v>
      </c>
      <c r="E2407" s="30">
        <f t="shared" si="75"/>
        <v>30000</v>
      </c>
    </row>
    <row r="2408" spans="1:5" x14ac:dyDescent="0.2">
      <c r="A2408" s="29">
        <v>41300</v>
      </c>
      <c r="B2408" s="30">
        <f>VLOOKUP(A2408,'Database Claims'!$A:$C,3,)</f>
        <v>366000</v>
      </c>
      <c r="C2408" s="30">
        <f t="shared" si="74"/>
        <v>27000</v>
      </c>
      <c r="D2408" s="30">
        <f>VLOOKUP(A2408,'Database Claims'!$A:$C,2,)</f>
        <v>3138000</v>
      </c>
      <c r="E2408" s="30">
        <f t="shared" si="75"/>
        <v>0</v>
      </c>
    </row>
    <row r="2409" spans="1:5" x14ac:dyDescent="0.2">
      <c r="A2409" s="29">
        <v>41307</v>
      </c>
      <c r="B2409" s="26">
        <f>VLOOKUP(A2409,'Database Claims'!$A:$C,3,)</f>
        <v>361000</v>
      </c>
      <c r="C2409" s="30">
        <f t="shared" si="74"/>
        <v>-5000</v>
      </c>
      <c r="D2409" s="26">
        <f>VLOOKUP(A2409,'Database Claims'!$A:$C,2,)</f>
        <v>3075000</v>
      </c>
      <c r="E2409" s="30">
        <f t="shared" si="75"/>
        <v>-63000</v>
      </c>
    </row>
    <row r="2410" spans="1:5" x14ac:dyDescent="0.2">
      <c r="A2410" s="29">
        <v>41314</v>
      </c>
      <c r="B2410" s="30">
        <f>VLOOKUP(A2410,'Database Claims'!$A:$C,3,)</f>
        <v>347000</v>
      </c>
      <c r="C2410" s="30">
        <f t="shared" si="74"/>
        <v>-14000</v>
      </c>
      <c r="D2410" s="30">
        <f>VLOOKUP(A2410,'Database Claims'!$A:$C,2,)</f>
        <v>3081000</v>
      </c>
      <c r="E2410" s="30">
        <f t="shared" si="75"/>
        <v>6000</v>
      </c>
    </row>
    <row r="2411" spans="1:5" x14ac:dyDescent="0.2">
      <c r="A2411" s="29">
        <v>41321</v>
      </c>
      <c r="B2411" s="26">
        <f>VLOOKUP(A2411,'Database Claims'!$A:$C,3,)</f>
        <v>362000</v>
      </c>
      <c r="C2411" s="30">
        <f t="shared" si="74"/>
        <v>15000</v>
      </c>
      <c r="D2411" s="26">
        <f>VLOOKUP(A2411,'Database Claims'!$A:$C,2,)</f>
        <v>3036000</v>
      </c>
      <c r="E2411" s="30">
        <f t="shared" si="75"/>
        <v>-45000</v>
      </c>
    </row>
    <row r="2412" spans="1:5" x14ac:dyDescent="0.2">
      <c r="A2412" s="29">
        <v>41328</v>
      </c>
      <c r="B2412" s="30">
        <f>VLOOKUP(A2412,'Database Claims'!$A:$C,3,)</f>
        <v>342000</v>
      </c>
      <c r="C2412" s="30">
        <f t="shared" si="74"/>
        <v>-20000</v>
      </c>
      <c r="D2412" s="30">
        <f>VLOOKUP(A2412,'Database Claims'!$A:$C,2,)</f>
        <v>3043000</v>
      </c>
      <c r="E2412" s="30">
        <f t="shared" si="75"/>
        <v>7000</v>
      </c>
    </row>
    <row r="2413" spans="1:5" x14ac:dyDescent="0.2">
      <c r="A2413" s="29">
        <v>41335</v>
      </c>
      <c r="B2413" s="26">
        <f>VLOOKUP(A2413,'Database Claims'!$A:$C,3,)</f>
        <v>340000</v>
      </c>
      <c r="C2413" s="30">
        <f t="shared" si="74"/>
        <v>-2000</v>
      </c>
      <c r="D2413" s="26">
        <f>VLOOKUP(A2413,'Database Claims'!$A:$C,2,)</f>
        <v>3011000</v>
      </c>
      <c r="E2413" s="30">
        <f t="shared" si="75"/>
        <v>-32000</v>
      </c>
    </row>
    <row r="2414" spans="1:5" x14ac:dyDescent="0.2">
      <c r="A2414" s="29">
        <v>41342</v>
      </c>
      <c r="B2414" s="30">
        <f>VLOOKUP(A2414,'Database Claims'!$A:$C,3,)</f>
        <v>343000</v>
      </c>
      <c r="C2414" s="30">
        <f t="shared" si="74"/>
        <v>3000</v>
      </c>
      <c r="D2414" s="30">
        <f>VLOOKUP(A2414,'Database Claims'!$A:$C,2,)</f>
        <v>3024000</v>
      </c>
      <c r="E2414" s="30">
        <f t="shared" si="75"/>
        <v>13000</v>
      </c>
    </row>
    <row r="2415" spans="1:5" x14ac:dyDescent="0.2">
      <c r="A2415" s="29">
        <v>41349</v>
      </c>
      <c r="B2415" s="26">
        <f>VLOOKUP(A2415,'Database Claims'!$A:$C,3,)</f>
        <v>343000</v>
      </c>
      <c r="C2415" s="30">
        <f t="shared" si="74"/>
        <v>0</v>
      </c>
      <c r="D2415" s="26">
        <f>VLOOKUP(A2415,'Database Claims'!$A:$C,2,)</f>
        <v>3028000</v>
      </c>
      <c r="E2415" s="30">
        <f t="shared" si="75"/>
        <v>4000</v>
      </c>
    </row>
    <row r="2416" spans="1:5" x14ac:dyDescent="0.2">
      <c r="A2416" s="29">
        <v>41356</v>
      </c>
      <c r="B2416" s="30">
        <f>VLOOKUP(A2416,'Database Claims'!$A:$C,3,)</f>
        <v>358000</v>
      </c>
      <c r="C2416" s="30">
        <f t="shared" si="74"/>
        <v>15000</v>
      </c>
      <c r="D2416" s="30">
        <f>VLOOKUP(A2416,'Database Claims'!$A:$C,2,)</f>
        <v>3046000</v>
      </c>
      <c r="E2416" s="30">
        <f t="shared" si="75"/>
        <v>18000</v>
      </c>
    </row>
    <row r="2417" spans="1:5" x14ac:dyDescent="0.2">
      <c r="A2417" s="29">
        <v>41363</v>
      </c>
      <c r="B2417" s="26">
        <f>VLOOKUP(A2417,'Database Claims'!$A:$C,3,)</f>
        <v>375000</v>
      </c>
      <c r="C2417" s="30">
        <f t="shared" si="74"/>
        <v>17000</v>
      </c>
      <c r="D2417" s="26">
        <f>VLOOKUP(A2417,'Database Claims'!$A:$C,2,)</f>
        <v>3080000</v>
      </c>
      <c r="E2417" s="30">
        <f t="shared" si="75"/>
        <v>34000</v>
      </c>
    </row>
    <row r="2418" spans="1:5" x14ac:dyDescent="0.2">
      <c r="A2418" s="29">
        <v>41370</v>
      </c>
      <c r="B2418" s="30">
        <f>VLOOKUP(A2418,'Database Claims'!$A:$C,3,)</f>
        <v>359000</v>
      </c>
      <c r="C2418" s="30">
        <f t="shared" si="74"/>
        <v>-16000</v>
      </c>
      <c r="D2418" s="30">
        <f>VLOOKUP(A2418,'Database Claims'!$A:$C,2,)</f>
        <v>3076000</v>
      </c>
      <c r="E2418" s="30">
        <f t="shared" si="75"/>
        <v>-4000</v>
      </c>
    </row>
    <row r="2419" spans="1:5" x14ac:dyDescent="0.2">
      <c r="A2419" s="29">
        <v>41377</v>
      </c>
      <c r="B2419" s="26">
        <f>VLOOKUP(A2419,'Database Claims'!$A:$C,3,)</f>
        <v>356000</v>
      </c>
      <c r="C2419" s="30">
        <f t="shared" si="74"/>
        <v>-3000</v>
      </c>
      <c r="D2419" s="26">
        <f>VLOOKUP(A2419,'Database Claims'!$A:$C,2,)</f>
        <v>3024000</v>
      </c>
      <c r="E2419" s="30">
        <f t="shared" si="75"/>
        <v>-52000</v>
      </c>
    </row>
    <row r="2420" spans="1:5" x14ac:dyDescent="0.2">
      <c r="A2420" s="29">
        <v>41384</v>
      </c>
      <c r="B2420" s="30">
        <f>VLOOKUP(A2420,'Database Claims'!$A:$C,3,)</f>
        <v>343000</v>
      </c>
      <c r="C2420" s="30">
        <f t="shared" si="74"/>
        <v>-13000</v>
      </c>
      <c r="D2420" s="30">
        <f>VLOOKUP(A2420,'Database Claims'!$A:$C,2,)</f>
        <v>3027000</v>
      </c>
      <c r="E2420" s="30">
        <f t="shared" si="75"/>
        <v>3000</v>
      </c>
    </row>
    <row r="2421" spans="1:5" x14ac:dyDescent="0.2">
      <c r="A2421" s="29">
        <v>41391</v>
      </c>
      <c r="B2421" s="26">
        <f>VLOOKUP(A2421,'Database Claims'!$A:$C,3,)</f>
        <v>331000</v>
      </c>
      <c r="C2421" s="30">
        <f t="shared" si="74"/>
        <v>-12000</v>
      </c>
      <c r="D2421" s="26">
        <f>VLOOKUP(A2421,'Database Claims'!$A:$C,2,)</f>
        <v>3039000</v>
      </c>
      <c r="E2421" s="30">
        <f t="shared" si="75"/>
        <v>12000</v>
      </c>
    </row>
    <row r="2422" spans="1:5" x14ac:dyDescent="0.2">
      <c r="A2422" s="29">
        <v>41398</v>
      </c>
      <c r="B2422" s="30">
        <f>VLOOKUP(A2422,'Database Claims'!$A:$C,3,)</f>
        <v>335000</v>
      </c>
      <c r="C2422" s="30">
        <f t="shared" si="74"/>
        <v>4000</v>
      </c>
      <c r="D2422" s="30">
        <f>VLOOKUP(A2422,'Database Claims'!$A:$C,2,)</f>
        <v>3042000</v>
      </c>
      <c r="E2422" s="30">
        <f t="shared" si="75"/>
        <v>3000</v>
      </c>
    </row>
    <row r="2423" spans="1:5" x14ac:dyDescent="0.2">
      <c r="A2423" s="29">
        <v>41405</v>
      </c>
      <c r="B2423" s="26">
        <f>VLOOKUP(A2423,'Database Claims'!$A:$C,3,)</f>
        <v>360000</v>
      </c>
      <c r="C2423" s="30">
        <f t="shared" si="74"/>
        <v>25000</v>
      </c>
      <c r="D2423" s="26">
        <f>VLOOKUP(A2423,'Database Claims'!$A:$C,2,)</f>
        <v>2975000</v>
      </c>
      <c r="E2423" s="30">
        <f t="shared" si="75"/>
        <v>-67000</v>
      </c>
    </row>
    <row r="2424" spans="1:5" x14ac:dyDescent="0.2">
      <c r="A2424" s="29">
        <v>41412</v>
      </c>
      <c r="B2424" s="30">
        <f>VLOOKUP(A2424,'Database Claims'!$A:$C,3,)</f>
        <v>343000</v>
      </c>
      <c r="C2424" s="30">
        <f t="shared" si="74"/>
        <v>-17000</v>
      </c>
      <c r="D2424" s="30">
        <f>VLOOKUP(A2424,'Database Claims'!$A:$C,2,)</f>
        <v>3020000</v>
      </c>
      <c r="E2424" s="30">
        <f t="shared" si="75"/>
        <v>45000</v>
      </c>
    </row>
    <row r="2425" spans="1:5" x14ac:dyDescent="0.2">
      <c r="A2425" s="29">
        <v>41419</v>
      </c>
      <c r="B2425" s="26">
        <f>VLOOKUP(A2425,'Database Claims'!$A:$C,3,)</f>
        <v>353000</v>
      </c>
      <c r="C2425" s="30">
        <f t="shared" si="74"/>
        <v>10000</v>
      </c>
      <c r="D2425" s="26">
        <f>VLOOKUP(A2425,'Database Claims'!$A:$C,2,)</f>
        <v>3012000</v>
      </c>
      <c r="E2425" s="30">
        <f t="shared" si="75"/>
        <v>-8000</v>
      </c>
    </row>
    <row r="2426" spans="1:5" x14ac:dyDescent="0.2">
      <c r="A2426" s="29">
        <v>41426</v>
      </c>
      <c r="B2426" s="30">
        <f>VLOOKUP(A2426,'Database Claims'!$A:$C,3,)</f>
        <v>346000</v>
      </c>
      <c r="C2426" s="30">
        <f t="shared" si="74"/>
        <v>-7000</v>
      </c>
      <c r="D2426" s="30">
        <f>VLOOKUP(A2426,'Database Claims'!$A:$C,2,)</f>
        <v>2999000</v>
      </c>
      <c r="E2426" s="30">
        <f t="shared" si="75"/>
        <v>-13000</v>
      </c>
    </row>
    <row r="2427" spans="1:5" x14ac:dyDescent="0.2">
      <c r="A2427" s="29">
        <v>41433</v>
      </c>
      <c r="B2427" s="26">
        <f>VLOOKUP(A2427,'Database Claims'!$A:$C,3,)</f>
        <v>337000</v>
      </c>
      <c r="C2427" s="30">
        <f t="shared" si="74"/>
        <v>-9000</v>
      </c>
      <c r="D2427" s="26">
        <f>VLOOKUP(A2427,'Database Claims'!$A:$C,2,)</f>
        <v>3004000</v>
      </c>
      <c r="E2427" s="30">
        <f t="shared" si="75"/>
        <v>5000</v>
      </c>
    </row>
    <row r="2428" spans="1:5" x14ac:dyDescent="0.2">
      <c r="A2428" s="29">
        <v>41440</v>
      </c>
      <c r="B2428" s="30">
        <f>VLOOKUP(A2428,'Database Claims'!$A:$C,3,)</f>
        <v>353000</v>
      </c>
      <c r="C2428" s="30">
        <f t="shared" si="74"/>
        <v>16000</v>
      </c>
      <c r="D2428" s="30">
        <f>VLOOKUP(A2428,'Database Claims'!$A:$C,2,)</f>
        <v>2996000</v>
      </c>
      <c r="E2428" s="30">
        <f t="shared" si="75"/>
        <v>-8000</v>
      </c>
    </row>
    <row r="2429" spans="1:5" x14ac:dyDescent="0.2">
      <c r="A2429" s="29">
        <v>41447</v>
      </c>
      <c r="B2429" s="26">
        <f>VLOOKUP(A2429,'Database Claims'!$A:$C,3,)</f>
        <v>347000</v>
      </c>
      <c r="C2429" s="30">
        <f t="shared" si="74"/>
        <v>-6000</v>
      </c>
      <c r="D2429" s="26">
        <f>VLOOKUP(A2429,'Database Claims'!$A:$C,2,)</f>
        <v>2962000</v>
      </c>
      <c r="E2429" s="30">
        <f t="shared" si="75"/>
        <v>-34000</v>
      </c>
    </row>
    <row r="2430" spans="1:5" x14ac:dyDescent="0.2">
      <c r="A2430" s="29">
        <v>41454</v>
      </c>
      <c r="B2430" s="30">
        <f>VLOOKUP(A2430,'Database Claims'!$A:$C,3,)</f>
        <v>340000</v>
      </c>
      <c r="C2430" s="30">
        <f t="shared" si="74"/>
        <v>-7000</v>
      </c>
      <c r="D2430" s="30">
        <f>VLOOKUP(A2430,'Database Claims'!$A:$C,2,)</f>
        <v>3003000</v>
      </c>
      <c r="E2430" s="30">
        <f t="shared" si="75"/>
        <v>41000</v>
      </c>
    </row>
    <row r="2431" spans="1:5" x14ac:dyDescent="0.2">
      <c r="A2431" s="29">
        <v>41461</v>
      </c>
      <c r="B2431" s="26">
        <f>VLOOKUP(A2431,'Database Claims'!$A:$C,3,)</f>
        <v>351000</v>
      </c>
      <c r="C2431" s="30">
        <f t="shared" si="74"/>
        <v>11000</v>
      </c>
      <c r="D2431" s="26">
        <f>VLOOKUP(A2431,'Database Claims'!$A:$C,2,)</f>
        <v>3113000</v>
      </c>
      <c r="E2431" s="30">
        <f t="shared" si="75"/>
        <v>110000</v>
      </c>
    </row>
    <row r="2432" spans="1:5" x14ac:dyDescent="0.2">
      <c r="A2432" s="29">
        <v>41468</v>
      </c>
      <c r="B2432" s="30">
        <f>VLOOKUP(A2432,'Database Claims'!$A:$C,3,)</f>
        <v>344000</v>
      </c>
      <c r="C2432" s="30">
        <f t="shared" si="74"/>
        <v>-7000</v>
      </c>
      <c r="D2432" s="30">
        <f>VLOOKUP(A2432,'Database Claims'!$A:$C,2,)</f>
        <v>3011000</v>
      </c>
      <c r="E2432" s="30">
        <f t="shared" si="75"/>
        <v>-102000</v>
      </c>
    </row>
    <row r="2433" spans="1:5" x14ac:dyDescent="0.2">
      <c r="A2433" s="29">
        <v>41475</v>
      </c>
      <c r="B2433" s="26">
        <f>VLOOKUP(A2433,'Database Claims'!$A:$C,3,)</f>
        <v>355000</v>
      </c>
      <c r="C2433" s="30">
        <f t="shared" si="74"/>
        <v>11000</v>
      </c>
      <c r="D2433" s="26">
        <f>VLOOKUP(A2433,'Database Claims'!$A:$C,2,)</f>
        <v>2947000</v>
      </c>
      <c r="E2433" s="30">
        <f t="shared" si="75"/>
        <v>-64000</v>
      </c>
    </row>
    <row r="2434" spans="1:5" x14ac:dyDescent="0.2">
      <c r="A2434" s="29">
        <v>41482</v>
      </c>
      <c r="B2434" s="30">
        <f>VLOOKUP(A2434,'Database Claims'!$A:$C,3,)</f>
        <v>334000</v>
      </c>
      <c r="C2434" s="30">
        <f t="shared" si="74"/>
        <v>-21000</v>
      </c>
      <c r="D2434" s="30">
        <f>VLOOKUP(A2434,'Database Claims'!$A:$C,2,)</f>
        <v>3010000</v>
      </c>
      <c r="E2434" s="30">
        <f t="shared" si="75"/>
        <v>63000</v>
      </c>
    </row>
    <row r="2435" spans="1:5" x14ac:dyDescent="0.2">
      <c r="A2435" s="29">
        <v>41489</v>
      </c>
      <c r="B2435" s="26">
        <f>VLOOKUP(A2435,'Database Claims'!$A:$C,3,)</f>
        <v>339000</v>
      </c>
      <c r="C2435" s="30">
        <f t="shared" si="74"/>
        <v>5000</v>
      </c>
      <c r="D2435" s="26">
        <f>VLOOKUP(A2435,'Database Claims'!$A:$C,2,)</f>
        <v>2944000</v>
      </c>
      <c r="E2435" s="30">
        <f t="shared" si="75"/>
        <v>-66000</v>
      </c>
    </row>
    <row r="2436" spans="1:5" x14ac:dyDescent="0.2">
      <c r="A2436" s="29">
        <v>41496</v>
      </c>
      <c r="B2436" s="30">
        <f>VLOOKUP(A2436,'Database Claims'!$A:$C,3,)</f>
        <v>327000</v>
      </c>
      <c r="C2436" s="30">
        <f t="shared" si="74"/>
        <v>-12000</v>
      </c>
      <c r="D2436" s="30">
        <f>VLOOKUP(A2436,'Database Claims'!$A:$C,2,)</f>
        <v>2987000</v>
      </c>
      <c r="E2436" s="30">
        <f t="shared" si="75"/>
        <v>43000</v>
      </c>
    </row>
    <row r="2437" spans="1:5" x14ac:dyDescent="0.2">
      <c r="A2437" s="29">
        <v>41503</v>
      </c>
      <c r="B2437" s="26">
        <f>VLOOKUP(A2437,'Database Claims'!$A:$C,3,)</f>
        <v>340000</v>
      </c>
      <c r="C2437" s="30">
        <f t="shared" si="74"/>
        <v>13000</v>
      </c>
      <c r="D2437" s="26">
        <f>VLOOKUP(A2437,'Database Claims'!$A:$C,2,)</f>
        <v>2968000</v>
      </c>
      <c r="E2437" s="30">
        <f t="shared" si="75"/>
        <v>-19000</v>
      </c>
    </row>
    <row r="2438" spans="1:5" x14ac:dyDescent="0.2">
      <c r="A2438" s="29">
        <v>41510</v>
      </c>
      <c r="B2438" s="30">
        <f>VLOOKUP(A2438,'Database Claims'!$A:$C,3,)</f>
        <v>336000</v>
      </c>
      <c r="C2438" s="30">
        <f t="shared" ref="C2438:C2501" si="76">B2438-B2437</f>
        <v>-4000</v>
      </c>
      <c r="D2438" s="30">
        <f>VLOOKUP(A2438,'Database Claims'!$A:$C,2,)</f>
        <v>2934000</v>
      </c>
      <c r="E2438" s="30">
        <f t="shared" ref="E2438:E2501" si="77">D2438-D2437</f>
        <v>-34000</v>
      </c>
    </row>
    <row r="2439" spans="1:5" x14ac:dyDescent="0.2">
      <c r="A2439" s="29">
        <v>41517</v>
      </c>
      <c r="B2439" s="26">
        <f>VLOOKUP(A2439,'Database Claims'!$A:$C,3,)</f>
        <v>325000</v>
      </c>
      <c r="C2439" s="30">
        <f t="shared" si="76"/>
        <v>-11000</v>
      </c>
      <c r="D2439" s="26">
        <f>VLOOKUP(A2439,'Database Claims'!$A:$C,2,)</f>
        <v>2839000</v>
      </c>
      <c r="E2439" s="30">
        <f t="shared" si="77"/>
        <v>-95000</v>
      </c>
    </row>
    <row r="2440" spans="1:5" x14ac:dyDescent="0.2">
      <c r="A2440" s="29">
        <v>41524</v>
      </c>
      <c r="B2440" s="30">
        <f>VLOOKUP(A2440,'Database Claims'!$A:$C,3,)</f>
        <v>300000</v>
      </c>
      <c r="C2440" s="30">
        <f t="shared" si="76"/>
        <v>-25000</v>
      </c>
      <c r="D2440" s="30">
        <f>VLOOKUP(A2440,'Database Claims'!$A:$C,2,)</f>
        <v>2822000</v>
      </c>
      <c r="E2440" s="30">
        <f t="shared" si="77"/>
        <v>-17000</v>
      </c>
    </row>
    <row r="2441" spans="1:5" x14ac:dyDescent="0.2">
      <c r="A2441" s="29">
        <v>41531</v>
      </c>
      <c r="B2441" s="26">
        <f>VLOOKUP(A2441,'Database Claims'!$A:$C,3,)</f>
        <v>323000</v>
      </c>
      <c r="C2441" s="30">
        <f t="shared" si="76"/>
        <v>23000</v>
      </c>
      <c r="D2441" s="26">
        <f>VLOOKUP(A2441,'Database Claims'!$A:$C,2,)</f>
        <v>2863000</v>
      </c>
      <c r="E2441" s="30">
        <f t="shared" si="77"/>
        <v>41000</v>
      </c>
    </row>
    <row r="2442" spans="1:5" x14ac:dyDescent="0.2">
      <c r="A2442" s="29">
        <v>41538</v>
      </c>
      <c r="B2442" s="30">
        <f>VLOOKUP(A2442,'Database Claims'!$A:$C,3,)</f>
        <v>314000</v>
      </c>
      <c r="C2442" s="30">
        <f t="shared" si="76"/>
        <v>-9000</v>
      </c>
      <c r="D2442" s="30">
        <f>VLOOKUP(A2442,'Database Claims'!$A:$C,2,)</f>
        <v>2954000</v>
      </c>
      <c r="E2442" s="30">
        <f t="shared" si="77"/>
        <v>91000</v>
      </c>
    </row>
    <row r="2443" spans="1:5" x14ac:dyDescent="0.2">
      <c r="A2443" s="29">
        <v>41545</v>
      </c>
      <c r="B2443" s="26">
        <f>VLOOKUP(A2443,'Database Claims'!$A:$C,3,)</f>
        <v>319000</v>
      </c>
      <c r="C2443" s="30">
        <f t="shared" si="76"/>
        <v>5000</v>
      </c>
      <c r="D2443" s="26">
        <f>VLOOKUP(A2443,'Database Claims'!$A:$C,2,)</f>
        <v>2944000</v>
      </c>
      <c r="E2443" s="30">
        <f t="shared" si="77"/>
        <v>-10000</v>
      </c>
    </row>
    <row r="2444" spans="1:5" x14ac:dyDescent="0.2">
      <c r="A2444" s="29">
        <v>41552</v>
      </c>
      <c r="B2444" s="30">
        <f>VLOOKUP(A2444,'Database Claims'!$A:$C,3,)</f>
        <v>368000</v>
      </c>
      <c r="C2444" s="30">
        <f t="shared" si="76"/>
        <v>49000</v>
      </c>
      <c r="D2444" s="30">
        <f>VLOOKUP(A2444,'Database Claims'!$A:$C,2,)</f>
        <v>2929000</v>
      </c>
      <c r="E2444" s="30">
        <f t="shared" si="77"/>
        <v>-15000</v>
      </c>
    </row>
    <row r="2445" spans="1:5" x14ac:dyDescent="0.2">
      <c r="A2445" s="29">
        <v>41559</v>
      </c>
      <c r="B2445" s="26">
        <f>VLOOKUP(A2445,'Database Claims'!$A:$C,3,)</f>
        <v>368000</v>
      </c>
      <c r="C2445" s="30">
        <f t="shared" si="76"/>
        <v>0</v>
      </c>
      <c r="D2445" s="26">
        <f>VLOOKUP(A2445,'Database Claims'!$A:$C,2,)</f>
        <v>2925000</v>
      </c>
      <c r="E2445" s="30">
        <f t="shared" si="77"/>
        <v>-4000</v>
      </c>
    </row>
    <row r="2446" spans="1:5" x14ac:dyDescent="0.2">
      <c r="A2446" s="29">
        <v>41566</v>
      </c>
      <c r="B2446" s="30">
        <f>VLOOKUP(A2446,'Database Claims'!$A:$C,3,)</f>
        <v>351000</v>
      </c>
      <c r="C2446" s="30">
        <f t="shared" si="76"/>
        <v>-17000</v>
      </c>
      <c r="D2446" s="30">
        <f>VLOOKUP(A2446,'Database Claims'!$A:$C,2,)</f>
        <v>2933000</v>
      </c>
      <c r="E2446" s="30">
        <f t="shared" si="77"/>
        <v>8000</v>
      </c>
    </row>
    <row r="2447" spans="1:5" x14ac:dyDescent="0.2">
      <c r="A2447" s="29">
        <v>41573</v>
      </c>
      <c r="B2447" s="26">
        <f>VLOOKUP(A2447,'Database Claims'!$A:$C,3,)</f>
        <v>347000</v>
      </c>
      <c r="C2447" s="30">
        <f t="shared" si="76"/>
        <v>-4000</v>
      </c>
      <c r="D2447" s="26">
        <f>VLOOKUP(A2447,'Database Claims'!$A:$C,2,)</f>
        <v>2927000</v>
      </c>
      <c r="E2447" s="30">
        <f t="shared" si="77"/>
        <v>-6000</v>
      </c>
    </row>
    <row r="2448" spans="1:5" x14ac:dyDescent="0.2">
      <c r="A2448" s="29">
        <v>41580</v>
      </c>
      <c r="B2448" s="30">
        <f>VLOOKUP(A2448,'Database Claims'!$A:$C,3,)</f>
        <v>342000</v>
      </c>
      <c r="C2448" s="30">
        <f t="shared" si="76"/>
        <v>-5000</v>
      </c>
      <c r="D2448" s="30">
        <f>VLOOKUP(A2448,'Database Claims'!$A:$C,2,)</f>
        <v>2873000</v>
      </c>
      <c r="E2448" s="30">
        <f t="shared" si="77"/>
        <v>-54000</v>
      </c>
    </row>
    <row r="2449" spans="1:5" x14ac:dyDescent="0.2">
      <c r="A2449" s="29">
        <v>41587</v>
      </c>
      <c r="B2449" s="26">
        <f>VLOOKUP(A2449,'Database Claims'!$A:$C,3,)</f>
        <v>340000</v>
      </c>
      <c r="C2449" s="30">
        <f t="shared" si="76"/>
        <v>-2000</v>
      </c>
      <c r="D2449" s="26">
        <f>VLOOKUP(A2449,'Database Claims'!$A:$C,2,)</f>
        <v>2925000</v>
      </c>
      <c r="E2449" s="30">
        <f t="shared" si="77"/>
        <v>52000</v>
      </c>
    </row>
    <row r="2450" spans="1:5" x14ac:dyDescent="0.2">
      <c r="A2450" s="29">
        <v>41594</v>
      </c>
      <c r="B2450" s="30">
        <f>VLOOKUP(A2450,'Database Claims'!$A:$C,3,)</f>
        <v>331000</v>
      </c>
      <c r="C2450" s="30">
        <f t="shared" si="76"/>
        <v>-9000</v>
      </c>
      <c r="D2450" s="30">
        <f>VLOOKUP(A2450,'Database Claims'!$A:$C,2,)</f>
        <v>2837000</v>
      </c>
      <c r="E2450" s="30">
        <f t="shared" si="77"/>
        <v>-88000</v>
      </c>
    </row>
    <row r="2451" spans="1:5" x14ac:dyDescent="0.2">
      <c r="A2451" s="29">
        <v>41601</v>
      </c>
      <c r="B2451" s="26">
        <f>VLOOKUP(A2451,'Database Claims'!$A:$C,3,)</f>
        <v>316000</v>
      </c>
      <c r="C2451" s="30">
        <f t="shared" si="76"/>
        <v>-15000</v>
      </c>
      <c r="D2451" s="26">
        <f>VLOOKUP(A2451,'Database Claims'!$A:$C,2,)</f>
        <v>2813000</v>
      </c>
      <c r="E2451" s="30">
        <f t="shared" si="77"/>
        <v>-24000</v>
      </c>
    </row>
    <row r="2452" spans="1:5" x14ac:dyDescent="0.2">
      <c r="A2452" s="29">
        <v>41608</v>
      </c>
      <c r="B2452" s="30">
        <f>VLOOKUP(A2452,'Database Claims'!$A:$C,3,)</f>
        <v>312000</v>
      </c>
      <c r="C2452" s="30">
        <f t="shared" si="76"/>
        <v>-4000</v>
      </c>
      <c r="D2452" s="30">
        <f>VLOOKUP(A2452,'Database Claims'!$A:$C,2,)</f>
        <v>2808000</v>
      </c>
      <c r="E2452" s="30">
        <f t="shared" si="77"/>
        <v>-5000</v>
      </c>
    </row>
    <row r="2453" spans="1:5" x14ac:dyDescent="0.2">
      <c r="A2453" s="29">
        <v>41615</v>
      </c>
      <c r="B2453" s="26">
        <f>VLOOKUP(A2453,'Database Claims'!$A:$C,3,)</f>
        <v>354000</v>
      </c>
      <c r="C2453" s="30">
        <f t="shared" si="76"/>
        <v>42000</v>
      </c>
      <c r="D2453" s="26">
        <f>VLOOKUP(A2453,'Database Claims'!$A:$C,2,)</f>
        <v>2892000</v>
      </c>
      <c r="E2453" s="30">
        <f t="shared" si="77"/>
        <v>84000</v>
      </c>
    </row>
    <row r="2454" spans="1:5" x14ac:dyDescent="0.2">
      <c r="A2454" s="29">
        <v>41622</v>
      </c>
      <c r="B2454" s="30">
        <f>VLOOKUP(A2454,'Database Claims'!$A:$C,3,)</f>
        <v>364000</v>
      </c>
      <c r="C2454" s="30">
        <f t="shared" si="76"/>
        <v>10000</v>
      </c>
      <c r="D2454" s="30">
        <f>VLOOKUP(A2454,'Database Claims'!$A:$C,2,)</f>
        <v>2903000</v>
      </c>
      <c r="E2454" s="30">
        <f t="shared" si="77"/>
        <v>11000</v>
      </c>
    </row>
    <row r="2455" spans="1:5" x14ac:dyDescent="0.2">
      <c r="A2455" s="29">
        <v>41629</v>
      </c>
      <c r="B2455" s="26">
        <f>VLOOKUP(A2455,'Database Claims'!$A:$C,3,)</f>
        <v>334000</v>
      </c>
      <c r="C2455" s="30">
        <f t="shared" si="76"/>
        <v>-30000</v>
      </c>
      <c r="D2455" s="26">
        <f>VLOOKUP(A2455,'Database Claims'!$A:$C,2,)</f>
        <v>2832000</v>
      </c>
      <c r="E2455" s="30">
        <f t="shared" si="77"/>
        <v>-71000</v>
      </c>
    </row>
    <row r="2456" spans="1:5" x14ac:dyDescent="0.2">
      <c r="A2456" s="29">
        <v>41636</v>
      </c>
      <c r="B2456" s="30">
        <f>VLOOKUP(A2456,'Database Claims'!$A:$C,3,)</f>
        <v>332000</v>
      </c>
      <c r="C2456" s="30">
        <f t="shared" si="76"/>
        <v>-2000</v>
      </c>
      <c r="D2456" s="30">
        <f>VLOOKUP(A2456,'Database Claims'!$A:$C,2,)</f>
        <v>2807000</v>
      </c>
      <c r="E2456" s="30">
        <f t="shared" si="77"/>
        <v>-25000</v>
      </c>
    </row>
    <row r="2457" spans="1:5" x14ac:dyDescent="0.2">
      <c r="A2457" s="29">
        <v>41643</v>
      </c>
      <c r="B2457" s="26">
        <f>VLOOKUP(A2457,'Database Claims'!$A:$C,3,)</f>
        <v>322000</v>
      </c>
      <c r="C2457" s="30">
        <f t="shared" si="76"/>
        <v>-10000</v>
      </c>
      <c r="D2457" s="26">
        <f>VLOOKUP(A2457,'Database Claims'!$A:$C,2,)</f>
        <v>2903000</v>
      </c>
      <c r="E2457" s="30">
        <f t="shared" si="77"/>
        <v>96000</v>
      </c>
    </row>
    <row r="2458" spans="1:5" x14ac:dyDescent="0.2">
      <c r="A2458" s="29">
        <v>41650</v>
      </c>
      <c r="B2458" s="30">
        <f>VLOOKUP(A2458,'Database Claims'!$A:$C,3,)</f>
        <v>318000</v>
      </c>
      <c r="C2458" s="30">
        <f t="shared" si="76"/>
        <v>-4000</v>
      </c>
      <c r="D2458" s="30">
        <f>VLOOKUP(A2458,'Database Claims'!$A:$C,2,)</f>
        <v>2907000</v>
      </c>
      <c r="E2458" s="30">
        <f t="shared" si="77"/>
        <v>4000</v>
      </c>
    </row>
    <row r="2459" spans="1:5" x14ac:dyDescent="0.2">
      <c r="A2459" s="29">
        <v>41657</v>
      </c>
      <c r="B2459" s="26">
        <f>VLOOKUP(A2459,'Database Claims'!$A:$C,3,)</f>
        <v>327000</v>
      </c>
      <c r="C2459" s="30">
        <f t="shared" si="76"/>
        <v>9000</v>
      </c>
      <c r="D2459" s="26">
        <f>VLOOKUP(A2459,'Database Claims'!$A:$C,2,)</f>
        <v>2847000</v>
      </c>
      <c r="E2459" s="30">
        <f t="shared" si="77"/>
        <v>-60000</v>
      </c>
    </row>
    <row r="2460" spans="1:5" x14ac:dyDescent="0.2">
      <c r="A2460" s="29">
        <v>41664</v>
      </c>
      <c r="B2460" s="30">
        <f>VLOOKUP(A2460,'Database Claims'!$A:$C,3,)</f>
        <v>340000</v>
      </c>
      <c r="C2460" s="30">
        <f t="shared" si="76"/>
        <v>13000</v>
      </c>
      <c r="D2460" s="30">
        <f>VLOOKUP(A2460,'Database Claims'!$A:$C,2,)</f>
        <v>2850000</v>
      </c>
      <c r="E2460" s="30">
        <f t="shared" si="77"/>
        <v>3000</v>
      </c>
    </row>
    <row r="2461" spans="1:5" x14ac:dyDescent="0.2">
      <c r="A2461" s="29">
        <v>41671</v>
      </c>
      <c r="B2461" s="26">
        <f>VLOOKUP(A2461,'Database Claims'!$A:$C,3,)</f>
        <v>331000</v>
      </c>
      <c r="C2461" s="30">
        <f t="shared" si="76"/>
        <v>-9000</v>
      </c>
      <c r="D2461" s="26">
        <f>VLOOKUP(A2461,'Database Claims'!$A:$C,2,)</f>
        <v>2852000</v>
      </c>
      <c r="E2461" s="30">
        <f t="shared" si="77"/>
        <v>2000</v>
      </c>
    </row>
    <row r="2462" spans="1:5" x14ac:dyDescent="0.2">
      <c r="A2462" s="29">
        <v>41678</v>
      </c>
      <c r="B2462" s="30">
        <f>VLOOKUP(A2462,'Database Claims'!$A:$C,3,)</f>
        <v>337000</v>
      </c>
      <c r="C2462" s="30">
        <f t="shared" si="76"/>
        <v>6000</v>
      </c>
      <c r="D2462" s="30">
        <f>VLOOKUP(A2462,'Database Claims'!$A:$C,2,)</f>
        <v>2859000</v>
      </c>
      <c r="E2462" s="30">
        <f t="shared" si="77"/>
        <v>7000</v>
      </c>
    </row>
    <row r="2463" spans="1:5" x14ac:dyDescent="0.2">
      <c r="A2463" s="29">
        <v>41685</v>
      </c>
      <c r="B2463" s="26">
        <f>VLOOKUP(A2463,'Database Claims'!$A:$C,3,)</f>
        <v>332000</v>
      </c>
      <c r="C2463" s="30">
        <f t="shared" si="76"/>
        <v>-5000</v>
      </c>
      <c r="D2463" s="26">
        <f>VLOOKUP(A2463,'Database Claims'!$A:$C,2,)</f>
        <v>2861000</v>
      </c>
      <c r="E2463" s="30">
        <f t="shared" si="77"/>
        <v>2000</v>
      </c>
    </row>
    <row r="2464" spans="1:5" x14ac:dyDescent="0.2">
      <c r="A2464" s="29">
        <v>41692</v>
      </c>
      <c r="B2464" s="30">
        <f>VLOOKUP(A2464,'Database Claims'!$A:$C,3,)</f>
        <v>341000</v>
      </c>
      <c r="C2464" s="30">
        <f t="shared" si="76"/>
        <v>9000</v>
      </c>
      <c r="D2464" s="30">
        <f>VLOOKUP(A2464,'Database Claims'!$A:$C,2,)</f>
        <v>2823000</v>
      </c>
      <c r="E2464" s="30">
        <f t="shared" si="77"/>
        <v>-38000</v>
      </c>
    </row>
    <row r="2465" spans="1:5" x14ac:dyDescent="0.2">
      <c r="A2465" s="29">
        <v>41699</v>
      </c>
      <c r="B2465" s="26">
        <f>VLOOKUP(A2465,'Database Claims'!$A:$C,3,)</f>
        <v>319000</v>
      </c>
      <c r="C2465" s="30">
        <f t="shared" si="76"/>
        <v>-22000</v>
      </c>
      <c r="D2465" s="26">
        <f>VLOOKUP(A2465,'Database Claims'!$A:$C,2,)</f>
        <v>2787000</v>
      </c>
      <c r="E2465" s="30">
        <f t="shared" si="77"/>
        <v>-36000</v>
      </c>
    </row>
    <row r="2466" spans="1:5" x14ac:dyDescent="0.2">
      <c r="A2466" s="29">
        <v>41706</v>
      </c>
      <c r="B2466" s="30">
        <f>VLOOKUP(A2466,'Database Claims'!$A:$C,3,)</f>
        <v>322000</v>
      </c>
      <c r="C2466" s="30">
        <f t="shared" si="76"/>
        <v>3000</v>
      </c>
      <c r="D2466" s="30">
        <f>VLOOKUP(A2466,'Database Claims'!$A:$C,2,)</f>
        <v>2816000</v>
      </c>
      <c r="E2466" s="30">
        <f t="shared" si="77"/>
        <v>29000</v>
      </c>
    </row>
    <row r="2467" spans="1:5" x14ac:dyDescent="0.2">
      <c r="A2467" s="29">
        <v>41713</v>
      </c>
      <c r="B2467" s="26">
        <f>VLOOKUP(A2467,'Database Claims'!$A:$C,3,)</f>
        <v>321000</v>
      </c>
      <c r="C2467" s="30">
        <f t="shared" si="76"/>
        <v>-1000</v>
      </c>
      <c r="D2467" s="26">
        <f>VLOOKUP(A2467,'Database Claims'!$A:$C,2,)</f>
        <v>2764000</v>
      </c>
      <c r="E2467" s="30">
        <f t="shared" si="77"/>
        <v>-52000</v>
      </c>
    </row>
    <row r="2468" spans="1:5" x14ac:dyDescent="0.2">
      <c r="A2468" s="29">
        <v>41720</v>
      </c>
      <c r="B2468" s="30">
        <f>VLOOKUP(A2468,'Database Claims'!$A:$C,3,)</f>
        <v>313000</v>
      </c>
      <c r="C2468" s="30">
        <f t="shared" si="76"/>
        <v>-8000</v>
      </c>
      <c r="D2468" s="30">
        <f>VLOOKUP(A2468,'Database Claims'!$A:$C,2,)</f>
        <v>2800000</v>
      </c>
      <c r="E2468" s="30">
        <f t="shared" si="77"/>
        <v>36000</v>
      </c>
    </row>
    <row r="2469" spans="1:5" x14ac:dyDescent="0.2">
      <c r="A2469" s="29">
        <v>41727</v>
      </c>
      <c r="B2469" s="26">
        <f>VLOOKUP(A2469,'Database Claims'!$A:$C,3,)</f>
        <v>330000</v>
      </c>
      <c r="C2469" s="30">
        <f t="shared" si="76"/>
        <v>17000</v>
      </c>
      <c r="D2469" s="26">
        <f>VLOOKUP(A2469,'Database Claims'!$A:$C,2,)</f>
        <v>2729000</v>
      </c>
      <c r="E2469" s="30">
        <f t="shared" si="77"/>
        <v>-71000</v>
      </c>
    </row>
    <row r="2470" spans="1:5" x14ac:dyDescent="0.2">
      <c r="A2470" s="29">
        <v>41734</v>
      </c>
      <c r="B2470" s="30">
        <f>VLOOKUP(A2470,'Database Claims'!$A:$C,3,)</f>
        <v>311000</v>
      </c>
      <c r="C2470" s="30">
        <f t="shared" si="76"/>
        <v>-19000</v>
      </c>
      <c r="D2470" s="30">
        <f>VLOOKUP(A2470,'Database Claims'!$A:$C,2,)</f>
        <v>2730000</v>
      </c>
      <c r="E2470" s="30">
        <f t="shared" si="77"/>
        <v>1000</v>
      </c>
    </row>
    <row r="2471" spans="1:5" x14ac:dyDescent="0.2">
      <c r="A2471" s="29">
        <v>41741</v>
      </c>
      <c r="B2471" s="26">
        <f>VLOOKUP(A2471,'Database Claims'!$A:$C,3,)</f>
        <v>308000</v>
      </c>
      <c r="C2471" s="30">
        <f t="shared" si="76"/>
        <v>-3000</v>
      </c>
      <c r="D2471" s="26">
        <f>VLOOKUP(A2471,'Database Claims'!$A:$C,2,)</f>
        <v>2680000</v>
      </c>
      <c r="E2471" s="30">
        <f t="shared" si="77"/>
        <v>-50000</v>
      </c>
    </row>
    <row r="2472" spans="1:5" x14ac:dyDescent="0.2">
      <c r="A2472" s="29">
        <v>41748</v>
      </c>
      <c r="B2472" s="30">
        <f>VLOOKUP(A2472,'Database Claims'!$A:$C,3,)</f>
        <v>327000</v>
      </c>
      <c r="C2472" s="30">
        <f t="shared" si="76"/>
        <v>19000</v>
      </c>
      <c r="D2472" s="30">
        <f>VLOOKUP(A2472,'Database Claims'!$A:$C,2,)</f>
        <v>2767000</v>
      </c>
      <c r="E2472" s="30">
        <f t="shared" si="77"/>
        <v>87000</v>
      </c>
    </row>
    <row r="2473" spans="1:5" x14ac:dyDescent="0.2">
      <c r="A2473" s="29">
        <v>41755</v>
      </c>
      <c r="B2473" s="26">
        <f>VLOOKUP(A2473,'Database Claims'!$A:$C,3,)</f>
        <v>345000</v>
      </c>
      <c r="C2473" s="30">
        <f t="shared" si="76"/>
        <v>18000</v>
      </c>
      <c r="D2473" s="26">
        <f>VLOOKUP(A2473,'Database Claims'!$A:$C,2,)</f>
        <v>2707000</v>
      </c>
      <c r="E2473" s="30">
        <f t="shared" si="77"/>
        <v>-60000</v>
      </c>
    </row>
    <row r="2474" spans="1:5" x14ac:dyDescent="0.2">
      <c r="A2474" s="29">
        <v>41762</v>
      </c>
      <c r="B2474" s="30">
        <f>VLOOKUP(A2474,'Database Claims'!$A:$C,3,)</f>
        <v>325000</v>
      </c>
      <c r="C2474" s="30">
        <f t="shared" si="76"/>
        <v>-20000</v>
      </c>
      <c r="D2474" s="30">
        <f>VLOOKUP(A2474,'Database Claims'!$A:$C,2,)</f>
        <v>2702000</v>
      </c>
      <c r="E2474" s="30">
        <f t="shared" si="77"/>
        <v>-5000</v>
      </c>
    </row>
    <row r="2475" spans="1:5" x14ac:dyDescent="0.2">
      <c r="A2475" s="29">
        <v>41769</v>
      </c>
      <c r="B2475" s="26">
        <f>VLOOKUP(A2475,'Database Claims'!$A:$C,3,)</f>
        <v>303000</v>
      </c>
      <c r="C2475" s="30">
        <f t="shared" si="76"/>
        <v>-22000</v>
      </c>
      <c r="D2475" s="26">
        <f>VLOOKUP(A2475,'Database Claims'!$A:$C,2,)</f>
        <v>2691000</v>
      </c>
      <c r="E2475" s="30">
        <f t="shared" si="77"/>
        <v>-11000</v>
      </c>
    </row>
    <row r="2476" spans="1:5" x14ac:dyDescent="0.2">
      <c r="A2476" s="29">
        <v>41776</v>
      </c>
      <c r="B2476" s="30">
        <f>VLOOKUP(A2476,'Database Claims'!$A:$C,3,)</f>
        <v>324000</v>
      </c>
      <c r="C2476" s="30">
        <f t="shared" si="76"/>
        <v>21000</v>
      </c>
      <c r="D2476" s="30">
        <f>VLOOKUP(A2476,'Database Claims'!$A:$C,2,)</f>
        <v>2657000</v>
      </c>
      <c r="E2476" s="30">
        <f t="shared" si="77"/>
        <v>-34000</v>
      </c>
    </row>
    <row r="2477" spans="1:5" x14ac:dyDescent="0.2">
      <c r="A2477" s="29">
        <v>41783</v>
      </c>
      <c r="B2477" s="26">
        <f>VLOOKUP(A2477,'Database Claims'!$A:$C,3,)</f>
        <v>305000</v>
      </c>
      <c r="C2477" s="30">
        <f t="shared" si="76"/>
        <v>-19000</v>
      </c>
      <c r="D2477" s="26">
        <f>VLOOKUP(A2477,'Database Claims'!$A:$C,2,)</f>
        <v>2646000</v>
      </c>
      <c r="E2477" s="30">
        <f t="shared" si="77"/>
        <v>-11000</v>
      </c>
    </row>
    <row r="2478" spans="1:5" x14ac:dyDescent="0.2">
      <c r="A2478" s="29">
        <v>41790</v>
      </c>
      <c r="B2478" s="30">
        <f>VLOOKUP(A2478,'Database Claims'!$A:$C,3,)</f>
        <v>312000</v>
      </c>
      <c r="C2478" s="30">
        <f t="shared" si="76"/>
        <v>7000</v>
      </c>
      <c r="D2478" s="30">
        <f>VLOOKUP(A2478,'Database Claims'!$A:$C,2,)</f>
        <v>2641000</v>
      </c>
      <c r="E2478" s="30">
        <f t="shared" si="77"/>
        <v>-5000</v>
      </c>
    </row>
    <row r="2479" spans="1:5" x14ac:dyDescent="0.2">
      <c r="A2479" s="29">
        <v>41797</v>
      </c>
      <c r="B2479" s="26">
        <f>VLOOKUP(A2479,'Database Claims'!$A:$C,3,)</f>
        <v>317000</v>
      </c>
      <c r="C2479" s="30">
        <f t="shared" si="76"/>
        <v>5000</v>
      </c>
      <c r="D2479" s="26">
        <f>VLOOKUP(A2479,'Database Claims'!$A:$C,2,)</f>
        <v>2598000</v>
      </c>
      <c r="E2479" s="30">
        <f t="shared" si="77"/>
        <v>-43000</v>
      </c>
    </row>
    <row r="2480" spans="1:5" x14ac:dyDescent="0.2">
      <c r="A2480" s="29">
        <v>41804</v>
      </c>
      <c r="B2480" s="30">
        <f>VLOOKUP(A2480,'Database Claims'!$A:$C,3,)</f>
        <v>314000</v>
      </c>
      <c r="C2480" s="30">
        <f t="shared" si="76"/>
        <v>-3000</v>
      </c>
      <c r="D2480" s="30">
        <f>VLOOKUP(A2480,'Database Claims'!$A:$C,2,)</f>
        <v>2595000</v>
      </c>
      <c r="E2480" s="30">
        <f t="shared" si="77"/>
        <v>-3000</v>
      </c>
    </row>
    <row r="2481" spans="1:5" x14ac:dyDescent="0.2">
      <c r="A2481" s="29">
        <v>41811</v>
      </c>
      <c r="B2481" s="26">
        <f>VLOOKUP(A2481,'Database Claims'!$A:$C,3,)</f>
        <v>315000</v>
      </c>
      <c r="C2481" s="30">
        <f t="shared" si="76"/>
        <v>1000</v>
      </c>
      <c r="D2481" s="26">
        <f>VLOOKUP(A2481,'Database Claims'!$A:$C,2,)</f>
        <v>2583000</v>
      </c>
      <c r="E2481" s="30">
        <f t="shared" si="77"/>
        <v>-12000</v>
      </c>
    </row>
    <row r="2482" spans="1:5" x14ac:dyDescent="0.2">
      <c r="A2482" s="29">
        <v>41818</v>
      </c>
      <c r="B2482" s="30">
        <f>VLOOKUP(A2482,'Database Claims'!$A:$C,3,)</f>
        <v>308000</v>
      </c>
      <c r="C2482" s="30">
        <f t="shared" si="76"/>
        <v>-7000</v>
      </c>
      <c r="D2482" s="30">
        <f>VLOOKUP(A2482,'Database Claims'!$A:$C,2,)</f>
        <v>2579000</v>
      </c>
      <c r="E2482" s="30">
        <f t="shared" si="77"/>
        <v>-4000</v>
      </c>
    </row>
    <row r="2483" spans="1:5" x14ac:dyDescent="0.2">
      <c r="A2483" s="29">
        <v>41825</v>
      </c>
      <c r="B2483" s="26">
        <f>VLOOKUP(A2483,'Database Claims'!$A:$C,3,)</f>
        <v>302000</v>
      </c>
      <c r="C2483" s="30">
        <f t="shared" si="76"/>
        <v>-6000</v>
      </c>
      <c r="D2483" s="26">
        <f>VLOOKUP(A2483,'Database Claims'!$A:$C,2,)</f>
        <v>2540000</v>
      </c>
      <c r="E2483" s="30">
        <f t="shared" si="77"/>
        <v>-39000</v>
      </c>
    </row>
    <row r="2484" spans="1:5" x14ac:dyDescent="0.2">
      <c r="A2484" s="29">
        <v>41832</v>
      </c>
      <c r="B2484" s="30">
        <f>VLOOKUP(A2484,'Database Claims'!$A:$C,3,)</f>
        <v>308000</v>
      </c>
      <c r="C2484" s="30">
        <f t="shared" si="76"/>
        <v>6000</v>
      </c>
      <c r="D2484" s="30">
        <f>VLOOKUP(A2484,'Database Claims'!$A:$C,2,)</f>
        <v>2528000</v>
      </c>
      <c r="E2484" s="30">
        <f t="shared" si="77"/>
        <v>-12000</v>
      </c>
    </row>
    <row r="2485" spans="1:5" x14ac:dyDescent="0.2">
      <c r="A2485" s="29">
        <v>41839</v>
      </c>
      <c r="B2485" s="26">
        <f>VLOOKUP(A2485,'Database Claims'!$A:$C,3,)</f>
        <v>294000</v>
      </c>
      <c r="C2485" s="30">
        <f t="shared" si="76"/>
        <v>-14000</v>
      </c>
      <c r="D2485" s="26">
        <f>VLOOKUP(A2485,'Database Claims'!$A:$C,2,)</f>
        <v>2542000</v>
      </c>
      <c r="E2485" s="30">
        <f t="shared" si="77"/>
        <v>14000</v>
      </c>
    </row>
    <row r="2486" spans="1:5" x14ac:dyDescent="0.2">
      <c r="A2486" s="29">
        <v>41846</v>
      </c>
      <c r="B2486" s="30">
        <f>VLOOKUP(A2486,'Database Claims'!$A:$C,3,)</f>
        <v>303000</v>
      </c>
      <c r="C2486" s="30">
        <f t="shared" si="76"/>
        <v>9000</v>
      </c>
      <c r="D2486" s="30">
        <f>VLOOKUP(A2486,'Database Claims'!$A:$C,2,)</f>
        <v>2524000</v>
      </c>
      <c r="E2486" s="30">
        <f t="shared" si="77"/>
        <v>-18000</v>
      </c>
    </row>
    <row r="2487" spans="1:5" x14ac:dyDescent="0.2">
      <c r="A2487" s="29">
        <v>41853</v>
      </c>
      <c r="B2487" s="26">
        <f>VLOOKUP(A2487,'Database Claims'!$A:$C,3,)</f>
        <v>295000</v>
      </c>
      <c r="C2487" s="30">
        <f t="shared" si="76"/>
        <v>-8000</v>
      </c>
      <c r="D2487" s="26">
        <f>VLOOKUP(A2487,'Database Claims'!$A:$C,2,)</f>
        <v>2530000</v>
      </c>
      <c r="E2487" s="30">
        <f t="shared" si="77"/>
        <v>6000</v>
      </c>
    </row>
    <row r="2488" spans="1:5" x14ac:dyDescent="0.2">
      <c r="A2488" s="29">
        <v>41860</v>
      </c>
      <c r="B2488" s="30">
        <f>VLOOKUP(A2488,'Database Claims'!$A:$C,3,)</f>
        <v>309000</v>
      </c>
      <c r="C2488" s="30">
        <f t="shared" si="76"/>
        <v>14000</v>
      </c>
      <c r="D2488" s="30">
        <f>VLOOKUP(A2488,'Database Claims'!$A:$C,2,)</f>
        <v>2508000</v>
      </c>
      <c r="E2488" s="30">
        <f t="shared" si="77"/>
        <v>-22000</v>
      </c>
    </row>
    <row r="2489" spans="1:5" x14ac:dyDescent="0.2">
      <c r="A2489" s="29">
        <v>41867</v>
      </c>
      <c r="B2489" s="26">
        <f>VLOOKUP(A2489,'Database Claims'!$A:$C,3,)</f>
        <v>303000</v>
      </c>
      <c r="C2489" s="30">
        <f t="shared" si="76"/>
        <v>-6000</v>
      </c>
      <c r="D2489" s="26">
        <f>VLOOKUP(A2489,'Database Claims'!$A:$C,2,)</f>
        <v>2517000</v>
      </c>
      <c r="E2489" s="30">
        <f t="shared" si="77"/>
        <v>9000</v>
      </c>
    </row>
    <row r="2490" spans="1:5" x14ac:dyDescent="0.2">
      <c r="A2490" s="29">
        <v>41874</v>
      </c>
      <c r="B2490" s="30">
        <f>VLOOKUP(A2490,'Database Claims'!$A:$C,3,)</f>
        <v>300000</v>
      </c>
      <c r="C2490" s="30">
        <f t="shared" si="76"/>
        <v>-3000</v>
      </c>
      <c r="D2490" s="30">
        <f>VLOOKUP(A2490,'Database Claims'!$A:$C,2,)</f>
        <v>2483000</v>
      </c>
      <c r="E2490" s="30">
        <f t="shared" si="77"/>
        <v>-34000</v>
      </c>
    </row>
    <row r="2491" spans="1:5" x14ac:dyDescent="0.2">
      <c r="A2491" s="29">
        <v>41881</v>
      </c>
      <c r="B2491" s="26">
        <f>VLOOKUP(A2491,'Database Claims'!$A:$C,3,)</f>
        <v>303000</v>
      </c>
      <c r="C2491" s="30">
        <f t="shared" si="76"/>
        <v>3000</v>
      </c>
      <c r="D2491" s="26">
        <f>VLOOKUP(A2491,'Database Claims'!$A:$C,2,)</f>
        <v>2486000</v>
      </c>
      <c r="E2491" s="30">
        <f t="shared" si="77"/>
        <v>3000</v>
      </c>
    </row>
    <row r="2492" spans="1:5" x14ac:dyDescent="0.2">
      <c r="A2492" s="29">
        <v>41888</v>
      </c>
      <c r="B2492" s="30">
        <f>VLOOKUP(A2492,'Database Claims'!$A:$C,3,)</f>
        <v>307000</v>
      </c>
      <c r="C2492" s="30">
        <f t="shared" si="76"/>
        <v>4000</v>
      </c>
      <c r="D2492" s="30">
        <f>VLOOKUP(A2492,'Database Claims'!$A:$C,2,)</f>
        <v>2452000</v>
      </c>
      <c r="E2492" s="30">
        <f t="shared" si="77"/>
        <v>-34000</v>
      </c>
    </row>
    <row r="2493" spans="1:5" x14ac:dyDescent="0.2">
      <c r="A2493" s="29">
        <v>41895</v>
      </c>
      <c r="B2493" s="26">
        <f>VLOOKUP(A2493,'Database Claims'!$A:$C,3,)</f>
        <v>288000</v>
      </c>
      <c r="C2493" s="30">
        <f t="shared" si="76"/>
        <v>-19000</v>
      </c>
      <c r="D2493" s="26">
        <f>VLOOKUP(A2493,'Database Claims'!$A:$C,2,)</f>
        <v>2465000</v>
      </c>
      <c r="E2493" s="30">
        <f t="shared" si="77"/>
        <v>13000</v>
      </c>
    </row>
    <row r="2494" spans="1:5" x14ac:dyDescent="0.2">
      <c r="A2494" s="29">
        <v>41902</v>
      </c>
      <c r="B2494" s="30">
        <f>VLOOKUP(A2494,'Database Claims'!$A:$C,3,)</f>
        <v>295000</v>
      </c>
      <c r="C2494" s="30">
        <f t="shared" si="76"/>
        <v>7000</v>
      </c>
      <c r="D2494" s="30">
        <f>VLOOKUP(A2494,'Database Claims'!$A:$C,2,)</f>
        <v>2447000</v>
      </c>
      <c r="E2494" s="30">
        <f t="shared" si="77"/>
        <v>-18000</v>
      </c>
    </row>
    <row r="2495" spans="1:5" x14ac:dyDescent="0.2">
      <c r="A2495" s="29">
        <v>41909</v>
      </c>
      <c r="B2495" s="26">
        <f>VLOOKUP(A2495,'Database Claims'!$A:$C,3,)</f>
        <v>290000</v>
      </c>
      <c r="C2495" s="30">
        <f t="shared" si="76"/>
        <v>-5000</v>
      </c>
      <c r="D2495" s="26">
        <f>VLOOKUP(A2495,'Database Claims'!$A:$C,2,)</f>
        <v>2427000</v>
      </c>
      <c r="E2495" s="30">
        <f t="shared" si="77"/>
        <v>-20000</v>
      </c>
    </row>
    <row r="2496" spans="1:5" x14ac:dyDescent="0.2">
      <c r="A2496" s="29">
        <v>41916</v>
      </c>
      <c r="B2496" s="30">
        <f>VLOOKUP(A2496,'Database Claims'!$A:$C,3,)</f>
        <v>293000</v>
      </c>
      <c r="C2496" s="30">
        <f t="shared" si="76"/>
        <v>3000</v>
      </c>
      <c r="D2496" s="30">
        <f>VLOOKUP(A2496,'Database Claims'!$A:$C,2,)</f>
        <v>2441000</v>
      </c>
      <c r="E2496" s="30">
        <f t="shared" si="77"/>
        <v>14000</v>
      </c>
    </row>
    <row r="2497" spans="1:5" x14ac:dyDescent="0.2">
      <c r="A2497" s="29">
        <v>41923</v>
      </c>
      <c r="B2497" s="26">
        <f>VLOOKUP(A2497,'Database Claims'!$A:$C,3,)</f>
        <v>281000</v>
      </c>
      <c r="C2497" s="30">
        <f t="shared" si="76"/>
        <v>-12000</v>
      </c>
      <c r="D2497" s="26">
        <f>VLOOKUP(A2497,'Database Claims'!$A:$C,2,)</f>
        <v>2409000</v>
      </c>
      <c r="E2497" s="30">
        <f t="shared" si="77"/>
        <v>-32000</v>
      </c>
    </row>
    <row r="2498" spans="1:5" x14ac:dyDescent="0.2">
      <c r="A2498" s="29">
        <v>41930</v>
      </c>
      <c r="B2498" s="30">
        <f>VLOOKUP(A2498,'Database Claims'!$A:$C,3,)</f>
        <v>290000</v>
      </c>
      <c r="C2498" s="30">
        <f t="shared" si="76"/>
        <v>9000</v>
      </c>
      <c r="D2498" s="30">
        <f>VLOOKUP(A2498,'Database Claims'!$A:$C,2,)</f>
        <v>2437000</v>
      </c>
      <c r="E2498" s="30">
        <f t="shared" si="77"/>
        <v>28000</v>
      </c>
    </row>
    <row r="2499" spans="1:5" x14ac:dyDescent="0.2">
      <c r="A2499" s="29">
        <v>41937</v>
      </c>
      <c r="B2499" s="26">
        <f>VLOOKUP(A2499,'Database Claims'!$A:$C,3,)</f>
        <v>291000</v>
      </c>
      <c r="C2499" s="30">
        <f t="shared" si="76"/>
        <v>1000</v>
      </c>
      <c r="D2499" s="26">
        <f>VLOOKUP(A2499,'Database Claims'!$A:$C,2,)</f>
        <v>2406000</v>
      </c>
      <c r="E2499" s="30">
        <f t="shared" si="77"/>
        <v>-31000</v>
      </c>
    </row>
    <row r="2500" spans="1:5" x14ac:dyDescent="0.2">
      <c r="A2500" s="29">
        <v>41944</v>
      </c>
      <c r="B2500" s="30">
        <f>VLOOKUP(A2500,'Database Claims'!$A:$C,3,)</f>
        <v>280000</v>
      </c>
      <c r="C2500" s="30">
        <f t="shared" si="76"/>
        <v>-11000</v>
      </c>
      <c r="D2500" s="30">
        <f>VLOOKUP(A2500,'Database Claims'!$A:$C,2,)</f>
        <v>2436000</v>
      </c>
      <c r="E2500" s="30">
        <f t="shared" si="77"/>
        <v>30000</v>
      </c>
    </row>
    <row r="2501" spans="1:5" x14ac:dyDescent="0.2">
      <c r="A2501" s="29">
        <v>41951</v>
      </c>
      <c r="B2501" s="26">
        <f>VLOOKUP(A2501,'Database Claims'!$A:$C,3,)</f>
        <v>291000</v>
      </c>
      <c r="C2501" s="30">
        <f t="shared" si="76"/>
        <v>11000</v>
      </c>
      <c r="D2501" s="26">
        <f>VLOOKUP(A2501,'Database Claims'!$A:$C,2,)</f>
        <v>2384000</v>
      </c>
      <c r="E2501" s="30">
        <f t="shared" si="77"/>
        <v>-52000</v>
      </c>
    </row>
    <row r="2502" spans="1:5" x14ac:dyDescent="0.2">
      <c r="A2502" s="29">
        <v>41958</v>
      </c>
      <c r="B2502" s="30">
        <f>VLOOKUP(A2502,'Database Claims'!$A:$C,3,)</f>
        <v>293000</v>
      </c>
      <c r="C2502" s="30">
        <f t="shared" ref="C2502:C2565" si="78">B2502-B2501</f>
        <v>2000</v>
      </c>
      <c r="D2502" s="30">
        <f>VLOOKUP(A2502,'Database Claims'!$A:$C,2,)</f>
        <v>2351000</v>
      </c>
      <c r="E2502" s="30">
        <f t="shared" ref="E2502:E2565" si="79">D2502-D2501</f>
        <v>-33000</v>
      </c>
    </row>
    <row r="2503" spans="1:5" x14ac:dyDescent="0.2">
      <c r="A2503" s="29">
        <v>41965</v>
      </c>
      <c r="B2503" s="26">
        <f>VLOOKUP(A2503,'Database Claims'!$A:$C,3,)</f>
        <v>303000</v>
      </c>
      <c r="C2503" s="30">
        <f t="shared" si="78"/>
        <v>10000</v>
      </c>
      <c r="D2503" s="26">
        <f>VLOOKUP(A2503,'Database Claims'!$A:$C,2,)</f>
        <v>2389000</v>
      </c>
      <c r="E2503" s="30">
        <f t="shared" si="79"/>
        <v>38000</v>
      </c>
    </row>
    <row r="2504" spans="1:5" x14ac:dyDescent="0.2">
      <c r="A2504" s="29">
        <v>41972</v>
      </c>
      <c r="B2504" s="30">
        <f>VLOOKUP(A2504,'Database Claims'!$A:$C,3,)</f>
        <v>291000</v>
      </c>
      <c r="C2504" s="30">
        <f t="shared" si="78"/>
        <v>-12000</v>
      </c>
      <c r="D2504" s="30">
        <f>VLOOKUP(A2504,'Database Claims'!$A:$C,2,)</f>
        <v>2484000</v>
      </c>
      <c r="E2504" s="30">
        <f t="shared" si="79"/>
        <v>95000</v>
      </c>
    </row>
    <row r="2505" spans="1:5" x14ac:dyDescent="0.2">
      <c r="A2505" s="29">
        <v>41979</v>
      </c>
      <c r="B2505" s="26">
        <f>VLOOKUP(A2505,'Database Claims'!$A:$C,3,)</f>
        <v>291000</v>
      </c>
      <c r="C2505" s="30">
        <f t="shared" si="78"/>
        <v>0</v>
      </c>
      <c r="D2505" s="26">
        <f>VLOOKUP(A2505,'Database Claims'!$A:$C,2,)</f>
        <v>2381000</v>
      </c>
      <c r="E2505" s="30">
        <f t="shared" si="79"/>
        <v>-103000</v>
      </c>
    </row>
    <row r="2506" spans="1:5" x14ac:dyDescent="0.2">
      <c r="A2506" s="29">
        <v>41986</v>
      </c>
      <c r="B2506" s="30">
        <f>VLOOKUP(A2506,'Database Claims'!$A:$C,3,)</f>
        <v>286000</v>
      </c>
      <c r="C2506" s="30">
        <f t="shared" si="78"/>
        <v>-5000</v>
      </c>
      <c r="D2506" s="30">
        <f>VLOOKUP(A2506,'Database Claims'!$A:$C,2,)</f>
        <v>2379000</v>
      </c>
      <c r="E2506" s="30">
        <f t="shared" si="79"/>
        <v>-2000</v>
      </c>
    </row>
    <row r="2507" spans="1:5" x14ac:dyDescent="0.2">
      <c r="A2507" s="29">
        <v>41993</v>
      </c>
      <c r="B2507" s="26">
        <f>VLOOKUP(A2507,'Database Claims'!$A:$C,3,)</f>
        <v>276000</v>
      </c>
      <c r="C2507" s="30">
        <f t="shared" si="78"/>
        <v>-10000</v>
      </c>
      <c r="D2507" s="26">
        <f>VLOOKUP(A2507,'Database Claims'!$A:$C,2,)</f>
        <v>2338000</v>
      </c>
      <c r="E2507" s="30">
        <f t="shared" si="79"/>
        <v>-41000</v>
      </c>
    </row>
    <row r="2508" spans="1:5" x14ac:dyDescent="0.2">
      <c r="A2508" s="29">
        <v>42000</v>
      </c>
      <c r="B2508" s="30">
        <f>VLOOKUP(A2508,'Database Claims'!$A:$C,3,)</f>
        <v>285000</v>
      </c>
      <c r="C2508" s="30">
        <f t="shared" si="78"/>
        <v>9000</v>
      </c>
      <c r="D2508" s="30">
        <f>VLOOKUP(A2508,'Database Claims'!$A:$C,2,)</f>
        <v>2422000</v>
      </c>
      <c r="E2508" s="30">
        <f t="shared" si="79"/>
        <v>84000</v>
      </c>
    </row>
    <row r="2509" spans="1:5" x14ac:dyDescent="0.2">
      <c r="A2509" s="29">
        <v>42007</v>
      </c>
      <c r="B2509" s="26">
        <f>VLOOKUP(A2509,'Database Claims'!$A:$C,3,)</f>
        <v>294000</v>
      </c>
      <c r="C2509" s="30">
        <f t="shared" si="78"/>
        <v>9000</v>
      </c>
      <c r="D2509" s="26">
        <f>VLOOKUP(A2509,'Database Claims'!$A:$C,2,)</f>
        <v>2381000</v>
      </c>
      <c r="E2509" s="30">
        <f t="shared" si="79"/>
        <v>-41000</v>
      </c>
    </row>
    <row r="2510" spans="1:5" x14ac:dyDescent="0.2">
      <c r="A2510" s="29">
        <v>42014</v>
      </c>
      <c r="B2510" s="30">
        <f>VLOOKUP(A2510,'Database Claims'!$A:$C,3,)</f>
        <v>304000</v>
      </c>
      <c r="C2510" s="30">
        <f t="shared" si="78"/>
        <v>10000</v>
      </c>
      <c r="D2510" s="30">
        <f>VLOOKUP(A2510,'Database Claims'!$A:$C,2,)</f>
        <v>2400000</v>
      </c>
      <c r="E2510" s="30">
        <f t="shared" si="79"/>
        <v>19000</v>
      </c>
    </row>
    <row r="2511" spans="1:5" x14ac:dyDescent="0.2">
      <c r="A2511" s="29">
        <v>42021</v>
      </c>
      <c r="B2511" s="26">
        <f>VLOOKUP(A2511,'Database Claims'!$A:$C,3,)</f>
        <v>298000</v>
      </c>
      <c r="C2511" s="30">
        <f t="shared" si="78"/>
        <v>-6000</v>
      </c>
      <c r="D2511" s="26">
        <f>VLOOKUP(A2511,'Database Claims'!$A:$C,2,)</f>
        <v>2336000</v>
      </c>
      <c r="E2511" s="30">
        <f t="shared" si="79"/>
        <v>-64000</v>
      </c>
    </row>
    <row r="2512" spans="1:5" x14ac:dyDescent="0.2">
      <c r="A2512" s="29">
        <v>42028</v>
      </c>
      <c r="B2512" s="30">
        <f>VLOOKUP(A2512,'Database Claims'!$A:$C,3,)</f>
        <v>261000</v>
      </c>
      <c r="C2512" s="30">
        <f t="shared" si="78"/>
        <v>-37000</v>
      </c>
      <c r="D2512" s="30">
        <f>VLOOKUP(A2512,'Database Claims'!$A:$C,2,)</f>
        <v>2335000</v>
      </c>
      <c r="E2512" s="30">
        <f t="shared" si="79"/>
        <v>-1000</v>
      </c>
    </row>
    <row r="2513" spans="1:5" x14ac:dyDescent="0.2">
      <c r="A2513" s="29">
        <v>42035</v>
      </c>
      <c r="B2513" s="26">
        <f>VLOOKUP(A2513,'Database Claims'!$A:$C,3,)</f>
        <v>281000</v>
      </c>
      <c r="C2513" s="30">
        <f t="shared" si="78"/>
        <v>20000</v>
      </c>
      <c r="D2513" s="26">
        <f>VLOOKUP(A2513,'Database Claims'!$A:$C,2,)</f>
        <v>2297000</v>
      </c>
      <c r="E2513" s="30">
        <f t="shared" si="79"/>
        <v>-38000</v>
      </c>
    </row>
    <row r="2514" spans="1:5" x14ac:dyDescent="0.2">
      <c r="A2514" s="29">
        <v>42042</v>
      </c>
      <c r="B2514" s="30">
        <f>VLOOKUP(A2514,'Database Claims'!$A:$C,3,)</f>
        <v>298000</v>
      </c>
      <c r="C2514" s="30">
        <f t="shared" si="78"/>
        <v>17000</v>
      </c>
      <c r="D2514" s="30">
        <f>VLOOKUP(A2514,'Database Claims'!$A:$C,2,)</f>
        <v>2344000</v>
      </c>
      <c r="E2514" s="30">
        <f t="shared" si="79"/>
        <v>47000</v>
      </c>
    </row>
    <row r="2515" spans="1:5" x14ac:dyDescent="0.2">
      <c r="A2515" s="29">
        <v>42049</v>
      </c>
      <c r="B2515" s="26">
        <f>VLOOKUP(A2515,'Database Claims'!$A:$C,3,)</f>
        <v>285000</v>
      </c>
      <c r="C2515" s="30">
        <f t="shared" si="78"/>
        <v>-13000</v>
      </c>
      <c r="D2515" s="26">
        <f>VLOOKUP(A2515,'Database Claims'!$A:$C,2,)</f>
        <v>2319000</v>
      </c>
      <c r="E2515" s="30">
        <f t="shared" si="79"/>
        <v>-25000</v>
      </c>
    </row>
    <row r="2516" spans="1:5" x14ac:dyDescent="0.2">
      <c r="A2516" s="29">
        <v>42056</v>
      </c>
      <c r="B2516" s="30">
        <f>VLOOKUP(A2516,'Database Claims'!$A:$C,3,)</f>
        <v>305000</v>
      </c>
      <c r="C2516" s="30">
        <f t="shared" si="78"/>
        <v>20000</v>
      </c>
      <c r="D2516" s="30">
        <f>VLOOKUP(A2516,'Database Claims'!$A:$C,2,)</f>
        <v>2341000</v>
      </c>
      <c r="E2516" s="30">
        <f t="shared" si="79"/>
        <v>22000</v>
      </c>
    </row>
    <row r="2517" spans="1:5" x14ac:dyDescent="0.2">
      <c r="A2517" s="29">
        <v>42063</v>
      </c>
      <c r="B2517" s="26">
        <f>VLOOKUP(A2517,'Database Claims'!$A:$C,3,)</f>
        <v>317000</v>
      </c>
      <c r="C2517" s="30">
        <f t="shared" si="78"/>
        <v>12000</v>
      </c>
      <c r="D2517" s="26">
        <f>VLOOKUP(A2517,'Database Claims'!$A:$C,2,)</f>
        <v>2357000</v>
      </c>
      <c r="E2517" s="30">
        <f t="shared" si="79"/>
        <v>16000</v>
      </c>
    </row>
    <row r="2518" spans="1:5" x14ac:dyDescent="0.2">
      <c r="A2518" s="29">
        <v>42070</v>
      </c>
      <c r="B2518" s="30">
        <f>VLOOKUP(A2518,'Database Claims'!$A:$C,3,)</f>
        <v>293000</v>
      </c>
      <c r="C2518" s="30">
        <f t="shared" si="78"/>
        <v>-24000</v>
      </c>
      <c r="D2518" s="30">
        <f>VLOOKUP(A2518,'Database Claims'!$A:$C,2,)</f>
        <v>2361000</v>
      </c>
      <c r="E2518" s="30">
        <f t="shared" si="79"/>
        <v>4000</v>
      </c>
    </row>
    <row r="2519" spans="1:5" x14ac:dyDescent="0.2">
      <c r="A2519" s="29">
        <v>42077</v>
      </c>
      <c r="B2519" s="26">
        <f>VLOOKUP(A2519,'Database Claims'!$A:$C,3,)</f>
        <v>290000</v>
      </c>
      <c r="C2519" s="30">
        <f t="shared" si="78"/>
        <v>-3000</v>
      </c>
      <c r="D2519" s="26">
        <f>VLOOKUP(A2519,'Database Claims'!$A:$C,2,)</f>
        <v>2361000</v>
      </c>
      <c r="E2519" s="30">
        <f t="shared" si="79"/>
        <v>0</v>
      </c>
    </row>
    <row r="2520" spans="1:5" x14ac:dyDescent="0.2">
      <c r="A2520" s="29">
        <v>42084</v>
      </c>
      <c r="B2520" s="30">
        <f>VLOOKUP(A2520,'Database Claims'!$A:$C,3,)</f>
        <v>284000</v>
      </c>
      <c r="C2520" s="30">
        <f t="shared" si="78"/>
        <v>-6000</v>
      </c>
      <c r="D2520" s="30">
        <f>VLOOKUP(A2520,'Database Claims'!$A:$C,2,)</f>
        <v>2306000</v>
      </c>
      <c r="E2520" s="30">
        <f t="shared" si="79"/>
        <v>-55000</v>
      </c>
    </row>
    <row r="2521" spans="1:5" x14ac:dyDescent="0.2">
      <c r="A2521" s="29">
        <v>42091</v>
      </c>
      <c r="B2521" s="26">
        <f>VLOOKUP(A2521,'Database Claims'!$A:$C,3,)</f>
        <v>269000</v>
      </c>
      <c r="C2521" s="30">
        <f t="shared" si="78"/>
        <v>-15000</v>
      </c>
      <c r="D2521" s="26">
        <f>VLOOKUP(A2521,'Database Claims'!$A:$C,2,)</f>
        <v>2278000</v>
      </c>
      <c r="E2521" s="30">
        <f t="shared" si="79"/>
        <v>-28000</v>
      </c>
    </row>
    <row r="2522" spans="1:5" x14ac:dyDescent="0.2">
      <c r="A2522" s="29">
        <v>42098</v>
      </c>
      <c r="B2522" s="30">
        <f>VLOOKUP(A2522,'Database Claims'!$A:$C,3,)</f>
        <v>282000</v>
      </c>
      <c r="C2522" s="30">
        <f t="shared" si="78"/>
        <v>13000</v>
      </c>
      <c r="D2522" s="30">
        <f>VLOOKUP(A2522,'Database Claims'!$A:$C,2,)</f>
        <v>2273000</v>
      </c>
      <c r="E2522" s="30">
        <f t="shared" si="79"/>
        <v>-5000</v>
      </c>
    </row>
    <row r="2523" spans="1:5" x14ac:dyDescent="0.2">
      <c r="A2523" s="29">
        <v>42105</v>
      </c>
      <c r="B2523" s="26">
        <f>VLOOKUP(A2523,'Database Claims'!$A:$C,3,)</f>
        <v>298000</v>
      </c>
      <c r="C2523" s="30">
        <f t="shared" si="78"/>
        <v>16000</v>
      </c>
      <c r="D2523" s="26">
        <f>VLOOKUP(A2523,'Database Claims'!$A:$C,2,)</f>
        <v>2320000</v>
      </c>
      <c r="E2523" s="30">
        <f t="shared" si="79"/>
        <v>47000</v>
      </c>
    </row>
    <row r="2524" spans="1:5" x14ac:dyDescent="0.2">
      <c r="A2524" s="29">
        <v>42112</v>
      </c>
      <c r="B2524" s="30">
        <f>VLOOKUP(A2524,'Database Claims'!$A:$C,3,)</f>
        <v>295000</v>
      </c>
      <c r="C2524" s="30">
        <f t="shared" si="78"/>
        <v>-3000</v>
      </c>
      <c r="D2524" s="30">
        <f>VLOOKUP(A2524,'Database Claims'!$A:$C,2,)</f>
        <v>2279000</v>
      </c>
      <c r="E2524" s="30">
        <f t="shared" si="79"/>
        <v>-41000</v>
      </c>
    </row>
    <row r="2525" spans="1:5" x14ac:dyDescent="0.2">
      <c r="A2525" s="29">
        <v>42119</v>
      </c>
      <c r="B2525" s="26">
        <f>VLOOKUP(A2525,'Database Claims'!$A:$C,3,)</f>
        <v>269000</v>
      </c>
      <c r="C2525" s="30">
        <f t="shared" si="78"/>
        <v>-26000</v>
      </c>
      <c r="D2525" s="26">
        <f>VLOOKUP(A2525,'Database Claims'!$A:$C,2,)</f>
        <v>2254000</v>
      </c>
      <c r="E2525" s="30">
        <f t="shared" si="79"/>
        <v>-25000</v>
      </c>
    </row>
    <row r="2526" spans="1:5" x14ac:dyDescent="0.2">
      <c r="A2526" s="29">
        <v>42126</v>
      </c>
      <c r="B2526" s="30">
        <f>VLOOKUP(A2526,'Database Claims'!$A:$C,3,)</f>
        <v>267000</v>
      </c>
      <c r="C2526" s="30">
        <f t="shared" si="78"/>
        <v>-2000</v>
      </c>
      <c r="D2526" s="30">
        <f>VLOOKUP(A2526,'Database Claims'!$A:$C,2,)</f>
        <v>2261000</v>
      </c>
      <c r="E2526" s="30">
        <f t="shared" si="79"/>
        <v>7000</v>
      </c>
    </row>
    <row r="2527" spans="1:5" x14ac:dyDescent="0.2">
      <c r="A2527" s="29">
        <v>42133</v>
      </c>
      <c r="B2527" s="26">
        <f>VLOOKUP(A2527,'Database Claims'!$A:$C,3,)</f>
        <v>271000</v>
      </c>
      <c r="C2527" s="30">
        <f t="shared" si="78"/>
        <v>4000</v>
      </c>
      <c r="D2527" s="26">
        <f>VLOOKUP(A2527,'Database Claims'!$A:$C,2,)</f>
        <v>2253000</v>
      </c>
      <c r="E2527" s="30">
        <f t="shared" si="79"/>
        <v>-8000</v>
      </c>
    </row>
    <row r="2528" spans="1:5" x14ac:dyDescent="0.2">
      <c r="A2528" s="29">
        <v>42140</v>
      </c>
      <c r="B2528" s="30">
        <f>VLOOKUP(A2528,'Database Claims'!$A:$C,3,)</f>
        <v>276000</v>
      </c>
      <c r="C2528" s="30">
        <f t="shared" si="78"/>
        <v>5000</v>
      </c>
      <c r="D2528" s="30">
        <f>VLOOKUP(A2528,'Database Claims'!$A:$C,2,)</f>
        <v>2258000</v>
      </c>
      <c r="E2528" s="30">
        <f t="shared" si="79"/>
        <v>5000</v>
      </c>
    </row>
    <row r="2529" spans="1:5" x14ac:dyDescent="0.2">
      <c r="A2529" s="29">
        <v>42147</v>
      </c>
      <c r="B2529" s="26">
        <f>VLOOKUP(A2529,'Database Claims'!$A:$C,3,)</f>
        <v>281000</v>
      </c>
      <c r="C2529" s="30">
        <f t="shared" si="78"/>
        <v>5000</v>
      </c>
      <c r="D2529" s="26">
        <f>VLOOKUP(A2529,'Database Claims'!$A:$C,2,)</f>
        <v>2236000</v>
      </c>
      <c r="E2529" s="30">
        <f t="shared" si="79"/>
        <v>-22000</v>
      </c>
    </row>
    <row r="2530" spans="1:5" x14ac:dyDescent="0.2">
      <c r="A2530" s="29">
        <v>42154</v>
      </c>
      <c r="B2530" s="30">
        <f>VLOOKUP(A2530,'Database Claims'!$A:$C,3,)</f>
        <v>275000</v>
      </c>
      <c r="C2530" s="30">
        <f t="shared" si="78"/>
        <v>-6000</v>
      </c>
      <c r="D2530" s="30">
        <f>VLOOKUP(A2530,'Database Claims'!$A:$C,2,)</f>
        <v>2294000</v>
      </c>
      <c r="E2530" s="30">
        <f t="shared" si="79"/>
        <v>58000</v>
      </c>
    </row>
    <row r="2531" spans="1:5" x14ac:dyDescent="0.2">
      <c r="A2531" s="29">
        <v>42161</v>
      </c>
      <c r="B2531" s="26">
        <f>VLOOKUP(A2531,'Database Claims'!$A:$C,3,)</f>
        <v>278000</v>
      </c>
      <c r="C2531" s="30">
        <f t="shared" si="78"/>
        <v>3000</v>
      </c>
      <c r="D2531" s="26">
        <f>VLOOKUP(A2531,'Database Claims'!$A:$C,2,)</f>
        <v>2250000</v>
      </c>
      <c r="E2531" s="30">
        <f t="shared" si="79"/>
        <v>-44000</v>
      </c>
    </row>
    <row r="2532" spans="1:5" x14ac:dyDescent="0.2">
      <c r="A2532" s="29">
        <v>42168</v>
      </c>
      <c r="B2532" s="30">
        <f>VLOOKUP(A2532,'Database Claims'!$A:$C,3,)</f>
        <v>269000</v>
      </c>
      <c r="C2532" s="30">
        <f t="shared" si="78"/>
        <v>-9000</v>
      </c>
      <c r="D2532" s="30">
        <f>VLOOKUP(A2532,'Database Claims'!$A:$C,2,)</f>
        <v>2268000</v>
      </c>
      <c r="E2532" s="30">
        <f t="shared" si="79"/>
        <v>18000</v>
      </c>
    </row>
    <row r="2533" spans="1:5" x14ac:dyDescent="0.2">
      <c r="A2533" s="29">
        <v>42175</v>
      </c>
      <c r="B2533" s="26">
        <f>VLOOKUP(A2533,'Database Claims'!$A:$C,3,)</f>
        <v>273000</v>
      </c>
      <c r="C2533" s="30">
        <f t="shared" si="78"/>
        <v>4000</v>
      </c>
      <c r="D2533" s="26">
        <f>VLOOKUP(A2533,'Database Claims'!$A:$C,2,)</f>
        <v>2265000</v>
      </c>
      <c r="E2533" s="30">
        <f t="shared" si="79"/>
        <v>-3000</v>
      </c>
    </row>
    <row r="2534" spans="1:5" x14ac:dyDescent="0.2">
      <c r="A2534" s="29">
        <v>42182</v>
      </c>
      <c r="B2534" s="30">
        <f>VLOOKUP(A2534,'Database Claims'!$A:$C,3,)</f>
        <v>275000</v>
      </c>
      <c r="C2534" s="30">
        <f t="shared" si="78"/>
        <v>2000</v>
      </c>
      <c r="D2534" s="30">
        <f>VLOOKUP(A2534,'Database Claims'!$A:$C,2,)</f>
        <v>2312000</v>
      </c>
      <c r="E2534" s="30">
        <f t="shared" si="79"/>
        <v>47000</v>
      </c>
    </row>
    <row r="2535" spans="1:5" x14ac:dyDescent="0.2">
      <c r="A2535" s="29">
        <v>42189</v>
      </c>
      <c r="B2535" s="26">
        <f>VLOOKUP(A2535,'Database Claims'!$A:$C,3,)</f>
        <v>292000</v>
      </c>
      <c r="C2535" s="30">
        <f t="shared" si="78"/>
        <v>17000</v>
      </c>
      <c r="D2535" s="26">
        <f>VLOOKUP(A2535,'Database Claims'!$A:$C,2,)</f>
        <v>2233000</v>
      </c>
      <c r="E2535" s="30">
        <f t="shared" si="79"/>
        <v>-79000</v>
      </c>
    </row>
    <row r="2536" spans="1:5" x14ac:dyDescent="0.2">
      <c r="A2536" s="29">
        <v>42196</v>
      </c>
      <c r="B2536" s="30">
        <f>VLOOKUP(A2536,'Database Claims'!$A:$C,3,)</f>
        <v>285000</v>
      </c>
      <c r="C2536" s="30">
        <f t="shared" si="78"/>
        <v>-7000</v>
      </c>
      <c r="D2536" s="30">
        <f>VLOOKUP(A2536,'Database Claims'!$A:$C,2,)</f>
        <v>2226000</v>
      </c>
      <c r="E2536" s="30">
        <f t="shared" si="79"/>
        <v>-7000</v>
      </c>
    </row>
    <row r="2537" spans="1:5" x14ac:dyDescent="0.2">
      <c r="A2537" s="29">
        <v>42203</v>
      </c>
      <c r="B2537" s="26">
        <f>VLOOKUP(A2537,'Database Claims'!$A:$C,3,)</f>
        <v>265000</v>
      </c>
      <c r="C2537" s="30">
        <f t="shared" si="78"/>
        <v>-20000</v>
      </c>
      <c r="D2537" s="26">
        <f>VLOOKUP(A2537,'Database Claims'!$A:$C,2,)</f>
        <v>2267000</v>
      </c>
      <c r="E2537" s="30">
        <f t="shared" si="79"/>
        <v>41000</v>
      </c>
    </row>
    <row r="2538" spans="1:5" x14ac:dyDescent="0.2">
      <c r="A2538" s="29">
        <v>42210</v>
      </c>
      <c r="B2538" s="30">
        <f>VLOOKUP(A2538,'Database Claims'!$A:$C,3,)</f>
        <v>269000</v>
      </c>
      <c r="C2538" s="30">
        <f t="shared" si="78"/>
        <v>4000</v>
      </c>
      <c r="D2538" s="30">
        <f>VLOOKUP(A2538,'Database Claims'!$A:$C,2,)</f>
        <v>2253000</v>
      </c>
      <c r="E2538" s="30">
        <f t="shared" si="79"/>
        <v>-14000</v>
      </c>
    </row>
    <row r="2539" spans="1:5" x14ac:dyDescent="0.2">
      <c r="A2539" s="29">
        <v>42217</v>
      </c>
      <c r="B2539" s="26">
        <f>VLOOKUP(A2539,'Database Claims'!$A:$C,3,)</f>
        <v>270000</v>
      </c>
      <c r="C2539" s="30">
        <f t="shared" si="78"/>
        <v>1000</v>
      </c>
      <c r="D2539" s="26">
        <f>VLOOKUP(A2539,'Database Claims'!$A:$C,2,)</f>
        <v>2257000</v>
      </c>
      <c r="E2539" s="30">
        <f t="shared" si="79"/>
        <v>4000</v>
      </c>
    </row>
    <row r="2540" spans="1:5" x14ac:dyDescent="0.2">
      <c r="A2540" s="29">
        <v>42224</v>
      </c>
      <c r="B2540" s="30">
        <f>VLOOKUP(A2540,'Database Claims'!$A:$C,3,)</f>
        <v>274000</v>
      </c>
      <c r="C2540" s="30">
        <f t="shared" si="78"/>
        <v>4000</v>
      </c>
      <c r="D2540" s="30">
        <f>VLOOKUP(A2540,'Database Claims'!$A:$C,2,)</f>
        <v>2247000</v>
      </c>
      <c r="E2540" s="30">
        <f t="shared" si="79"/>
        <v>-10000</v>
      </c>
    </row>
    <row r="2541" spans="1:5" x14ac:dyDescent="0.2">
      <c r="A2541" s="29">
        <v>42231</v>
      </c>
      <c r="B2541" s="26">
        <f>VLOOKUP(A2541,'Database Claims'!$A:$C,3,)</f>
        <v>279000</v>
      </c>
      <c r="C2541" s="30">
        <f t="shared" si="78"/>
        <v>5000</v>
      </c>
      <c r="D2541" s="26">
        <f>VLOOKUP(A2541,'Database Claims'!$A:$C,2,)</f>
        <v>2256000</v>
      </c>
      <c r="E2541" s="30">
        <f t="shared" si="79"/>
        <v>9000</v>
      </c>
    </row>
    <row r="2542" spans="1:5" x14ac:dyDescent="0.2">
      <c r="A2542" s="29">
        <v>42238</v>
      </c>
      <c r="B2542" s="30">
        <f>VLOOKUP(A2542,'Database Claims'!$A:$C,3,)</f>
        <v>274000</v>
      </c>
      <c r="C2542" s="30">
        <f t="shared" si="78"/>
        <v>-5000</v>
      </c>
      <c r="D2542" s="30">
        <f>VLOOKUP(A2542,'Database Claims'!$A:$C,2,)</f>
        <v>2252000</v>
      </c>
      <c r="E2542" s="30">
        <f t="shared" si="79"/>
        <v>-4000</v>
      </c>
    </row>
    <row r="2543" spans="1:5" x14ac:dyDescent="0.2">
      <c r="A2543" s="29">
        <v>42245</v>
      </c>
      <c r="B2543" s="26">
        <f>VLOOKUP(A2543,'Database Claims'!$A:$C,3,)</f>
        <v>279000</v>
      </c>
      <c r="C2543" s="30">
        <f t="shared" si="78"/>
        <v>5000</v>
      </c>
      <c r="D2543" s="26">
        <f>VLOOKUP(A2543,'Database Claims'!$A:$C,2,)</f>
        <v>2258000</v>
      </c>
      <c r="E2543" s="30">
        <f t="shared" si="79"/>
        <v>6000</v>
      </c>
    </row>
    <row r="2544" spans="1:5" x14ac:dyDescent="0.2">
      <c r="A2544" s="29">
        <v>42252</v>
      </c>
      <c r="B2544" s="30">
        <f>VLOOKUP(A2544,'Database Claims'!$A:$C,3,)</f>
        <v>273000</v>
      </c>
      <c r="C2544" s="30">
        <f t="shared" si="78"/>
        <v>-6000</v>
      </c>
      <c r="D2544" s="30">
        <f>VLOOKUP(A2544,'Database Claims'!$A:$C,2,)</f>
        <v>2243000</v>
      </c>
      <c r="E2544" s="30">
        <f t="shared" si="79"/>
        <v>-15000</v>
      </c>
    </row>
    <row r="2545" spans="1:5" x14ac:dyDescent="0.2">
      <c r="A2545" s="29">
        <v>42259</v>
      </c>
      <c r="B2545" s="26">
        <f>VLOOKUP(A2545,'Database Claims'!$A:$C,3,)</f>
        <v>264000</v>
      </c>
      <c r="C2545" s="30">
        <f t="shared" si="78"/>
        <v>-9000</v>
      </c>
      <c r="D2545" s="26">
        <f>VLOOKUP(A2545,'Database Claims'!$A:$C,2,)</f>
        <v>2255000</v>
      </c>
      <c r="E2545" s="30">
        <f t="shared" si="79"/>
        <v>12000</v>
      </c>
    </row>
    <row r="2546" spans="1:5" x14ac:dyDescent="0.2">
      <c r="A2546" s="29">
        <v>42266</v>
      </c>
      <c r="B2546" s="30">
        <f>VLOOKUP(A2546,'Database Claims'!$A:$C,3,)</f>
        <v>269000</v>
      </c>
      <c r="C2546" s="30">
        <f t="shared" si="78"/>
        <v>5000</v>
      </c>
      <c r="D2546" s="30">
        <f>VLOOKUP(A2546,'Database Claims'!$A:$C,2,)</f>
        <v>2234000</v>
      </c>
      <c r="E2546" s="30">
        <f t="shared" si="79"/>
        <v>-21000</v>
      </c>
    </row>
    <row r="2547" spans="1:5" x14ac:dyDescent="0.2">
      <c r="A2547" s="29">
        <v>42273</v>
      </c>
      <c r="B2547" s="26">
        <f>VLOOKUP(A2547,'Database Claims'!$A:$C,3,)</f>
        <v>272000</v>
      </c>
      <c r="C2547" s="30">
        <f t="shared" si="78"/>
        <v>3000</v>
      </c>
      <c r="D2547" s="26">
        <f>VLOOKUP(A2547,'Database Claims'!$A:$C,2,)</f>
        <v>2240000</v>
      </c>
      <c r="E2547" s="30">
        <f t="shared" si="79"/>
        <v>6000</v>
      </c>
    </row>
    <row r="2548" spans="1:5" x14ac:dyDescent="0.2">
      <c r="A2548" s="29">
        <v>42280</v>
      </c>
      <c r="B2548" s="30">
        <f>VLOOKUP(A2548,'Database Claims'!$A:$C,3,)</f>
        <v>267000</v>
      </c>
      <c r="C2548" s="30">
        <f t="shared" si="78"/>
        <v>-5000</v>
      </c>
      <c r="D2548" s="30">
        <f>VLOOKUP(A2548,'Database Claims'!$A:$C,2,)</f>
        <v>2207000</v>
      </c>
      <c r="E2548" s="30">
        <f t="shared" si="79"/>
        <v>-33000</v>
      </c>
    </row>
    <row r="2549" spans="1:5" x14ac:dyDescent="0.2">
      <c r="A2549" s="29">
        <v>42287</v>
      </c>
      <c r="B2549" s="26">
        <f>VLOOKUP(A2549,'Database Claims'!$A:$C,3,)</f>
        <v>265000</v>
      </c>
      <c r="C2549" s="30">
        <f t="shared" si="78"/>
        <v>-2000</v>
      </c>
      <c r="D2549" s="26">
        <f>VLOOKUP(A2549,'Database Claims'!$A:$C,2,)</f>
        <v>2214000</v>
      </c>
      <c r="E2549" s="30">
        <f t="shared" si="79"/>
        <v>7000</v>
      </c>
    </row>
    <row r="2550" spans="1:5" x14ac:dyDescent="0.2">
      <c r="A2550" s="29">
        <v>42294</v>
      </c>
      <c r="B2550" s="30">
        <f>VLOOKUP(A2550,'Database Claims'!$A:$C,3,)</f>
        <v>264000</v>
      </c>
      <c r="C2550" s="30">
        <f t="shared" si="78"/>
        <v>-1000</v>
      </c>
      <c r="D2550" s="30">
        <f>VLOOKUP(A2550,'Database Claims'!$A:$C,2,)</f>
        <v>2194000</v>
      </c>
      <c r="E2550" s="30">
        <f t="shared" si="79"/>
        <v>-20000</v>
      </c>
    </row>
    <row r="2551" spans="1:5" x14ac:dyDescent="0.2">
      <c r="A2551" s="29">
        <v>42301</v>
      </c>
      <c r="B2551" s="26">
        <f>VLOOKUP(A2551,'Database Claims'!$A:$C,3,)</f>
        <v>264000</v>
      </c>
      <c r="C2551" s="30">
        <f t="shared" si="78"/>
        <v>0</v>
      </c>
      <c r="D2551" s="26">
        <f>VLOOKUP(A2551,'Database Claims'!$A:$C,2,)</f>
        <v>2218000</v>
      </c>
      <c r="E2551" s="30">
        <f t="shared" si="79"/>
        <v>24000</v>
      </c>
    </row>
    <row r="2552" spans="1:5" x14ac:dyDescent="0.2">
      <c r="A2552" s="29">
        <v>42308</v>
      </c>
      <c r="B2552" s="30">
        <f>VLOOKUP(A2552,'Database Claims'!$A:$C,3,)</f>
        <v>275000</v>
      </c>
      <c r="C2552" s="30">
        <f t="shared" si="78"/>
        <v>11000</v>
      </c>
      <c r="D2552" s="30">
        <f>VLOOKUP(A2552,'Database Claims'!$A:$C,2,)</f>
        <v>2205000</v>
      </c>
      <c r="E2552" s="30">
        <f t="shared" si="79"/>
        <v>-13000</v>
      </c>
    </row>
    <row r="2553" spans="1:5" x14ac:dyDescent="0.2">
      <c r="A2553" s="29">
        <v>42315</v>
      </c>
      <c r="B2553" s="26">
        <f>VLOOKUP(A2553,'Database Claims'!$A:$C,3,)</f>
        <v>276000</v>
      </c>
      <c r="C2553" s="30">
        <f t="shared" si="78"/>
        <v>1000</v>
      </c>
      <c r="D2553" s="26">
        <f>VLOOKUP(A2553,'Database Claims'!$A:$C,2,)</f>
        <v>2209000</v>
      </c>
      <c r="E2553" s="30">
        <f t="shared" si="79"/>
        <v>4000</v>
      </c>
    </row>
    <row r="2554" spans="1:5" x14ac:dyDescent="0.2">
      <c r="A2554" s="29">
        <v>42322</v>
      </c>
      <c r="B2554" s="30">
        <f>VLOOKUP(A2554,'Database Claims'!$A:$C,3,)</f>
        <v>272000</v>
      </c>
      <c r="C2554" s="30">
        <f t="shared" si="78"/>
        <v>-4000</v>
      </c>
      <c r="D2554" s="30">
        <f>VLOOKUP(A2554,'Database Claims'!$A:$C,2,)</f>
        <v>2185000</v>
      </c>
      <c r="E2554" s="30">
        <f t="shared" si="79"/>
        <v>-24000</v>
      </c>
    </row>
    <row r="2555" spans="1:5" x14ac:dyDescent="0.2">
      <c r="A2555" s="29">
        <v>42329</v>
      </c>
      <c r="B2555" s="26">
        <f>VLOOKUP(A2555,'Database Claims'!$A:$C,3,)</f>
        <v>261000</v>
      </c>
      <c r="C2555" s="30">
        <f t="shared" si="78"/>
        <v>-11000</v>
      </c>
      <c r="D2555" s="26">
        <f>VLOOKUP(A2555,'Database Claims'!$A:$C,2,)</f>
        <v>2181000</v>
      </c>
      <c r="E2555" s="30">
        <f t="shared" si="79"/>
        <v>-4000</v>
      </c>
    </row>
    <row r="2556" spans="1:5" x14ac:dyDescent="0.2">
      <c r="A2556" s="29">
        <v>42336</v>
      </c>
      <c r="B2556" s="30">
        <f>VLOOKUP(A2556,'Database Claims'!$A:$C,3,)</f>
        <v>265000</v>
      </c>
      <c r="C2556" s="30">
        <f t="shared" si="78"/>
        <v>4000</v>
      </c>
      <c r="D2556" s="30">
        <f>VLOOKUP(A2556,'Database Claims'!$A:$C,2,)</f>
        <v>2259000</v>
      </c>
      <c r="E2556" s="30">
        <f t="shared" si="79"/>
        <v>78000</v>
      </c>
    </row>
    <row r="2557" spans="1:5" x14ac:dyDescent="0.2">
      <c r="A2557" s="29">
        <v>42343</v>
      </c>
      <c r="B2557" s="26">
        <f>VLOOKUP(A2557,'Database Claims'!$A:$C,3,)</f>
        <v>280000</v>
      </c>
      <c r="C2557" s="30">
        <f t="shared" si="78"/>
        <v>15000</v>
      </c>
      <c r="D2557" s="26">
        <f>VLOOKUP(A2557,'Database Claims'!$A:$C,2,)</f>
        <v>2242000</v>
      </c>
      <c r="E2557" s="30">
        <f t="shared" si="79"/>
        <v>-17000</v>
      </c>
    </row>
    <row r="2558" spans="1:5" x14ac:dyDescent="0.2">
      <c r="A2558" s="29">
        <v>42350</v>
      </c>
      <c r="B2558" s="30">
        <f>VLOOKUP(A2558,'Database Claims'!$A:$C,3,)</f>
        <v>268000</v>
      </c>
      <c r="C2558" s="30">
        <f t="shared" si="78"/>
        <v>-12000</v>
      </c>
      <c r="D2558" s="30">
        <f>VLOOKUP(A2558,'Database Claims'!$A:$C,2,)</f>
        <v>2190000</v>
      </c>
      <c r="E2558" s="30">
        <f t="shared" si="79"/>
        <v>-52000</v>
      </c>
    </row>
    <row r="2559" spans="1:5" x14ac:dyDescent="0.2">
      <c r="A2559" s="29">
        <v>42357</v>
      </c>
      <c r="B2559" s="26">
        <f>VLOOKUP(A2559,'Database Claims'!$A:$C,3,)</f>
        <v>260000</v>
      </c>
      <c r="C2559" s="30">
        <f t="shared" si="78"/>
        <v>-8000</v>
      </c>
      <c r="D2559" s="26">
        <f>VLOOKUP(A2559,'Database Claims'!$A:$C,2,)</f>
        <v>2176000</v>
      </c>
      <c r="E2559" s="30">
        <f t="shared" si="79"/>
        <v>-14000</v>
      </c>
    </row>
    <row r="2560" spans="1:5" x14ac:dyDescent="0.2">
      <c r="A2560" s="29">
        <v>42364</v>
      </c>
      <c r="B2560" s="30">
        <f>VLOOKUP(A2560,'Database Claims'!$A:$C,3,)</f>
        <v>276000</v>
      </c>
      <c r="C2560" s="30">
        <f t="shared" si="78"/>
        <v>16000</v>
      </c>
      <c r="D2560" s="30">
        <f>VLOOKUP(A2560,'Database Claims'!$A:$C,2,)</f>
        <v>2207000</v>
      </c>
      <c r="E2560" s="30">
        <f t="shared" si="79"/>
        <v>31000</v>
      </c>
    </row>
    <row r="2561" spans="1:5" x14ac:dyDescent="0.2">
      <c r="A2561" s="29">
        <v>42371</v>
      </c>
      <c r="B2561" s="26">
        <f>VLOOKUP(A2561,'Database Claims'!$A:$C,3,)</f>
        <v>273000</v>
      </c>
      <c r="C2561" s="30">
        <f t="shared" si="78"/>
        <v>-3000</v>
      </c>
      <c r="D2561" s="26">
        <f>VLOOKUP(A2561,'Database Claims'!$A:$C,2,)</f>
        <v>2218000</v>
      </c>
      <c r="E2561" s="30">
        <f t="shared" si="79"/>
        <v>11000</v>
      </c>
    </row>
    <row r="2562" spans="1:5" x14ac:dyDescent="0.2">
      <c r="A2562" s="29">
        <v>42378</v>
      </c>
      <c r="B2562" s="30">
        <f>VLOOKUP(A2562,'Database Claims'!$A:$C,3,)</f>
        <v>284000</v>
      </c>
      <c r="C2562" s="30">
        <f t="shared" si="78"/>
        <v>11000</v>
      </c>
      <c r="D2562" s="30">
        <f>VLOOKUP(A2562,'Database Claims'!$A:$C,2,)</f>
        <v>2190000</v>
      </c>
      <c r="E2562" s="30">
        <f t="shared" si="79"/>
        <v>-28000</v>
      </c>
    </row>
    <row r="2563" spans="1:5" x14ac:dyDescent="0.2">
      <c r="A2563" s="29">
        <v>42385</v>
      </c>
      <c r="B2563" s="26">
        <f>VLOOKUP(A2563,'Database Claims'!$A:$C,3,)</f>
        <v>290000</v>
      </c>
      <c r="C2563" s="30">
        <f t="shared" si="78"/>
        <v>6000</v>
      </c>
      <c r="D2563" s="26">
        <f>VLOOKUP(A2563,'Database Claims'!$A:$C,2,)</f>
        <v>2221000</v>
      </c>
      <c r="E2563" s="30">
        <f t="shared" si="79"/>
        <v>31000</v>
      </c>
    </row>
    <row r="2564" spans="1:5" x14ac:dyDescent="0.2">
      <c r="A2564" s="29">
        <v>42392</v>
      </c>
      <c r="B2564" s="30">
        <f>VLOOKUP(A2564,'Database Claims'!$A:$C,3,)</f>
        <v>269000</v>
      </c>
      <c r="C2564" s="30">
        <f t="shared" si="78"/>
        <v>-21000</v>
      </c>
      <c r="D2564" s="30">
        <f>VLOOKUP(A2564,'Database Claims'!$A:$C,2,)</f>
        <v>2199000</v>
      </c>
      <c r="E2564" s="30">
        <f t="shared" si="79"/>
        <v>-22000</v>
      </c>
    </row>
    <row r="2565" spans="1:5" x14ac:dyDescent="0.2">
      <c r="A2565" s="29">
        <v>42399</v>
      </c>
      <c r="B2565" s="26">
        <f>VLOOKUP(A2565,'Database Claims'!$A:$C,3,)</f>
        <v>282000</v>
      </c>
      <c r="C2565" s="30">
        <f t="shared" si="78"/>
        <v>13000</v>
      </c>
      <c r="D2565" s="26">
        <f>VLOOKUP(A2565,'Database Claims'!$A:$C,2,)</f>
        <v>2210000</v>
      </c>
      <c r="E2565" s="30">
        <f t="shared" si="79"/>
        <v>11000</v>
      </c>
    </row>
    <row r="2566" spans="1:5" x14ac:dyDescent="0.2">
      <c r="A2566" s="29">
        <v>42406</v>
      </c>
      <c r="B2566" s="30">
        <f>VLOOKUP(A2566,'Database Claims'!$A:$C,3,)</f>
        <v>266000</v>
      </c>
      <c r="C2566" s="30">
        <f t="shared" ref="C2566:C2629" si="80">B2566-B2565</f>
        <v>-16000</v>
      </c>
      <c r="D2566" s="30">
        <f>VLOOKUP(A2566,'Database Claims'!$A:$C,2,)</f>
        <v>2213000</v>
      </c>
      <c r="E2566" s="30">
        <f t="shared" ref="E2566:E2629" si="81">D2566-D2565</f>
        <v>3000</v>
      </c>
    </row>
    <row r="2567" spans="1:5" x14ac:dyDescent="0.2">
      <c r="A2567" s="29">
        <v>42413</v>
      </c>
      <c r="B2567" s="26">
        <f>VLOOKUP(A2567,'Database Claims'!$A:$C,3,)</f>
        <v>262000</v>
      </c>
      <c r="C2567" s="30">
        <f t="shared" si="80"/>
        <v>-4000</v>
      </c>
      <c r="D2567" s="26">
        <f>VLOOKUP(A2567,'Database Claims'!$A:$C,2,)</f>
        <v>2206000</v>
      </c>
      <c r="E2567" s="30">
        <f t="shared" si="81"/>
        <v>-7000</v>
      </c>
    </row>
    <row r="2568" spans="1:5" x14ac:dyDescent="0.2">
      <c r="A2568" s="29">
        <v>42420</v>
      </c>
      <c r="B2568" s="30">
        <f>VLOOKUP(A2568,'Database Claims'!$A:$C,3,)</f>
        <v>270000</v>
      </c>
      <c r="C2568" s="30">
        <f t="shared" si="80"/>
        <v>8000</v>
      </c>
      <c r="D2568" s="30">
        <f>VLOOKUP(A2568,'Database Claims'!$A:$C,2,)</f>
        <v>2203000</v>
      </c>
      <c r="E2568" s="30">
        <f t="shared" si="81"/>
        <v>-3000</v>
      </c>
    </row>
    <row r="2569" spans="1:5" x14ac:dyDescent="0.2">
      <c r="A2569" s="29">
        <v>42427</v>
      </c>
      <c r="B2569" s="26">
        <f>VLOOKUP(A2569,'Database Claims'!$A:$C,3,)</f>
        <v>269000</v>
      </c>
      <c r="C2569" s="30">
        <f t="shared" si="80"/>
        <v>-1000</v>
      </c>
      <c r="D2569" s="26">
        <f>VLOOKUP(A2569,'Database Claims'!$A:$C,2,)</f>
        <v>2180000</v>
      </c>
      <c r="E2569" s="30">
        <f t="shared" si="81"/>
        <v>-23000</v>
      </c>
    </row>
    <row r="2570" spans="1:5" x14ac:dyDescent="0.2">
      <c r="A2570" s="29">
        <v>42434</v>
      </c>
      <c r="B2570" s="30">
        <f>VLOOKUP(A2570,'Database Claims'!$A:$C,3,)</f>
        <v>255000</v>
      </c>
      <c r="C2570" s="30">
        <f t="shared" si="80"/>
        <v>-14000</v>
      </c>
      <c r="D2570" s="30">
        <f>VLOOKUP(A2570,'Database Claims'!$A:$C,2,)</f>
        <v>2203000</v>
      </c>
      <c r="E2570" s="30">
        <f t="shared" si="81"/>
        <v>23000</v>
      </c>
    </row>
    <row r="2571" spans="1:5" x14ac:dyDescent="0.2">
      <c r="A2571" s="29">
        <v>42441</v>
      </c>
      <c r="B2571" s="26">
        <f>VLOOKUP(A2571,'Database Claims'!$A:$C,3,)</f>
        <v>263000</v>
      </c>
      <c r="C2571" s="30">
        <f t="shared" si="80"/>
        <v>8000</v>
      </c>
      <c r="D2571" s="26">
        <f>VLOOKUP(A2571,'Database Claims'!$A:$C,2,)</f>
        <v>2163000</v>
      </c>
      <c r="E2571" s="30">
        <f t="shared" si="81"/>
        <v>-40000</v>
      </c>
    </row>
    <row r="2572" spans="1:5" x14ac:dyDescent="0.2">
      <c r="A2572" s="29">
        <v>42448</v>
      </c>
      <c r="B2572" s="30">
        <f>VLOOKUP(A2572,'Database Claims'!$A:$C,3,)</f>
        <v>264000</v>
      </c>
      <c r="C2572" s="30">
        <f t="shared" si="80"/>
        <v>1000</v>
      </c>
      <c r="D2572" s="30">
        <f>VLOOKUP(A2572,'Database Claims'!$A:$C,2,)</f>
        <v>2138000</v>
      </c>
      <c r="E2572" s="30">
        <f t="shared" si="81"/>
        <v>-25000</v>
      </c>
    </row>
    <row r="2573" spans="1:5" x14ac:dyDescent="0.2">
      <c r="A2573" s="29">
        <v>42455</v>
      </c>
      <c r="B2573" s="26">
        <f>VLOOKUP(A2573,'Database Claims'!$A:$C,3,)</f>
        <v>271000</v>
      </c>
      <c r="C2573" s="30">
        <f t="shared" si="80"/>
        <v>7000</v>
      </c>
      <c r="D2573" s="26">
        <f>VLOOKUP(A2573,'Database Claims'!$A:$C,2,)</f>
        <v>2165000</v>
      </c>
      <c r="E2573" s="30">
        <f t="shared" si="81"/>
        <v>27000</v>
      </c>
    </row>
    <row r="2574" spans="1:5" x14ac:dyDescent="0.2">
      <c r="A2574" s="29">
        <v>42462</v>
      </c>
      <c r="B2574" s="30">
        <f>VLOOKUP(A2574,'Database Claims'!$A:$C,3,)</f>
        <v>273000</v>
      </c>
      <c r="C2574" s="30">
        <f t="shared" si="80"/>
        <v>2000</v>
      </c>
      <c r="D2574" s="30">
        <f>VLOOKUP(A2574,'Database Claims'!$A:$C,2,)</f>
        <v>2151000</v>
      </c>
      <c r="E2574" s="30">
        <f t="shared" si="81"/>
        <v>-14000</v>
      </c>
    </row>
    <row r="2575" spans="1:5" x14ac:dyDescent="0.2">
      <c r="A2575" s="29">
        <v>42469</v>
      </c>
      <c r="B2575" s="26">
        <f>VLOOKUP(A2575,'Database Claims'!$A:$C,3,)</f>
        <v>263000</v>
      </c>
      <c r="C2575" s="30">
        <f t="shared" si="80"/>
        <v>-10000</v>
      </c>
      <c r="D2575" s="26">
        <f>VLOOKUP(A2575,'Database Claims'!$A:$C,2,)</f>
        <v>2139000</v>
      </c>
      <c r="E2575" s="30">
        <f t="shared" si="81"/>
        <v>-12000</v>
      </c>
    </row>
    <row r="2576" spans="1:5" x14ac:dyDescent="0.2">
      <c r="A2576" s="29">
        <v>42476</v>
      </c>
      <c r="B2576" s="30">
        <f>VLOOKUP(A2576,'Database Claims'!$A:$C,3,)</f>
        <v>257000</v>
      </c>
      <c r="C2576" s="30">
        <f t="shared" si="80"/>
        <v>-6000</v>
      </c>
      <c r="D2576" s="30">
        <f>VLOOKUP(A2576,'Database Claims'!$A:$C,2,)</f>
        <v>2135000</v>
      </c>
      <c r="E2576" s="30">
        <f t="shared" si="81"/>
        <v>-4000</v>
      </c>
    </row>
    <row r="2577" spans="1:5" x14ac:dyDescent="0.2">
      <c r="A2577" s="29">
        <v>42483</v>
      </c>
      <c r="B2577" s="26">
        <f>VLOOKUP(A2577,'Database Claims'!$A:$C,3,)</f>
        <v>259000</v>
      </c>
      <c r="C2577" s="30">
        <f t="shared" si="80"/>
        <v>2000</v>
      </c>
      <c r="D2577" s="26">
        <f>VLOOKUP(A2577,'Database Claims'!$A:$C,2,)</f>
        <v>2137000</v>
      </c>
      <c r="E2577" s="30">
        <f t="shared" si="81"/>
        <v>2000</v>
      </c>
    </row>
    <row r="2578" spans="1:5" x14ac:dyDescent="0.2">
      <c r="A2578" s="29">
        <v>42490</v>
      </c>
      <c r="B2578" s="30">
        <f>VLOOKUP(A2578,'Database Claims'!$A:$C,3,)</f>
        <v>278000</v>
      </c>
      <c r="C2578" s="30">
        <f t="shared" si="80"/>
        <v>19000</v>
      </c>
      <c r="D2578" s="30">
        <f>VLOOKUP(A2578,'Database Claims'!$A:$C,2,)</f>
        <v>2183000</v>
      </c>
      <c r="E2578" s="30">
        <f t="shared" si="81"/>
        <v>46000</v>
      </c>
    </row>
    <row r="2579" spans="1:5" x14ac:dyDescent="0.2">
      <c r="A2579" s="29">
        <v>42497</v>
      </c>
      <c r="B2579" s="26">
        <f>VLOOKUP(A2579,'Database Claims'!$A:$C,3,)</f>
        <v>289000</v>
      </c>
      <c r="C2579" s="30">
        <f t="shared" si="80"/>
        <v>11000</v>
      </c>
      <c r="D2579" s="26">
        <f>VLOOKUP(A2579,'Database Claims'!$A:$C,2,)</f>
        <v>2185000</v>
      </c>
      <c r="E2579" s="30">
        <f t="shared" si="81"/>
        <v>2000</v>
      </c>
    </row>
    <row r="2580" spans="1:5" x14ac:dyDescent="0.2">
      <c r="A2580" s="29">
        <v>42504</v>
      </c>
      <c r="B2580" s="30">
        <f>VLOOKUP(A2580,'Database Claims'!$A:$C,3,)</f>
        <v>279000</v>
      </c>
      <c r="C2580" s="30">
        <f t="shared" si="80"/>
        <v>-10000</v>
      </c>
      <c r="D2580" s="30">
        <f>VLOOKUP(A2580,'Database Claims'!$A:$C,2,)</f>
        <v>2177000</v>
      </c>
      <c r="E2580" s="30">
        <f t="shared" si="81"/>
        <v>-8000</v>
      </c>
    </row>
    <row r="2581" spans="1:5" x14ac:dyDescent="0.2">
      <c r="A2581" s="29">
        <v>42511</v>
      </c>
      <c r="B2581" s="26">
        <f>VLOOKUP(A2581,'Database Claims'!$A:$C,3,)</f>
        <v>267000</v>
      </c>
      <c r="C2581" s="30">
        <f t="shared" si="80"/>
        <v>-12000</v>
      </c>
      <c r="D2581" s="26">
        <f>VLOOKUP(A2581,'Database Claims'!$A:$C,2,)</f>
        <v>2186000</v>
      </c>
      <c r="E2581" s="30">
        <f t="shared" si="81"/>
        <v>9000</v>
      </c>
    </row>
    <row r="2582" spans="1:5" x14ac:dyDescent="0.2">
      <c r="A2582" s="29">
        <v>42518</v>
      </c>
      <c r="B2582" s="30">
        <f>VLOOKUP(A2582,'Database Claims'!$A:$C,3,)</f>
        <v>263000</v>
      </c>
      <c r="C2582" s="30">
        <f t="shared" si="80"/>
        <v>-4000</v>
      </c>
      <c r="D2582" s="30">
        <f>VLOOKUP(A2582,'Database Claims'!$A:$C,2,)</f>
        <v>2131000</v>
      </c>
      <c r="E2582" s="30">
        <f t="shared" si="81"/>
        <v>-55000</v>
      </c>
    </row>
    <row r="2583" spans="1:5" x14ac:dyDescent="0.2">
      <c r="A2583" s="29">
        <v>42525</v>
      </c>
      <c r="B2583" s="26">
        <f>VLOOKUP(A2583,'Database Claims'!$A:$C,3,)</f>
        <v>265000</v>
      </c>
      <c r="C2583" s="30">
        <f t="shared" si="80"/>
        <v>2000</v>
      </c>
      <c r="D2583" s="26">
        <f>VLOOKUP(A2583,'Database Claims'!$A:$C,2,)</f>
        <v>2170000</v>
      </c>
      <c r="E2583" s="30">
        <f t="shared" si="81"/>
        <v>39000</v>
      </c>
    </row>
    <row r="2584" spans="1:5" x14ac:dyDescent="0.2">
      <c r="A2584" s="29">
        <v>42532</v>
      </c>
      <c r="B2584" s="30">
        <f>VLOOKUP(A2584,'Database Claims'!$A:$C,3,)</f>
        <v>273000</v>
      </c>
      <c r="C2584" s="30">
        <f t="shared" si="80"/>
        <v>8000</v>
      </c>
      <c r="D2584" s="30">
        <f>VLOOKUP(A2584,'Database Claims'!$A:$C,2,)</f>
        <v>2158000</v>
      </c>
      <c r="E2584" s="30">
        <f t="shared" si="81"/>
        <v>-12000</v>
      </c>
    </row>
    <row r="2585" spans="1:5" x14ac:dyDescent="0.2">
      <c r="A2585" s="29">
        <v>42539</v>
      </c>
      <c r="B2585" s="26">
        <f>VLOOKUP(A2585,'Database Claims'!$A:$C,3,)</f>
        <v>261000</v>
      </c>
      <c r="C2585" s="30">
        <f t="shared" si="80"/>
        <v>-12000</v>
      </c>
      <c r="D2585" s="26">
        <f>VLOOKUP(A2585,'Database Claims'!$A:$C,2,)</f>
        <v>2160000</v>
      </c>
      <c r="E2585" s="30">
        <f t="shared" si="81"/>
        <v>2000</v>
      </c>
    </row>
    <row r="2586" spans="1:5" x14ac:dyDescent="0.2">
      <c r="A2586" s="29">
        <v>42546</v>
      </c>
      <c r="B2586" s="30">
        <f>VLOOKUP(A2586,'Database Claims'!$A:$C,3,)</f>
        <v>262000</v>
      </c>
      <c r="C2586" s="30">
        <f t="shared" si="80"/>
        <v>1000</v>
      </c>
      <c r="D2586" s="30">
        <f>VLOOKUP(A2586,'Database Claims'!$A:$C,2,)</f>
        <v>2139000</v>
      </c>
      <c r="E2586" s="30">
        <f t="shared" si="81"/>
        <v>-21000</v>
      </c>
    </row>
    <row r="2587" spans="1:5" x14ac:dyDescent="0.2">
      <c r="A2587" s="29">
        <v>42553</v>
      </c>
      <c r="B2587" s="26">
        <f>VLOOKUP(A2587,'Database Claims'!$A:$C,3,)</f>
        <v>255000</v>
      </c>
      <c r="C2587" s="30">
        <f t="shared" si="80"/>
        <v>-7000</v>
      </c>
      <c r="D2587" s="26">
        <f>VLOOKUP(A2587,'Database Claims'!$A:$C,2,)</f>
        <v>2131000</v>
      </c>
      <c r="E2587" s="30">
        <f t="shared" si="81"/>
        <v>-8000</v>
      </c>
    </row>
    <row r="2588" spans="1:5" x14ac:dyDescent="0.2">
      <c r="A2588" s="29">
        <v>42560</v>
      </c>
      <c r="B2588" s="30">
        <f>VLOOKUP(A2588,'Database Claims'!$A:$C,3,)</f>
        <v>252000</v>
      </c>
      <c r="C2588" s="30">
        <f t="shared" si="80"/>
        <v>-3000</v>
      </c>
      <c r="D2588" s="30">
        <f>VLOOKUP(A2588,'Database Claims'!$A:$C,2,)</f>
        <v>2125000</v>
      </c>
      <c r="E2588" s="30">
        <f t="shared" si="81"/>
        <v>-6000</v>
      </c>
    </row>
    <row r="2589" spans="1:5" x14ac:dyDescent="0.2">
      <c r="A2589" s="29">
        <v>42567</v>
      </c>
      <c r="B2589" s="26">
        <f>VLOOKUP(A2589,'Database Claims'!$A:$C,3,)</f>
        <v>260000</v>
      </c>
      <c r="C2589" s="30">
        <f t="shared" si="80"/>
        <v>8000</v>
      </c>
      <c r="D2589" s="26">
        <f>VLOOKUP(A2589,'Database Claims'!$A:$C,2,)</f>
        <v>2140000</v>
      </c>
      <c r="E2589" s="30">
        <f t="shared" si="81"/>
        <v>15000</v>
      </c>
    </row>
    <row r="2590" spans="1:5" x14ac:dyDescent="0.2">
      <c r="A2590" s="29">
        <v>42574</v>
      </c>
      <c r="B2590" s="30">
        <f>VLOOKUP(A2590,'Database Claims'!$A:$C,3,)</f>
        <v>264000</v>
      </c>
      <c r="C2590" s="30">
        <f t="shared" si="80"/>
        <v>4000</v>
      </c>
      <c r="D2590" s="30">
        <f>VLOOKUP(A2590,'Database Claims'!$A:$C,2,)</f>
        <v>2134000</v>
      </c>
      <c r="E2590" s="30">
        <f t="shared" si="81"/>
        <v>-6000</v>
      </c>
    </row>
    <row r="2591" spans="1:5" x14ac:dyDescent="0.2">
      <c r="A2591" s="29">
        <v>42581</v>
      </c>
      <c r="B2591" s="26">
        <f>VLOOKUP(A2591,'Database Claims'!$A:$C,3,)</f>
        <v>266000</v>
      </c>
      <c r="C2591" s="30">
        <f t="shared" si="80"/>
        <v>2000</v>
      </c>
      <c r="D2591" s="26">
        <f>VLOOKUP(A2591,'Database Claims'!$A:$C,2,)</f>
        <v>2143000</v>
      </c>
      <c r="E2591" s="30">
        <f t="shared" si="81"/>
        <v>9000</v>
      </c>
    </row>
    <row r="2592" spans="1:5" x14ac:dyDescent="0.2">
      <c r="A2592" s="29">
        <v>42588</v>
      </c>
      <c r="B2592" s="30">
        <f>VLOOKUP(A2592,'Database Claims'!$A:$C,3,)</f>
        <v>265000</v>
      </c>
      <c r="C2592" s="30">
        <f t="shared" si="80"/>
        <v>-1000</v>
      </c>
      <c r="D2592" s="30">
        <f>VLOOKUP(A2592,'Database Claims'!$A:$C,2,)</f>
        <v>2157000</v>
      </c>
      <c r="E2592" s="30">
        <f t="shared" si="81"/>
        <v>14000</v>
      </c>
    </row>
    <row r="2593" spans="1:5" x14ac:dyDescent="0.2">
      <c r="A2593" s="29">
        <v>42595</v>
      </c>
      <c r="B2593" s="26">
        <f>VLOOKUP(A2593,'Database Claims'!$A:$C,3,)</f>
        <v>264000</v>
      </c>
      <c r="C2593" s="30">
        <f t="shared" si="80"/>
        <v>-1000</v>
      </c>
      <c r="D2593" s="26">
        <f>VLOOKUP(A2593,'Database Claims'!$A:$C,2,)</f>
        <v>2137000</v>
      </c>
      <c r="E2593" s="30">
        <f t="shared" si="81"/>
        <v>-20000</v>
      </c>
    </row>
    <row r="2594" spans="1:5" x14ac:dyDescent="0.2">
      <c r="A2594" s="29">
        <v>42602</v>
      </c>
      <c r="B2594" s="30">
        <f>VLOOKUP(A2594,'Database Claims'!$A:$C,3,)</f>
        <v>264000</v>
      </c>
      <c r="C2594" s="30">
        <f t="shared" si="80"/>
        <v>0</v>
      </c>
      <c r="D2594" s="30">
        <f>VLOOKUP(A2594,'Database Claims'!$A:$C,2,)</f>
        <v>2148000</v>
      </c>
      <c r="E2594" s="30">
        <f t="shared" si="81"/>
        <v>11000</v>
      </c>
    </row>
    <row r="2595" spans="1:5" x14ac:dyDescent="0.2">
      <c r="A2595" s="29">
        <v>42609</v>
      </c>
      <c r="B2595" s="26">
        <f>VLOOKUP(A2595,'Database Claims'!$A:$C,3,)</f>
        <v>261000</v>
      </c>
      <c r="C2595" s="30">
        <f t="shared" si="80"/>
        <v>-3000</v>
      </c>
      <c r="D2595" s="26">
        <f>VLOOKUP(A2595,'Database Claims'!$A:$C,2,)</f>
        <v>2138000</v>
      </c>
      <c r="E2595" s="30">
        <f t="shared" si="81"/>
        <v>-10000</v>
      </c>
    </row>
    <row r="2596" spans="1:5" x14ac:dyDescent="0.2">
      <c r="A2596" s="29">
        <v>42616</v>
      </c>
      <c r="B2596" s="30">
        <f>VLOOKUP(A2596,'Database Claims'!$A:$C,3,)</f>
        <v>257000</v>
      </c>
      <c r="C2596" s="30">
        <f t="shared" si="80"/>
        <v>-4000</v>
      </c>
      <c r="D2596" s="30">
        <f>VLOOKUP(A2596,'Database Claims'!$A:$C,2,)</f>
        <v>2149000</v>
      </c>
      <c r="E2596" s="30">
        <f t="shared" si="81"/>
        <v>11000</v>
      </c>
    </row>
    <row r="2597" spans="1:5" x14ac:dyDescent="0.2">
      <c r="A2597" s="29">
        <v>42623</v>
      </c>
      <c r="B2597" s="26">
        <f>VLOOKUP(A2597,'Database Claims'!$A:$C,3,)</f>
        <v>252000</v>
      </c>
      <c r="C2597" s="30">
        <f t="shared" si="80"/>
        <v>-5000</v>
      </c>
      <c r="D2597" s="26">
        <f>VLOOKUP(A2597,'Database Claims'!$A:$C,2,)</f>
        <v>2110000</v>
      </c>
      <c r="E2597" s="30">
        <f t="shared" si="81"/>
        <v>-39000</v>
      </c>
    </row>
    <row r="2598" spans="1:5" x14ac:dyDescent="0.2">
      <c r="A2598" s="29">
        <v>42630</v>
      </c>
      <c r="B2598" s="30">
        <f>VLOOKUP(A2598,'Database Claims'!$A:$C,3,)</f>
        <v>250000</v>
      </c>
      <c r="C2598" s="30">
        <f t="shared" si="80"/>
        <v>-2000</v>
      </c>
      <c r="D2598" s="30">
        <f>VLOOKUP(A2598,'Database Claims'!$A:$C,2,)</f>
        <v>2098000</v>
      </c>
      <c r="E2598" s="30">
        <f t="shared" si="81"/>
        <v>-12000</v>
      </c>
    </row>
    <row r="2599" spans="1:5" x14ac:dyDescent="0.2">
      <c r="A2599" s="29">
        <v>42637</v>
      </c>
      <c r="B2599" s="26">
        <f>VLOOKUP(A2599,'Database Claims'!$A:$C,3,)</f>
        <v>247000</v>
      </c>
      <c r="C2599" s="30">
        <f t="shared" si="80"/>
        <v>-3000</v>
      </c>
      <c r="D2599" s="26">
        <f>VLOOKUP(A2599,'Database Claims'!$A:$C,2,)</f>
        <v>2081000</v>
      </c>
      <c r="E2599" s="30">
        <f t="shared" si="81"/>
        <v>-17000</v>
      </c>
    </row>
    <row r="2600" spans="1:5" x14ac:dyDescent="0.2">
      <c r="A2600" s="29">
        <v>42644</v>
      </c>
      <c r="B2600" s="30">
        <f>VLOOKUP(A2600,'Database Claims'!$A:$C,3,)</f>
        <v>245000</v>
      </c>
      <c r="C2600" s="30">
        <f t="shared" si="80"/>
        <v>-2000</v>
      </c>
      <c r="D2600" s="30">
        <f>VLOOKUP(A2600,'Database Claims'!$A:$C,2,)</f>
        <v>2080000</v>
      </c>
      <c r="E2600" s="30">
        <f t="shared" si="81"/>
        <v>-1000</v>
      </c>
    </row>
    <row r="2601" spans="1:5" x14ac:dyDescent="0.2">
      <c r="A2601" s="29">
        <v>42651</v>
      </c>
      <c r="B2601" s="26">
        <f>VLOOKUP(A2601,'Database Claims'!$A:$C,3,)</f>
        <v>250000</v>
      </c>
      <c r="C2601" s="30">
        <f t="shared" si="80"/>
        <v>5000</v>
      </c>
      <c r="D2601" s="26">
        <f>VLOOKUP(A2601,'Database Claims'!$A:$C,2,)</f>
        <v>2081000</v>
      </c>
      <c r="E2601" s="30">
        <f t="shared" si="81"/>
        <v>1000</v>
      </c>
    </row>
    <row r="2602" spans="1:5" x14ac:dyDescent="0.2">
      <c r="A2602" s="29">
        <v>42658</v>
      </c>
      <c r="B2602" s="30">
        <f>VLOOKUP(A2602,'Database Claims'!$A:$C,3,)</f>
        <v>263000</v>
      </c>
      <c r="C2602" s="30">
        <f t="shared" si="80"/>
        <v>13000</v>
      </c>
      <c r="D2602" s="30">
        <f>VLOOKUP(A2602,'Database Claims'!$A:$C,2,)</f>
        <v>2069000</v>
      </c>
      <c r="E2602" s="30">
        <f t="shared" si="81"/>
        <v>-12000</v>
      </c>
    </row>
    <row r="2603" spans="1:5" x14ac:dyDescent="0.2">
      <c r="A2603" s="29">
        <v>42665</v>
      </c>
      <c r="B2603" s="26">
        <f>VLOOKUP(A2603,'Database Claims'!$A:$C,3,)</f>
        <v>256000</v>
      </c>
      <c r="C2603" s="30">
        <f t="shared" si="80"/>
        <v>-7000</v>
      </c>
      <c r="D2603" s="26">
        <f>VLOOKUP(A2603,'Database Claims'!$A:$C,2,)</f>
        <v>2066000</v>
      </c>
      <c r="E2603" s="30">
        <f t="shared" si="81"/>
        <v>-3000</v>
      </c>
    </row>
    <row r="2604" spans="1:5" x14ac:dyDescent="0.2">
      <c r="A2604" s="29">
        <v>42672</v>
      </c>
      <c r="B2604" s="30">
        <f>VLOOKUP(A2604,'Database Claims'!$A:$C,3,)</f>
        <v>265000</v>
      </c>
      <c r="C2604" s="30">
        <f t="shared" si="80"/>
        <v>9000</v>
      </c>
      <c r="D2604" s="30">
        <f>VLOOKUP(A2604,'Database Claims'!$A:$C,2,)</f>
        <v>2067000</v>
      </c>
      <c r="E2604" s="30">
        <f t="shared" si="81"/>
        <v>1000</v>
      </c>
    </row>
    <row r="2605" spans="1:5" x14ac:dyDescent="0.2">
      <c r="A2605" s="29">
        <v>42679</v>
      </c>
      <c r="B2605" s="26">
        <f>VLOOKUP(A2605,'Database Claims'!$A:$C,3,)</f>
        <v>250000</v>
      </c>
      <c r="C2605" s="30">
        <f t="shared" si="80"/>
        <v>-15000</v>
      </c>
      <c r="D2605" s="26">
        <f>VLOOKUP(A2605,'Database Claims'!$A:$C,2,)</f>
        <v>2046000</v>
      </c>
      <c r="E2605" s="30">
        <f t="shared" si="81"/>
        <v>-21000</v>
      </c>
    </row>
    <row r="2606" spans="1:5" x14ac:dyDescent="0.2">
      <c r="A2606" s="29">
        <v>42686</v>
      </c>
      <c r="B2606" s="30">
        <f>VLOOKUP(A2606,'Database Claims'!$A:$C,3,)</f>
        <v>232000</v>
      </c>
      <c r="C2606" s="30">
        <f t="shared" si="80"/>
        <v>-18000</v>
      </c>
      <c r="D2606" s="30">
        <f>VLOOKUP(A2606,'Database Claims'!$A:$C,2,)</f>
        <v>2045000</v>
      </c>
      <c r="E2606" s="30">
        <f t="shared" si="81"/>
        <v>-1000</v>
      </c>
    </row>
    <row r="2607" spans="1:5" x14ac:dyDescent="0.2">
      <c r="A2607" s="29">
        <v>42693</v>
      </c>
      <c r="B2607" s="26">
        <f>VLOOKUP(A2607,'Database Claims'!$A:$C,3,)</f>
        <v>246000</v>
      </c>
      <c r="C2607" s="30">
        <f t="shared" si="80"/>
        <v>14000</v>
      </c>
      <c r="D2607" s="26">
        <f>VLOOKUP(A2607,'Database Claims'!$A:$C,2,)</f>
        <v>2050000</v>
      </c>
      <c r="E2607" s="30">
        <f t="shared" si="81"/>
        <v>5000</v>
      </c>
    </row>
    <row r="2608" spans="1:5" x14ac:dyDescent="0.2">
      <c r="A2608" s="29">
        <v>42700</v>
      </c>
      <c r="B2608" s="30">
        <f>VLOOKUP(A2608,'Database Claims'!$A:$C,3,)</f>
        <v>255000</v>
      </c>
      <c r="C2608" s="30">
        <f t="shared" si="80"/>
        <v>9000</v>
      </c>
      <c r="D2608" s="30">
        <f>VLOOKUP(A2608,'Database Claims'!$A:$C,2,)</f>
        <v>2038000</v>
      </c>
      <c r="E2608" s="30">
        <f t="shared" si="81"/>
        <v>-12000</v>
      </c>
    </row>
    <row r="2609" spans="1:5" x14ac:dyDescent="0.2">
      <c r="A2609" s="29">
        <v>42707</v>
      </c>
      <c r="B2609" s="26">
        <f>VLOOKUP(A2609,'Database Claims'!$A:$C,3,)</f>
        <v>248000</v>
      </c>
      <c r="C2609" s="30">
        <f t="shared" si="80"/>
        <v>-7000</v>
      </c>
      <c r="D2609" s="26">
        <f>VLOOKUP(A2609,'Database Claims'!$A:$C,2,)</f>
        <v>2029000</v>
      </c>
      <c r="E2609" s="30">
        <f t="shared" si="81"/>
        <v>-9000</v>
      </c>
    </row>
    <row r="2610" spans="1:5" x14ac:dyDescent="0.2">
      <c r="A2610" s="29">
        <v>42714</v>
      </c>
      <c r="B2610" s="30">
        <f>VLOOKUP(A2610,'Database Claims'!$A:$C,3,)</f>
        <v>252000</v>
      </c>
      <c r="C2610" s="30">
        <f t="shared" si="80"/>
        <v>4000</v>
      </c>
      <c r="D2610" s="30">
        <f>VLOOKUP(A2610,'Database Claims'!$A:$C,2,)</f>
        <v>2030000</v>
      </c>
      <c r="E2610" s="30">
        <f t="shared" si="81"/>
        <v>1000</v>
      </c>
    </row>
    <row r="2611" spans="1:5" x14ac:dyDescent="0.2">
      <c r="A2611" s="29">
        <v>42721</v>
      </c>
      <c r="B2611" s="26">
        <f>VLOOKUP(A2611,'Database Claims'!$A:$C,3,)</f>
        <v>260000</v>
      </c>
      <c r="C2611" s="30">
        <f t="shared" si="80"/>
        <v>8000</v>
      </c>
      <c r="D2611" s="26">
        <f>VLOOKUP(A2611,'Database Claims'!$A:$C,2,)</f>
        <v>2078000</v>
      </c>
      <c r="E2611" s="30">
        <f t="shared" si="81"/>
        <v>48000</v>
      </c>
    </row>
    <row r="2612" spans="1:5" x14ac:dyDescent="0.2">
      <c r="A2612" s="29">
        <v>42728</v>
      </c>
      <c r="B2612" s="30">
        <f>VLOOKUP(A2612,'Database Claims'!$A:$C,3,)</f>
        <v>257000</v>
      </c>
      <c r="C2612" s="30">
        <f t="shared" si="80"/>
        <v>-3000</v>
      </c>
      <c r="D2612" s="30">
        <f>VLOOKUP(A2612,'Database Claims'!$A:$C,2,)</f>
        <v>2077000</v>
      </c>
      <c r="E2612" s="30">
        <f t="shared" si="81"/>
        <v>-1000</v>
      </c>
    </row>
    <row r="2613" spans="1:5" x14ac:dyDescent="0.2">
      <c r="A2613" s="29">
        <v>42735</v>
      </c>
      <c r="B2613" s="26">
        <f>VLOOKUP(A2613,'Database Claims'!$A:$C,3,)</f>
        <v>244000</v>
      </c>
      <c r="C2613" s="30">
        <f t="shared" si="80"/>
        <v>-13000</v>
      </c>
      <c r="D2613" s="26">
        <f>VLOOKUP(A2613,'Database Claims'!$A:$C,2,)</f>
        <v>2028000</v>
      </c>
      <c r="E2613" s="30">
        <f t="shared" si="81"/>
        <v>-49000</v>
      </c>
    </row>
    <row r="2614" spans="1:5" x14ac:dyDescent="0.2">
      <c r="A2614" s="29">
        <v>42742</v>
      </c>
      <c r="B2614" s="30">
        <f>VLOOKUP(A2614,'Database Claims'!$A:$C,3,)</f>
        <v>243000</v>
      </c>
      <c r="C2614" s="30">
        <f t="shared" si="80"/>
        <v>-1000</v>
      </c>
      <c r="D2614" s="30">
        <f>VLOOKUP(A2614,'Database Claims'!$A:$C,2,)</f>
        <v>2020000</v>
      </c>
      <c r="E2614" s="30">
        <f t="shared" si="81"/>
        <v>-8000</v>
      </c>
    </row>
    <row r="2615" spans="1:5" x14ac:dyDescent="0.2">
      <c r="A2615" s="29">
        <v>42749</v>
      </c>
      <c r="B2615" s="26">
        <f>VLOOKUP(A2615,'Database Claims'!$A:$C,3,)</f>
        <v>244000</v>
      </c>
      <c r="C2615" s="30">
        <f t="shared" si="80"/>
        <v>1000</v>
      </c>
      <c r="D2615" s="26">
        <f>VLOOKUP(A2615,'Database Claims'!$A:$C,2,)</f>
        <v>2060000</v>
      </c>
      <c r="E2615" s="30">
        <f t="shared" si="81"/>
        <v>40000</v>
      </c>
    </row>
    <row r="2616" spans="1:5" x14ac:dyDescent="0.2">
      <c r="A2616" s="29">
        <v>42756</v>
      </c>
      <c r="B2616" s="30">
        <f>VLOOKUP(A2616,'Database Claims'!$A:$C,3,)</f>
        <v>254000</v>
      </c>
      <c r="C2616" s="30">
        <f t="shared" si="80"/>
        <v>10000</v>
      </c>
      <c r="D2616" s="30">
        <f>VLOOKUP(A2616,'Database Claims'!$A:$C,2,)</f>
        <v>2030000</v>
      </c>
      <c r="E2616" s="30">
        <f t="shared" si="81"/>
        <v>-30000</v>
      </c>
    </row>
    <row r="2617" spans="1:5" x14ac:dyDescent="0.2">
      <c r="A2617" s="29">
        <v>42763</v>
      </c>
      <c r="B2617" s="26">
        <f>VLOOKUP(A2617,'Database Claims'!$A:$C,3,)</f>
        <v>245000</v>
      </c>
      <c r="C2617" s="30">
        <f t="shared" si="80"/>
        <v>-9000</v>
      </c>
      <c r="D2617" s="26">
        <f>VLOOKUP(A2617,'Database Claims'!$A:$C,2,)</f>
        <v>2045000</v>
      </c>
      <c r="E2617" s="30">
        <f t="shared" si="81"/>
        <v>15000</v>
      </c>
    </row>
    <row r="2618" spans="1:5" x14ac:dyDescent="0.2">
      <c r="A2618" s="29">
        <v>42770</v>
      </c>
      <c r="B2618" s="30">
        <f>VLOOKUP(A2618,'Database Claims'!$A:$C,3,)</f>
        <v>237000</v>
      </c>
      <c r="C2618" s="30">
        <f t="shared" si="80"/>
        <v>-8000</v>
      </c>
      <c r="D2618" s="30">
        <f>VLOOKUP(A2618,'Database Claims'!$A:$C,2,)</f>
        <v>2030000</v>
      </c>
      <c r="E2618" s="30">
        <f t="shared" si="81"/>
        <v>-15000</v>
      </c>
    </row>
    <row r="2619" spans="1:5" x14ac:dyDescent="0.2">
      <c r="A2619" s="29">
        <v>42777</v>
      </c>
      <c r="B2619" s="26">
        <f>VLOOKUP(A2619,'Database Claims'!$A:$C,3,)</f>
        <v>243000</v>
      </c>
      <c r="C2619" s="30">
        <f t="shared" si="80"/>
        <v>6000</v>
      </c>
      <c r="D2619" s="26">
        <f>VLOOKUP(A2619,'Database Claims'!$A:$C,2,)</f>
        <v>2049000</v>
      </c>
      <c r="E2619" s="30">
        <f t="shared" si="81"/>
        <v>19000</v>
      </c>
    </row>
    <row r="2620" spans="1:5" x14ac:dyDescent="0.2">
      <c r="A2620" s="29">
        <v>42784</v>
      </c>
      <c r="B2620" s="30">
        <f>VLOOKUP(A2620,'Database Claims'!$A:$C,3,)</f>
        <v>248000</v>
      </c>
      <c r="C2620" s="30">
        <f t="shared" si="80"/>
        <v>5000</v>
      </c>
      <c r="D2620" s="30">
        <f>VLOOKUP(A2620,'Database Claims'!$A:$C,2,)</f>
        <v>2009000</v>
      </c>
      <c r="E2620" s="30">
        <f t="shared" si="81"/>
        <v>-40000</v>
      </c>
    </row>
    <row r="2621" spans="1:5" x14ac:dyDescent="0.2">
      <c r="A2621" s="29">
        <v>42791</v>
      </c>
      <c r="B2621" s="26">
        <f>VLOOKUP(A2621,'Database Claims'!$A:$C,3,)</f>
        <v>231000</v>
      </c>
      <c r="C2621" s="30">
        <f t="shared" si="80"/>
        <v>-17000</v>
      </c>
      <c r="D2621" s="26">
        <f>VLOOKUP(A2621,'Database Claims'!$A:$C,2,)</f>
        <v>2040000</v>
      </c>
      <c r="E2621" s="30">
        <f t="shared" si="81"/>
        <v>31000</v>
      </c>
    </row>
    <row r="2622" spans="1:5" x14ac:dyDescent="0.2">
      <c r="A2622" s="29">
        <v>42798</v>
      </c>
      <c r="B2622" s="30">
        <f>VLOOKUP(A2622,'Database Claims'!$A:$C,3,)</f>
        <v>246000</v>
      </c>
      <c r="C2622" s="30">
        <f t="shared" si="80"/>
        <v>15000</v>
      </c>
      <c r="D2622" s="30">
        <f>VLOOKUP(A2622,'Database Claims'!$A:$C,2,)</f>
        <v>2005000</v>
      </c>
      <c r="E2622" s="30">
        <f t="shared" si="81"/>
        <v>-35000</v>
      </c>
    </row>
    <row r="2623" spans="1:5" x14ac:dyDescent="0.2">
      <c r="A2623" s="29">
        <v>42805</v>
      </c>
      <c r="B2623" s="26">
        <f>VLOOKUP(A2623,'Database Claims'!$A:$C,3,)</f>
        <v>244000</v>
      </c>
      <c r="C2623" s="30">
        <f t="shared" si="80"/>
        <v>-2000</v>
      </c>
      <c r="D2623" s="26">
        <f>VLOOKUP(A2623,'Database Claims'!$A:$C,2,)</f>
        <v>1984000</v>
      </c>
      <c r="E2623" s="30">
        <f t="shared" si="81"/>
        <v>-21000</v>
      </c>
    </row>
    <row r="2624" spans="1:5" x14ac:dyDescent="0.2">
      <c r="A2624" s="29">
        <v>42812</v>
      </c>
      <c r="B2624" s="30">
        <f>VLOOKUP(A2624,'Database Claims'!$A:$C,3,)</f>
        <v>255000</v>
      </c>
      <c r="C2624" s="30">
        <f t="shared" si="80"/>
        <v>11000</v>
      </c>
      <c r="D2624" s="30">
        <f>VLOOKUP(A2624,'Database Claims'!$A:$C,2,)</f>
        <v>1993000</v>
      </c>
      <c r="E2624" s="30">
        <f t="shared" si="81"/>
        <v>9000</v>
      </c>
    </row>
    <row r="2625" spans="1:5" x14ac:dyDescent="0.2">
      <c r="A2625" s="29">
        <v>42819</v>
      </c>
      <c r="B2625" s="26">
        <f>VLOOKUP(A2625,'Database Claims'!$A:$C,3,)</f>
        <v>256000</v>
      </c>
      <c r="C2625" s="30">
        <f t="shared" si="80"/>
        <v>1000</v>
      </c>
      <c r="D2625" s="26">
        <f>VLOOKUP(A2625,'Database Claims'!$A:$C,2,)</f>
        <v>2011000</v>
      </c>
      <c r="E2625" s="30">
        <f t="shared" si="81"/>
        <v>18000</v>
      </c>
    </row>
    <row r="2626" spans="1:5" x14ac:dyDescent="0.2">
      <c r="A2626" s="29">
        <v>42826</v>
      </c>
      <c r="B2626" s="30">
        <f>VLOOKUP(A2626,'Database Claims'!$A:$C,3,)</f>
        <v>237000</v>
      </c>
      <c r="C2626" s="30">
        <f t="shared" si="80"/>
        <v>-19000</v>
      </c>
      <c r="D2626" s="30">
        <f>VLOOKUP(A2626,'Database Claims'!$A:$C,2,)</f>
        <v>1982000</v>
      </c>
      <c r="E2626" s="30">
        <f t="shared" si="81"/>
        <v>-29000</v>
      </c>
    </row>
    <row r="2627" spans="1:5" x14ac:dyDescent="0.2">
      <c r="A2627" s="29">
        <v>42833</v>
      </c>
      <c r="B2627" s="26">
        <f>VLOOKUP(A2627,'Database Claims'!$A:$C,3,)</f>
        <v>238000</v>
      </c>
      <c r="C2627" s="30">
        <f t="shared" si="80"/>
        <v>1000</v>
      </c>
      <c r="D2627" s="26">
        <f>VLOOKUP(A2627,'Database Claims'!$A:$C,2,)</f>
        <v>1970000</v>
      </c>
      <c r="E2627" s="30">
        <f t="shared" si="81"/>
        <v>-12000</v>
      </c>
    </row>
    <row r="2628" spans="1:5" x14ac:dyDescent="0.2">
      <c r="A2628" s="29">
        <v>42840</v>
      </c>
      <c r="B2628" s="30">
        <f>VLOOKUP(A2628,'Database Claims'!$A:$C,3,)</f>
        <v>242000</v>
      </c>
      <c r="C2628" s="30">
        <f t="shared" si="80"/>
        <v>4000</v>
      </c>
      <c r="D2628" s="30">
        <f>VLOOKUP(A2628,'Database Claims'!$A:$C,2,)</f>
        <v>1973000</v>
      </c>
      <c r="E2628" s="30">
        <f t="shared" si="81"/>
        <v>3000</v>
      </c>
    </row>
    <row r="2629" spans="1:5" x14ac:dyDescent="0.2">
      <c r="A2629" s="29">
        <v>42847</v>
      </c>
      <c r="B2629" s="26">
        <f>VLOOKUP(A2629,'Database Claims'!$A:$C,3,)</f>
        <v>252000</v>
      </c>
      <c r="C2629" s="30">
        <f t="shared" si="80"/>
        <v>10000</v>
      </c>
      <c r="D2629" s="26">
        <f>VLOOKUP(A2629,'Database Claims'!$A:$C,2,)</f>
        <v>1984000</v>
      </c>
      <c r="E2629" s="30">
        <f t="shared" si="81"/>
        <v>11000</v>
      </c>
    </row>
    <row r="2630" spans="1:5" x14ac:dyDescent="0.2">
      <c r="A2630" s="29">
        <v>42854</v>
      </c>
      <c r="B2630" s="30">
        <f>VLOOKUP(A2630,'Database Claims'!$A:$C,3,)</f>
        <v>241000</v>
      </c>
      <c r="C2630" s="30">
        <f t="shared" ref="C2630:C2693" si="82">B2630-B2629</f>
        <v>-11000</v>
      </c>
      <c r="D2630" s="30">
        <f>VLOOKUP(A2630,'Database Claims'!$A:$C,2,)</f>
        <v>1925000</v>
      </c>
      <c r="E2630" s="30">
        <f t="shared" ref="E2630:E2693" si="83">D2630-D2629</f>
        <v>-59000</v>
      </c>
    </row>
    <row r="2631" spans="1:5" x14ac:dyDescent="0.2">
      <c r="A2631" s="29">
        <v>42861</v>
      </c>
      <c r="B2631" s="26">
        <f>VLOOKUP(A2631,'Database Claims'!$A:$C,3,)</f>
        <v>237000</v>
      </c>
      <c r="C2631" s="30">
        <f t="shared" si="82"/>
        <v>-4000</v>
      </c>
      <c r="D2631" s="26">
        <f>VLOOKUP(A2631,'Database Claims'!$A:$C,2,)</f>
        <v>1935000</v>
      </c>
      <c r="E2631" s="30">
        <f t="shared" si="83"/>
        <v>10000</v>
      </c>
    </row>
    <row r="2632" spans="1:5" x14ac:dyDescent="0.2">
      <c r="A2632" s="29">
        <v>42868</v>
      </c>
      <c r="B2632" s="30">
        <f>VLOOKUP(A2632,'Database Claims'!$A:$C,3,)</f>
        <v>237000</v>
      </c>
      <c r="C2632" s="30">
        <f t="shared" si="82"/>
        <v>0</v>
      </c>
      <c r="D2632" s="30">
        <f>VLOOKUP(A2632,'Database Claims'!$A:$C,2,)</f>
        <v>1935000</v>
      </c>
      <c r="E2632" s="30">
        <f t="shared" si="83"/>
        <v>0</v>
      </c>
    </row>
    <row r="2633" spans="1:5" x14ac:dyDescent="0.2">
      <c r="A2633" s="29">
        <v>42875</v>
      </c>
      <c r="B2633" s="26">
        <f>VLOOKUP(A2633,'Database Claims'!$A:$C,3,)</f>
        <v>234000</v>
      </c>
      <c r="C2633" s="30">
        <f t="shared" si="82"/>
        <v>-3000</v>
      </c>
      <c r="D2633" s="26">
        <f>VLOOKUP(A2633,'Database Claims'!$A:$C,2,)</f>
        <v>1944000</v>
      </c>
      <c r="E2633" s="30">
        <f t="shared" si="83"/>
        <v>9000</v>
      </c>
    </row>
    <row r="2634" spans="1:5" x14ac:dyDescent="0.2">
      <c r="A2634" s="29">
        <v>42882</v>
      </c>
      <c r="B2634" s="30">
        <f>VLOOKUP(A2634,'Database Claims'!$A:$C,3,)</f>
        <v>251000</v>
      </c>
      <c r="C2634" s="30">
        <f t="shared" si="82"/>
        <v>17000</v>
      </c>
      <c r="D2634" s="30">
        <f>VLOOKUP(A2634,'Database Claims'!$A:$C,2,)</f>
        <v>1935000</v>
      </c>
      <c r="E2634" s="30">
        <f t="shared" si="83"/>
        <v>-9000</v>
      </c>
    </row>
    <row r="2635" spans="1:5" x14ac:dyDescent="0.2">
      <c r="A2635" s="29">
        <v>42889</v>
      </c>
      <c r="B2635" s="26">
        <f>VLOOKUP(A2635,'Database Claims'!$A:$C,3,)</f>
        <v>244000</v>
      </c>
      <c r="C2635" s="30">
        <f t="shared" si="82"/>
        <v>-7000</v>
      </c>
      <c r="D2635" s="26">
        <f>VLOOKUP(A2635,'Database Claims'!$A:$C,2,)</f>
        <v>1955000</v>
      </c>
      <c r="E2635" s="30">
        <f t="shared" si="83"/>
        <v>20000</v>
      </c>
    </row>
    <row r="2636" spans="1:5" x14ac:dyDescent="0.2">
      <c r="A2636" s="29">
        <v>42896</v>
      </c>
      <c r="B2636" s="30">
        <f>VLOOKUP(A2636,'Database Claims'!$A:$C,3,)</f>
        <v>237000</v>
      </c>
      <c r="C2636" s="30">
        <f t="shared" si="82"/>
        <v>-7000</v>
      </c>
      <c r="D2636" s="30">
        <f>VLOOKUP(A2636,'Database Claims'!$A:$C,2,)</f>
        <v>1953000</v>
      </c>
      <c r="E2636" s="30">
        <f t="shared" si="83"/>
        <v>-2000</v>
      </c>
    </row>
    <row r="2637" spans="1:5" x14ac:dyDescent="0.2">
      <c r="A2637" s="29">
        <v>42903</v>
      </c>
      <c r="B2637" s="26">
        <f>VLOOKUP(A2637,'Database Claims'!$A:$C,3,)</f>
        <v>243000</v>
      </c>
      <c r="C2637" s="30">
        <f t="shared" si="82"/>
        <v>6000</v>
      </c>
      <c r="D2637" s="26">
        <f>VLOOKUP(A2637,'Database Claims'!$A:$C,2,)</f>
        <v>1956000</v>
      </c>
      <c r="E2637" s="30">
        <f t="shared" si="83"/>
        <v>3000</v>
      </c>
    </row>
    <row r="2638" spans="1:5" x14ac:dyDescent="0.2">
      <c r="A2638" s="29">
        <v>42910</v>
      </c>
      <c r="B2638" s="30">
        <f>VLOOKUP(A2638,'Database Claims'!$A:$C,3,)</f>
        <v>237000</v>
      </c>
      <c r="C2638" s="30">
        <f t="shared" si="82"/>
        <v>-6000</v>
      </c>
      <c r="D2638" s="30">
        <f>VLOOKUP(A2638,'Database Claims'!$A:$C,2,)</f>
        <v>1966000</v>
      </c>
      <c r="E2638" s="30">
        <f t="shared" si="83"/>
        <v>10000</v>
      </c>
    </row>
    <row r="2639" spans="1:5" x14ac:dyDescent="0.2">
      <c r="A2639" s="29">
        <v>42917</v>
      </c>
      <c r="B2639" s="26">
        <f>VLOOKUP(A2639,'Database Claims'!$A:$C,3,)</f>
        <v>247000</v>
      </c>
      <c r="C2639" s="30">
        <f t="shared" si="82"/>
        <v>10000</v>
      </c>
      <c r="D2639" s="26">
        <f>VLOOKUP(A2639,'Database Claims'!$A:$C,2,)</f>
        <v>1941000</v>
      </c>
      <c r="E2639" s="30">
        <f t="shared" si="83"/>
        <v>-25000</v>
      </c>
    </row>
    <row r="2640" spans="1:5" x14ac:dyDescent="0.2">
      <c r="A2640" s="29">
        <v>42924</v>
      </c>
      <c r="B2640" s="30">
        <f>VLOOKUP(A2640,'Database Claims'!$A:$C,3,)</f>
        <v>243000</v>
      </c>
      <c r="C2640" s="30">
        <f t="shared" si="82"/>
        <v>-4000</v>
      </c>
      <c r="D2640" s="30">
        <f>VLOOKUP(A2640,'Database Claims'!$A:$C,2,)</f>
        <v>1965000</v>
      </c>
      <c r="E2640" s="30">
        <f t="shared" si="83"/>
        <v>24000</v>
      </c>
    </row>
    <row r="2641" spans="1:5" x14ac:dyDescent="0.2">
      <c r="A2641" s="29">
        <v>42931</v>
      </c>
      <c r="B2641" s="26">
        <f>VLOOKUP(A2641,'Database Claims'!$A:$C,3,)</f>
        <v>241000</v>
      </c>
      <c r="C2641" s="30">
        <f t="shared" si="82"/>
        <v>-2000</v>
      </c>
      <c r="D2641" s="26">
        <f>VLOOKUP(A2641,'Database Claims'!$A:$C,2,)</f>
        <v>1964000</v>
      </c>
      <c r="E2641" s="30">
        <f t="shared" si="83"/>
        <v>-1000</v>
      </c>
    </row>
    <row r="2642" spans="1:5" x14ac:dyDescent="0.2">
      <c r="A2642" s="29">
        <v>42938</v>
      </c>
      <c r="B2642" s="30">
        <f>VLOOKUP(A2642,'Database Claims'!$A:$C,3,)</f>
        <v>245000</v>
      </c>
      <c r="C2642" s="30">
        <f t="shared" si="82"/>
        <v>4000</v>
      </c>
      <c r="D2642" s="30">
        <f>VLOOKUP(A2642,'Database Claims'!$A:$C,2,)</f>
        <v>1961000</v>
      </c>
      <c r="E2642" s="30">
        <f t="shared" si="83"/>
        <v>-3000</v>
      </c>
    </row>
    <row r="2643" spans="1:5" x14ac:dyDescent="0.2">
      <c r="A2643" s="29">
        <v>42945</v>
      </c>
      <c r="B2643" s="26">
        <f>VLOOKUP(A2643,'Database Claims'!$A:$C,3,)</f>
        <v>242000</v>
      </c>
      <c r="C2643" s="30">
        <f t="shared" si="82"/>
        <v>-3000</v>
      </c>
      <c r="D2643" s="26">
        <f>VLOOKUP(A2643,'Database Claims'!$A:$C,2,)</f>
        <v>1946000</v>
      </c>
      <c r="E2643" s="30">
        <f t="shared" si="83"/>
        <v>-15000</v>
      </c>
    </row>
    <row r="2644" spans="1:5" x14ac:dyDescent="0.2">
      <c r="A2644" s="29">
        <v>42952</v>
      </c>
      <c r="B2644" s="30">
        <f>VLOOKUP(A2644,'Database Claims'!$A:$C,3,)</f>
        <v>245000</v>
      </c>
      <c r="C2644" s="30">
        <f t="shared" si="82"/>
        <v>3000</v>
      </c>
      <c r="D2644" s="30">
        <f>VLOOKUP(A2644,'Database Claims'!$A:$C,2,)</f>
        <v>1948000</v>
      </c>
      <c r="E2644" s="30">
        <f t="shared" si="83"/>
        <v>2000</v>
      </c>
    </row>
    <row r="2645" spans="1:5" x14ac:dyDescent="0.2">
      <c r="A2645" s="29">
        <v>42959</v>
      </c>
      <c r="B2645" s="26">
        <f>VLOOKUP(A2645,'Database Claims'!$A:$C,3,)</f>
        <v>236000</v>
      </c>
      <c r="C2645" s="30">
        <f t="shared" si="82"/>
        <v>-9000</v>
      </c>
      <c r="D2645" s="26">
        <f>VLOOKUP(A2645,'Database Claims'!$A:$C,2,)</f>
        <v>1952000</v>
      </c>
      <c r="E2645" s="30">
        <f t="shared" si="83"/>
        <v>4000</v>
      </c>
    </row>
    <row r="2646" spans="1:5" x14ac:dyDescent="0.2">
      <c r="A2646" s="29">
        <v>42966</v>
      </c>
      <c r="B2646" s="30">
        <f>VLOOKUP(A2646,'Database Claims'!$A:$C,3,)</f>
        <v>240000</v>
      </c>
      <c r="C2646" s="30">
        <f t="shared" si="82"/>
        <v>4000</v>
      </c>
      <c r="D2646" s="30">
        <f>VLOOKUP(A2646,'Database Claims'!$A:$C,2,)</f>
        <v>1949000</v>
      </c>
      <c r="E2646" s="30">
        <f t="shared" si="83"/>
        <v>-3000</v>
      </c>
    </row>
    <row r="2647" spans="1:5" x14ac:dyDescent="0.2">
      <c r="A2647" s="29">
        <v>42973</v>
      </c>
      <c r="B2647" s="26">
        <f>VLOOKUP(A2647,'Database Claims'!$A:$C,3,)</f>
        <v>238000</v>
      </c>
      <c r="C2647" s="30">
        <f t="shared" si="82"/>
        <v>-2000</v>
      </c>
      <c r="D2647" s="26">
        <f>VLOOKUP(A2647,'Database Claims'!$A:$C,2,)</f>
        <v>1951000</v>
      </c>
      <c r="E2647" s="30">
        <f t="shared" si="83"/>
        <v>2000</v>
      </c>
    </row>
    <row r="2648" spans="1:5" x14ac:dyDescent="0.2">
      <c r="A2648" s="29">
        <v>42980</v>
      </c>
      <c r="B2648" s="30">
        <f>VLOOKUP(A2648,'Database Claims'!$A:$C,3,)</f>
        <v>298000</v>
      </c>
      <c r="C2648" s="30">
        <f t="shared" si="82"/>
        <v>60000</v>
      </c>
      <c r="D2648" s="30">
        <f>VLOOKUP(A2648,'Database Claims'!$A:$C,2,)</f>
        <v>1951000</v>
      </c>
      <c r="E2648" s="30">
        <f t="shared" si="83"/>
        <v>0</v>
      </c>
    </row>
    <row r="2649" spans="1:5" x14ac:dyDescent="0.2">
      <c r="A2649" s="29">
        <v>42987</v>
      </c>
      <c r="B2649" s="26">
        <f>VLOOKUP(A2649,'Database Claims'!$A:$C,3,)</f>
        <v>274000</v>
      </c>
      <c r="C2649" s="30">
        <f t="shared" si="82"/>
        <v>-24000</v>
      </c>
      <c r="D2649" s="26">
        <f>VLOOKUP(A2649,'Database Claims'!$A:$C,2,)</f>
        <v>1990000</v>
      </c>
      <c r="E2649" s="30">
        <f t="shared" si="83"/>
        <v>39000</v>
      </c>
    </row>
    <row r="2650" spans="1:5" x14ac:dyDescent="0.2">
      <c r="A2650" s="29">
        <v>42994</v>
      </c>
      <c r="B2650" s="30">
        <f>VLOOKUP(A2650,'Database Claims'!$A:$C,3,)</f>
        <v>259000</v>
      </c>
      <c r="C2650" s="30">
        <f t="shared" si="82"/>
        <v>-15000</v>
      </c>
      <c r="D2650" s="30">
        <f>VLOOKUP(A2650,'Database Claims'!$A:$C,2,)</f>
        <v>1941000</v>
      </c>
      <c r="E2650" s="30">
        <f t="shared" si="83"/>
        <v>-49000</v>
      </c>
    </row>
    <row r="2651" spans="1:5" x14ac:dyDescent="0.2">
      <c r="A2651" s="29">
        <v>43001</v>
      </c>
      <c r="B2651" s="26">
        <f>VLOOKUP(A2651,'Database Claims'!$A:$C,3,)</f>
        <v>262000</v>
      </c>
      <c r="C2651" s="30">
        <f t="shared" si="82"/>
        <v>3000</v>
      </c>
      <c r="D2651" s="26">
        <f>VLOOKUP(A2651,'Database Claims'!$A:$C,2,)</f>
        <v>1932000</v>
      </c>
      <c r="E2651" s="30">
        <f t="shared" si="83"/>
        <v>-9000</v>
      </c>
    </row>
    <row r="2652" spans="1:5" x14ac:dyDescent="0.2">
      <c r="A2652" s="29">
        <v>43008</v>
      </c>
      <c r="B2652" s="30">
        <f>VLOOKUP(A2652,'Database Claims'!$A:$C,3,)</f>
        <v>254000</v>
      </c>
      <c r="C2652" s="30">
        <f t="shared" si="82"/>
        <v>-8000</v>
      </c>
      <c r="D2652" s="30">
        <f>VLOOKUP(A2652,'Database Claims'!$A:$C,2,)</f>
        <v>1928000</v>
      </c>
      <c r="E2652" s="30">
        <f t="shared" si="83"/>
        <v>-4000</v>
      </c>
    </row>
    <row r="2653" spans="1:5" x14ac:dyDescent="0.2">
      <c r="A2653" s="29">
        <v>43015</v>
      </c>
      <c r="B2653" s="26">
        <f>VLOOKUP(A2653,'Database Claims'!$A:$C,3,)</f>
        <v>245000</v>
      </c>
      <c r="C2653" s="30">
        <f t="shared" si="82"/>
        <v>-9000</v>
      </c>
      <c r="D2653" s="26">
        <f>VLOOKUP(A2653,'Database Claims'!$A:$C,2,)</f>
        <v>1922000</v>
      </c>
      <c r="E2653" s="30">
        <f t="shared" si="83"/>
        <v>-6000</v>
      </c>
    </row>
    <row r="2654" spans="1:5" x14ac:dyDescent="0.2">
      <c r="A2654" s="29">
        <v>43022</v>
      </c>
      <c r="B2654" s="30">
        <f>VLOOKUP(A2654,'Database Claims'!$A:$C,3,)</f>
        <v>230000</v>
      </c>
      <c r="C2654" s="30">
        <f t="shared" si="82"/>
        <v>-15000</v>
      </c>
      <c r="D2654" s="30">
        <f>VLOOKUP(A2654,'Database Claims'!$A:$C,2,)</f>
        <v>1923000</v>
      </c>
      <c r="E2654" s="30">
        <f t="shared" si="83"/>
        <v>1000</v>
      </c>
    </row>
    <row r="2655" spans="1:5" x14ac:dyDescent="0.2">
      <c r="A2655" s="29">
        <v>43029</v>
      </c>
      <c r="B2655" s="26">
        <f>VLOOKUP(A2655,'Database Claims'!$A:$C,3,)</f>
        <v>235000</v>
      </c>
      <c r="C2655" s="30">
        <f t="shared" si="82"/>
        <v>5000</v>
      </c>
      <c r="D2655" s="26">
        <f>VLOOKUP(A2655,'Database Claims'!$A:$C,2,)</f>
        <v>1917000</v>
      </c>
      <c r="E2655" s="30">
        <f t="shared" si="83"/>
        <v>-6000</v>
      </c>
    </row>
    <row r="2656" spans="1:5" x14ac:dyDescent="0.2">
      <c r="A2656" s="29">
        <v>43036</v>
      </c>
      <c r="B2656" s="30">
        <f>VLOOKUP(A2656,'Database Claims'!$A:$C,3,)</f>
        <v>235000</v>
      </c>
      <c r="C2656" s="30">
        <f t="shared" si="82"/>
        <v>0</v>
      </c>
      <c r="D2656" s="30">
        <f>VLOOKUP(A2656,'Database Claims'!$A:$C,2,)</f>
        <v>1927000</v>
      </c>
      <c r="E2656" s="30">
        <f t="shared" si="83"/>
        <v>10000</v>
      </c>
    </row>
    <row r="2657" spans="1:5" x14ac:dyDescent="0.2">
      <c r="A2657" s="29">
        <v>43043</v>
      </c>
      <c r="B2657" s="26">
        <f>VLOOKUP(A2657,'Database Claims'!$A:$C,3,)</f>
        <v>239000</v>
      </c>
      <c r="C2657" s="30">
        <f t="shared" si="82"/>
        <v>4000</v>
      </c>
      <c r="D2657" s="26">
        <f>VLOOKUP(A2657,'Database Claims'!$A:$C,2,)</f>
        <v>1926000</v>
      </c>
      <c r="E2657" s="30">
        <f t="shared" si="83"/>
        <v>-1000</v>
      </c>
    </row>
    <row r="2658" spans="1:5" x14ac:dyDescent="0.2">
      <c r="A2658" s="29">
        <v>43050</v>
      </c>
      <c r="B2658" s="30">
        <f>VLOOKUP(A2658,'Database Claims'!$A:$C,3,)</f>
        <v>247000</v>
      </c>
      <c r="C2658" s="30">
        <f t="shared" si="82"/>
        <v>8000</v>
      </c>
      <c r="D2658" s="30">
        <f>VLOOKUP(A2658,'Database Claims'!$A:$C,2,)</f>
        <v>1914000</v>
      </c>
      <c r="E2658" s="30">
        <f t="shared" si="83"/>
        <v>-12000</v>
      </c>
    </row>
    <row r="2659" spans="1:5" x14ac:dyDescent="0.2">
      <c r="A2659" s="29">
        <v>43057</v>
      </c>
      <c r="B2659" s="26">
        <f>VLOOKUP(A2659,'Database Claims'!$A:$C,3,)</f>
        <v>235000</v>
      </c>
      <c r="C2659" s="30">
        <f t="shared" si="82"/>
        <v>-12000</v>
      </c>
      <c r="D2659" s="26">
        <f>VLOOKUP(A2659,'Database Claims'!$A:$C,2,)</f>
        <v>1922000</v>
      </c>
      <c r="E2659" s="30">
        <f t="shared" si="83"/>
        <v>8000</v>
      </c>
    </row>
    <row r="2660" spans="1:5" x14ac:dyDescent="0.2">
      <c r="A2660" s="29">
        <v>43064</v>
      </c>
      <c r="B2660" s="30">
        <f>VLOOKUP(A2660,'Database Claims'!$A:$C,3,)</f>
        <v>233000</v>
      </c>
      <c r="C2660" s="30">
        <f t="shared" si="82"/>
        <v>-2000</v>
      </c>
      <c r="D2660" s="30">
        <f>VLOOKUP(A2660,'Database Claims'!$A:$C,2,)</f>
        <v>1940000</v>
      </c>
      <c r="E2660" s="30">
        <f t="shared" si="83"/>
        <v>18000</v>
      </c>
    </row>
    <row r="2661" spans="1:5" x14ac:dyDescent="0.2">
      <c r="A2661" s="29">
        <v>43071</v>
      </c>
      <c r="B2661" s="26">
        <f>VLOOKUP(A2661,'Database Claims'!$A:$C,3,)</f>
        <v>230000</v>
      </c>
      <c r="C2661" s="30">
        <f t="shared" si="82"/>
        <v>-3000</v>
      </c>
      <c r="D2661" s="26">
        <f>VLOOKUP(A2661,'Database Claims'!$A:$C,2,)</f>
        <v>1892000</v>
      </c>
      <c r="E2661" s="30">
        <f t="shared" si="83"/>
        <v>-48000</v>
      </c>
    </row>
    <row r="2662" spans="1:5" x14ac:dyDescent="0.2">
      <c r="A2662" s="29">
        <v>43078</v>
      </c>
      <c r="B2662" s="30">
        <f>VLOOKUP(A2662,'Database Claims'!$A:$C,3,)</f>
        <v>226000</v>
      </c>
      <c r="C2662" s="30">
        <f t="shared" si="82"/>
        <v>-4000</v>
      </c>
      <c r="D2662" s="30">
        <f>VLOOKUP(A2662,'Database Claims'!$A:$C,2,)</f>
        <v>1926000</v>
      </c>
      <c r="E2662" s="30">
        <f t="shared" si="83"/>
        <v>34000</v>
      </c>
    </row>
    <row r="2663" spans="1:5" x14ac:dyDescent="0.2">
      <c r="A2663" s="29">
        <v>43085</v>
      </c>
      <c r="B2663" s="26">
        <f>VLOOKUP(A2663,'Database Claims'!$A:$C,3,)</f>
        <v>239000</v>
      </c>
      <c r="C2663" s="30">
        <f t="shared" si="82"/>
        <v>13000</v>
      </c>
      <c r="D2663" s="26">
        <f>VLOOKUP(A2663,'Database Claims'!$A:$C,2,)</f>
        <v>1928000</v>
      </c>
      <c r="E2663" s="30">
        <f t="shared" si="83"/>
        <v>2000</v>
      </c>
    </row>
    <row r="2664" spans="1:5" x14ac:dyDescent="0.2">
      <c r="A2664" s="29">
        <v>43092</v>
      </c>
      <c r="B2664" s="30">
        <f>VLOOKUP(A2664,'Database Claims'!$A:$C,3,)</f>
        <v>243000</v>
      </c>
      <c r="C2664" s="30">
        <f t="shared" si="82"/>
        <v>4000</v>
      </c>
      <c r="D2664" s="30">
        <f>VLOOKUP(A2664,'Database Claims'!$A:$C,2,)</f>
        <v>1908000</v>
      </c>
      <c r="E2664" s="30">
        <f t="shared" si="83"/>
        <v>-20000</v>
      </c>
    </row>
    <row r="2665" spans="1:5" x14ac:dyDescent="0.2">
      <c r="A2665" s="29">
        <v>43099</v>
      </c>
      <c r="B2665" s="26">
        <f>VLOOKUP(A2665,'Database Claims'!$A:$C,3,)</f>
        <v>241000</v>
      </c>
      <c r="C2665" s="30">
        <f t="shared" si="82"/>
        <v>-2000</v>
      </c>
      <c r="D2665" s="26">
        <f>VLOOKUP(A2665,'Database Claims'!$A:$C,2,)</f>
        <v>1862000</v>
      </c>
      <c r="E2665" s="30">
        <f t="shared" si="83"/>
        <v>-46000</v>
      </c>
    </row>
    <row r="2666" spans="1:5" x14ac:dyDescent="0.2">
      <c r="A2666" s="29">
        <v>43106</v>
      </c>
      <c r="B2666" s="30">
        <f>VLOOKUP(A2666,'Database Claims'!$A:$C,3,)</f>
        <v>249000</v>
      </c>
      <c r="C2666" s="30">
        <f t="shared" si="82"/>
        <v>8000</v>
      </c>
      <c r="D2666" s="30">
        <f>VLOOKUP(A2666,'Database Claims'!$A:$C,2,)</f>
        <v>1919000</v>
      </c>
      <c r="E2666" s="30">
        <f t="shared" si="83"/>
        <v>57000</v>
      </c>
    </row>
    <row r="2667" spans="1:5" x14ac:dyDescent="0.2">
      <c r="A2667" s="29">
        <v>43113</v>
      </c>
      <c r="B2667" s="26">
        <f>VLOOKUP(A2667,'Database Claims'!$A:$C,3,)</f>
        <v>228000</v>
      </c>
      <c r="C2667" s="30">
        <f t="shared" si="82"/>
        <v>-21000</v>
      </c>
      <c r="D2667" s="26">
        <f>VLOOKUP(A2667,'Database Claims'!$A:$C,2,)</f>
        <v>1908000</v>
      </c>
      <c r="E2667" s="30">
        <f t="shared" si="83"/>
        <v>-11000</v>
      </c>
    </row>
    <row r="2668" spans="1:5" x14ac:dyDescent="0.2">
      <c r="A2668" s="29">
        <v>43120</v>
      </c>
      <c r="B2668" s="30">
        <f>VLOOKUP(A2668,'Database Claims'!$A:$C,3,)</f>
        <v>233000</v>
      </c>
      <c r="C2668" s="30">
        <f t="shared" si="82"/>
        <v>5000</v>
      </c>
      <c r="D2668" s="30">
        <f>VLOOKUP(A2668,'Database Claims'!$A:$C,2,)</f>
        <v>1921000</v>
      </c>
      <c r="E2668" s="30">
        <f t="shared" si="83"/>
        <v>13000</v>
      </c>
    </row>
    <row r="2669" spans="1:5" x14ac:dyDescent="0.2">
      <c r="A2669" s="29">
        <v>43127</v>
      </c>
      <c r="B2669" s="26">
        <f>VLOOKUP(A2669,'Database Claims'!$A:$C,3,)</f>
        <v>227000</v>
      </c>
      <c r="C2669" s="30">
        <f t="shared" si="82"/>
        <v>-6000</v>
      </c>
      <c r="D2669" s="26">
        <f>VLOOKUP(A2669,'Database Claims'!$A:$C,2,)</f>
        <v>1899000</v>
      </c>
      <c r="E2669" s="30">
        <f t="shared" si="83"/>
        <v>-22000</v>
      </c>
    </row>
    <row r="2670" spans="1:5" x14ac:dyDescent="0.2">
      <c r="A2670" s="29">
        <v>43134</v>
      </c>
      <c r="B2670" s="30">
        <f>VLOOKUP(A2670,'Database Claims'!$A:$C,3,)</f>
        <v>224000</v>
      </c>
      <c r="C2670" s="30">
        <f t="shared" si="82"/>
        <v>-3000</v>
      </c>
      <c r="D2670" s="30">
        <f>VLOOKUP(A2670,'Database Claims'!$A:$C,2,)</f>
        <v>1900000</v>
      </c>
      <c r="E2670" s="30">
        <f t="shared" si="83"/>
        <v>1000</v>
      </c>
    </row>
    <row r="2671" spans="1:5" x14ac:dyDescent="0.2">
      <c r="A2671" s="29">
        <v>43141</v>
      </c>
      <c r="B2671" s="26">
        <f>VLOOKUP(A2671,'Database Claims'!$A:$C,3,)</f>
        <v>227000</v>
      </c>
      <c r="C2671" s="30">
        <f t="shared" si="82"/>
        <v>3000</v>
      </c>
      <c r="D2671" s="26">
        <f>VLOOKUP(A2671,'Database Claims'!$A:$C,2,)</f>
        <v>1865000</v>
      </c>
      <c r="E2671" s="30">
        <f t="shared" si="83"/>
        <v>-35000</v>
      </c>
    </row>
    <row r="2672" spans="1:5" x14ac:dyDescent="0.2">
      <c r="A2672" s="29">
        <v>43148</v>
      </c>
      <c r="B2672" s="30">
        <f>VLOOKUP(A2672,'Database Claims'!$A:$C,3,)</f>
        <v>220000</v>
      </c>
      <c r="C2672" s="30">
        <f t="shared" si="82"/>
        <v>-7000</v>
      </c>
      <c r="D2672" s="30">
        <f>VLOOKUP(A2672,'Database Claims'!$A:$C,2,)</f>
        <v>1879000</v>
      </c>
      <c r="E2672" s="30">
        <f t="shared" si="83"/>
        <v>14000</v>
      </c>
    </row>
    <row r="2673" spans="1:5" x14ac:dyDescent="0.2">
      <c r="A2673" s="29">
        <v>43155</v>
      </c>
      <c r="B2673" s="26">
        <f>VLOOKUP(A2673,'Database Claims'!$A:$C,3,)</f>
        <v>215000</v>
      </c>
      <c r="C2673" s="30">
        <f t="shared" si="82"/>
        <v>-5000</v>
      </c>
      <c r="D2673" s="26">
        <f>VLOOKUP(A2673,'Database Claims'!$A:$C,2,)</f>
        <v>1854000</v>
      </c>
      <c r="E2673" s="30">
        <f t="shared" si="83"/>
        <v>-25000</v>
      </c>
    </row>
    <row r="2674" spans="1:5" x14ac:dyDescent="0.2">
      <c r="A2674" s="29">
        <v>43162</v>
      </c>
      <c r="B2674" s="30">
        <f>VLOOKUP(A2674,'Database Claims'!$A:$C,3,)</f>
        <v>226000</v>
      </c>
      <c r="C2674" s="30">
        <f t="shared" si="82"/>
        <v>11000</v>
      </c>
      <c r="D2674" s="30">
        <f>VLOOKUP(A2674,'Database Claims'!$A:$C,2,)</f>
        <v>1853000</v>
      </c>
      <c r="E2674" s="30">
        <f t="shared" si="83"/>
        <v>-1000</v>
      </c>
    </row>
    <row r="2675" spans="1:5" x14ac:dyDescent="0.2">
      <c r="A2675" s="29">
        <v>43169</v>
      </c>
      <c r="B2675" s="26">
        <f>VLOOKUP(A2675,'Database Claims'!$A:$C,3,)</f>
        <v>223000</v>
      </c>
      <c r="C2675" s="30">
        <f t="shared" si="82"/>
        <v>-3000</v>
      </c>
      <c r="D2675" s="26">
        <f>VLOOKUP(A2675,'Database Claims'!$A:$C,2,)</f>
        <v>1833000</v>
      </c>
      <c r="E2675" s="30">
        <f t="shared" si="83"/>
        <v>-20000</v>
      </c>
    </row>
    <row r="2676" spans="1:5" x14ac:dyDescent="0.2">
      <c r="A2676" s="29">
        <v>43176</v>
      </c>
      <c r="B2676" s="30">
        <f>VLOOKUP(A2676,'Database Claims'!$A:$C,3,)</f>
        <v>224000</v>
      </c>
      <c r="C2676" s="30">
        <f t="shared" si="82"/>
        <v>1000</v>
      </c>
      <c r="D2676" s="30">
        <f>VLOOKUP(A2676,'Database Claims'!$A:$C,2,)</f>
        <v>1821000</v>
      </c>
      <c r="E2676" s="30">
        <f t="shared" si="83"/>
        <v>-12000</v>
      </c>
    </row>
    <row r="2677" spans="1:5" x14ac:dyDescent="0.2">
      <c r="A2677" s="29">
        <v>43183</v>
      </c>
      <c r="B2677" s="26">
        <f>VLOOKUP(A2677,'Database Claims'!$A:$C,3,)</f>
        <v>220000</v>
      </c>
      <c r="C2677" s="30">
        <f t="shared" si="82"/>
        <v>-4000</v>
      </c>
      <c r="D2677" s="26">
        <f>VLOOKUP(A2677,'Database Claims'!$A:$C,2,)</f>
        <v>1805000</v>
      </c>
      <c r="E2677" s="30">
        <f t="shared" si="83"/>
        <v>-16000</v>
      </c>
    </row>
    <row r="2678" spans="1:5" x14ac:dyDescent="0.2">
      <c r="A2678" s="29">
        <v>43190</v>
      </c>
      <c r="B2678" s="30">
        <f>VLOOKUP(A2678,'Database Claims'!$A:$C,3,)</f>
        <v>235000</v>
      </c>
      <c r="C2678" s="30">
        <f t="shared" si="82"/>
        <v>15000</v>
      </c>
      <c r="D2678" s="30">
        <f>VLOOKUP(A2678,'Database Claims'!$A:$C,2,)</f>
        <v>1835000</v>
      </c>
      <c r="E2678" s="30">
        <f t="shared" si="83"/>
        <v>30000</v>
      </c>
    </row>
    <row r="2679" spans="1:5" x14ac:dyDescent="0.2">
      <c r="A2679" s="29">
        <v>43197</v>
      </c>
      <c r="B2679" s="26">
        <f>VLOOKUP(A2679,'Database Claims'!$A:$C,3,)</f>
        <v>235000</v>
      </c>
      <c r="C2679" s="30">
        <f t="shared" si="82"/>
        <v>0</v>
      </c>
      <c r="D2679" s="26">
        <f>VLOOKUP(A2679,'Database Claims'!$A:$C,2,)</f>
        <v>1856000</v>
      </c>
      <c r="E2679" s="30">
        <f t="shared" si="83"/>
        <v>21000</v>
      </c>
    </row>
    <row r="2680" spans="1:5" x14ac:dyDescent="0.2">
      <c r="A2680" s="29">
        <v>43204</v>
      </c>
      <c r="B2680" s="30">
        <f>VLOOKUP(A2680,'Database Claims'!$A:$C,3,)</f>
        <v>235000</v>
      </c>
      <c r="C2680" s="30">
        <f t="shared" si="82"/>
        <v>0</v>
      </c>
      <c r="D2680" s="30">
        <f>VLOOKUP(A2680,'Database Claims'!$A:$C,2,)</f>
        <v>1815000</v>
      </c>
      <c r="E2680" s="30">
        <f t="shared" si="83"/>
        <v>-41000</v>
      </c>
    </row>
    <row r="2681" spans="1:5" x14ac:dyDescent="0.2">
      <c r="A2681" s="29">
        <v>43211</v>
      </c>
      <c r="B2681" s="26">
        <f>VLOOKUP(A2681,'Database Claims'!$A:$C,3,)</f>
        <v>208000</v>
      </c>
      <c r="C2681" s="30">
        <f t="shared" si="82"/>
        <v>-27000</v>
      </c>
      <c r="D2681" s="26">
        <f>VLOOKUP(A2681,'Database Claims'!$A:$C,2,)</f>
        <v>1769000</v>
      </c>
      <c r="E2681" s="30">
        <f t="shared" si="83"/>
        <v>-46000</v>
      </c>
    </row>
    <row r="2682" spans="1:5" x14ac:dyDescent="0.2">
      <c r="A2682" s="29">
        <v>43218</v>
      </c>
      <c r="B2682" s="30">
        <f>VLOOKUP(A2682,'Database Claims'!$A:$C,3,)</f>
        <v>212000</v>
      </c>
      <c r="C2682" s="30">
        <f t="shared" si="82"/>
        <v>4000</v>
      </c>
      <c r="D2682" s="30">
        <f>VLOOKUP(A2682,'Database Claims'!$A:$C,2,)</f>
        <v>1780000</v>
      </c>
      <c r="E2682" s="30">
        <f t="shared" si="83"/>
        <v>11000</v>
      </c>
    </row>
    <row r="2683" spans="1:5" x14ac:dyDescent="0.2">
      <c r="A2683" s="29">
        <v>43225</v>
      </c>
      <c r="B2683" s="26">
        <f>VLOOKUP(A2683,'Database Claims'!$A:$C,3,)</f>
        <v>210000</v>
      </c>
      <c r="C2683" s="30">
        <f t="shared" si="82"/>
        <v>-2000</v>
      </c>
      <c r="D2683" s="26">
        <f>VLOOKUP(A2683,'Database Claims'!$A:$C,2,)</f>
        <v>1734000</v>
      </c>
      <c r="E2683" s="30">
        <f t="shared" si="83"/>
        <v>-46000</v>
      </c>
    </row>
    <row r="2684" spans="1:5" x14ac:dyDescent="0.2">
      <c r="A2684" s="29">
        <v>43232</v>
      </c>
      <c r="B2684" s="30">
        <f>VLOOKUP(A2684,'Database Claims'!$A:$C,3,)</f>
        <v>224000</v>
      </c>
      <c r="C2684" s="30">
        <f t="shared" si="82"/>
        <v>14000</v>
      </c>
      <c r="D2684" s="30">
        <f>VLOOKUP(A2684,'Database Claims'!$A:$C,2,)</f>
        <v>1742000</v>
      </c>
      <c r="E2684" s="30">
        <f t="shared" si="83"/>
        <v>8000</v>
      </c>
    </row>
    <row r="2685" spans="1:5" x14ac:dyDescent="0.2">
      <c r="A2685" s="29">
        <v>43239</v>
      </c>
      <c r="B2685" s="26">
        <f>VLOOKUP(A2685,'Database Claims'!$A:$C,3,)</f>
        <v>230000</v>
      </c>
      <c r="C2685" s="30">
        <f t="shared" si="82"/>
        <v>6000</v>
      </c>
      <c r="D2685" s="26">
        <f>VLOOKUP(A2685,'Database Claims'!$A:$C,2,)</f>
        <v>1739000</v>
      </c>
      <c r="E2685" s="30">
        <f t="shared" si="83"/>
        <v>-3000</v>
      </c>
    </row>
    <row r="2686" spans="1:5" x14ac:dyDescent="0.2">
      <c r="A2686" s="29">
        <v>43246</v>
      </c>
      <c r="B2686" s="30">
        <f>VLOOKUP(A2686,'Database Claims'!$A:$C,3,)</f>
        <v>221000</v>
      </c>
      <c r="C2686" s="30">
        <f t="shared" si="82"/>
        <v>-9000</v>
      </c>
      <c r="D2686" s="30">
        <f>VLOOKUP(A2686,'Database Claims'!$A:$C,2,)</f>
        <v>1742000</v>
      </c>
      <c r="E2686" s="30">
        <f t="shared" si="83"/>
        <v>3000</v>
      </c>
    </row>
    <row r="2687" spans="1:5" x14ac:dyDescent="0.2">
      <c r="A2687" s="29">
        <v>43253</v>
      </c>
      <c r="B2687" s="26">
        <f>VLOOKUP(A2687,'Database Claims'!$A:$C,3,)</f>
        <v>221000</v>
      </c>
      <c r="C2687" s="30">
        <f t="shared" si="82"/>
        <v>0</v>
      </c>
      <c r="D2687" s="26">
        <f>VLOOKUP(A2687,'Database Claims'!$A:$C,2,)</f>
        <v>1714000</v>
      </c>
      <c r="E2687" s="30">
        <f t="shared" si="83"/>
        <v>-28000</v>
      </c>
    </row>
    <row r="2688" spans="1:5" x14ac:dyDescent="0.2">
      <c r="A2688" s="29">
        <v>43260</v>
      </c>
      <c r="B2688" s="30">
        <f>VLOOKUP(A2688,'Database Claims'!$A:$C,3,)</f>
        <v>218000</v>
      </c>
      <c r="C2688" s="30">
        <f t="shared" si="82"/>
        <v>-3000</v>
      </c>
      <c r="D2688" s="30">
        <f>VLOOKUP(A2688,'Database Claims'!$A:$C,2,)</f>
        <v>1736000</v>
      </c>
      <c r="E2688" s="30">
        <f t="shared" si="83"/>
        <v>22000</v>
      </c>
    </row>
    <row r="2689" spans="1:5" x14ac:dyDescent="0.2">
      <c r="A2689" s="29">
        <v>43267</v>
      </c>
      <c r="B2689" s="26">
        <f>VLOOKUP(A2689,'Database Claims'!$A:$C,3,)</f>
        <v>220000</v>
      </c>
      <c r="C2689" s="30">
        <f t="shared" si="82"/>
        <v>2000</v>
      </c>
      <c r="D2689" s="26">
        <f>VLOOKUP(A2689,'Database Claims'!$A:$C,2,)</f>
        <v>1716000</v>
      </c>
      <c r="E2689" s="30">
        <f t="shared" si="83"/>
        <v>-20000</v>
      </c>
    </row>
    <row r="2690" spans="1:5" x14ac:dyDescent="0.2">
      <c r="A2690" s="29">
        <v>43274</v>
      </c>
      <c r="B2690" s="30">
        <f>VLOOKUP(A2690,'Database Claims'!$A:$C,3,)</f>
        <v>220000</v>
      </c>
      <c r="C2690" s="30">
        <f t="shared" si="82"/>
        <v>0</v>
      </c>
      <c r="D2690" s="30">
        <f>VLOOKUP(A2690,'Database Claims'!$A:$C,2,)</f>
        <v>1740000</v>
      </c>
      <c r="E2690" s="30">
        <f t="shared" si="83"/>
        <v>24000</v>
      </c>
    </row>
    <row r="2691" spans="1:5" x14ac:dyDescent="0.2">
      <c r="A2691" s="29">
        <v>43281</v>
      </c>
      <c r="B2691" s="26">
        <f>VLOOKUP(A2691,'Database Claims'!$A:$C,3,)</f>
        <v>229000</v>
      </c>
      <c r="C2691" s="30">
        <f t="shared" si="82"/>
        <v>9000</v>
      </c>
      <c r="D2691" s="26">
        <f>VLOOKUP(A2691,'Database Claims'!$A:$C,2,)</f>
        <v>1734000</v>
      </c>
      <c r="E2691" s="30">
        <f t="shared" si="83"/>
        <v>-6000</v>
      </c>
    </row>
    <row r="2692" spans="1:5" x14ac:dyDescent="0.2">
      <c r="A2692" s="29">
        <v>43288</v>
      </c>
      <c r="B2692" s="30">
        <f>VLOOKUP(A2692,'Database Claims'!$A:$C,3,)</f>
        <v>229000</v>
      </c>
      <c r="C2692" s="30">
        <f t="shared" si="82"/>
        <v>0</v>
      </c>
      <c r="D2692" s="30">
        <f>VLOOKUP(A2692,'Database Claims'!$A:$C,2,)</f>
        <v>1750000</v>
      </c>
      <c r="E2692" s="30">
        <f t="shared" si="83"/>
        <v>16000</v>
      </c>
    </row>
    <row r="2693" spans="1:5" x14ac:dyDescent="0.2">
      <c r="A2693" s="29">
        <v>43295</v>
      </c>
      <c r="B2693" s="26">
        <f>VLOOKUP(A2693,'Database Claims'!$A:$C,3,)</f>
        <v>212000</v>
      </c>
      <c r="C2693" s="30">
        <f t="shared" si="82"/>
        <v>-17000</v>
      </c>
      <c r="D2693" s="26">
        <f>VLOOKUP(A2693,'Database Claims'!$A:$C,2,)</f>
        <v>1747000</v>
      </c>
      <c r="E2693" s="30">
        <f t="shared" si="83"/>
        <v>-3000</v>
      </c>
    </row>
    <row r="2694" spans="1:5" x14ac:dyDescent="0.2">
      <c r="A2694" s="29">
        <v>43302</v>
      </c>
      <c r="B2694" s="30">
        <f>VLOOKUP(A2694,'Database Claims'!$A:$C,3,)</f>
        <v>220000</v>
      </c>
      <c r="C2694" s="30">
        <f t="shared" ref="C2694:C2757" si="84">B2694-B2693</f>
        <v>8000</v>
      </c>
      <c r="D2694" s="30">
        <f>VLOOKUP(A2694,'Database Claims'!$A:$C,2,)</f>
        <v>1726000</v>
      </c>
      <c r="E2694" s="30">
        <f t="shared" ref="E2694:E2757" si="85">D2694-D2693</f>
        <v>-21000</v>
      </c>
    </row>
    <row r="2695" spans="1:5" x14ac:dyDescent="0.2">
      <c r="A2695" s="29">
        <v>43309</v>
      </c>
      <c r="B2695" s="26">
        <f>VLOOKUP(A2695,'Database Claims'!$A:$C,3,)</f>
        <v>218000</v>
      </c>
      <c r="C2695" s="30">
        <f t="shared" si="84"/>
        <v>-2000</v>
      </c>
      <c r="D2695" s="26">
        <f>VLOOKUP(A2695,'Database Claims'!$A:$C,2,)</f>
        <v>1753000</v>
      </c>
      <c r="E2695" s="30">
        <f t="shared" si="85"/>
        <v>27000</v>
      </c>
    </row>
    <row r="2696" spans="1:5" x14ac:dyDescent="0.2">
      <c r="A2696" s="29">
        <v>43316</v>
      </c>
      <c r="B2696" s="30">
        <f>VLOOKUP(A2696,'Database Claims'!$A:$C,3,)</f>
        <v>217000</v>
      </c>
      <c r="C2696" s="30">
        <f t="shared" si="84"/>
        <v>-1000</v>
      </c>
      <c r="D2696" s="30">
        <f>VLOOKUP(A2696,'Database Claims'!$A:$C,2,)</f>
        <v>1722000</v>
      </c>
      <c r="E2696" s="30">
        <f t="shared" si="85"/>
        <v>-31000</v>
      </c>
    </row>
    <row r="2697" spans="1:5" x14ac:dyDescent="0.2">
      <c r="A2697" s="29">
        <v>43323</v>
      </c>
      <c r="B2697" s="26">
        <f>VLOOKUP(A2697,'Database Claims'!$A:$C,3,)</f>
        <v>212000</v>
      </c>
      <c r="C2697" s="30">
        <f t="shared" si="84"/>
        <v>-5000</v>
      </c>
      <c r="D2697" s="26">
        <f>VLOOKUP(A2697,'Database Claims'!$A:$C,2,)</f>
        <v>1729000</v>
      </c>
      <c r="E2697" s="30">
        <f t="shared" si="85"/>
        <v>7000</v>
      </c>
    </row>
    <row r="2698" spans="1:5" x14ac:dyDescent="0.2">
      <c r="A2698" s="29">
        <v>43330</v>
      </c>
      <c r="B2698" s="30">
        <f>VLOOKUP(A2698,'Database Claims'!$A:$C,3,)</f>
        <v>215000</v>
      </c>
      <c r="C2698" s="30">
        <f t="shared" si="84"/>
        <v>3000</v>
      </c>
      <c r="D2698" s="30">
        <f>VLOOKUP(A2698,'Database Claims'!$A:$C,2,)</f>
        <v>1713000</v>
      </c>
      <c r="E2698" s="30">
        <f t="shared" si="85"/>
        <v>-16000</v>
      </c>
    </row>
    <row r="2699" spans="1:5" x14ac:dyDescent="0.2">
      <c r="A2699" s="29">
        <v>43337</v>
      </c>
      <c r="B2699" s="26">
        <f>VLOOKUP(A2699,'Database Claims'!$A:$C,3,)</f>
        <v>214000</v>
      </c>
      <c r="C2699" s="30">
        <f t="shared" si="84"/>
        <v>-1000</v>
      </c>
      <c r="D2699" s="26">
        <f>VLOOKUP(A2699,'Database Claims'!$A:$C,2,)</f>
        <v>1717000</v>
      </c>
      <c r="E2699" s="30">
        <f t="shared" si="85"/>
        <v>4000</v>
      </c>
    </row>
    <row r="2700" spans="1:5" x14ac:dyDescent="0.2">
      <c r="A2700" s="29">
        <v>43344</v>
      </c>
      <c r="B2700" s="30">
        <f>VLOOKUP(A2700,'Database Claims'!$A:$C,3,)</f>
        <v>209000</v>
      </c>
      <c r="C2700" s="30">
        <f t="shared" si="84"/>
        <v>-5000</v>
      </c>
      <c r="D2700" s="30">
        <f>VLOOKUP(A2700,'Database Claims'!$A:$C,2,)</f>
        <v>1710000</v>
      </c>
      <c r="E2700" s="30">
        <f t="shared" si="85"/>
        <v>-7000</v>
      </c>
    </row>
    <row r="2701" spans="1:5" x14ac:dyDescent="0.2">
      <c r="A2701" s="29">
        <v>43351</v>
      </c>
      <c r="B2701" s="26">
        <f>VLOOKUP(A2701,'Database Claims'!$A:$C,3,)</f>
        <v>210000</v>
      </c>
      <c r="C2701" s="30">
        <f t="shared" si="84"/>
        <v>1000</v>
      </c>
      <c r="D2701" s="26">
        <f>VLOOKUP(A2701,'Database Claims'!$A:$C,2,)</f>
        <v>1670000</v>
      </c>
      <c r="E2701" s="30">
        <f t="shared" si="85"/>
        <v>-40000</v>
      </c>
    </row>
    <row r="2702" spans="1:5" x14ac:dyDescent="0.2">
      <c r="A2702" s="29">
        <v>43358</v>
      </c>
      <c r="B2702" s="30">
        <f>VLOOKUP(A2702,'Database Claims'!$A:$C,3,)</f>
        <v>212000</v>
      </c>
      <c r="C2702" s="30">
        <f t="shared" si="84"/>
        <v>2000</v>
      </c>
      <c r="D2702" s="30">
        <f>VLOOKUP(A2702,'Database Claims'!$A:$C,2,)</f>
        <v>1690000</v>
      </c>
      <c r="E2702" s="30">
        <f t="shared" si="85"/>
        <v>20000</v>
      </c>
    </row>
    <row r="2703" spans="1:5" x14ac:dyDescent="0.2">
      <c r="A2703" s="29">
        <v>43365</v>
      </c>
      <c r="B2703" s="26">
        <f>VLOOKUP(A2703,'Database Claims'!$A:$C,3,)</f>
        <v>212000</v>
      </c>
      <c r="C2703" s="30">
        <f t="shared" si="84"/>
        <v>0</v>
      </c>
      <c r="D2703" s="26">
        <f>VLOOKUP(A2703,'Database Claims'!$A:$C,2,)</f>
        <v>1675000</v>
      </c>
      <c r="E2703" s="30">
        <f t="shared" si="85"/>
        <v>-15000</v>
      </c>
    </row>
    <row r="2704" spans="1:5" x14ac:dyDescent="0.2">
      <c r="A2704" s="29">
        <v>43372</v>
      </c>
      <c r="B2704" s="30">
        <f>VLOOKUP(A2704,'Database Claims'!$A:$C,3,)</f>
        <v>216000</v>
      </c>
      <c r="C2704" s="30">
        <f t="shared" si="84"/>
        <v>4000</v>
      </c>
      <c r="D2704" s="30">
        <f>VLOOKUP(A2704,'Database Claims'!$A:$C,2,)</f>
        <v>1670000</v>
      </c>
      <c r="E2704" s="30">
        <f t="shared" si="85"/>
        <v>-5000</v>
      </c>
    </row>
    <row r="2705" spans="1:5" x14ac:dyDescent="0.2">
      <c r="A2705" s="29">
        <v>43379</v>
      </c>
      <c r="B2705" s="26">
        <f>VLOOKUP(A2705,'Database Claims'!$A:$C,3,)</f>
        <v>212000</v>
      </c>
      <c r="C2705" s="30">
        <f t="shared" si="84"/>
        <v>-4000</v>
      </c>
      <c r="D2705" s="26">
        <f>VLOOKUP(A2705,'Database Claims'!$A:$C,2,)</f>
        <v>1664000</v>
      </c>
      <c r="E2705" s="30">
        <f t="shared" si="85"/>
        <v>-6000</v>
      </c>
    </row>
    <row r="2706" spans="1:5" x14ac:dyDescent="0.2">
      <c r="A2706" s="29">
        <v>43386</v>
      </c>
      <c r="B2706" s="30">
        <f>VLOOKUP(A2706,'Database Claims'!$A:$C,3,)</f>
        <v>212000</v>
      </c>
      <c r="C2706" s="30">
        <f t="shared" si="84"/>
        <v>0</v>
      </c>
      <c r="D2706" s="30">
        <f>VLOOKUP(A2706,'Database Claims'!$A:$C,2,)</f>
        <v>1656000</v>
      </c>
      <c r="E2706" s="30">
        <f t="shared" si="85"/>
        <v>-8000</v>
      </c>
    </row>
    <row r="2707" spans="1:5" x14ac:dyDescent="0.2">
      <c r="A2707" s="29">
        <v>43393</v>
      </c>
      <c r="B2707" s="26">
        <f>VLOOKUP(A2707,'Database Claims'!$A:$C,3,)</f>
        <v>219000</v>
      </c>
      <c r="C2707" s="30">
        <f t="shared" si="84"/>
        <v>7000</v>
      </c>
      <c r="D2707" s="26">
        <f>VLOOKUP(A2707,'Database Claims'!$A:$C,2,)</f>
        <v>1657000</v>
      </c>
      <c r="E2707" s="30">
        <f t="shared" si="85"/>
        <v>1000</v>
      </c>
    </row>
    <row r="2708" spans="1:5" x14ac:dyDescent="0.2">
      <c r="A2708" s="29">
        <v>43400</v>
      </c>
      <c r="B2708" s="30">
        <f>VLOOKUP(A2708,'Database Claims'!$A:$C,3,)</f>
        <v>216000</v>
      </c>
      <c r="C2708" s="30">
        <f t="shared" si="84"/>
        <v>-3000</v>
      </c>
      <c r="D2708" s="30">
        <f>VLOOKUP(A2708,'Database Claims'!$A:$C,2,)</f>
        <v>1651000</v>
      </c>
      <c r="E2708" s="30">
        <f t="shared" si="85"/>
        <v>-6000</v>
      </c>
    </row>
    <row r="2709" spans="1:5" x14ac:dyDescent="0.2">
      <c r="A2709" s="29">
        <v>43407</v>
      </c>
      <c r="B2709" s="26">
        <f>VLOOKUP(A2709,'Database Claims'!$A:$C,3,)</f>
        <v>216000</v>
      </c>
      <c r="C2709" s="30">
        <f t="shared" si="84"/>
        <v>0</v>
      </c>
      <c r="D2709" s="26">
        <f>VLOOKUP(A2709,'Database Claims'!$A:$C,2,)</f>
        <v>1663000</v>
      </c>
      <c r="E2709" s="30">
        <f t="shared" si="85"/>
        <v>12000</v>
      </c>
    </row>
    <row r="2710" spans="1:5" x14ac:dyDescent="0.2">
      <c r="A2710" s="29">
        <v>43414</v>
      </c>
      <c r="B2710" s="30">
        <f>VLOOKUP(A2710,'Database Claims'!$A:$C,3,)</f>
        <v>217000</v>
      </c>
      <c r="C2710" s="30">
        <f t="shared" si="84"/>
        <v>1000</v>
      </c>
      <c r="D2710" s="30">
        <f>VLOOKUP(A2710,'Database Claims'!$A:$C,2,)</f>
        <v>1671000</v>
      </c>
      <c r="E2710" s="30">
        <f t="shared" si="85"/>
        <v>8000</v>
      </c>
    </row>
    <row r="2711" spans="1:5" x14ac:dyDescent="0.2">
      <c r="A2711" s="29">
        <v>43421</v>
      </c>
      <c r="B2711" s="26">
        <f>VLOOKUP(A2711,'Database Claims'!$A:$C,3,)</f>
        <v>220000</v>
      </c>
      <c r="C2711" s="30">
        <f t="shared" si="84"/>
        <v>3000</v>
      </c>
      <c r="D2711" s="26">
        <f>VLOOKUP(A2711,'Database Claims'!$A:$C,2,)</f>
        <v>1726000</v>
      </c>
      <c r="E2711" s="30">
        <f t="shared" si="85"/>
        <v>55000</v>
      </c>
    </row>
    <row r="2712" spans="1:5" x14ac:dyDescent="0.2">
      <c r="A2712" s="29">
        <v>43428</v>
      </c>
      <c r="B2712" s="30">
        <f>VLOOKUP(A2712,'Database Claims'!$A:$C,3,)</f>
        <v>230000</v>
      </c>
      <c r="C2712" s="30">
        <f t="shared" si="84"/>
        <v>10000</v>
      </c>
      <c r="D2712" s="30">
        <f>VLOOKUP(A2712,'Database Claims'!$A:$C,2,)</f>
        <v>1664000</v>
      </c>
      <c r="E2712" s="30">
        <f t="shared" si="85"/>
        <v>-62000</v>
      </c>
    </row>
    <row r="2713" spans="1:5" x14ac:dyDescent="0.2">
      <c r="A2713" s="29">
        <v>43435</v>
      </c>
      <c r="B2713" s="26">
        <f>VLOOKUP(A2713,'Database Claims'!$A:$C,3,)</f>
        <v>225000</v>
      </c>
      <c r="C2713" s="30">
        <f t="shared" si="84"/>
        <v>-5000</v>
      </c>
      <c r="D2713" s="26">
        <f>VLOOKUP(A2713,'Database Claims'!$A:$C,2,)</f>
        <v>1663000</v>
      </c>
      <c r="E2713" s="30">
        <f t="shared" si="85"/>
        <v>-1000</v>
      </c>
    </row>
    <row r="2714" spans="1:5" x14ac:dyDescent="0.2">
      <c r="A2714" s="29">
        <v>43442</v>
      </c>
      <c r="B2714" s="30">
        <f>VLOOKUP(A2714,'Database Claims'!$A:$C,3,)</f>
        <v>203000</v>
      </c>
      <c r="C2714" s="30">
        <f t="shared" si="84"/>
        <v>-22000</v>
      </c>
      <c r="D2714" s="30">
        <f>VLOOKUP(A2714,'Database Claims'!$A:$C,2,)</f>
        <v>1703000</v>
      </c>
      <c r="E2714" s="30">
        <f t="shared" si="85"/>
        <v>40000</v>
      </c>
    </row>
    <row r="2715" spans="1:5" x14ac:dyDescent="0.2">
      <c r="A2715" s="29">
        <v>43449</v>
      </c>
      <c r="B2715" s="26">
        <f>VLOOKUP(A2715,'Database Claims'!$A:$C,3,)</f>
        <v>214000</v>
      </c>
      <c r="C2715" s="30">
        <f t="shared" si="84"/>
        <v>11000</v>
      </c>
      <c r="D2715" s="26">
        <f>VLOOKUP(A2715,'Database Claims'!$A:$C,2,)</f>
        <v>1697000</v>
      </c>
      <c r="E2715" s="30">
        <f t="shared" si="85"/>
        <v>-6000</v>
      </c>
    </row>
    <row r="2716" spans="1:5" x14ac:dyDescent="0.2">
      <c r="A2716" s="29">
        <v>43456</v>
      </c>
      <c r="B2716" s="30">
        <f>VLOOKUP(A2716,'Database Claims'!$A:$C,3,)</f>
        <v>220000</v>
      </c>
      <c r="C2716" s="30">
        <f t="shared" si="84"/>
        <v>6000</v>
      </c>
      <c r="D2716" s="30">
        <f>VLOOKUP(A2716,'Database Claims'!$A:$C,2,)</f>
        <v>1723000</v>
      </c>
      <c r="E2716" s="30">
        <f t="shared" si="85"/>
        <v>26000</v>
      </c>
    </row>
    <row r="2717" spans="1:5" x14ac:dyDescent="0.2">
      <c r="A2717" s="29">
        <v>43463</v>
      </c>
      <c r="B2717" s="26">
        <f>VLOOKUP(A2717,'Database Claims'!$A:$C,3,)</f>
        <v>226000</v>
      </c>
      <c r="C2717" s="30">
        <f t="shared" si="84"/>
        <v>6000</v>
      </c>
      <c r="D2717" s="26">
        <f>VLOOKUP(A2717,'Database Claims'!$A:$C,2,)</f>
        <v>1697000</v>
      </c>
      <c r="E2717" s="30">
        <f t="shared" si="85"/>
        <v>-26000</v>
      </c>
    </row>
    <row r="2718" spans="1:5" x14ac:dyDescent="0.2">
      <c r="A2718" s="29">
        <v>43470</v>
      </c>
      <c r="B2718" s="30">
        <f>VLOOKUP(A2718,'Database Claims'!$A:$C,3,)</f>
        <v>218000</v>
      </c>
      <c r="C2718" s="30">
        <f t="shared" si="84"/>
        <v>-8000</v>
      </c>
      <c r="D2718" s="30">
        <f>VLOOKUP(A2718,'Database Claims'!$A:$C,2,)</f>
        <v>1713000</v>
      </c>
      <c r="E2718" s="30">
        <f t="shared" si="85"/>
        <v>16000</v>
      </c>
    </row>
    <row r="2719" spans="1:5" x14ac:dyDescent="0.2">
      <c r="A2719" s="29">
        <v>43477</v>
      </c>
      <c r="B2719" s="26">
        <f>VLOOKUP(A2719,'Database Claims'!$A:$C,3,)</f>
        <v>215000</v>
      </c>
      <c r="C2719" s="30">
        <f t="shared" si="84"/>
        <v>-3000</v>
      </c>
      <c r="D2719" s="26">
        <f>VLOOKUP(A2719,'Database Claims'!$A:$C,2,)</f>
        <v>1709000</v>
      </c>
      <c r="E2719" s="30">
        <f t="shared" si="85"/>
        <v>-4000</v>
      </c>
    </row>
    <row r="2720" spans="1:5" x14ac:dyDescent="0.2">
      <c r="A2720" s="29">
        <v>43484</v>
      </c>
      <c r="B2720" s="30">
        <f>VLOOKUP(A2720,'Database Claims'!$A:$C,3,)</f>
        <v>211000</v>
      </c>
      <c r="C2720" s="30">
        <f t="shared" si="84"/>
        <v>-4000</v>
      </c>
      <c r="D2720" s="30">
        <f>VLOOKUP(A2720,'Database Claims'!$A:$C,2,)</f>
        <v>1740000</v>
      </c>
      <c r="E2720" s="30">
        <f t="shared" si="85"/>
        <v>31000</v>
      </c>
    </row>
    <row r="2721" spans="1:5" x14ac:dyDescent="0.2">
      <c r="A2721" s="29">
        <v>43491</v>
      </c>
      <c r="B2721" s="26">
        <f>VLOOKUP(A2721,'Database Claims'!$A:$C,3,)</f>
        <v>236000</v>
      </c>
      <c r="C2721" s="30">
        <f t="shared" si="84"/>
        <v>25000</v>
      </c>
      <c r="D2721" s="26">
        <f>VLOOKUP(A2721,'Database Claims'!$A:$C,2,)</f>
        <v>1717000</v>
      </c>
      <c r="E2721" s="30">
        <f t="shared" si="85"/>
        <v>-23000</v>
      </c>
    </row>
    <row r="2722" spans="1:5" x14ac:dyDescent="0.2">
      <c r="A2722" s="29">
        <v>43498</v>
      </c>
      <c r="B2722" s="30">
        <f>VLOOKUP(A2722,'Database Claims'!$A:$C,3,)</f>
        <v>233000</v>
      </c>
      <c r="C2722" s="30">
        <f t="shared" si="84"/>
        <v>-3000</v>
      </c>
      <c r="D2722" s="30">
        <f>VLOOKUP(A2722,'Database Claims'!$A:$C,2,)</f>
        <v>1743000</v>
      </c>
      <c r="E2722" s="30">
        <f t="shared" si="85"/>
        <v>26000</v>
      </c>
    </row>
    <row r="2723" spans="1:5" x14ac:dyDescent="0.2">
      <c r="A2723" s="29">
        <v>43505</v>
      </c>
      <c r="B2723" s="26">
        <f>VLOOKUP(A2723,'Database Claims'!$A:$C,3,)</f>
        <v>232000</v>
      </c>
      <c r="C2723" s="30">
        <f t="shared" si="84"/>
        <v>-1000</v>
      </c>
      <c r="D2723" s="26">
        <f>VLOOKUP(A2723,'Database Claims'!$A:$C,2,)</f>
        <v>1723000</v>
      </c>
      <c r="E2723" s="30">
        <f t="shared" si="85"/>
        <v>-20000</v>
      </c>
    </row>
    <row r="2724" spans="1:5" x14ac:dyDescent="0.2">
      <c r="A2724" s="29">
        <v>43512</v>
      </c>
      <c r="B2724" s="30">
        <f>VLOOKUP(A2724,'Database Claims'!$A:$C,3,)</f>
        <v>218000</v>
      </c>
      <c r="C2724" s="30">
        <f t="shared" si="84"/>
        <v>-14000</v>
      </c>
      <c r="D2724" s="30">
        <f>VLOOKUP(A2724,'Database Claims'!$A:$C,2,)</f>
        <v>1758000</v>
      </c>
      <c r="E2724" s="30">
        <f t="shared" si="85"/>
        <v>35000</v>
      </c>
    </row>
    <row r="2725" spans="1:5" x14ac:dyDescent="0.2">
      <c r="A2725" s="29">
        <v>43519</v>
      </c>
      <c r="B2725" s="26">
        <f>VLOOKUP(A2725,'Database Claims'!$A:$C,3,)</f>
        <v>223000</v>
      </c>
      <c r="C2725" s="30">
        <f t="shared" si="84"/>
        <v>5000</v>
      </c>
      <c r="D2725" s="26">
        <f>VLOOKUP(A2725,'Database Claims'!$A:$C,2,)</f>
        <v>1747000</v>
      </c>
      <c r="E2725" s="30">
        <f t="shared" si="85"/>
        <v>-11000</v>
      </c>
    </row>
    <row r="2726" spans="1:5" x14ac:dyDescent="0.2">
      <c r="A2726" s="29">
        <v>43526</v>
      </c>
      <c r="B2726" s="30">
        <f>VLOOKUP(A2726,'Database Claims'!$A:$C,3,)</f>
        <v>220000</v>
      </c>
      <c r="C2726" s="30">
        <f t="shared" si="84"/>
        <v>-3000</v>
      </c>
      <c r="D2726" s="30">
        <f>VLOOKUP(A2726,'Database Claims'!$A:$C,2,)</f>
        <v>1748000</v>
      </c>
      <c r="E2726" s="30">
        <f t="shared" si="85"/>
        <v>1000</v>
      </c>
    </row>
    <row r="2727" spans="1:5" x14ac:dyDescent="0.2">
      <c r="A2727" s="29">
        <v>43533</v>
      </c>
      <c r="B2727" s="26">
        <f>VLOOKUP(A2727,'Database Claims'!$A:$C,3,)</f>
        <v>225000</v>
      </c>
      <c r="C2727" s="30">
        <f t="shared" si="84"/>
        <v>5000</v>
      </c>
      <c r="D2727" s="26">
        <f>VLOOKUP(A2727,'Database Claims'!$A:$C,2,)</f>
        <v>1745000</v>
      </c>
      <c r="E2727" s="30">
        <f t="shared" si="85"/>
        <v>-3000</v>
      </c>
    </row>
    <row r="2728" spans="1:5" x14ac:dyDescent="0.2">
      <c r="A2728" s="29">
        <v>43540</v>
      </c>
      <c r="B2728" s="30">
        <f>VLOOKUP(A2728,'Database Claims'!$A:$C,3,)</f>
        <v>218000</v>
      </c>
      <c r="C2728" s="30">
        <f t="shared" si="84"/>
        <v>-7000</v>
      </c>
      <c r="D2728" s="30">
        <f>VLOOKUP(A2728,'Database Claims'!$A:$C,2,)</f>
        <v>1719000</v>
      </c>
      <c r="E2728" s="30">
        <f t="shared" si="85"/>
        <v>-26000</v>
      </c>
    </row>
    <row r="2729" spans="1:5" x14ac:dyDescent="0.2">
      <c r="A2729" s="29">
        <v>43547</v>
      </c>
      <c r="B2729" s="26">
        <f>VLOOKUP(A2729,'Database Claims'!$A:$C,3,)</f>
        <v>215000</v>
      </c>
      <c r="C2729" s="30">
        <f t="shared" si="84"/>
        <v>-3000</v>
      </c>
      <c r="D2729" s="26">
        <f>VLOOKUP(A2729,'Database Claims'!$A:$C,2,)</f>
        <v>1710000</v>
      </c>
      <c r="E2729" s="30">
        <f t="shared" si="85"/>
        <v>-9000</v>
      </c>
    </row>
    <row r="2730" spans="1:5" x14ac:dyDescent="0.2">
      <c r="A2730" s="29">
        <v>43554</v>
      </c>
      <c r="B2730" s="30">
        <f>VLOOKUP(A2730,'Database Claims'!$A:$C,3,)</f>
        <v>211000</v>
      </c>
      <c r="C2730" s="30">
        <f t="shared" si="84"/>
        <v>-4000</v>
      </c>
      <c r="D2730" s="30">
        <f>VLOOKUP(A2730,'Database Claims'!$A:$C,2,)</f>
        <v>1692000</v>
      </c>
      <c r="E2730" s="30">
        <f t="shared" si="85"/>
        <v>-18000</v>
      </c>
    </row>
    <row r="2731" spans="1:5" x14ac:dyDescent="0.2">
      <c r="A2731" s="29">
        <v>43561</v>
      </c>
      <c r="B2731" s="26">
        <f>VLOOKUP(A2731,'Database Claims'!$A:$C,3,)</f>
        <v>203000</v>
      </c>
      <c r="C2731" s="30">
        <f t="shared" si="84"/>
        <v>-8000</v>
      </c>
      <c r="D2731" s="26">
        <f>VLOOKUP(A2731,'Database Claims'!$A:$C,2,)</f>
        <v>1659000</v>
      </c>
      <c r="E2731" s="30">
        <f t="shared" si="85"/>
        <v>-33000</v>
      </c>
    </row>
    <row r="2732" spans="1:5" x14ac:dyDescent="0.2">
      <c r="A2732" s="29">
        <v>43568</v>
      </c>
      <c r="B2732" s="30">
        <f>VLOOKUP(A2732,'Database Claims'!$A:$C,3,)</f>
        <v>203000</v>
      </c>
      <c r="C2732" s="30">
        <f t="shared" si="84"/>
        <v>0</v>
      </c>
      <c r="D2732" s="30">
        <f>VLOOKUP(A2732,'Database Claims'!$A:$C,2,)</f>
        <v>1649000</v>
      </c>
      <c r="E2732" s="30">
        <f t="shared" si="85"/>
        <v>-10000</v>
      </c>
    </row>
    <row r="2733" spans="1:5" x14ac:dyDescent="0.2">
      <c r="A2733" s="29">
        <v>43575</v>
      </c>
      <c r="B2733" s="26">
        <f>VLOOKUP(A2733,'Database Claims'!$A:$C,3,)</f>
        <v>224000</v>
      </c>
      <c r="C2733" s="30">
        <f t="shared" si="84"/>
        <v>21000</v>
      </c>
      <c r="D2733" s="26">
        <f>VLOOKUP(A2733,'Database Claims'!$A:$C,2,)</f>
        <v>1671000</v>
      </c>
      <c r="E2733" s="30">
        <f t="shared" si="85"/>
        <v>22000</v>
      </c>
    </row>
    <row r="2734" spans="1:5" x14ac:dyDescent="0.2">
      <c r="A2734" s="29">
        <v>43582</v>
      </c>
      <c r="B2734" s="30">
        <f>VLOOKUP(A2734,'Database Claims'!$A:$C,3,)</f>
        <v>230000</v>
      </c>
      <c r="C2734" s="30">
        <f t="shared" si="84"/>
        <v>6000</v>
      </c>
      <c r="D2734" s="30">
        <f>VLOOKUP(A2734,'Database Claims'!$A:$C,2,)</f>
        <v>1675000</v>
      </c>
      <c r="E2734" s="30">
        <f t="shared" si="85"/>
        <v>4000</v>
      </c>
    </row>
    <row r="2735" spans="1:5" x14ac:dyDescent="0.2">
      <c r="A2735" s="29">
        <v>43589</v>
      </c>
      <c r="B2735" s="26">
        <f>VLOOKUP(A2735,'Database Claims'!$A:$C,3,)</f>
        <v>225000</v>
      </c>
      <c r="C2735" s="30">
        <f t="shared" si="84"/>
        <v>-5000</v>
      </c>
      <c r="D2735" s="26">
        <f>VLOOKUP(A2735,'Database Claims'!$A:$C,2,)</f>
        <v>1667000</v>
      </c>
      <c r="E2735" s="30">
        <f t="shared" si="85"/>
        <v>-8000</v>
      </c>
    </row>
    <row r="2736" spans="1:5" x14ac:dyDescent="0.2">
      <c r="A2736" s="29">
        <v>43596</v>
      </c>
      <c r="B2736" s="30">
        <f>VLOOKUP(A2736,'Database Claims'!$A:$C,3,)</f>
        <v>216000</v>
      </c>
      <c r="C2736" s="30">
        <f t="shared" si="84"/>
        <v>-9000</v>
      </c>
      <c r="D2736" s="30">
        <f>VLOOKUP(A2736,'Database Claims'!$A:$C,2,)</f>
        <v>1676000</v>
      </c>
      <c r="E2736" s="30">
        <f t="shared" si="85"/>
        <v>9000</v>
      </c>
    </row>
    <row r="2737" spans="1:5" x14ac:dyDescent="0.2">
      <c r="A2737" s="29">
        <v>43603</v>
      </c>
      <c r="B2737" s="26">
        <f>VLOOKUP(A2737,'Database Claims'!$A:$C,3,)</f>
        <v>213000</v>
      </c>
      <c r="C2737" s="30">
        <f t="shared" si="84"/>
        <v>-3000</v>
      </c>
      <c r="D2737" s="26">
        <f>VLOOKUP(A2737,'Database Claims'!$A:$C,2,)</f>
        <v>1666000</v>
      </c>
      <c r="E2737" s="30">
        <f t="shared" si="85"/>
        <v>-10000</v>
      </c>
    </row>
    <row r="2738" spans="1:5" x14ac:dyDescent="0.2">
      <c r="A2738" s="29">
        <v>43610</v>
      </c>
      <c r="B2738" s="30">
        <f>VLOOKUP(A2738,'Database Claims'!$A:$C,3,)</f>
        <v>218000</v>
      </c>
      <c r="C2738" s="30">
        <f t="shared" si="84"/>
        <v>5000</v>
      </c>
      <c r="D2738" s="30">
        <f>VLOOKUP(A2738,'Database Claims'!$A:$C,2,)</f>
        <v>1687000</v>
      </c>
      <c r="E2738" s="30">
        <f t="shared" si="85"/>
        <v>21000</v>
      </c>
    </row>
    <row r="2739" spans="1:5" x14ac:dyDescent="0.2">
      <c r="A2739" s="29">
        <v>43617</v>
      </c>
      <c r="B2739" s="26">
        <f>VLOOKUP(A2739,'Database Claims'!$A:$C,3,)</f>
        <v>220000</v>
      </c>
      <c r="C2739" s="30">
        <f t="shared" si="84"/>
        <v>2000</v>
      </c>
      <c r="D2739" s="26">
        <f>VLOOKUP(A2739,'Database Claims'!$A:$C,2,)</f>
        <v>1692000</v>
      </c>
      <c r="E2739" s="30">
        <f t="shared" si="85"/>
        <v>5000</v>
      </c>
    </row>
    <row r="2740" spans="1:5" x14ac:dyDescent="0.2">
      <c r="A2740" s="29">
        <v>43624</v>
      </c>
      <c r="B2740" s="30">
        <f>VLOOKUP(A2740,'Database Claims'!$A:$C,3,)</f>
        <v>220000</v>
      </c>
      <c r="C2740" s="30">
        <f t="shared" si="84"/>
        <v>0</v>
      </c>
      <c r="D2740" s="30">
        <f>VLOOKUP(A2740,'Database Claims'!$A:$C,2,)</f>
        <v>1668000</v>
      </c>
      <c r="E2740" s="30">
        <f t="shared" si="85"/>
        <v>-24000</v>
      </c>
    </row>
    <row r="2741" spans="1:5" x14ac:dyDescent="0.2">
      <c r="A2741" s="29">
        <v>43631</v>
      </c>
      <c r="B2741" s="26">
        <f>VLOOKUP(A2741,'Database Claims'!$A:$C,3,)</f>
        <v>219000</v>
      </c>
      <c r="C2741" s="30">
        <f t="shared" si="84"/>
        <v>-1000</v>
      </c>
      <c r="D2741" s="26">
        <f>VLOOKUP(A2741,'Database Claims'!$A:$C,2,)</f>
        <v>1689000</v>
      </c>
      <c r="E2741" s="30">
        <f t="shared" si="85"/>
        <v>21000</v>
      </c>
    </row>
    <row r="2742" spans="1:5" x14ac:dyDescent="0.2">
      <c r="A2742" s="29">
        <v>43638</v>
      </c>
      <c r="B2742" s="30">
        <f>VLOOKUP(A2742,'Database Claims'!$A:$C,3,)</f>
        <v>224000</v>
      </c>
      <c r="C2742" s="30">
        <f t="shared" si="84"/>
        <v>5000</v>
      </c>
      <c r="D2742" s="30">
        <f>VLOOKUP(A2742,'Database Claims'!$A:$C,2,)</f>
        <v>1689000</v>
      </c>
      <c r="E2742" s="30">
        <f t="shared" si="85"/>
        <v>0</v>
      </c>
    </row>
    <row r="2743" spans="1:5" x14ac:dyDescent="0.2">
      <c r="A2743" s="29">
        <v>43645</v>
      </c>
      <c r="B2743" s="26">
        <f>VLOOKUP(A2743,'Database Claims'!$A:$C,3,)</f>
        <v>223000</v>
      </c>
      <c r="C2743" s="30">
        <f t="shared" si="84"/>
        <v>-1000</v>
      </c>
      <c r="D2743" s="26">
        <f>VLOOKUP(A2743,'Database Claims'!$A:$C,2,)</f>
        <v>1712000</v>
      </c>
      <c r="E2743" s="30">
        <f t="shared" si="85"/>
        <v>23000</v>
      </c>
    </row>
    <row r="2744" spans="1:5" x14ac:dyDescent="0.2">
      <c r="A2744" s="29">
        <v>43652</v>
      </c>
      <c r="B2744" s="30">
        <f>VLOOKUP(A2744,'Database Claims'!$A:$C,3,)</f>
        <v>205000</v>
      </c>
      <c r="C2744" s="30">
        <f t="shared" si="84"/>
        <v>-18000</v>
      </c>
      <c r="D2744" s="30">
        <f>VLOOKUP(A2744,'Database Claims'!$A:$C,2,)</f>
        <v>1688000</v>
      </c>
      <c r="E2744" s="30">
        <f t="shared" si="85"/>
        <v>-24000</v>
      </c>
    </row>
    <row r="2745" spans="1:5" s="60" customFormat="1" x14ac:dyDescent="0.2">
      <c r="A2745" s="29">
        <v>43659</v>
      </c>
      <c r="B2745" s="26">
        <f>VLOOKUP(A2745,'Database Claims'!$A:$C,3,)</f>
        <v>217000</v>
      </c>
      <c r="C2745" s="30">
        <f t="shared" si="84"/>
        <v>12000</v>
      </c>
      <c r="D2745" s="26">
        <f>VLOOKUP(A2745,'Database Claims'!$A:$C,2,)</f>
        <v>1679000</v>
      </c>
      <c r="E2745" s="30">
        <f t="shared" si="85"/>
        <v>-9000</v>
      </c>
    </row>
    <row r="2746" spans="1:5" s="60" customFormat="1" x14ac:dyDescent="0.2">
      <c r="A2746" s="29">
        <v>43666</v>
      </c>
      <c r="B2746" s="30">
        <f>VLOOKUP(A2746,'Database Claims'!$A:$C,3,)</f>
        <v>210000</v>
      </c>
      <c r="C2746" s="30">
        <f t="shared" si="84"/>
        <v>-7000</v>
      </c>
      <c r="D2746" s="30">
        <f>VLOOKUP(A2746,'Database Claims'!$A:$C,2,)</f>
        <v>1692000</v>
      </c>
      <c r="E2746" s="30">
        <f t="shared" si="85"/>
        <v>13000</v>
      </c>
    </row>
    <row r="2747" spans="1:5" s="60" customFormat="1" x14ac:dyDescent="0.2">
      <c r="A2747" s="29">
        <v>43673</v>
      </c>
      <c r="B2747" s="26">
        <f>VLOOKUP(A2747,'Database Claims'!$A:$C,3,)</f>
        <v>216000</v>
      </c>
      <c r="C2747" s="30">
        <f t="shared" si="84"/>
        <v>6000</v>
      </c>
      <c r="D2747" s="26">
        <f>VLOOKUP(A2747,'Database Claims'!$A:$C,2,)</f>
        <v>1689000</v>
      </c>
      <c r="E2747" s="30">
        <f t="shared" si="85"/>
        <v>-3000</v>
      </c>
    </row>
    <row r="2748" spans="1:5" s="60" customFormat="1" x14ac:dyDescent="0.2">
      <c r="A2748" s="29">
        <v>43680</v>
      </c>
      <c r="B2748" s="30">
        <f>VLOOKUP(A2748,'Database Claims'!$A:$C,3,)</f>
        <v>214000</v>
      </c>
      <c r="C2748" s="30">
        <f t="shared" si="84"/>
        <v>-2000</v>
      </c>
      <c r="D2748" s="30">
        <f>VLOOKUP(A2748,'Database Claims'!$A:$C,2,)</f>
        <v>1714000</v>
      </c>
      <c r="E2748" s="30">
        <f t="shared" si="85"/>
        <v>25000</v>
      </c>
    </row>
    <row r="2749" spans="1:5" s="60" customFormat="1" x14ac:dyDescent="0.2">
      <c r="A2749" s="29">
        <v>43687</v>
      </c>
      <c r="B2749" s="26">
        <f>VLOOKUP(A2749,'Database Claims'!$A:$C,3,)</f>
        <v>218000</v>
      </c>
      <c r="C2749" s="30">
        <f t="shared" si="84"/>
        <v>4000</v>
      </c>
      <c r="D2749" s="26">
        <f>VLOOKUP(A2749,'Database Claims'!$A:$C,2,)</f>
        <v>1682000</v>
      </c>
      <c r="E2749" s="30">
        <f t="shared" si="85"/>
        <v>-32000</v>
      </c>
    </row>
    <row r="2750" spans="1:5" s="60" customFormat="1" x14ac:dyDescent="0.2">
      <c r="A2750" s="29">
        <v>43694</v>
      </c>
      <c r="B2750" s="30">
        <f>VLOOKUP(A2750,'Database Claims'!$A:$C,3,)</f>
        <v>214000</v>
      </c>
      <c r="C2750" s="30">
        <f t="shared" si="84"/>
        <v>-4000</v>
      </c>
      <c r="D2750" s="30">
        <f>VLOOKUP(A2750,'Database Claims'!$A:$C,2,)</f>
        <v>1697000</v>
      </c>
      <c r="E2750" s="30">
        <f t="shared" si="85"/>
        <v>15000</v>
      </c>
    </row>
    <row r="2751" spans="1:5" s="60" customFormat="1" x14ac:dyDescent="0.2">
      <c r="A2751" s="29">
        <v>43701</v>
      </c>
      <c r="B2751" s="26">
        <f>VLOOKUP(A2751,'Database Claims'!$A:$C,3,)</f>
        <v>215000</v>
      </c>
      <c r="C2751" s="30">
        <f t="shared" si="84"/>
        <v>1000</v>
      </c>
      <c r="D2751" s="26">
        <f>VLOOKUP(A2751,'Database Claims'!$A:$C,2,)</f>
        <v>1678000</v>
      </c>
      <c r="E2751" s="30">
        <f t="shared" si="85"/>
        <v>-19000</v>
      </c>
    </row>
    <row r="2752" spans="1:5" s="60" customFormat="1" x14ac:dyDescent="0.2">
      <c r="A2752" s="29">
        <v>43708</v>
      </c>
      <c r="B2752" s="30">
        <f>VLOOKUP(A2752,'Database Claims'!$A:$C,3,)</f>
        <v>218000</v>
      </c>
      <c r="C2752" s="30">
        <f t="shared" si="84"/>
        <v>3000</v>
      </c>
      <c r="D2752" s="30">
        <f>VLOOKUP(A2752,'Database Claims'!$A:$C,2,)</f>
        <v>1679000</v>
      </c>
      <c r="E2752" s="30">
        <f t="shared" si="85"/>
        <v>1000</v>
      </c>
    </row>
    <row r="2753" spans="1:5" s="60" customFormat="1" x14ac:dyDescent="0.2">
      <c r="A2753" s="29">
        <v>43715</v>
      </c>
      <c r="B2753" s="26">
        <f>VLOOKUP(A2753,'Database Claims'!$A:$C,3,)</f>
        <v>208000</v>
      </c>
      <c r="C2753" s="30">
        <f t="shared" si="84"/>
        <v>-10000</v>
      </c>
      <c r="D2753" s="26">
        <f>VLOOKUP(A2753,'Database Claims'!$A:$C,2,)</f>
        <v>1673000</v>
      </c>
      <c r="E2753" s="30">
        <f t="shared" si="85"/>
        <v>-6000</v>
      </c>
    </row>
    <row r="2754" spans="1:5" s="60" customFormat="1" x14ac:dyDescent="0.2">
      <c r="A2754" s="29">
        <v>43722</v>
      </c>
      <c r="B2754" s="30">
        <f>VLOOKUP(A2754,'Database Claims'!$A:$C,3,)</f>
        <v>211000</v>
      </c>
      <c r="C2754" s="30">
        <f t="shared" si="84"/>
        <v>3000</v>
      </c>
      <c r="D2754" s="30">
        <f>VLOOKUP(A2754,'Database Claims'!$A:$C,2,)</f>
        <v>1668000</v>
      </c>
      <c r="E2754" s="30">
        <f t="shared" si="85"/>
        <v>-5000</v>
      </c>
    </row>
    <row r="2755" spans="1:5" s="60" customFormat="1" x14ac:dyDescent="0.2">
      <c r="A2755" s="29">
        <v>43729</v>
      </c>
      <c r="B2755" s="26">
        <f>VLOOKUP(A2755,'Database Claims'!$A:$C,3,)</f>
        <v>215000</v>
      </c>
      <c r="C2755" s="30">
        <f t="shared" si="84"/>
        <v>4000</v>
      </c>
      <c r="D2755" s="26">
        <f>VLOOKUP(A2755,'Database Claims'!$A:$C,2,)</f>
        <v>1665000</v>
      </c>
      <c r="E2755" s="30">
        <f t="shared" si="85"/>
        <v>-3000</v>
      </c>
    </row>
    <row r="2756" spans="1:5" s="60" customFormat="1" x14ac:dyDescent="0.2">
      <c r="A2756" s="29">
        <v>43736</v>
      </c>
      <c r="B2756" s="30">
        <f>VLOOKUP(A2756,'Database Claims'!$A:$C,3,)</f>
        <v>217000</v>
      </c>
      <c r="C2756" s="30">
        <f t="shared" si="84"/>
        <v>2000</v>
      </c>
      <c r="D2756" s="30">
        <f>VLOOKUP(A2756,'Database Claims'!$A:$C,2,)</f>
        <v>1696000</v>
      </c>
      <c r="E2756" s="30">
        <f t="shared" si="85"/>
        <v>31000</v>
      </c>
    </row>
    <row r="2757" spans="1:5" s="60" customFormat="1" x14ac:dyDescent="0.2">
      <c r="A2757" s="29">
        <v>43743</v>
      </c>
      <c r="B2757" s="26">
        <f>VLOOKUP(A2757,'Database Claims'!$A:$C,3,)</f>
        <v>212000</v>
      </c>
      <c r="C2757" s="30">
        <f t="shared" si="84"/>
        <v>-5000</v>
      </c>
      <c r="D2757" s="26">
        <f>VLOOKUP(A2757,'Database Claims'!$A:$C,2,)</f>
        <v>1687000</v>
      </c>
      <c r="E2757" s="30">
        <f t="shared" si="85"/>
        <v>-9000</v>
      </c>
    </row>
    <row r="2758" spans="1:5" s="60" customFormat="1" x14ac:dyDescent="0.2">
      <c r="A2758" s="29">
        <v>43750</v>
      </c>
      <c r="B2758" s="30">
        <f>VLOOKUP(A2758,'Database Claims'!$A:$C,3,)</f>
        <v>217000</v>
      </c>
      <c r="C2758" s="30">
        <f t="shared" ref="C2758:C2821" si="86">B2758-B2757</f>
        <v>5000</v>
      </c>
      <c r="D2758" s="30">
        <f>VLOOKUP(A2758,'Database Claims'!$A:$C,2,)</f>
        <v>1693000</v>
      </c>
      <c r="E2758" s="30">
        <f t="shared" ref="E2758:E2821" si="87">D2758-D2757</f>
        <v>6000</v>
      </c>
    </row>
    <row r="2759" spans="1:5" s="60" customFormat="1" x14ac:dyDescent="0.2">
      <c r="A2759" s="29">
        <v>43757</v>
      </c>
      <c r="B2759" s="26">
        <f>VLOOKUP(A2759,'Database Claims'!$A:$C,3,)</f>
        <v>212000</v>
      </c>
      <c r="C2759" s="30">
        <f t="shared" si="86"/>
        <v>-5000</v>
      </c>
      <c r="D2759" s="26">
        <f>VLOOKUP(A2759,'Database Claims'!$A:$C,2,)</f>
        <v>1694000</v>
      </c>
      <c r="E2759" s="30">
        <f t="shared" si="87"/>
        <v>1000</v>
      </c>
    </row>
    <row r="2760" spans="1:5" s="60" customFormat="1" x14ac:dyDescent="0.2">
      <c r="A2760" s="29">
        <v>43764</v>
      </c>
      <c r="B2760" s="30">
        <f>VLOOKUP(A2760,'Database Claims'!$A:$C,3,)</f>
        <v>216000</v>
      </c>
      <c r="C2760" s="30">
        <f t="shared" si="86"/>
        <v>4000</v>
      </c>
      <c r="D2760" s="30">
        <f>VLOOKUP(A2760,'Database Claims'!$A:$C,2,)</f>
        <v>1695000</v>
      </c>
      <c r="E2760" s="30">
        <f t="shared" si="87"/>
        <v>1000</v>
      </c>
    </row>
    <row r="2761" spans="1:5" s="60" customFormat="1" x14ac:dyDescent="0.2">
      <c r="A2761" s="29">
        <v>43771</v>
      </c>
      <c r="B2761" s="26">
        <f>VLOOKUP(A2761,'Database Claims'!$A:$C,3,)</f>
        <v>211000</v>
      </c>
      <c r="C2761" s="30">
        <f t="shared" si="86"/>
        <v>-5000</v>
      </c>
      <c r="D2761" s="26">
        <f>VLOOKUP(A2761,'Database Claims'!$A:$C,2,)</f>
        <v>1692000</v>
      </c>
      <c r="E2761" s="30">
        <f t="shared" si="87"/>
        <v>-3000</v>
      </c>
    </row>
    <row r="2762" spans="1:5" s="60" customFormat="1" x14ac:dyDescent="0.2">
      <c r="A2762" s="29">
        <v>43778</v>
      </c>
      <c r="B2762" s="30">
        <f>VLOOKUP(A2762,'Database Claims'!$A:$C,3,)</f>
        <v>222000</v>
      </c>
      <c r="C2762" s="30">
        <f t="shared" si="86"/>
        <v>11000</v>
      </c>
      <c r="D2762" s="30">
        <f>VLOOKUP(A2762,'Database Claims'!$A:$C,2,)</f>
        <v>1695000</v>
      </c>
      <c r="E2762" s="30">
        <f t="shared" si="87"/>
        <v>3000</v>
      </c>
    </row>
    <row r="2763" spans="1:5" s="60" customFormat="1" x14ac:dyDescent="0.2">
      <c r="A2763" s="29">
        <v>43785</v>
      </c>
      <c r="B2763" s="26">
        <f>VLOOKUP(A2763,'Database Claims'!$A:$C,3,)</f>
        <v>221000</v>
      </c>
      <c r="C2763" s="30">
        <f t="shared" si="86"/>
        <v>-1000</v>
      </c>
      <c r="D2763" s="26">
        <f>VLOOKUP(A2763,'Database Claims'!$A:$C,2,)</f>
        <v>1678000</v>
      </c>
      <c r="E2763" s="30">
        <f t="shared" si="87"/>
        <v>-17000</v>
      </c>
    </row>
    <row r="2764" spans="1:5" s="60" customFormat="1" x14ac:dyDescent="0.2">
      <c r="A2764" s="29">
        <v>43792</v>
      </c>
      <c r="B2764" s="30">
        <f>VLOOKUP(A2764,'Database Claims'!$A:$C,3,)</f>
        <v>215000</v>
      </c>
      <c r="C2764" s="30">
        <f t="shared" si="86"/>
        <v>-6000</v>
      </c>
      <c r="D2764" s="30">
        <f>VLOOKUP(A2764,'Database Claims'!$A:$C,2,)</f>
        <v>1699000</v>
      </c>
      <c r="E2764" s="30">
        <f t="shared" si="87"/>
        <v>21000</v>
      </c>
    </row>
    <row r="2765" spans="1:5" s="60" customFormat="1" x14ac:dyDescent="0.2">
      <c r="A2765" s="29">
        <v>43799</v>
      </c>
      <c r="B2765" s="26">
        <f>VLOOKUP(A2765,'Database Claims'!$A:$C,3,)</f>
        <v>219000</v>
      </c>
      <c r="C2765" s="30">
        <f t="shared" si="86"/>
        <v>4000</v>
      </c>
      <c r="D2765" s="26">
        <f>VLOOKUP(A2765,'Database Claims'!$A:$C,2,)</f>
        <v>1705000</v>
      </c>
      <c r="E2765" s="30">
        <f t="shared" si="87"/>
        <v>6000</v>
      </c>
    </row>
    <row r="2766" spans="1:5" s="60" customFormat="1" x14ac:dyDescent="0.2">
      <c r="A2766" s="29">
        <v>43806</v>
      </c>
      <c r="B2766" s="30">
        <f>VLOOKUP(A2766,'Database Claims'!$A:$C,3,)</f>
        <v>238000</v>
      </c>
      <c r="C2766" s="30">
        <f t="shared" si="86"/>
        <v>19000</v>
      </c>
      <c r="D2766" s="30">
        <f>VLOOKUP(A2766,'Database Claims'!$A:$C,2,)</f>
        <v>1726000</v>
      </c>
      <c r="E2766" s="30">
        <f t="shared" si="87"/>
        <v>21000</v>
      </c>
    </row>
    <row r="2767" spans="1:5" s="60" customFormat="1" x14ac:dyDescent="0.2">
      <c r="A2767" s="29">
        <v>43813</v>
      </c>
      <c r="B2767" s="26">
        <f>VLOOKUP(A2767,'Database Claims'!$A:$C,3,)</f>
        <v>227000</v>
      </c>
      <c r="C2767" s="30">
        <f t="shared" si="86"/>
        <v>-11000</v>
      </c>
      <c r="D2767" s="26">
        <f>VLOOKUP(A2767,'Database Claims'!$A:$C,2,)</f>
        <v>1718000</v>
      </c>
      <c r="E2767" s="30">
        <f t="shared" si="87"/>
        <v>-8000</v>
      </c>
    </row>
    <row r="2768" spans="1:5" s="60" customFormat="1" x14ac:dyDescent="0.2">
      <c r="A2768" s="29">
        <v>43820</v>
      </c>
      <c r="B2768" s="30">
        <f>VLOOKUP(A2768,'Database Claims'!$A:$C,3,)</f>
        <v>218000</v>
      </c>
      <c r="C2768" s="30">
        <f t="shared" si="86"/>
        <v>-9000</v>
      </c>
      <c r="D2768" s="30">
        <f>VLOOKUP(A2768,'Database Claims'!$A:$C,2,)</f>
        <v>1725000</v>
      </c>
      <c r="E2768" s="30">
        <f t="shared" si="87"/>
        <v>7000</v>
      </c>
    </row>
    <row r="2769" spans="1:5" s="60" customFormat="1" x14ac:dyDescent="0.2">
      <c r="A2769" s="29">
        <v>43827</v>
      </c>
      <c r="B2769" s="26">
        <f>VLOOKUP(A2769,'Database Claims'!$A:$C,3,)</f>
        <v>218000</v>
      </c>
      <c r="C2769" s="30">
        <f t="shared" si="86"/>
        <v>0</v>
      </c>
      <c r="D2769" s="26">
        <f>VLOOKUP(A2769,'Database Claims'!$A:$C,2,)</f>
        <v>1779000</v>
      </c>
      <c r="E2769" s="30">
        <f t="shared" si="87"/>
        <v>54000</v>
      </c>
    </row>
    <row r="2770" spans="1:5" s="60" customFormat="1" x14ac:dyDescent="0.2">
      <c r="A2770" s="29">
        <v>43834</v>
      </c>
      <c r="B2770" s="30">
        <f>VLOOKUP(A2770,'Database Claims'!$A:$C,3,)</f>
        <v>210000</v>
      </c>
      <c r="C2770" s="30">
        <f t="shared" si="86"/>
        <v>-8000</v>
      </c>
      <c r="D2770" s="30">
        <f>VLOOKUP(A2770,'Database Claims'!$A:$C,2,)</f>
        <v>1766000</v>
      </c>
      <c r="E2770" s="30">
        <f t="shared" si="87"/>
        <v>-13000</v>
      </c>
    </row>
    <row r="2771" spans="1:5" s="60" customFormat="1" x14ac:dyDescent="0.2">
      <c r="A2771" s="29">
        <v>43841</v>
      </c>
      <c r="B2771" s="26">
        <f>VLOOKUP(A2771,'Database Claims'!$A:$C,3,)</f>
        <v>206000</v>
      </c>
      <c r="C2771" s="30">
        <f t="shared" si="86"/>
        <v>-4000</v>
      </c>
      <c r="D2771" s="26">
        <f>VLOOKUP(A2771,'Database Claims'!$A:$C,2,)</f>
        <v>1739000</v>
      </c>
      <c r="E2771" s="30">
        <f t="shared" si="87"/>
        <v>-27000</v>
      </c>
    </row>
    <row r="2772" spans="1:5" s="60" customFormat="1" x14ac:dyDescent="0.2">
      <c r="A2772" s="29">
        <v>43848</v>
      </c>
      <c r="B2772" s="30">
        <f>VLOOKUP(A2772,'Database Claims'!$A:$C,3,)</f>
        <v>219000</v>
      </c>
      <c r="C2772" s="30">
        <f t="shared" si="86"/>
        <v>13000</v>
      </c>
      <c r="D2772" s="30">
        <f>VLOOKUP(A2772,'Database Claims'!$A:$C,2,)</f>
        <v>1709000</v>
      </c>
      <c r="E2772" s="30">
        <f t="shared" si="87"/>
        <v>-30000</v>
      </c>
    </row>
    <row r="2773" spans="1:5" s="60" customFormat="1" x14ac:dyDescent="0.2">
      <c r="A2773" s="29">
        <v>43855</v>
      </c>
      <c r="B2773" s="26">
        <f>VLOOKUP(A2773,'Database Claims'!$A:$C,3,)</f>
        <v>210000</v>
      </c>
      <c r="C2773" s="30">
        <f t="shared" si="86"/>
        <v>-9000</v>
      </c>
      <c r="D2773" s="26">
        <f>VLOOKUP(A2773,'Database Claims'!$A:$C,2,)</f>
        <v>1752000</v>
      </c>
      <c r="E2773" s="30">
        <f t="shared" si="87"/>
        <v>43000</v>
      </c>
    </row>
    <row r="2774" spans="1:5" s="60" customFormat="1" x14ac:dyDescent="0.2">
      <c r="A2774" s="29">
        <v>43862</v>
      </c>
      <c r="B2774" s="30">
        <f>VLOOKUP(A2774,'Database Claims'!$A:$C,3,)</f>
        <v>205000</v>
      </c>
      <c r="C2774" s="30">
        <f t="shared" si="86"/>
        <v>-5000</v>
      </c>
      <c r="D2774" s="30">
        <f>VLOOKUP(A2774,'Database Claims'!$A:$C,2,)</f>
        <v>1698000</v>
      </c>
      <c r="E2774" s="30">
        <f t="shared" si="87"/>
        <v>-54000</v>
      </c>
    </row>
    <row r="2775" spans="1:5" s="60" customFormat="1" x14ac:dyDescent="0.2">
      <c r="A2775" s="29">
        <v>43869</v>
      </c>
      <c r="B2775" s="26">
        <f>VLOOKUP(A2775,'Database Claims'!$A:$C,3,)</f>
        <v>207000</v>
      </c>
      <c r="C2775" s="30">
        <f t="shared" si="86"/>
        <v>2000</v>
      </c>
      <c r="D2775" s="26">
        <f>VLOOKUP(A2775,'Database Claims'!$A:$C,2,)</f>
        <v>1734000</v>
      </c>
      <c r="E2775" s="30">
        <f t="shared" si="87"/>
        <v>36000</v>
      </c>
    </row>
    <row r="2776" spans="1:5" s="60" customFormat="1" x14ac:dyDescent="0.2">
      <c r="A2776" s="29">
        <v>43876</v>
      </c>
      <c r="B2776" s="30">
        <f>VLOOKUP(A2776,'Database Claims'!$A:$C,3,)</f>
        <v>215000</v>
      </c>
      <c r="C2776" s="30">
        <f t="shared" si="86"/>
        <v>8000</v>
      </c>
      <c r="D2776" s="30">
        <f>VLOOKUP(A2776,'Database Claims'!$A:$C,2,)</f>
        <v>1705000</v>
      </c>
      <c r="E2776" s="30">
        <f t="shared" si="87"/>
        <v>-29000</v>
      </c>
    </row>
    <row r="2777" spans="1:5" s="60" customFormat="1" x14ac:dyDescent="0.2">
      <c r="A2777" s="29">
        <v>43883</v>
      </c>
      <c r="B2777" s="26">
        <f>VLOOKUP(A2777,'Database Claims'!$A:$C,3,)</f>
        <v>218000</v>
      </c>
      <c r="C2777" s="30">
        <f t="shared" si="86"/>
        <v>3000</v>
      </c>
      <c r="D2777" s="26">
        <f>VLOOKUP(A2777,'Database Claims'!$A:$C,2,)</f>
        <v>1730000</v>
      </c>
      <c r="E2777" s="30">
        <f t="shared" si="87"/>
        <v>25000</v>
      </c>
    </row>
    <row r="2778" spans="1:5" s="60" customFormat="1" x14ac:dyDescent="0.2">
      <c r="A2778" s="29">
        <v>43890</v>
      </c>
      <c r="B2778" s="30">
        <f>VLOOKUP(A2778,'Database Claims'!$A:$C,3,)</f>
        <v>216000</v>
      </c>
      <c r="C2778" s="30">
        <f t="shared" si="86"/>
        <v>-2000</v>
      </c>
      <c r="D2778" s="30">
        <f>VLOOKUP(A2778,'Database Claims'!$A:$C,2,)</f>
        <v>1708000</v>
      </c>
      <c r="E2778" s="30">
        <f t="shared" si="87"/>
        <v>-22000</v>
      </c>
    </row>
    <row r="2779" spans="1:5" s="60" customFormat="1" x14ac:dyDescent="0.2">
      <c r="A2779" s="29">
        <v>43897</v>
      </c>
      <c r="B2779" s="26">
        <f>VLOOKUP(A2779,'Database Claims'!$A:$C,3,)</f>
        <v>212000</v>
      </c>
      <c r="C2779" s="30">
        <f t="shared" si="86"/>
        <v>-4000</v>
      </c>
      <c r="D2779" s="26">
        <f>VLOOKUP(A2779,'Database Claims'!$A:$C,2,)</f>
        <v>1715000</v>
      </c>
      <c r="E2779" s="30">
        <f t="shared" si="87"/>
        <v>7000</v>
      </c>
    </row>
    <row r="2780" spans="1:5" s="60" customFormat="1" x14ac:dyDescent="0.2">
      <c r="A2780" s="29">
        <v>43904</v>
      </c>
      <c r="B2780" s="30">
        <f>VLOOKUP(A2780,'Database Claims'!$A:$C,3,)</f>
        <v>256000</v>
      </c>
      <c r="C2780" s="30">
        <f t="shared" si="86"/>
        <v>44000</v>
      </c>
      <c r="D2780" s="30">
        <f>VLOOKUP(A2780,'Database Claims'!$A:$C,2,)</f>
        <v>1770000</v>
      </c>
      <c r="E2780" s="30">
        <f t="shared" si="87"/>
        <v>55000</v>
      </c>
    </row>
    <row r="2781" spans="1:5" s="60" customFormat="1" x14ac:dyDescent="0.2">
      <c r="A2781" s="29">
        <v>43911</v>
      </c>
      <c r="B2781" s="26">
        <f>VLOOKUP(A2781,'Database Claims'!$A:$C,3,)</f>
        <v>2923000</v>
      </c>
      <c r="C2781" s="30">
        <f t="shared" si="86"/>
        <v>2667000</v>
      </c>
      <c r="D2781" s="26">
        <f>VLOOKUP(A2781,'Database Claims'!$A:$C,2,)</f>
        <v>3094000</v>
      </c>
      <c r="E2781" s="30">
        <f t="shared" si="87"/>
        <v>1324000</v>
      </c>
    </row>
    <row r="2782" spans="1:5" s="60" customFormat="1" x14ac:dyDescent="0.2">
      <c r="A2782" s="29">
        <v>43918</v>
      </c>
      <c r="B2782" s="30">
        <f>VLOOKUP(A2782,'Database Claims'!$A:$C,3,)</f>
        <v>5985000</v>
      </c>
      <c r="C2782" s="30">
        <f t="shared" si="86"/>
        <v>3062000</v>
      </c>
      <c r="D2782" s="30">
        <f>VLOOKUP(A2782,'Database Claims'!$A:$C,2,)</f>
        <v>7868000</v>
      </c>
      <c r="E2782" s="30">
        <f t="shared" si="87"/>
        <v>4774000</v>
      </c>
    </row>
    <row r="2783" spans="1:5" s="60" customFormat="1" x14ac:dyDescent="0.2">
      <c r="A2783" s="29">
        <v>43925</v>
      </c>
      <c r="B2783" s="26">
        <f>VLOOKUP(A2783,'Database Claims'!$A:$C,3,)</f>
        <v>6149000</v>
      </c>
      <c r="C2783" s="30">
        <f t="shared" si="86"/>
        <v>164000</v>
      </c>
      <c r="D2783" s="26">
        <f>VLOOKUP(A2783,'Database Claims'!$A:$C,2,)</f>
        <v>12261000</v>
      </c>
      <c r="E2783" s="30">
        <f t="shared" si="87"/>
        <v>4393000</v>
      </c>
    </row>
    <row r="2784" spans="1:5" s="60" customFormat="1" x14ac:dyDescent="0.2">
      <c r="A2784" s="29">
        <v>43932</v>
      </c>
      <c r="B2784" s="30">
        <f>VLOOKUP(A2784,'Database Claims'!$A:$C,3,)</f>
        <v>4869000</v>
      </c>
      <c r="C2784" s="30">
        <f t="shared" si="86"/>
        <v>-1280000</v>
      </c>
      <c r="D2784" s="30">
        <f>VLOOKUP(A2784,'Database Claims'!$A:$C,2,)</f>
        <v>16070000</v>
      </c>
      <c r="E2784" s="30">
        <f t="shared" si="87"/>
        <v>3809000</v>
      </c>
    </row>
    <row r="2785" spans="1:5" s="60" customFormat="1" x14ac:dyDescent="0.2">
      <c r="A2785" s="29">
        <v>43939</v>
      </c>
      <c r="B2785" s="26">
        <f>VLOOKUP(A2785,'Database Claims'!$A:$C,3,)</f>
        <v>4202000</v>
      </c>
      <c r="C2785" s="30">
        <f t="shared" si="86"/>
        <v>-667000</v>
      </c>
      <c r="D2785" s="26">
        <f>VLOOKUP(A2785,'Database Claims'!$A:$C,2,)</f>
        <v>17656000</v>
      </c>
      <c r="E2785" s="30">
        <f t="shared" si="87"/>
        <v>1586000</v>
      </c>
    </row>
    <row r="2786" spans="1:5" s="60" customFormat="1" x14ac:dyDescent="0.2">
      <c r="A2786" s="29">
        <v>43946</v>
      </c>
      <c r="B2786" s="30">
        <f>VLOOKUP(A2786,'Database Claims'!$A:$C,3,)</f>
        <v>3451000</v>
      </c>
      <c r="C2786" s="30">
        <f t="shared" si="86"/>
        <v>-751000</v>
      </c>
      <c r="D2786" s="30">
        <f>VLOOKUP(A2786,'Database Claims'!$A:$C,2,)</f>
        <v>21664000</v>
      </c>
      <c r="E2786" s="30">
        <f t="shared" si="87"/>
        <v>4008000</v>
      </c>
    </row>
    <row r="2787" spans="1:5" s="60" customFormat="1" x14ac:dyDescent="0.2">
      <c r="A2787" s="29">
        <v>43953</v>
      </c>
      <c r="B2787" s="26">
        <f>VLOOKUP(A2787,'Database Claims'!$A:$C,3,)</f>
        <v>2784000</v>
      </c>
      <c r="C2787" s="30">
        <f t="shared" si="86"/>
        <v>-667000</v>
      </c>
      <c r="D2787" s="26">
        <f>VLOOKUP(A2787,'Database Claims'!$A:$C,2,)</f>
        <v>20823000</v>
      </c>
      <c r="E2787" s="30">
        <f t="shared" si="87"/>
        <v>-841000</v>
      </c>
    </row>
    <row r="2788" spans="1:5" s="60" customFormat="1" x14ac:dyDescent="0.2">
      <c r="A2788" s="29">
        <v>43960</v>
      </c>
      <c r="B2788" s="30">
        <f>VLOOKUP(A2788,'Database Claims'!$A:$C,3,)</f>
        <v>2315000</v>
      </c>
      <c r="C2788" s="30">
        <f t="shared" si="86"/>
        <v>-469000</v>
      </c>
      <c r="D2788" s="30">
        <f>VLOOKUP(A2788,'Database Claims'!$A:$C,2,)</f>
        <v>23128000</v>
      </c>
      <c r="E2788" s="30">
        <f t="shared" si="87"/>
        <v>2305000</v>
      </c>
    </row>
    <row r="2789" spans="1:5" s="60" customFormat="1" x14ac:dyDescent="0.2">
      <c r="A2789" s="29">
        <v>43967</v>
      </c>
      <c r="B2789" s="26">
        <f>VLOOKUP(A2789,'Database Claims'!$A:$C,3,)</f>
        <v>2149000</v>
      </c>
      <c r="C2789" s="30">
        <f t="shared" si="86"/>
        <v>-166000</v>
      </c>
      <c r="D2789" s="26">
        <f>VLOOKUP(A2789,'Database Claims'!$A:$C,2,)</f>
        <v>19181000</v>
      </c>
      <c r="E2789" s="30">
        <f t="shared" si="87"/>
        <v>-3947000</v>
      </c>
    </row>
    <row r="2790" spans="1:5" s="60" customFormat="1" x14ac:dyDescent="0.2">
      <c r="A2790" s="29">
        <v>43974</v>
      </c>
      <c r="B2790" s="30">
        <f>VLOOKUP(A2790,'Database Claims'!$A:$C,3,)</f>
        <v>1887000</v>
      </c>
      <c r="C2790" s="30">
        <f t="shared" si="86"/>
        <v>-262000</v>
      </c>
      <c r="D2790" s="30">
        <f>VLOOKUP(A2790,'Database Claims'!$A:$C,2,)</f>
        <v>19396000</v>
      </c>
      <c r="E2790" s="30">
        <f t="shared" si="87"/>
        <v>215000</v>
      </c>
    </row>
    <row r="2791" spans="1:5" s="60" customFormat="1" x14ac:dyDescent="0.2">
      <c r="A2791" s="29">
        <v>43981</v>
      </c>
      <c r="B2791" s="26">
        <f>VLOOKUP(A2791,'Database Claims'!$A:$C,3,)</f>
        <v>1605000</v>
      </c>
      <c r="C2791" s="30">
        <f t="shared" si="86"/>
        <v>-282000</v>
      </c>
      <c r="D2791" s="26">
        <f>VLOOKUP(A2791,'Database Claims'!$A:$C,2,)</f>
        <v>19287000</v>
      </c>
      <c r="E2791" s="30">
        <f t="shared" si="87"/>
        <v>-109000</v>
      </c>
    </row>
    <row r="2792" spans="1:5" s="60" customFormat="1" x14ac:dyDescent="0.2">
      <c r="A2792" s="29">
        <v>43988</v>
      </c>
      <c r="B2792" s="30">
        <f>VLOOKUP(A2792,'Database Claims'!$A:$C,3,)</f>
        <v>1537000</v>
      </c>
      <c r="C2792" s="30">
        <f t="shared" si="86"/>
        <v>-68000</v>
      </c>
      <c r="D2792" s="30">
        <f>VLOOKUP(A2792,'Database Claims'!$A:$C,2,)</f>
        <v>18927000</v>
      </c>
      <c r="E2792" s="30">
        <f t="shared" si="87"/>
        <v>-360000</v>
      </c>
    </row>
    <row r="2793" spans="1:5" s="60" customFormat="1" x14ac:dyDescent="0.2">
      <c r="A2793" s="29">
        <v>43995</v>
      </c>
      <c r="B2793" s="26">
        <f>VLOOKUP(A2793,'Database Claims'!$A:$C,3,)</f>
        <v>1472000</v>
      </c>
      <c r="C2793" s="30">
        <f t="shared" si="86"/>
        <v>-65000</v>
      </c>
      <c r="D2793" s="26">
        <f>VLOOKUP(A2793,'Database Claims'!$A:$C,2,)</f>
        <v>17993000</v>
      </c>
      <c r="E2793" s="30">
        <f t="shared" si="87"/>
        <v>-934000</v>
      </c>
    </row>
    <row r="2794" spans="1:5" s="60" customFormat="1" x14ac:dyDescent="0.2">
      <c r="A2794" s="29">
        <v>44002</v>
      </c>
      <c r="B2794" s="30">
        <f>VLOOKUP(A2794,'Database Claims'!$A:$C,3,)</f>
        <v>1460000</v>
      </c>
      <c r="C2794" s="30">
        <f t="shared" si="86"/>
        <v>-12000</v>
      </c>
      <c r="D2794" s="30">
        <f>VLOOKUP(A2794,'Database Claims'!$A:$C,2,)</f>
        <v>17713000</v>
      </c>
      <c r="E2794" s="30">
        <f t="shared" si="87"/>
        <v>-280000</v>
      </c>
    </row>
    <row r="2795" spans="1:5" s="60" customFormat="1" x14ac:dyDescent="0.2">
      <c r="A2795" s="29">
        <v>44009</v>
      </c>
      <c r="B2795" s="26">
        <f>VLOOKUP(A2795,'Database Claims'!$A:$C,3,)</f>
        <v>1436000</v>
      </c>
      <c r="C2795" s="30">
        <f t="shared" si="86"/>
        <v>-24000</v>
      </c>
      <c r="D2795" s="26">
        <f>VLOOKUP(A2795,'Database Claims'!$A:$C,2,)</f>
        <v>16780000</v>
      </c>
      <c r="E2795" s="30">
        <f t="shared" si="87"/>
        <v>-933000</v>
      </c>
    </row>
    <row r="2796" spans="1:5" s="60" customFormat="1" x14ac:dyDescent="0.2">
      <c r="A2796" s="29">
        <v>44016</v>
      </c>
      <c r="B2796" s="30">
        <f>VLOOKUP(A2796,'Database Claims'!$A:$C,3,)</f>
        <v>1398000</v>
      </c>
      <c r="C2796" s="30">
        <f t="shared" si="86"/>
        <v>-38000</v>
      </c>
      <c r="D2796" s="30">
        <f>VLOOKUP(A2796,'Database Claims'!$A:$C,2,)</f>
        <v>17413000</v>
      </c>
      <c r="E2796" s="30">
        <f t="shared" si="87"/>
        <v>633000</v>
      </c>
    </row>
    <row r="2797" spans="1:5" s="60" customFormat="1" x14ac:dyDescent="0.2">
      <c r="A2797" s="29">
        <v>44023</v>
      </c>
      <c r="B2797" s="26">
        <f>VLOOKUP(A2797,'Database Claims'!$A:$C,3,)</f>
        <v>1479000</v>
      </c>
      <c r="C2797" s="30">
        <f t="shared" si="86"/>
        <v>81000</v>
      </c>
      <c r="D2797" s="26">
        <f>VLOOKUP(A2797,'Database Claims'!$A:$C,2,)</f>
        <v>16385000</v>
      </c>
      <c r="E2797" s="30">
        <f t="shared" si="87"/>
        <v>-1028000</v>
      </c>
    </row>
    <row r="2798" spans="1:5" s="60" customFormat="1" x14ac:dyDescent="0.2">
      <c r="A2798" s="29">
        <v>44030</v>
      </c>
      <c r="B2798" s="30">
        <f>VLOOKUP(A2798,'Database Claims'!$A:$C,3,)</f>
        <v>1398000</v>
      </c>
      <c r="C2798" s="30">
        <f t="shared" si="86"/>
        <v>-81000</v>
      </c>
      <c r="D2798" s="30">
        <f>VLOOKUP(A2798,'Database Claims'!$A:$C,2,)</f>
        <v>16913000</v>
      </c>
      <c r="E2798" s="30">
        <f t="shared" si="87"/>
        <v>528000</v>
      </c>
    </row>
    <row r="2799" spans="1:5" s="60" customFormat="1" x14ac:dyDescent="0.2">
      <c r="A2799" s="29">
        <v>44037</v>
      </c>
      <c r="B2799" s="26">
        <f>VLOOKUP(A2799,'Database Claims'!$A:$C,3,)</f>
        <v>1262000</v>
      </c>
      <c r="C2799" s="30">
        <f t="shared" si="86"/>
        <v>-136000</v>
      </c>
      <c r="D2799" s="26">
        <f>VLOOKUP(A2799,'Database Claims'!$A:$C,2,)</f>
        <v>15964000</v>
      </c>
      <c r="E2799" s="30">
        <f t="shared" si="87"/>
        <v>-949000</v>
      </c>
    </row>
    <row r="2800" spans="1:5" s="60" customFormat="1" x14ac:dyDescent="0.2">
      <c r="A2800" s="29">
        <v>44044</v>
      </c>
      <c r="B2800" s="30">
        <f>VLOOKUP(A2800,'Database Claims'!$A:$C,3,)</f>
        <v>1043000</v>
      </c>
      <c r="C2800" s="30">
        <f t="shared" si="86"/>
        <v>-219000</v>
      </c>
      <c r="D2800" s="30">
        <f>VLOOKUP(A2800,'Database Claims'!$A:$C,2,)</f>
        <v>15303000</v>
      </c>
      <c r="E2800" s="30">
        <f t="shared" si="87"/>
        <v>-661000</v>
      </c>
    </row>
    <row r="2801" spans="1:5" s="60" customFormat="1" x14ac:dyDescent="0.2">
      <c r="A2801" s="29">
        <v>44051</v>
      </c>
      <c r="B2801" s="26">
        <f>VLOOKUP(A2801,'Database Claims'!$A:$C,3,)</f>
        <v>883000</v>
      </c>
      <c r="C2801" s="30">
        <f t="shared" si="86"/>
        <v>-160000</v>
      </c>
      <c r="D2801" s="26">
        <f>VLOOKUP(A2801,'Database Claims'!$A:$C,2,)</f>
        <v>14217000</v>
      </c>
      <c r="E2801" s="30">
        <f t="shared" si="87"/>
        <v>-1086000</v>
      </c>
    </row>
    <row r="2802" spans="1:5" s="60" customFormat="1" x14ac:dyDescent="0.2">
      <c r="A2802" s="29">
        <v>44058</v>
      </c>
      <c r="B2802" s="30">
        <f>VLOOKUP(A2802,'Database Claims'!$A:$C,3,)</f>
        <v>920000</v>
      </c>
      <c r="C2802" s="30">
        <f t="shared" si="86"/>
        <v>37000</v>
      </c>
      <c r="D2802" s="30">
        <f>VLOOKUP(A2802,'Database Claims'!$A:$C,2,)</f>
        <v>13948000</v>
      </c>
      <c r="E2802" s="30">
        <f t="shared" si="87"/>
        <v>-269000</v>
      </c>
    </row>
    <row r="2803" spans="1:5" s="60" customFormat="1" x14ac:dyDescent="0.2">
      <c r="A2803" s="29">
        <v>44065</v>
      </c>
      <c r="B2803" s="26">
        <f>VLOOKUP(A2803,'Database Claims'!$A:$C,3,)</f>
        <v>872000</v>
      </c>
      <c r="C2803" s="30">
        <f t="shared" si="86"/>
        <v>-48000</v>
      </c>
      <c r="D2803" s="26">
        <f>VLOOKUP(A2803,'Database Claims'!$A:$C,2,)</f>
        <v>13246000</v>
      </c>
      <c r="E2803" s="30">
        <f t="shared" si="87"/>
        <v>-702000</v>
      </c>
    </row>
    <row r="2804" spans="1:5" s="60" customFormat="1" x14ac:dyDescent="0.2">
      <c r="A2804" s="29">
        <v>44072</v>
      </c>
      <c r="B2804" s="30">
        <f>VLOOKUP(A2804,'Database Claims'!$A:$C,3,)</f>
        <v>875000</v>
      </c>
      <c r="C2804" s="30">
        <f t="shared" si="86"/>
        <v>3000</v>
      </c>
      <c r="D2804" s="30">
        <f>VLOOKUP(A2804,'Database Claims'!$A:$C,2,)</f>
        <v>13528000</v>
      </c>
      <c r="E2804" s="30">
        <f t="shared" si="87"/>
        <v>282000</v>
      </c>
    </row>
    <row r="2805" spans="1:5" s="60" customFormat="1" x14ac:dyDescent="0.2">
      <c r="A2805" s="29">
        <v>44079</v>
      </c>
      <c r="B2805" s="26">
        <f>VLOOKUP(A2805,'Database Claims'!$A:$C,3,)</f>
        <v>881000</v>
      </c>
      <c r="C2805" s="30">
        <f t="shared" si="86"/>
        <v>6000</v>
      </c>
      <c r="D2805" s="26">
        <f>VLOOKUP(A2805,'Database Claims'!$A:$C,2,)</f>
        <v>12755000</v>
      </c>
      <c r="E2805" s="30">
        <f t="shared" si="87"/>
        <v>-773000</v>
      </c>
    </row>
    <row r="2806" spans="1:5" s="60" customFormat="1" x14ac:dyDescent="0.2">
      <c r="A2806" s="29">
        <v>44086</v>
      </c>
      <c r="B2806" s="30">
        <f>VLOOKUP(A2806,'Database Claims'!$A:$C,3,)</f>
        <v>860000</v>
      </c>
      <c r="C2806" s="30">
        <f t="shared" si="86"/>
        <v>-21000</v>
      </c>
      <c r="D2806" s="30">
        <f>VLOOKUP(A2806,'Database Claims'!$A:$C,2,)</f>
        <v>12706000</v>
      </c>
      <c r="E2806" s="30">
        <f t="shared" si="87"/>
        <v>-49000</v>
      </c>
    </row>
    <row r="2807" spans="1:5" s="60" customFormat="1" x14ac:dyDescent="0.2">
      <c r="A2807" s="29">
        <v>44093</v>
      </c>
      <c r="B2807" s="26">
        <f>VLOOKUP(A2807,'Database Claims'!$A:$C,3,)</f>
        <v>860000</v>
      </c>
      <c r="C2807" s="30">
        <f t="shared" si="86"/>
        <v>0</v>
      </c>
      <c r="D2807" s="26">
        <f>VLOOKUP(A2807,'Database Claims'!$A:$C,2,)</f>
        <v>11381000</v>
      </c>
      <c r="E2807" s="30">
        <f t="shared" si="87"/>
        <v>-1325000</v>
      </c>
    </row>
    <row r="2808" spans="1:5" s="60" customFormat="1" x14ac:dyDescent="0.2">
      <c r="A2808" s="29">
        <v>44100</v>
      </c>
      <c r="B2808" s="30">
        <f>VLOOKUP(A2808,'Database Claims'!$A:$C,3,)</f>
        <v>803000</v>
      </c>
      <c r="C2808" s="30">
        <f t="shared" si="86"/>
        <v>-57000</v>
      </c>
      <c r="D2808" s="30">
        <f>VLOOKUP(A2808,'Database Claims'!$A:$C,2,)</f>
        <v>10477000</v>
      </c>
      <c r="E2808" s="30">
        <f t="shared" si="87"/>
        <v>-904000</v>
      </c>
    </row>
    <row r="2809" spans="1:5" s="60" customFormat="1" x14ac:dyDescent="0.2">
      <c r="A2809" s="29">
        <v>44107</v>
      </c>
      <c r="B2809" s="26">
        <f>VLOOKUP(A2809,'Database Claims'!$A:$C,3,)</f>
        <v>782000</v>
      </c>
      <c r="C2809" s="30">
        <f t="shared" si="86"/>
        <v>-21000</v>
      </c>
      <c r="D2809" s="26">
        <f>VLOOKUP(A2809,'Database Claims'!$A:$C,2,)</f>
        <v>9259000</v>
      </c>
      <c r="E2809" s="30">
        <f t="shared" si="87"/>
        <v>-1218000</v>
      </c>
    </row>
    <row r="2810" spans="1:5" s="60" customFormat="1" x14ac:dyDescent="0.2">
      <c r="A2810" s="29">
        <v>44114</v>
      </c>
      <c r="B2810" s="30">
        <f>VLOOKUP(A2810,'Database Claims'!$A:$C,3,)</f>
        <v>833000</v>
      </c>
      <c r="C2810" s="30">
        <f t="shared" si="86"/>
        <v>51000</v>
      </c>
      <c r="D2810" s="30">
        <f>VLOOKUP(A2810,'Database Claims'!$A:$C,2,)</f>
        <v>8384000</v>
      </c>
      <c r="E2810" s="30">
        <f t="shared" si="87"/>
        <v>-875000</v>
      </c>
    </row>
    <row r="2811" spans="1:5" s="60" customFormat="1" x14ac:dyDescent="0.2">
      <c r="A2811" s="29">
        <v>44121</v>
      </c>
      <c r="B2811" s="26">
        <f>VLOOKUP(A2811,'Database Claims'!$A:$C,3,)</f>
        <v>798000</v>
      </c>
      <c r="C2811" s="30">
        <f t="shared" si="86"/>
        <v>-35000</v>
      </c>
      <c r="D2811" s="26">
        <f>VLOOKUP(A2811,'Database Claims'!$A:$C,2,)</f>
        <v>7699000</v>
      </c>
      <c r="E2811" s="30">
        <f t="shared" si="87"/>
        <v>-685000</v>
      </c>
    </row>
    <row r="2812" spans="1:5" s="60" customFormat="1" x14ac:dyDescent="0.2">
      <c r="A2812" s="29">
        <v>44128</v>
      </c>
      <c r="B2812" s="30">
        <f>VLOOKUP(A2812,'Database Claims'!$A:$C,3,)</f>
        <v>768000</v>
      </c>
      <c r="C2812" s="30">
        <f t="shared" si="86"/>
        <v>-30000</v>
      </c>
      <c r="D2812" s="30">
        <f>VLOOKUP(A2812,'Database Claims'!$A:$C,2,)</f>
        <v>7076000</v>
      </c>
      <c r="E2812" s="30">
        <f t="shared" si="87"/>
        <v>-623000</v>
      </c>
    </row>
    <row r="2813" spans="1:5" s="60" customFormat="1" x14ac:dyDescent="0.2">
      <c r="A2813" s="29">
        <v>44135</v>
      </c>
      <c r="B2813" s="26">
        <f>VLOOKUP(A2813,'Database Claims'!$A:$C,3,)</f>
        <v>765000</v>
      </c>
      <c r="C2813" s="30">
        <f t="shared" si="86"/>
        <v>-3000</v>
      </c>
      <c r="D2813" s="26">
        <f>VLOOKUP(A2813,'Database Claims'!$A:$C,2,)</f>
        <v>6724000</v>
      </c>
      <c r="E2813" s="30">
        <f t="shared" si="87"/>
        <v>-352000</v>
      </c>
    </row>
    <row r="2814" spans="1:5" s="60" customFormat="1" x14ac:dyDescent="0.2">
      <c r="A2814" s="29">
        <v>44142</v>
      </c>
      <c r="B2814" s="30">
        <f>VLOOKUP(A2814,'Database Claims'!$A:$C,3,)</f>
        <v>728000</v>
      </c>
      <c r="C2814" s="30">
        <f t="shared" si="86"/>
        <v>-37000</v>
      </c>
      <c r="D2814" s="30">
        <f>VLOOKUP(A2814,'Database Claims'!$A:$C,2,)</f>
        <v>6389000</v>
      </c>
      <c r="E2814" s="30">
        <f t="shared" si="87"/>
        <v>-335000</v>
      </c>
    </row>
    <row r="2815" spans="1:5" s="60" customFormat="1" x14ac:dyDescent="0.2">
      <c r="A2815" s="29">
        <v>44149</v>
      </c>
      <c r="B2815" s="26">
        <f>VLOOKUP(A2815,'Database Claims'!$A:$C,3,)</f>
        <v>732000</v>
      </c>
      <c r="C2815" s="30">
        <f t="shared" si="86"/>
        <v>4000</v>
      </c>
      <c r="D2815" s="26">
        <f>VLOOKUP(A2815,'Database Claims'!$A:$C,2,)</f>
        <v>6138000</v>
      </c>
      <c r="E2815" s="30">
        <f t="shared" si="87"/>
        <v>-251000</v>
      </c>
    </row>
    <row r="2816" spans="1:5" s="60" customFormat="1" x14ac:dyDescent="0.2">
      <c r="A2816" s="29">
        <v>44156</v>
      </c>
      <c r="B2816" s="30">
        <f>VLOOKUP(A2816,'Database Claims'!$A:$C,3,)</f>
        <v>762000</v>
      </c>
      <c r="C2816" s="30">
        <f t="shared" si="86"/>
        <v>30000</v>
      </c>
      <c r="D2816" s="30">
        <f>VLOOKUP(A2816,'Database Claims'!$A:$C,2,)</f>
        <v>5606000</v>
      </c>
      <c r="E2816" s="30">
        <f t="shared" si="87"/>
        <v>-532000</v>
      </c>
    </row>
    <row r="2817" spans="1:5" s="60" customFormat="1" x14ac:dyDescent="0.2">
      <c r="A2817" s="29">
        <v>44163</v>
      </c>
      <c r="B2817" s="26">
        <f>VLOOKUP(A2817,'Database Claims'!$A:$C,3,)</f>
        <v>719000</v>
      </c>
      <c r="C2817" s="30">
        <f t="shared" si="86"/>
        <v>-43000</v>
      </c>
      <c r="D2817" s="26">
        <f>VLOOKUP(A2817,'Database Claims'!$A:$C,2,)</f>
        <v>5829000</v>
      </c>
      <c r="E2817" s="30">
        <f t="shared" si="87"/>
        <v>223000</v>
      </c>
    </row>
    <row r="2818" spans="1:5" s="60" customFormat="1" x14ac:dyDescent="0.2">
      <c r="A2818" s="29">
        <v>44170</v>
      </c>
      <c r="B2818" s="30">
        <f>VLOOKUP(A2818,'Database Claims'!$A:$C,3,)</f>
        <v>853000</v>
      </c>
      <c r="C2818" s="30">
        <f t="shared" si="86"/>
        <v>134000</v>
      </c>
      <c r="D2818" s="30">
        <f>VLOOKUP(A2818,'Database Claims'!$A:$C,2,)</f>
        <v>5614000</v>
      </c>
      <c r="E2818" s="30">
        <f t="shared" si="87"/>
        <v>-215000</v>
      </c>
    </row>
    <row r="2819" spans="1:5" s="60" customFormat="1" x14ac:dyDescent="0.2">
      <c r="A2819" s="29">
        <v>44177</v>
      </c>
      <c r="B2819" s="26">
        <f>VLOOKUP(A2819,'Database Claims'!$A:$C,3,)</f>
        <v>873000</v>
      </c>
      <c r="C2819" s="30">
        <f t="shared" si="86"/>
        <v>20000</v>
      </c>
      <c r="D2819" s="26">
        <f>VLOOKUP(A2819,'Database Claims'!$A:$C,2,)</f>
        <v>5433000</v>
      </c>
      <c r="E2819" s="30">
        <f t="shared" si="87"/>
        <v>-181000</v>
      </c>
    </row>
    <row r="2820" spans="1:5" s="60" customFormat="1" x14ac:dyDescent="0.2">
      <c r="A2820" s="29">
        <v>44184</v>
      </c>
      <c r="B2820" s="30">
        <f>VLOOKUP(A2820,'Database Claims'!$A:$C,3,)</f>
        <v>803000</v>
      </c>
      <c r="C2820" s="30">
        <f t="shared" si="86"/>
        <v>-70000</v>
      </c>
      <c r="D2820" s="30">
        <f>VLOOKUP(A2820,'Database Claims'!$A:$C,2,)</f>
        <v>5311000</v>
      </c>
      <c r="E2820" s="30">
        <f t="shared" si="87"/>
        <v>-122000</v>
      </c>
    </row>
    <row r="2821" spans="1:5" s="60" customFormat="1" x14ac:dyDescent="0.2">
      <c r="A2821" s="29">
        <v>44191</v>
      </c>
      <c r="B2821" s="26">
        <f>VLOOKUP(A2821,'Database Claims'!$A:$C,3,)</f>
        <v>763000</v>
      </c>
      <c r="C2821" s="30">
        <f t="shared" si="86"/>
        <v>-40000</v>
      </c>
      <c r="D2821" s="26">
        <f>VLOOKUP(A2821,'Database Claims'!$A:$C,2,)</f>
        <v>5180000</v>
      </c>
      <c r="E2821" s="30">
        <f t="shared" si="87"/>
        <v>-131000</v>
      </c>
    </row>
    <row r="2822" spans="1:5" s="60" customFormat="1" x14ac:dyDescent="0.2">
      <c r="A2822" s="29">
        <v>44198</v>
      </c>
      <c r="B2822" s="30">
        <f>VLOOKUP(A2822,'Database Claims'!$A:$C,3,)</f>
        <v>781000</v>
      </c>
      <c r="C2822" s="30">
        <f t="shared" ref="C2822:C2885" si="88">B2822-B2821</f>
        <v>18000</v>
      </c>
      <c r="D2822" s="30">
        <f>VLOOKUP(A2822,'Database Claims'!$A:$C,2,)</f>
        <v>5240000</v>
      </c>
      <c r="E2822" s="30">
        <f t="shared" ref="E2822:E2885" si="89">D2822-D2821</f>
        <v>60000</v>
      </c>
    </row>
    <row r="2823" spans="1:5" s="60" customFormat="1" x14ac:dyDescent="0.2">
      <c r="A2823" s="29">
        <v>44205</v>
      </c>
      <c r="B2823" s="26">
        <f>VLOOKUP(A2823,'Database Claims'!$A:$C,3,)</f>
        <v>904000</v>
      </c>
      <c r="C2823" s="30">
        <f t="shared" si="88"/>
        <v>123000</v>
      </c>
      <c r="D2823" s="26">
        <f>VLOOKUP(A2823,'Database Claims'!$A:$C,2,)</f>
        <v>5061000</v>
      </c>
      <c r="E2823" s="30">
        <f t="shared" si="89"/>
        <v>-179000</v>
      </c>
    </row>
    <row r="2824" spans="1:5" s="60" customFormat="1" x14ac:dyDescent="0.2">
      <c r="A2824" s="29">
        <v>44212</v>
      </c>
      <c r="B2824" s="30">
        <f>VLOOKUP(A2824,'Database Claims'!$A:$C,3,)</f>
        <v>886000</v>
      </c>
      <c r="C2824" s="30">
        <f t="shared" si="88"/>
        <v>-18000</v>
      </c>
      <c r="D2824" s="30">
        <f>VLOOKUP(A2824,'Database Claims'!$A:$C,2,)</f>
        <v>4878000</v>
      </c>
      <c r="E2824" s="30">
        <f t="shared" si="89"/>
        <v>-183000</v>
      </c>
    </row>
    <row r="2825" spans="1:5" s="60" customFormat="1" x14ac:dyDescent="0.2">
      <c r="A2825" s="29">
        <v>44219</v>
      </c>
      <c r="B2825" s="26">
        <f>VLOOKUP(A2825,'Database Claims'!$A:$C,3,)</f>
        <v>836000</v>
      </c>
      <c r="C2825" s="30">
        <f t="shared" si="88"/>
        <v>-50000</v>
      </c>
      <c r="D2825" s="26">
        <f>VLOOKUP(A2825,'Database Claims'!$A:$C,2,)</f>
        <v>4791000</v>
      </c>
      <c r="E2825" s="30">
        <f t="shared" si="89"/>
        <v>-87000</v>
      </c>
    </row>
    <row r="2826" spans="1:5" s="60" customFormat="1" x14ac:dyDescent="0.2">
      <c r="A2826" s="29">
        <v>44226</v>
      </c>
      <c r="B2826" s="30">
        <f>VLOOKUP(A2826,'Database Claims'!$A:$C,3,)</f>
        <v>837000</v>
      </c>
      <c r="C2826" s="30">
        <f t="shared" si="88"/>
        <v>1000</v>
      </c>
      <c r="D2826" s="30">
        <f>VLOOKUP(A2826,'Database Claims'!$A:$C,2,)</f>
        <v>4655000</v>
      </c>
      <c r="E2826" s="30">
        <f t="shared" si="89"/>
        <v>-136000</v>
      </c>
    </row>
    <row r="2827" spans="1:5" s="60" customFormat="1" x14ac:dyDescent="0.2">
      <c r="A2827" s="29">
        <v>44233</v>
      </c>
      <c r="B2827" s="26">
        <f>VLOOKUP(A2827,'Database Claims'!$A:$C,3,)</f>
        <v>863000</v>
      </c>
      <c r="C2827" s="30">
        <f t="shared" si="88"/>
        <v>26000</v>
      </c>
      <c r="D2827" s="26">
        <f>VLOOKUP(A2827,'Database Claims'!$A:$C,2,)</f>
        <v>4592000</v>
      </c>
      <c r="E2827" s="30">
        <f t="shared" si="89"/>
        <v>-63000</v>
      </c>
    </row>
    <row r="2828" spans="1:5" s="60" customFormat="1" x14ac:dyDescent="0.2">
      <c r="A2828" s="29">
        <v>44240</v>
      </c>
      <c r="B2828" s="30">
        <f>VLOOKUP(A2828,'Database Claims'!$A:$C,3,)</f>
        <v>847000</v>
      </c>
      <c r="C2828" s="30">
        <f t="shared" si="88"/>
        <v>-16000</v>
      </c>
      <c r="D2828" s="30">
        <f>VLOOKUP(A2828,'Database Claims'!$A:$C,2,)</f>
        <v>4469000</v>
      </c>
      <c r="E2828" s="30">
        <f t="shared" si="89"/>
        <v>-123000</v>
      </c>
    </row>
    <row r="2829" spans="1:5" s="60" customFormat="1" x14ac:dyDescent="0.2">
      <c r="A2829" s="29">
        <v>44247</v>
      </c>
      <c r="B2829" s="26">
        <f>VLOOKUP(A2829,'Database Claims'!$A:$C,3,)</f>
        <v>747000</v>
      </c>
      <c r="C2829" s="30">
        <f t="shared" si="88"/>
        <v>-100000</v>
      </c>
      <c r="D2829" s="26">
        <f>VLOOKUP(A2829,'Database Claims'!$A:$C,2,)</f>
        <v>4383000</v>
      </c>
      <c r="E2829" s="30">
        <f t="shared" si="89"/>
        <v>-86000</v>
      </c>
    </row>
    <row r="2830" spans="1:5" s="60" customFormat="1" x14ac:dyDescent="0.2">
      <c r="A2830" s="29">
        <v>44254</v>
      </c>
      <c r="B2830" s="30">
        <f>VLOOKUP(A2830,'Database Claims'!$A:$C,3,)</f>
        <v>761000</v>
      </c>
      <c r="C2830" s="30">
        <f t="shared" si="88"/>
        <v>14000</v>
      </c>
      <c r="D2830" s="30">
        <f>VLOOKUP(A2830,'Database Claims'!$A:$C,2,)</f>
        <v>4157000</v>
      </c>
      <c r="E2830" s="30">
        <f t="shared" si="89"/>
        <v>-226000</v>
      </c>
    </row>
    <row r="2831" spans="1:5" s="60" customFormat="1" x14ac:dyDescent="0.2">
      <c r="A2831" s="29">
        <v>44261</v>
      </c>
      <c r="B2831" s="26">
        <f>VLOOKUP(A2831,'Database Claims'!$A:$C,3,)</f>
        <v>734000</v>
      </c>
      <c r="C2831" s="30">
        <f t="shared" si="88"/>
        <v>-27000</v>
      </c>
      <c r="D2831" s="26">
        <f>VLOOKUP(A2831,'Database Claims'!$A:$C,2,)</f>
        <v>4123000</v>
      </c>
      <c r="E2831" s="30">
        <f t="shared" si="89"/>
        <v>-34000</v>
      </c>
    </row>
    <row r="2832" spans="1:5" s="60" customFormat="1" x14ac:dyDescent="0.2">
      <c r="A2832" s="29">
        <v>44268</v>
      </c>
      <c r="B2832" s="30">
        <f>VLOOKUP(A2832,'Database Claims'!$A:$C,3,)</f>
        <v>765000</v>
      </c>
      <c r="C2832" s="30">
        <f t="shared" si="88"/>
        <v>31000</v>
      </c>
      <c r="D2832" s="30">
        <f>VLOOKUP(A2832,'Database Claims'!$A:$C,2,)</f>
        <v>3841000</v>
      </c>
      <c r="E2832" s="30">
        <f t="shared" si="89"/>
        <v>-282000</v>
      </c>
    </row>
    <row r="2833" spans="1:5" s="60" customFormat="1" x14ac:dyDescent="0.2">
      <c r="A2833" s="29">
        <v>44275</v>
      </c>
      <c r="B2833" s="26">
        <f>VLOOKUP(A2833,'Database Claims'!$A:$C,3,)</f>
        <v>658000</v>
      </c>
      <c r="C2833" s="30">
        <f t="shared" si="88"/>
        <v>-107000</v>
      </c>
      <c r="D2833" s="26">
        <f>VLOOKUP(A2833,'Database Claims'!$A:$C,2,)</f>
        <v>3753000</v>
      </c>
      <c r="E2833" s="30">
        <f t="shared" si="89"/>
        <v>-88000</v>
      </c>
    </row>
    <row r="2834" spans="1:5" s="60" customFormat="1" x14ac:dyDescent="0.2">
      <c r="A2834" s="29">
        <v>44282</v>
      </c>
      <c r="B2834" s="30">
        <f>VLOOKUP(A2834,'Database Claims'!$A:$C,3,)</f>
        <v>729000</v>
      </c>
      <c r="C2834" s="30">
        <f t="shared" si="88"/>
        <v>71000</v>
      </c>
      <c r="D2834" s="30">
        <f>VLOOKUP(A2834,'Database Claims'!$A:$C,2,)</f>
        <v>3717000</v>
      </c>
      <c r="E2834" s="30">
        <f t="shared" si="89"/>
        <v>-36000</v>
      </c>
    </row>
    <row r="2835" spans="1:5" s="60" customFormat="1" x14ac:dyDescent="0.2">
      <c r="A2835" s="29">
        <v>44289</v>
      </c>
      <c r="B2835" s="26">
        <f>VLOOKUP(A2835,'Database Claims'!$A:$C,3,)</f>
        <v>742000</v>
      </c>
      <c r="C2835" s="30">
        <f t="shared" si="88"/>
        <v>13000</v>
      </c>
      <c r="D2835" s="26">
        <f>VLOOKUP(A2835,'Database Claims'!$A:$C,2,)</f>
        <v>3708000</v>
      </c>
      <c r="E2835" s="30">
        <f t="shared" si="89"/>
        <v>-9000</v>
      </c>
    </row>
    <row r="2836" spans="1:5" s="60" customFormat="1" x14ac:dyDescent="0.2">
      <c r="A2836" s="29">
        <v>44296</v>
      </c>
      <c r="B2836" s="30">
        <f>VLOOKUP(A2836,'Database Claims'!$A:$C,3,)</f>
        <v>586000</v>
      </c>
      <c r="C2836" s="30">
        <f t="shared" si="88"/>
        <v>-156000</v>
      </c>
      <c r="D2836" s="30">
        <f>VLOOKUP(A2836,'Database Claims'!$A:$C,2,)</f>
        <v>3652000</v>
      </c>
      <c r="E2836" s="30">
        <f t="shared" si="89"/>
        <v>-56000</v>
      </c>
    </row>
    <row r="2837" spans="1:5" s="60" customFormat="1" x14ac:dyDescent="0.2">
      <c r="A2837" s="29">
        <v>44303</v>
      </c>
      <c r="B2837" s="26">
        <f>VLOOKUP(A2837,'Database Claims'!$A:$C,3,)</f>
        <v>566000</v>
      </c>
      <c r="C2837" s="30">
        <f t="shared" si="88"/>
        <v>-20000</v>
      </c>
      <c r="D2837" s="26">
        <f>VLOOKUP(A2837,'Database Claims'!$A:$C,2,)</f>
        <v>3653000</v>
      </c>
      <c r="E2837" s="30">
        <f t="shared" si="89"/>
        <v>1000</v>
      </c>
    </row>
    <row r="2838" spans="1:5" s="60" customFormat="1" x14ac:dyDescent="0.2">
      <c r="A2838" s="29">
        <v>44310</v>
      </c>
      <c r="B2838" s="30">
        <f>VLOOKUP(A2838,'Database Claims'!$A:$C,3,)</f>
        <v>590000</v>
      </c>
      <c r="C2838" s="30">
        <f t="shared" si="88"/>
        <v>24000</v>
      </c>
      <c r="D2838" s="30">
        <f>VLOOKUP(A2838,'Database Claims'!$A:$C,2,)</f>
        <v>3680000</v>
      </c>
      <c r="E2838" s="30">
        <f t="shared" si="89"/>
        <v>27000</v>
      </c>
    </row>
    <row r="2839" spans="1:5" s="60" customFormat="1" x14ac:dyDescent="0.2">
      <c r="A2839" s="29">
        <v>44317</v>
      </c>
      <c r="B2839" s="26">
        <f>VLOOKUP(A2839,'Database Claims'!$A:$C,3,)</f>
        <v>507000</v>
      </c>
      <c r="C2839" s="30">
        <f t="shared" si="88"/>
        <v>-83000</v>
      </c>
      <c r="D2839" s="26">
        <f>VLOOKUP(A2839,'Database Claims'!$A:$C,2,)</f>
        <v>3640000</v>
      </c>
      <c r="E2839" s="30">
        <f t="shared" si="89"/>
        <v>-40000</v>
      </c>
    </row>
    <row r="2840" spans="1:5" s="60" customFormat="1" x14ac:dyDescent="0.2">
      <c r="A2840" s="29">
        <v>44324</v>
      </c>
      <c r="B2840" s="30">
        <f>VLOOKUP(A2840,'Database Claims'!$A:$C,3,)</f>
        <v>478000</v>
      </c>
      <c r="C2840" s="30">
        <f t="shared" si="88"/>
        <v>-29000</v>
      </c>
      <c r="D2840" s="30">
        <f>VLOOKUP(A2840,'Database Claims'!$A:$C,2,)</f>
        <v>3738000</v>
      </c>
      <c r="E2840" s="30">
        <f t="shared" si="89"/>
        <v>98000</v>
      </c>
    </row>
    <row r="2841" spans="1:5" s="60" customFormat="1" x14ac:dyDescent="0.2">
      <c r="A2841" s="29">
        <v>44331</v>
      </c>
      <c r="B2841" s="26">
        <f>VLOOKUP(A2841,'Database Claims'!$A:$C,3,)</f>
        <v>444000</v>
      </c>
      <c r="C2841" s="30">
        <f t="shared" si="88"/>
        <v>-34000</v>
      </c>
      <c r="D2841" s="26">
        <f>VLOOKUP(A2841,'Database Claims'!$A:$C,2,)</f>
        <v>3611000</v>
      </c>
      <c r="E2841" s="30">
        <f t="shared" si="89"/>
        <v>-127000</v>
      </c>
    </row>
    <row r="2842" spans="1:5" s="60" customFormat="1" x14ac:dyDescent="0.2">
      <c r="A2842" s="29">
        <v>44338</v>
      </c>
      <c r="B2842" s="30">
        <f>VLOOKUP(A2842,'Database Claims'!$A:$C,3,)</f>
        <v>405000</v>
      </c>
      <c r="C2842" s="30">
        <f t="shared" si="88"/>
        <v>-39000</v>
      </c>
      <c r="D2842" s="30">
        <f>VLOOKUP(A2842,'Database Claims'!$A:$C,2,)</f>
        <v>3769000</v>
      </c>
      <c r="E2842" s="30">
        <f t="shared" si="89"/>
        <v>158000</v>
      </c>
    </row>
    <row r="2843" spans="1:5" s="60" customFormat="1" x14ac:dyDescent="0.2">
      <c r="A2843" s="29">
        <v>44345</v>
      </c>
      <c r="B2843" s="26">
        <f>VLOOKUP(A2843,'Database Claims'!$A:$C,3,)</f>
        <v>388000</v>
      </c>
      <c r="C2843" s="30">
        <f t="shared" si="88"/>
        <v>-17000</v>
      </c>
      <c r="D2843" s="26">
        <f>VLOOKUP(A2843,'Database Claims'!$A:$C,2,)</f>
        <v>3517000</v>
      </c>
      <c r="E2843" s="30">
        <f t="shared" si="89"/>
        <v>-252000</v>
      </c>
    </row>
    <row r="2844" spans="1:5" s="60" customFormat="1" x14ac:dyDescent="0.2">
      <c r="A2844" s="29">
        <v>44352</v>
      </c>
      <c r="B2844" s="30">
        <f>VLOOKUP(A2844,'Database Claims'!$A:$C,3,)</f>
        <v>374000</v>
      </c>
      <c r="C2844" s="30">
        <f t="shared" si="88"/>
        <v>-14000</v>
      </c>
      <c r="D2844" s="30">
        <f>VLOOKUP(A2844,'Database Claims'!$A:$C,2,)</f>
        <v>3528000</v>
      </c>
      <c r="E2844" s="30">
        <f t="shared" si="89"/>
        <v>11000</v>
      </c>
    </row>
    <row r="2845" spans="1:5" s="60" customFormat="1" x14ac:dyDescent="0.2">
      <c r="A2845" s="29">
        <v>44359</v>
      </c>
      <c r="B2845" s="26">
        <f>VLOOKUP(A2845,'Database Claims'!$A:$C,3,)</f>
        <v>418000</v>
      </c>
      <c r="C2845" s="30">
        <f t="shared" si="88"/>
        <v>44000</v>
      </c>
      <c r="D2845" s="26">
        <f>VLOOKUP(A2845,'Database Claims'!$A:$C,2,)</f>
        <v>3412000</v>
      </c>
      <c r="E2845" s="30">
        <f t="shared" si="89"/>
        <v>-116000</v>
      </c>
    </row>
    <row r="2846" spans="1:5" s="60" customFormat="1" x14ac:dyDescent="0.2">
      <c r="A2846" s="29">
        <v>44366</v>
      </c>
      <c r="B2846" s="30">
        <f>VLOOKUP(A2846,'Database Claims'!$A:$C,3,)</f>
        <v>416000</v>
      </c>
      <c r="C2846" s="30">
        <f t="shared" si="88"/>
        <v>-2000</v>
      </c>
      <c r="D2846" s="30">
        <f>VLOOKUP(A2846,'Database Claims'!$A:$C,2,)</f>
        <v>3484000</v>
      </c>
      <c r="E2846" s="30">
        <f t="shared" si="89"/>
        <v>72000</v>
      </c>
    </row>
    <row r="2847" spans="1:5" s="60" customFormat="1" x14ac:dyDescent="0.2">
      <c r="A2847" s="29">
        <v>44373</v>
      </c>
      <c r="B2847" s="26">
        <f>VLOOKUP(A2847,'Database Claims'!$A:$C,3,)</f>
        <v>368000</v>
      </c>
      <c r="C2847" s="30">
        <f t="shared" si="88"/>
        <v>-48000</v>
      </c>
      <c r="D2847" s="26">
        <f>VLOOKUP(A2847,'Database Claims'!$A:$C,2,)</f>
        <v>3367000</v>
      </c>
      <c r="E2847" s="30">
        <f t="shared" si="89"/>
        <v>-117000</v>
      </c>
    </row>
    <row r="2848" spans="1:5" s="60" customFormat="1" x14ac:dyDescent="0.2">
      <c r="A2848" s="29">
        <v>44380</v>
      </c>
      <c r="B2848" s="30">
        <f>VLOOKUP(A2848,'Database Claims'!$A:$C,3,)</f>
        <v>386000</v>
      </c>
      <c r="C2848" s="30">
        <f t="shared" si="88"/>
        <v>18000</v>
      </c>
      <c r="D2848" s="30">
        <f>VLOOKUP(A2848,'Database Claims'!$A:$C,2,)</f>
        <v>3265000</v>
      </c>
      <c r="E2848" s="30">
        <f t="shared" si="89"/>
        <v>-102000</v>
      </c>
    </row>
    <row r="2849" spans="1:5" s="60" customFormat="1" x14ac:dyDescent="0.2">
      <c r="A2849" s="29">
        <v>44387</v>
      </c>
      <c r="B2849" s="26">
        <f>VLOOKUP(A2849,'Database Claims'!$A:$C,3,)</f>
        <v>368000</v>
      </c>
      <c r="C2849" s="30">
        <f t="shared" si="88"/>
        <v>-18000</v>
      </c>
      <c r="D2849" s="26">
        <f>VLOOKUP(A2849,'Database Claims'!$A:$C,2,)</f>
        <v>3262000</v>
      </c>
      <c r="E2849" s="30">
        <f t="shared" si="89"/>
        <v>-3000</v>
      </c>
    </row>
    <row r="2850" spans="1:5" s="60" customFormat="1" x14ac:dyDescent="0.2">
      <c r="A2850" s="29">
        <v>44394</v>
      </c>
      <c r="B2850" s="30">
        <f>VLOOKUP(A2850,'Database Claims'!$A:$C,3,)</f>
        <v>424000</v>
      </c>
      <c r="C2850" s="30">
        <f t="shared" si="88"/>
        <v>56000</v>
      </c>
      <c r="D2850" s="30">
        <f>VLOOKUP(A2850,'Database Claims'!$A:$C,2,)</f>
        <v>3296000</v>
      </c>
      <c r="E2850" s="30">
        <f t="shared" si="89"/>
        <v>34000</v>
      </c>
    </row>
    <row r="2851" spans="1:5" s="60" customFormat="1" x14ac:dyDescent="0.2">
      <c r="A2851" s="29">
        <v>44401</v>
      </c>
      <c r="B2851" s="26">
        <f>VLOOKUP(A2851,'Database Claims'!$A:$C,3,)</f>
        <v>399000</v>
      </c>
      <c r="C2851" s="30">
        <f t="shared" si="88"/>
        <v>-25000</v>
      </c>
      <c r="D2851" s="26">
        <f>VLOOKUP(A2851,'Database Claims'!$A:$C,2,)</f>
        <v>2980000</v>
      </c>
      <c r="E2851" s="30">
        <f t="shared" si="89"/>
        <v>-316000</v>
      </c>
    </row>
    <row r="2852" spans="1:5" s="60" customFormat="1" x14ac:dyDescent="0.2">
      <c r="A2852" s="29">
        <v>44408</v>
      </c>
      <c r="B2852" s="30">
        <f>VLOOKUP(A2852,'Database Claims'!$A:$C,3,)</f>
        <v>387000</v>
      </c>
      <c r="C2852" s="30">
        <f t="shared" si="88"/>
        <v>-12000</v>
      </c>
      <c r="D2852" s="30">
        <f>VLOOKUP(A2852,'Database Claims'!$A:$C,2,)</f>
        <v>2899000</v>
      </c>
      <c r="E2852" s="30">
        <f t="shared" si="89"/>
        <v>-81000</v>
      </c>
    </row>
    <row r="2853" spans="1:5" s="60" customFormat="1" x14ac:dyDescent="0.2">
      <c r="A2853" s="29">
        <v>44415</v>
      </c>
      <c r="B2853" s="26">
        <f>VLOOKUP(A2853,'Database Claims'!$A:$C,3,)</f>
        <v>377000</v>
      </c>
      <c r="C2853" s="30">
        <f t="shared" si="88"/>
        <v>-10000</v>
      </c>
      <c r="D2853" s="26">
        <f>VLOOKUP(A2853,'Database Claims'!$A:$C,2,)</f>
        <v>2865000</v>
      </c>
      <c r="E2853" s="30">
        <f t="shared" si="89"/>
        <v>-34000</v>
      </c>
    </row>
    <row r="2854" spans="1:5" s="60" customFormat="1" x14ac:dyDescent="0.2">
      <c r="A2854" s="29">
        <v>44422</v>
      </c>
      <c r="B2854" s="30">
        <f>VLOOKUP(A2854,'Database Claims'!$A:$C,3,)</f>
        <v>349000</v>
      </c>
      <c r="C2854" s="30">
        <f t="shared" si="88"/>
        <v>-28000</v>
      </c>
      <c r="D2854" s="30">
        <f>VLOOKUP(A2854,'Database Claims'!$A:$C,2,)</f>
        <v>2908000</v>
      </c>
      <c r="E2854" s="30">
        <f t="shared" si="89"/>
        <v>43000</v>
      </c>
    </row>
    <row r="2855" spans="1:5" s="60" customFormat="1" x14ac:dyDescent="0.2">
      <c r="A2855" s="29">
        <v>44429</v>
      </c>
      <c r="B2855" s="26">
        <f>VLOOKUP(A2855,'Database Claims'!$A:$C,3,)</f>
        <v>354000</v>
      </c>
      <c r="C2855" s="30">
        <f t="shared" si="88"/>
        <v>5000</v>
      </c>
      <c r="D2855" s="26">
        <f>VLOOKUP(A2855,'Database Claims'!$A:$C,2,)</f>
        <v>2805000</v>
      </c>
      <c r="E2855" s="30">
        <f t="shared" si="89"/>
        <v>-103000</v>
      </c>
    </row>
    <row r="2856" spans="1:5" s="60" customFormat="1" x14ac:dyDescent="0.2"/>
    <row r="2857" spans="1:5" s="60" customFormat="1" x14ac:dyDescent="0.2"/>
    <row r="2858" spans="1:5" s="60" customFormat="1" x14ac:dyDescent="0.2"/>
    <row r="2859" spans="1:5" s="60" customFormat="1" x14ac:dyDescent="0.2"/>
    <row r="2860" spans="1:5" s="60" customFormat="1" x14ac:dyDescent="0.2"/>
    <row r="2861" spans="1:5" s="60" customFormat="1" x14ac:dyDescent="0.2"/>
    <row r="2862" spans="1:5" s="60" customFormat="1" x14ac:dyDescent="0.2"/>
    <row r="2863" spans="1:5" s="60" customFormat="1" x14ac:dyDescent="0.2"/>
    <row r="2864" spans="1:5" s="60" customFormat="1" x14ac:dyDescent="0.2"/>
    <row r="2865" s="60" customFormat="1" x14ac:dyDescent="0.2"/>
    <row r="2866" s="60" customFormat="1" x14ac:dyDescent="0.2"/>
    <row r="2867" s="60" customFormat="1" x14ac:dyDescent="0.2"/>
    <row r="2868" s="60" customFormat="1" x14ac:dyDescent="0.2"/>
    <row r="2869" s="60" customFormat="1" x14ac:dyDescent="0.2"/>
    <row r="2870" s="60" customFormat="1" x14ac:dyDescent="0.2"/>
    <row r="2871" s="60" customFormat="1" x14ac:dyDescent="0.2"/>
    <row r="2872" s="60" customFormat="1" x14ac:dyDescent="0.2"/>
    <row r="2873" s="60" customFormat="1" x14ac:dyDescent="0.2"/>
    <row r="2874" s="60" customFormat="1" x14ac:dyDescent="0.2"/>
    <row r="2875" s="60" customFormat="1" x14ac:dyDescent="0.2"/>
    <row r="2876" s="60" customFormat="1" x14ac:dyDescent="0.2"/>
    <row r="2877" s="60" customFormat="1" x14ac:dyDescent="0.2"/>
    <row r="2878" s="60" customFormat="1" x14ac:dyDescent="0.2"/>
    <row r="2879" s="60" customFormat="1" x14ac:dyDescent="0.2"/>
    <row r="2880" s="60" customFormat="1" x14ac:dyDescent="0.2"/>
    <row r="2881" s="60" customFormat="1" x14ac:dyDescent="0.2"/>
    <row r="2882" s="60" customFormat="1" x14ac:dyDescent="0.2"/>
    <row r="2883" s="60" customFormat="1" x14ac:dyDescent="0.2"/>
    <row r="2884" s="60" customFormat="1" x14ac:dyDescent="0.2"/>
    <row r="2885" s="60" customFormat="1" x14ac:dyDescent="0.2"/>
    <row r="2886" s="60" customFormat="1" x14ac:dyDescent="0.2"/>
    <row r="2887" s="60" customFormat="1" x14ac:dyDescent="0.2"/>
    <row r="2888" s="60" customFormat="1" x14ac:dyDescent="0.2"/>
    <row r="2889" s="60" customFormat="1" x14ac:dyDescent="0.2"/>
    <row r="2890" s="60" customFormat="1" x14ac:dyDescent="0.2"/>
    <row r="2891" s="60" customFormat="1" x14ac:dyDescent="0.2"/>
    <row r="2892" s="60" customFormat="1" x14ac:dyDescent="0.2"/>
    <row r="2893" s="60" customFormat="1" x14ac:dyDescent="0.2"/>
    <row r="2894" s="60" customFormat="1" x14ac:dyDescent="0.2"/>
    <row r="2895" s="60" customFormat="1" x14ac:dyDescent="0.2"/>
    <row r="2896" s="60" customFormat="1" x14ac:dyDescent="0.2"/>
    <row r="2897" s="60" customFormat="1" x14ac:dyDescent="0.2"/>
    <row r="2898" s="60" customFormat="1" x14ac:dyDescent="0.2"/>
    <row r="2899" s="60" customFormat="1" x14ac:dyDescent="0.2"/>
    <row r="2900" s="60" customFormat="1" x14ac:dyDescent="0.2"/>
    <row r="2901" s="60" customFormat="1" x14ac:dyDescent="0.2"/>
    <row r="2902" s="60" customFormat="1" x14ac:dyDescent="0.2"/>
    <row r="2903" s="60" customFormat="1" x14ac:dyDescent="0.2"/>
    <row r="2904" s="60" customFormat="1" x14ac:dyDescent="0.2"/>
    <row r="2905" s="60" customFormat="1" x14ac:dyDescent="0.2"/>
    <row r="2906" s="60" customFormat="1" x14ac:dyDescent="0.2"/>
    <row r="2907" s="60" customFormat="1" x14ac:dyDescent="0.2"/>
    <row r="2908" s="60" customFormat="1" x14ac:dyDescent="0.2"/>
    <row r="2909" s="60" customFormat="1" x14ac:dyDescent="0.2"/>
    <row r="2910" s="60" customFormat="1" x14ac:dyDescent="0.2"/>
    <row r="2911" s="60" customFormat="1" x14ac:dyDescent="0.2"/>
    <row r="2912" s="60" customFormat="1" x14ac:dyDescent="0.2"/>
    <row r="2913" s="60" customFormat="1" x14ac:dyDescent="0.2"/>
    <row r="2914" s="60" customFormat="1" x14ac:dyDescent="0.2"/>
    <row r="2915" s="60" customFormat="1" x14ac:dyDescent="0.2"/>
    <row r="2916" s="60" customFormat="1" x14ac:dyDescent="0.2"/>
    <row r="2917" s="60" customFormat="1" x14ac:dyDescent="0.2"/>
    <row r="2918" s="60" customFormat="1" x14ac:dyDescent="0.2"/>
    <row r="2919" s="60" customFormat="1" x14ac:dyDescent="0.2"/>
    <row r="2920" s="60" customFormat="1" x14ac:dyDescent="0.2"/>
    <row r="2921" s="60" customFormat="1" x14ac:dyDescent="0.2"/>
    <row r="2922" s="60" customFormat="1" x14ac:dyDescent="0.2"/>
    <row r="2923" s="60" customFormat="1" x14ac:dyDescent="0.2"/>
    <row r="2924" s="60" customFormat="1" x14ac:dyDescent="0.2"/>
    <row r="2925" s="60" customFormat="1" x14ac:dyDescent="0.2"/>
    <row r="2926" s="60" customFormat="1" x14ac:dyDescent="0.2"/>
    <row r="2927" s="60" customFormat="1" x14ac:dyDescent="0.2"/>
    <row r="2928" s="60" customFormat="1" x14ac:dyDescent="0.2"/>
    <row r="2929" s="60" customFormat="1" x14ac:dyDescent="0.2"/>
    <row r="2930" s="60" customFormat="1" x14ac:dyDescent="0.2"/>
    <row r="2931" s="60" customFormat="1" x14ac:dyDescent="0.2"/>
    <row r="2932" s="60" customFormat="1" x14ac:dyDescent="0.2"/>
    <row r="2933" s="60" customFormat="1" x14ac:dyDescent="0.2"/>
    <row r="2934" s="60" customFormat="1" x14ac:dyDescent="0.2"/>
    <row r="2935" s="60" customFormat="1" x14ac:dyDescent="0.2"/>
    <row r="2936" s="60" customFormat="1" x14ac:dyDescent="0.2"/>
    <row r="2937" s="60" customFormat="1" x14ac:dyDescent="0.2"/>
    <row r="2938" s="60" customFormat="1" x14ac:dyDescent="0.2"/>
    <row r="2939" s="60" customFormat="1" x14ac:dyDescent="0.2"/>
    <row r="2940" s="60" customFormat="1" x14ac:dyDescent="0.2"/>
    <row r="2941" s="60" customFormat="1" x14ac:dyDescent="0.2"/>
    <row r="2942" s="60" customFormat="1" x14ac:dyDescent="0.2"/>
    <row r="2943" s="60" customFormat="1" x14ac:dyDescent="0.2"/>
    <row r="2944" s="60" customFormat="1" x14ac:dyDescent="0.2"/>
    <row r="2945" s="60" customFormat="1" x14ac:dyDescent="0.2"/>
    <row r="2946" s="60" customFormat="1" x14ac:dyDescent="0.2"/>
    <row r="2947" s="60" customFormat="1" x14ac:dyDescent="0.2"/>
    <row r="2948" s="60" customFormat="1" x14ac:dyDescent="0.2"/>
    <row r="2949" s="60" customFormat="1" x14ac:dyDescent="0.2"/>
    <row r="2950" s="60" customFormat="1" x14ac:dyDescent="0.2"/>
    <row r="2951" s="60" customFormat="1" x14ac:dyDescent="0.2"/>
    <row r="2952" s="60" customFormat="1" x14ac:dyDescent="0.2"/>
    <row r="2953" s="60" customFormat="1" x14ac:dyDescent="0.2"/>
    <row r="2954" s="60" customFormat="1" x14ac:dyDescent="0.2"/>
    <row r="2955" s="60" customFormat="1" x14ac:dyDescent="0.2"/>
    <row r="2956" s="60" customFormat="1" x14ac:dyDescent="0.2"/>
    <row r="2957" s="60" customFormat="1" x14ac:dyDescent="0.2"/>
    <row r="2958" s="60" customFormat="1" x14ac:dyDescent="0.2"/>
    <row r="2959" s="60" customFormat="1" x14ac:dyDescent="0.2"/>
    <row r="2960" s="60" customFormat="1" x14ac:dyDescent="0.2"/>
    <row r="2961" s="60" customFormat="1" x14ac:dyDescent="0.2"/>
    <row r="2962" s="60" customFormat="1" x14ac:dyDescent="0.2"/>
    <row r="2963" s="60" customFormat="1" x14ac:dyDescent="0.2"/>
    <row r="2964" s="60" customFormat="1" x14ac:dyDescent="0.2"/>
    <row r="2965" s="60" customFormat="1" x14ac:dyDescent="0.2"/>
    <row r="2966" s="60" customFormat="1" x14ac:dyDescent="0.2"/>
    <row r="2967" s="60" customFormat="1" x14ac:dyDescent="0.2"/>
    <row r="2968" s="60" customFormat="1" x14ac:dyDescent="0.2"/>
    <row r="2969" s="60" customFormat="1" x14ac:dyDescent="0.2"/>
    <row r="2970" s="60" customFormat="1" x14ac:dyDescent="0.2"/>
    <row r="2971" s="60" customFormat="1" x14ac:dyDescent="0.2"/>
    <row r="2972" s="60" customFormat="1" x14ac:dyDescent="0.2"/>
    <row r="2973" s="60" customFormat="1" x14ac:dyDescent="0.2"/>
    <row r="2974" s="60" customFormat="1" x14ac:dyDescent="0.2"/>
    <row r="2975" s="60" customFormat="1" x14ac:dyDescent="0.2"/>
    <row r="2976" s="60" customFormat="1" x14ac:dyDescent="0.2"/>
    <row r="2977" s="60" customFormat="1" x14ac:dyDescent="0.2"/>
    <row r="2978" s="60" customFormat="1" x14ac:dyDescent="0.2"/>
    <row r="2979" s="60" customFormat="1" x14ac:dyDescent="0.2"/>
    <row r="2980" s="60" customFormat="1" x14ac:dyDescent="0.2"/>
    <row r="2981" s="60" customFormat="1" x14ac:dyDescent="0.2"/>
    <row r="2982" s="60" customFormat="1" x14ac:dyDescent="0.2"/>
    <row r="2983" s="60" customFormat="1" x14ac:dyDescent="0.2"/>
    <row r="2984" s="60" customFormat="1" x14ac:dyDescent="0.2"/>
    <row r="2985" s="60" customFormat="1" x14ac:dyDescent="0.2"/>
    <row r="2986" s="60" customFormat="1" x14ac:dyDescent="0.2"/>
    <row r="2987" s="60" customFormat="1" x14ac:dyDescent="0.2"/>
    <row r="2988" s="60" customFormat="1" x14ac:dyDescent="0.2"/>
    <row r="2989" s="60" customFormat="1" x14ac:dyDescent="0.2"/>
    <row r="2990" s="60" customFormat="1" x14ac:dyDescent="0.2"/>
    <row r="2991" s="60" customFormat="1" x14ac:dyDescent="0.2"/>
    <row r="2992" s="60" customFormat="1" x14ac:dyDescent="0.2"/>
    <row r="2993" s="60" customFormat="1" x14ac:dyDescent="0.2"/>
    <row r="2994" s="60" customFormat="1" x14ac:dyDescent="0.2"/>
    <row r="2995" s="60" customFormat="1" x14ac:dyDescent="0.2"/>
    <row r="2996" s="60" customFormat="1" x14ac:dyDescent="0.2"/>
    <row r="2997" s="60" customFormat="1" x14ac:dyDescent="0.2"/>
    <row r="2998" s="60" customFormat="1" x14ac:dyDescent="0.2"/>
    <row r="2999" s="60" customFormat="1" x14ac:dyDescent="0.2"/>
    <row r="3000" s="60" customFormat="1" x14ac:dyDescent="0.2"/>
    <row r="3001" s="60" customFormat="1" x14ac:dyDescent="0.2"/>
    <row r="3002" s="60" customFormat="1" x14ac:dyDescent="0.2"/>
    <row r="3003" s="60" customFormat="1" x14ac:dyDescent="0.2"/>
    <row r="3004" s="60" customFormat="1" x14ac:dyDescent="0.2"/>
    <row r="3005" s="60" customFormat="1" x14ac:dyDescent="0.2"/>
    <row r="3006" s="60" customFormat="1" x14ac:dyDescent="0.2"/>
    <row r="3007" s="60" customFormat="1" x14ac:dyDescent="0.2"/>
    <row r="3008" s="60" customFormat="1" x14ac:dyDescent="0.2"/>
    <row r="3009" s="60" customFormat="1" x14ac:dyDescent="0.2"/>
    <row r="3010" s="60" customFormat="1" x14ac:dyDescent="0.2"/>
    <row r="3011" s="60" customFormat="1" x14ac:dyDescent="0.2"/>
    <row r="3012" s="60" customFormat="1" x14ac:dyDescent="0.2"/>
    <row r="3013" s="60" customFormat="1" x14ac:dyDescent="0.2"/>
    <row r="3014" s="60" customFormat="1" x14ac:dyDescent="0.2"/>
    <row r="3015" s="60" customFormat="1" x14ac:dyDescent="0.2"/>
    <row r="3016" s="60" customFormat="1" x14ac:dyDescent="0.2"/>
    <row r="3017" s="60" customFormat="1" x14ac:dyDescent="0.2"/>
    <row r="3018" s="60" customFormat="1" x14ac:dyDescent="0.2"/>
    <row r="3019" s="60" customFormat="1" x14ac:dyDescent="0.2"/>
    <row r="3020" s="60" customFormat="1" x14ac:dyDescent="0.2"/>
    <row r="3021" s="60" customFormat="1" x14ac:dyDescent="0.2"/>
    <row r="3022" s="60" customFormat="1" x14ac:dyDescent="0.2"/>
    <row r="3023" s="60" customFormat="1" x14ac:dyDescent="0.2"/>
    <row r="3024" s="60" customFormat="1" x14ac:dyDescent="0.2"/>
    <row r="3025" s="60" customFormat="1" x14ac:dyDescent="0.2"/>
    <row r="3026" s="60" customFormat="1" x14ac:dyDescent="0.2"/>
    <row r="3027" s="60" customFormat="1" x14ac:dyDescent="0.2"/>
    <row r="3028" s="60" customFormat="1" x14ac:dyDescent="0.2"/>
    <row r="3029" s="60" customFormat="1" x14ac:dyDescent="0.2"/>
    <row r="3030" s="60" customFormat="1" x14ac:dyDescent="0.2"/>
    <row r="3031" s="60" customFormat="1" x14ac:dyDescent="0.2"/>
    <row r="3032" s="60" customFormat="1" x14ac:dyDescent="0.2"/>
    <row r="3033" s="60" customFormat="1" x14ac:dyDescent="0.2"/>
    <row r="3034" s="60" customFormat="1" x14ac:dyDescent="0.2"/>
    <row r="3035" s="60" customFormat="1" x14ac:dyDescent="0.2"/>
    <row r="3036" s="60" customFormat="1" x14ac:dyDescent="0.2"/>
    <row r="3037" s="60" customFormat="1" x14ac:dyDescent="0.2"/>
    <row r="3038" s="60" customFormat="1" x14ac:dyDescent="0.2"/>
    <row r="3039" s="60" customFormat="1" x14ac:dyDescent="0.2"/>
    <row r="3040" s="60" customFormat="1" x14ac:dyDescent="0.2"/>
    <row r="3041" s="60" customFormat="1" x14ac:dyDescent="0.2"/>
    <row r="3042" s="60" customFormat="1" x14ac:dyDescent="0.2"/>
    <row r="3043" s="60" customFormat="1" x14ac:dyDescent="0.2"/>
    <row r="3044" s="60" customFormat="1" x14ac:dyDescent="0.2"/>
    <row r="3045" s="60" customFormat="1" x14ac:dyDescent="0.2"/>
    <row r="3046" s="60" customFormat="1" x14ac:dyDescent="0.2"/>
    <row r="3047" s="60" customFormat="1" x14ac:dyDescent="0.2"/>
    <row r="3048" s="60" customFormat="1" x14ac:dyDescent="0.2"/>
    <row r="3049" s="60" customFormat="1" x14ac:dyDescent="0.2"/>
    <row r="3050" s="60" customFormat="1" x14ac:dyDescent="0.2"/>
    <row r="3051" s="60" customFormat="1" x14ac:dyDescent="0.2"/>
    <row r="3052" s="60" customFormat="1" x14ac:dyDescent="0.2"/>
    <row r="3053" s="60" customFormat="1" x14ac:dyDescent="0.2"/>
    <row r="3054" s="60" customFormat="1" x14ac:dyDescent="0.2"/>
    <row r="3055" s="60" customFormat="1" x14ac:dyDescent="0.2"/>
    <row r="3056" s="60" customFormat="1" x14ac:dyDescent="0.2"/>
    <row r="3057" s="60" customFormat="1" x14ac:dyDescent="0.2"/>
    <row r="3058" s="60" customFormat="1" x14ac:dyDescent="0.2"/>
    <row r="3059" s="60" customFormat="1" x14ac:dyDescent="0.2"/>
    <row r="3060" s="60" customFormat="1" x14ac:dyDescent="0.2"/>
    <row r="3061" s="60" customFormat="1" x14ac:dyDescent="0.2"/>
    <row r="3062" s="60" customFormat="1" x14ac:dyDescent="0.2"/>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00B050"/>
  </sheetPr>
  <dimension ref="A1"/>
  <sheetViews>
    <sheetView topLeftCell="A8" zoomScale="90" zoomScaleNormal="90" workbookViewId="0">
      <selection activeCell="Z61" sqref="Z61"/>
    </sheetView>
  </sheetViews>
  <sheetFormatPr baseColWidth="10" defaultColWidth="9.1640625" defaultRowHeight="15" x14ac:dyDescent="0.2"/>
  <cols>
    <col min="1" max="5" width="9.1640625" style="60" customWidth="1"/>
    <col min="6" max="16384" width="9.1640625" style="60"/>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00B050"/>
  </sheetPr>
  <dimension ref="A1:FF552"/>
  <sheetViews>
    <sheetView zoomScale="130" zoomScaleNormal="130" workbookViewId="0">
      <pane ySplit="5" topLeftCell="A6" activePane="bottomLeft" state="frozen"/>
      <selection activeCell="K1" sqref="K1"/>
      <selection pane="bottomLeft" activeCell="H24" sqref="H24"/>
    </sheetView>
  </sheetViews>
  <sheetFormatPr baseColWidth="10" defaultColWidth="8.83203125" defaultRowHeight="15" x14ac:dyDescent="0.2"/>
  <cols>
    <col min="1" max="1" width="10.6640625" style="3" bestFit="1" customWidth="1"/>
    <col min="2" max="2" width="11.33203125" style="3" customWidth="1"/>
    <col min="3" max="3" width="9.1640625" style="3" customWidth="1"/>
    <col min="4" max="162" width="9.1640625" style="60" customWidth="1"/>
  </cols>
  <sheetData>
    <row r="1" spans="1:9" s="60" customFormat="1" x14ac:dyDescent="0.2">
      <c r="A1" s="34" t="s">
        <v>49</v>
      </c>
      <c r="B1" s="16"/>
      <c r="C1" s="16"/>
      <c r="I1" s="18"/>
    </row>
    <row r="2" spans="1:9" s="60" customFormat="1" x14ac:dyDescent="0.2">
      <c r="A2" s="1" t="s">
        <v>50</v>
      </c>
      <c r="B2" s="16"/>
      <c r="C2" s="16"/>
    </row>
    <row r="3" spans="1:9" s="60" customFormat="1" x14ac:dyDescent="0.2">
      <c r="A3" s="1" t="s">
        <v>51</v>
      </c>
      <c r="B3" s="16"/>
      <c r="C3" s="16"/>
    </row>
    <row r="4" spans="1:9" s="60" customFormat="1" x14ac:dyDescent="0.2">
      <c r="A4" s="16"/>
      <c r="B4" s="16"/>
      <c r="C4" s="16"/>
    </row>
    <row r="5" spans="1:9" x14ac:dyDescent="0.2">
      <c r="A5" s="33" t="s">
        <v>44</v>
      </c>
      <c r="B5" s="33" t="s">
        <v>52</v>
      </c>
      <c r="C5" s="33" t="s">
        <v>15</v>
      </c>
    </row>
    <row r="6" spans="1:9" x14ac:dyDescent="0.2">
      <c r="A6" s="61">
        <v>37012</v>
      </c>
      <c r="B6" s="62">
        <v>-175</v>
      </c>
      <c r="C6" s="62">
        <f>VLOOKUP(A6,NFP!A:C,3)</f>
        <v>-53</v>
      </c>
      <c r="F6" s="60">
        <f>CORREL(Table3[[ADP ]],Table3[NFP])</f>
        <v>0.98374585666057712</v>
      </c>
      <c r="H6" s="32"/>
    </row>
    <row r="7" spans="1:9" x14ac:dyDescent="0.2">
      <c r="A7" s="61">
        <v>37043</v>
      </c>
      <c r="B7" s="62">
        <v>-230</v>
      </c>
      <c r="C7" s="62">
        <f>VLOOKUP(A7,NFP!A:C,3)</f>
        <v>-111</v>
      </c>
    </row>
    <row r="8" spans="1:9" x14ac:dyDescent="0.2">
      <c r="A8" s="61">
        <v>37073</v>
      </c>
      <c r="B8" s="62">
        <v>-203</v>
      </c>
      <c r="C8" s="62">
        <f>VLOOKUP(A8,NFP!A:C,3)</f>
        <v>-122</v>
      </c>
    </row>
    <row r="9" spans="1:9" x14ac:dyDescent="0.2">
      <c r="A9" s="61">
        <v>37104</v>
      </c>
      <c r="B9" s="63">
        <v>-246</v>
      </c>
      <c r="C9" s="62">
        <f>VLOOKUP(A9,NFP!A:C,3)</f>
        <v>-149</v>
      </c>
    </row>
    <row r="10" spans="1:9" x14ac:dyDescent="0.2">
      <c r="A10" s="61">
        <v>37135</v>
      </c>
      <c r="B10" s="63">
        <v>-261</v>
      </c>
      <c r="C10" s="62">
        <f>VLOOKUP(A10,NFP!A:C,3)</f>
        <v>-257</v>
      </c>
    </row>
    <row r="11" spans="1:9" x14ac:dyDescent="0.2">
      <c r="A11" s="61">
        <v>37165</v>
      </c>
      <c r="B11" s="63">
        <v>-380</v>
      </c>
      <c r="C11" s="62">
        <f>VLOOKUP(A11,NFP!A:C,3)</f>
        <v>-317</v>
      </c>
    </row>
    <row r="12" spans="1:9" x14ac:dyDescent="0.2">
      <c r="A12" s="61">
        <v>37196</v>
      </c>
      <c r="B12" s="63">
        <v>-361</v>
      </c>
      <c r="C12" s="62">
        <f>VLOOKUP(A12,NFP!A:C,3)</f>
        <v>-312</v>
      </c>
    </row>
    <row r="13" spans="1:9" x14ac:dyDescent="0.2">
      <c r="A13" s="61">
        <v>37226</v>
      </c>
      <c r="B13" s="63">
        <v>-223</v>
      </c>
      <c r="C13" s="62">
        <f>VLOOKUP(A13,NFP!A:C,3)</f>
        <v>-160</v>
      </c>
    </row>
    <row r="14" spans="1:9" x14ac:dyDescent="0.2">
      <c r="A14" s="61">
        <v>37257</v>
      </c>
      <c r="B14" s="63">
        <v>-69</v>
      </c>
      <c r="C14" s="62">
        <f>VLOOKUP(A14,NFP!A:C,3)</f>
        <v>-130</v>
      </c>
    </row>
    <row r="15" spans="1:9" x14ac:dyDescent="0.2">
      <c r="A15" s="61">
        <v>37288</v>
      </c>
      <c r="B15" s="63">
        <v>-91</v>
      </c>
      <c r="C15" s="62">
        <f>VLOOKUP(A15,NFP!A:C,3)</f>
        <v>-116</v>
      </c>
    </row>
    <row r="16" spans="1:9" x14ac:dyDescent="0.2">
      <c r="A16" s="61">
        <v>37316</v>
      </c>
      <c r="B16" s="63">
        <v>-70</v>
      </c>
      <c r="C16" s="62">
        <f>VLOOKUP(A16,NFP!A:C,3)</f>
        <v>-19</v>
      </c>
    </row>
    <row r="17" spans="1:3" x14ac:dyDescent="0.2">
      <c r="A17" s="61">
        <v>37347</v>
      </c>
      <c r="B17" s="63">
        <v>-70</v>
      </c>
      <c r="C17" s="62">
        <f>VLOOKUP(A17,NFP!A:C,3)</f>
        <v>-94</v>
      </c>
    </row>
    <row r="18" spans="1:3" x14ac:dyDescent="0.2">
      <c r="A18" s="61">
        <v>37377</v>
      </c>
      <c r="B18" s="63">
        <v>-138</v>
      </c>
      <c r="C18" s="62">
        <f>VLOOKUP(A18,NFP!A:C,3)</f>
        <v>11</v>
      </c>
    </row>
    <row r="19" spans="1:3" x14ac:dyDescent="0.2">
      <c r="A19" s="61">
        <v>37408</v>
      </c>
      <c r="B19" s="63">
        <v>-41</v>
      </c>
      <c r="C19" s="62">
        <f>VLOOKUP(A19,NFP!A:C,3)</f>
        <v>50</v>
      </c>
    </row>
    <row r="20" spans="1:3" x14ac:dyDescent="0.2">
      <c r="A20" s="61">
        <v>37438</v>
      </c>
      <c r="B20" s="63">
        <v>-21</v>
      </c>
      <c r="C20" s="62">
        <f>VLOOKUP(A20,NFP!A:C,3)</f>
        <v>-94</v>
      </c>
    </row>
    <row r="21" spans="1:3" x14ac:dyDescent="0.2">
      <c r="A21" s="61">
        <v>37469</v>
      </c>
      <c r="B21" s="63">
        <v>12</v>
      </c>
      <c r="C21" s="62">
        <f>VLOOKUP(A21,NFP!A:C,3)</f>
        <v>-3</v>
      </c>
    </row>
    <row r="22" spans="1:3" x14ac:dyDescent="0.2">
      <c r="A22" s="61">
        <v>37500</v>
      </c>
      <c r="B22" s="63">
        <v>-150</v>
      </c>
      <c r="C22" s="62">
        <f>VLOOKUP(A22,NFP!A:C,3)</f>
        <v>-86</v>
      </c>
    </row>
    <row r="23" spans="1:3" x14ac:dyDescent="0.2">
      <c r="A23" s="61">
        <v>37530</v>
      </c>
      <c r="B23" s="63">
        <v>47</v>
      </c>
      <c r="C23" s="62">
        <f>VLOOKUP(A23,NFP!A:C,3)</f>
        <v>127</v>
      </c>
    </row>
    <row r="24" spans="1:3" x14ac:dyDescent="0.2">
      <c r="A24" s="61">
        <v>37561</v>
      </c>
      <c r="B24" s="63">
        <v>-11</v>
      </c>
      <c r="C24" s="62">
        <f>VLOOKUP(A24,NFP!A:C,3)</f>
        <v>-13</v>
      </c>
    </row>
    <row r="25" spans="1:3" x14ac:dyDescent="0.2">
      <c r="A25" s="61">
        <v>37591</v>
      </c>
      <c r="B25" s="63">
        <v>-79</v>
      </c>
      <c r="C25" s="62">
        <f>VLOOKUP(A25,NFP!A:C,3)</f>
        <v>-143</v>
      </c>
    </row>
    <row r="26" spans="1:3" x14ac:dyDescent="0.2">
      <c r="A26" s="61">
        <v>37622</v>
      </c>
      <c r="B26" s="63">
        <v>-113</v>
      </c>
      <c r="C26" s="62">
        <f>VLOOKUP(A26,NFP!A:C,3)</f>
        <v>108</v>
      </c>
    </row>
    <row r="27" spans="1:3" x14ac:dyDescent="0.2">
      <c r="A27" s="61">
        <v>37653</v>
      </c>
      <c r="B27" s="63">
        <v>26</v>
      </c>
      <c r="C27" s="62">
        <f>VLOOKUP(A27,NFP!A:C,3)</f>
        <v>-136</v>
      </c>
    </row>
    <row r="28" spans="1:3" x14ac:dyDescent="0.2">
      <c r="A28" s="61">
        <v>37681</v>
      </c>
      <c r="B28" s="63">
        <v>-42</v>
      </c>
      <c r="C28" s="62">
        <f>VLOOKUP(A28,NFP!A:C,3)</f>
        <v>-212</v>
      </c>
    </row>
    <row r="29" spans="1:3" x14ac:dyDescent="0.2">
      <c r="A29" s="61">
        <v>37712</v>
      </c>
      <c r="B29" s="63">
        <v>-8</v>
      </c>
      <c r="C29" s="62">
        <f>VLOOKUP(A29,NFP!A:C,3)</f>
        <v>-55</v>
      </c>
    </row>
    <row r="30" spans="1:3" x14ac:dyDescent="0.2">
      <c r="A30" s="61">
        <v>37742</v>
      </c>
      <c r="B30" s="63">
        <v>-75</v>
      </c>
      <c r="C30" s="62">
        <f>VLOOKUP(A30,NFP!A:C,3)</f>
        <v>19</v>
      </c>
    </row>
    <row r="31" spans="1:3" x14ac:dyDescent="0.2">
      <c r="A31" s="61">
        <v>37773</v>
      </c>
      <c r="B31" s="63">
        <v>-25</v>
      </c>
      <c r="C31" s="62">
        <f>VLOOKUP(A31,NFP!A:C,3)</f>
        <v>-2</v>
      </c>
    </row>
    <row r="32" spans="1:3" x14ac:dyDescent="0.2">
      <c r="A32" s="61">
        <v>37803</v>
      </c>
      <c r="B32" s="63">
        <v>28</v>
      </c>
      <c r="C32" s="62">
        <f>VLOOKUP(A32,NFP!A:C,3)</f>
        <v>-3</v>
      </c>
    </row>
    <row r="33" spans="1:3" x14ac:dyDescent="0.2">
      <c r="A33" s="61">
        <v>37834</v>
      </c>
      <c r="B33" s="63">
        <v>-66</v>
      </c>
      <c r="C33" s="62">
        <f>VLOOKUP(A33,NFP!A:C,3)</f>
        <v>-42</v>
      </c>
    </row>
    <row r="34" spans="1:3" x14ac:dyDescent="0.2">
      <c r="A34" s="61">
        <v>37865</v>
      </c>
      <c r="B34" s="63">
        <v>69</v>
      </c>
      <c r="C34" s="62">
        <f>VLOOKUP(A34,NFP!A:C,3)</f>
        <v>105</v>
      </c>
    </row>
    <row r="35" spans="1:3" x14ac:dyDescent="0.2">
      <c r="A35" s="61">
        <v>37895</v>
      </c>
      <c r="B35" s="63">
        <v>174</v>
      </c>
      <c r="C35" s="62">
        <f>VLOOKUP(A35,NFP!A:C,3)</f>
        <v>200</v>
      </c>
    </row>
    <row r="36" spans="1:3" x14ac:dyDescent="0.2">
      <c r="A36" s="61">
        <v>37926</v>
      </c>
      <c r="B36" s="63">
        <v>247</v>
      </c>
      <c r="C36" s="62">
        <f>VLOOKUP(A36,NFP!A:C,3)</f>
        <v>20</v>
      </c>
    </row>
    <row r="37" spans="1:3" x14ac:dyDescent="0.2">
      <c r="A37" s="61">
        <v>37956</v>
      </c>
      <c r="B37" s="63">
        <v>167</v>
      </c>
      <c r="C37" s="62">
        <f>VLOOKUP(A37,NFP!A:C,3)</f>
        <v>114</v>
      </c>
    </row>
    <row r="38" spans="1:3" x14ac:dyDescent="0.2">
      <c r="A38" s="61">
        <v>37987</v>
      </c>
      <c r="B38" s="63">
        <v>68</v>
      </c>
      <c r="C38" s="62">
        <f>VLOOKUP(A38,NFP!A:C,3)</f>
        <v>181</v>
      </c>
    </row>
    <row r="39" spans="1:3" x14ac:dyDescent="0.2">
      <c r="A39" s="61">
        <v>38018</v>
      </c>
      <c r="B39" s="63">
        <v>166</v>
      </c>
      <c r="C39" s="62">
        <f>VLOOKUP(A39,NFP!A:C,3)</f>
        <v>56</v>
      </c>
    </row>
    <row r="40" spans="1:3" x14ac:dyDescent="0.2">
      <c r="A40" s="61">
        <v>38047</v>
      </c>
      <c r="B40" s="63">
        <v>188</v>
      </c>
      <c r="C40" s="62">
        <f>VLOOKUP(A40,NFP!A:C,3)</f>
        <v>317</v>
      </c>
    </row>
    <row r="41" spans="1:3" x14ac:dyDescent="0.2">
      <c r="A41" s="61">
        <v>38078</v>
      </c>
      <c r="B41" s="63">
        <v>170</v>
      </c>
      <c r="C41" s="62">
        <f>VLOOKUP(A41,NFP!A:C,3)</f>
        <v>269</v>
      </c>
    </row>
    <row r="42" spans="1:3" x14ac:dyDescent="0.2">
      <c r="A42" s="61">
        <v>38108</v>
      </c>
      <c r="B42" s="63">
        <v>54</v>
      </c>
      <c r="C42" s="62">
        <f>VLOOKUP(A42,NFP!A:C,3)</f>
        <v>283</v>
      </c>
    </row>
    <row r="43" spans="1:3" x14ac:dyDescent="0.2">
      <c r="A43" s="61">
        <v>38139</v>
      </c>
      <c r="B43" s="63">
        <v>169</v>
      </c>
      <c r="C43" s="62">
        <f>VLOOKUP(A43,NFP!A:C,3)</f>
        <v>99</v>
      </c>
    </row>
    <row r="44" spans="1:3" x14ac:dyDescent="0.2">
      <c r="A44" s="61">
        <v>38169</v>
      </c>
      <c r="B44" s="63">
        <v>80</v>
      </c>
      <c r="C44" s="62">
        <f>VLOOKUP(A44,NFP!A:C,3)</f>
        <v>55</v>
      </c>
    </row>
    <row r="45" spans="1:3" x14ac:dyDescent="0.2">
      <c r="A45" s="61">
        <v>38200</v>
      </c>
      <c r="B45" s="63">
        <v>187</v>
      </c>
      <c r="C45" s="62">
        <f>VLOOKUP(A45,NFP!A:C,3)</f>
        <v>89</v>
      </c>
    </row>
    <row r="46" spans="1:3" x14ac:dyDescent="0.2">
      <c r="A46" s="61">
        <v>38231</v>
      </c>
      <c r="B46" s="63">
        <v>170</v>
      </c>
      <c r="C46" s="62">
        <f>VLOOKUP(A46,NFP!A:C,3)</f>
        <v>156</v>
      </c>
    </row>
    <row r="47" spans="1:3" x14ac:dyDescent="0.2">
      <c r="A47" s="61">
        <v>38261</v>
      </c>
      <c r="B47" s="63">
        <v>136</v>
      </c>
      <c r="C47" s="62">
        <f>VLOOKUP(A47,NFP!A:C,3)</f>
        <v>354</v>
      </c>
    </row>
    <row r="48" spans="1:3" x14ac:dyDescent="0.2">
      <c r="A48" s="61">
        <v>38292</v>
      </c>
      <c r="B48" s="63">
        <v>178</v>
      </c>
      <c r="C48" s="62">
        <f>VLOOKUP(A48,NFP!A:C,3)</f>
        <v>56</v>
      </c>
    </row>
    <row r="49" spans="1:3" x14ac:dyDescent="0.2">
      <c r="A49" s="61">
        <v>38322</v>
      </c>
      <c r="B49" s="63">
        <v>254</v>
      </c>
      <c r="C49" s="62">
        <f>VLOOKUP(A49,NFP!A:C,3)</f>
        <v>121</v>
      </c>
    </row>
    <row r="50" spans="1:3" x14ac:dyDescent="0.2">
      <c r="A50" s="61">
        <v>38353</v>
      </c>
      <c r="B50" s="63">
        <v>158</v>
      </c>
      <c r="C50" s="62">
        <f>VLOOKUP(A50,NFP!A:C,3)</f>
        <v>150</v>
      </c>
    </row>
    <row r="51" spans="1:3" x14ac:dyDescent="0.2">
      <c r="A51" s="61">
        <v>38384</v>
      </c>
      <c r="B51" s="63">
        <v>145</v>
      </c>
      <c r="C51" s="62">
        <f>VLOOKUP(A51,NFP!A:C,3)</f>
        <v>258</v>
      </c>
    </row>
    <row r="52" spans="1:3" x14ac:dyDescent="0.2">
      <c r="A52" s="61">
        <v>38412</v>
      </c>
      <c r="B52" s="63">
        <v>164</v>
      </c>
      <c r="C52" s="62">
        <f>VLOOKUP(A52,NFP!A:C,3)</f>
        <v>124</v>
      </c>
    </row>
    <row r="53" spans="1:3" x14ac:dyDescent="0.2">
      <c r="A53" s="61">
        <v>38443</v>
      </c>
      <c r="B53" s="63">
        <v>300</v>
      </c>
      <c r="C53" s="62">
        <f>VLOOKUP(A53,NFP!A:C,3)</f>
        <v>362</v>
      </c>
    </row>
    <row r="54" spans="1:3" x14ac:dyDescent="0.2">
      <c r="A54" s="61">
        <v>38473</v>
      </c>
      <c r="B54" s="63">
        <v>243</v>
      </c>
      <c r="C54" s="62">
        <f>VLOOKUP(A54,NFP!A:C,3)</f>
        <v>172</v>
      </c>
    </row>
    <row r="55" spans="1:3" x14ac:dyDescent="0.2">
      <c r="A55" s="61">
        <v>38504</v>
      </c>
      <c r="B55" s="63">
        <v>273</v>
      </c>
      <c r="C55" s="62">
        <f>VLOOKUP(A55,NFP!A:C,3)</f>
        <v>252</v>
      </c>
    </row>
    <row r="56" spans="1:3" x14ac:dyDescent="0.2">
      <c r="A56" s="61">
        <v>38534</v>
      </c>
      <c r="B56" s="63">
        <v>281</v>
      </c>
      <c r="C56" s="62">
        <f>VLOOKUP(A56,NFP!A:C,3)</f>
        <v>354</v>
      </c>
    </row>
    <row r="57" spans="1:3" x14ac:dyDescent="0.2">
      <c r="A57" s="61">
        <v>38565</v>
      </c>
      <c r="B57" s="63">
        <v>190</v>
      </c>
      <c r="C57" s="62">
        <f>VLOOKUP(A57,NFP!A:C,3)</f>
        <v>202</v>
      </c>
    </row>
    <row r="58" spans="1:3" x14ac:dyDescent="0.2">
      <c r="A58" s="61">
        <v>38596</v>
      </c>
      <c r="B58" s="63">
        <v>-35</v>
      </c>
      <c r="C58" s="62">
        <f>VLOOKUP(A58,NFP!A:C,3)</f>
        <v>68</v>
      </c>
    </row>
    <row r="59" spans="1:3" x14ac:dyDescent="0.2">
      <c r="A59" s="61">
        <v>38626</v>
      </c>
      <c r="B59" s="63">
        <v>134</v>
      </c>
      <c r="C59" s="62">
        <f>VLOOKUP(A59,NFP!A:C,3)</f>
        <v>89</v>
      </c>
    </row>
    <row r="60" spans="1:3" x14ac:dyDescent="0.2">
      <c r="A60" s="61">
        <v>38657</v>
      </c>
      <c r="B60" s="63">
        <v>253</v>
      </c>
      <c r="C60" s="62">
        <f>VLOOKUP(A60,NFP!A:C,3)</f>
        <v>338</v>
      </c>
    </row>
    <row r="61" spans="1:3" x14ac:dyDescent="0.2">
      <c r="A61" s="61">
        <v>38687</v>
      </c>
      <c r="B61" s="63">
        <v>225</v>
      </c>
      <c r="C61" s="62">
        <f>VLOOKUP(A61,NFP!A:C,3)</f>
        <v>156</v>
      </c>
    </row>
    <row r="62" spans="1:3" x14ac:dyDescent="0.2">
      <c r="A62" s="61">
        <v>38718</v>
      </c>
      <c r="B62" s="63">
        <v>296</v>
      </c>
      <c r="C62" s="62">
        <f>VLOOKUP(A62,NFP!A:C,3)</f>
        <v>280</v>
      </c>
    </row>
    <row r="63" spans="1:3" x14ac:dyDescent="0.2">
      <c r="A63" s="61">
        <v>38749</v>
      </c>
      <c r="B63" s="63">
        <v>360</v>
      </c>
      <c r="C63" s="62">
        <f>VLOOKUP(A63,NFP!A:C,3)</f>
        <v>308</v>
      </c>
    </row>
    <row r="64" spans="1:3" x14ac:dyDescent="0.2">
      <c r="A64" s="61">
        <v>38777</v>
      </c>
      <c r="B64" s="63">
        <v>208</v>
      </c>
      <c r="C64" s="62">
        <f>VLOOKUP(A64,NFP!A:C,3)</f>
        <v>310</v>
      </c>
    </row>
    <row r="65" spans="1:3" x14ac:dyDescent="0.2">
      <c r="A65" s="61">
        <v>38808</v>
      </c>
      <c r="B65" s="63">
        <v>80</v>
      </c>
      <c r="C65" s="62">
        <f>VLOOKUP(A65,NFP!A:C,3)</f>
        <v>158</v>
      </c>
    </row>
    <row r="66" spans="1:3" x14ac:dyDescent="0.2">
      <c r="A66" s="61">
        <v>38838</v>
      </c>
      <c r="B66" s="63">
        <v>175</v>
      </c>
      <c r="C66" s="62">
        <f>VLOOKUP(A66,NFP!A:C,3)</f>
        <v>39</v>
      </c>
    </row>
    <row r="67" spans="1:3" x14ac:dyDescent="0.2">
      <c r="A67" s="61">
        <v>38869</v>
      </c>
      <c r="B67" s="63">
        <v>106</v>
      </c>
      <c r="C67" s="62">
        <f>VLOOKUP(A67,NFP!A:C,3)</f>
        <v>81</v>
      </c>
    </row>
    <row r="68" spans="1:3" x14ac:dyDescent="0.2">
      <c r="A68" s="61">
        <v>38899</v>
      </c>
      <c r="B68" s="63">
        <v>123</v>
      </c>
      <c r="C68" s="62">
        <f>VLOOKUP(A68,NFP!A:C,3)</f>
        <v>195</v>
      </c>
    </row>
    <row r="69" spans="1:3" x14ac:dyDescent="0.2">
      <c r="A69" s="61">
        <v>38930</v>
      </c>
      <c r="B69" s="63">
        <v>185</v>
      </c>
      <c r="C69" s="62">
        <f>VLOOKUP(A69,NFP!A:C,3)</f>
        <v>174</v>
      </c>
    </row>
    <row r="70" spans="1:3" x14ac:dyDescent="0.2">
      <c r="A70" s="61">
        <v>38961</v>
      </c>
      <c r="B70" s="63">
        <v>58</v>
      </c>
      <c r="C70" s="62">
        <f>VLOOKUP(A70,NFP!A:C,3)</f>
        <v>149</v>
      </c>
    </row>
    <row r="71" spans="1:3" x14ac:dyDescent="0.2">
      <c r="A71" s="61">
        <v>38991</v>
      </c>
      <c r="B71" s="63">
        <v>109</v>
      </c>
      <c r="C71" s="62">
        <f>VLOOKUP(A71,NFP!A:C,3)</f>
        <v>9</v>
      </c>
    </row>
    <row r="72" spans="1:3" x14ac:dyDescent="0.2">
      <c r="A72" s="61">
        <v>39022</v>
      </c>
      <c r="B72" s="63">
        <v>-13</v>
      </c>
      <c r="C72" s="62">
        <f>VLOOKUP(A72,NFP!A:C,3)</f>
        <v>211</v>
      </c>
    </row>
    <row r="73" spans="1:3" x14ac:dyDescent="0.2">
      <c r="A73" s="61">
        <v>39052</v>
      </c>
      <c r="B73" s="63">
        <v>171</v>
      </c>
      <c r="C73" s="62">
        <f>VLOOKUP(A73,NFP!A:C,3)</f>
        <v>186</v>
      </c>
    </row>
    <row r="74" spans="1:3" x14ac:dyDescent="0.2">
      <c r="A74" s="61">
        <v>39083</v>
      </c>
      <c r="B74" s="63">
        <v>241</v>
      </c>
      <c r="C74" s="62">
        <f>VLOOKUP(A74,NFP!A:C,3)</f>
        <v>228</v>
      </c>
    </row>
    <row r="75" spans="1:3" x14ac:dyDescent="0.2">
      <c r="A75" s="61">
        <v>39114</v>
      </c>
      <c r="B75" s="63">
        <v>111</v>
      </c>
      <c r="C75" s="62">
        <f>VLOOKUP(A75,NFP!A:C,3)</f>
        <v>81</v>
      </c>
    </row>
    <row r="76" spans="1:3" x14ac:dyDescent="0.2">
      <c r="A76" s="61">
        <v>39142</v>
      </c>
      <c r="B76" s="63">
        <v>154</v>
      </c>
      <c r="C76" s="62">
        <f>VLOOKUP(A76,NFP!A:C,3)</f>
        <v>235</v>
      </c>
    </row>
    <row r="77" spans="1:3" x14ac:dyDescent="0.2">
      <c r="A77" s="61">
        <v>39173</v>
      </c>
      <c r="B77" s="63">
        <v>39</v>
      </c>
      <c r="C77" s="62">
        <f>VLOOKUP(A77,NFP!A:C,3)</f>
        <v>49</v>
      </c>
    </row>
    <row r="78" spans="1:3" x14ac:dyDescent="0.2">
      <c r="A78" s="61">
        <v>39203</v>
      </c>
      <c r="B78" s="63">
        <v>82</v>
      </c>
      <c r="C78" s="62">
        <f>VLOOKUP(A78,NFP!A:C,3)</f>
        <v>151</v>
      </c>
    </row>
    <row r="79" spans="1:3" x14ac:dyDescent="0.2">
      <c r="A79" s="61">
        <v>39234</v>
      </c>
      <c r="B79" s="63">
        <v>15</v>
      </c>
      <c r="C79" s="62">
        <f>VLOOKUP(A79,NFP!A:C,3)</f>
        <v>76</v>
      </c>
    </row>
    <row r="80" spans="1:3" x14ac:dyDescent="0.2">
      <c r="A80" s="61">
        <v>39264</v>
      </c>
      <c r="B80" s="63">
        <v>47</v>
      </c>
      <c r="C80" s="62">
        <f>VLOOKUP(A80,NFP!A:C,3)</f>
        <v>-31</v>
      </c>
    </row>
    <row r="81" spans="1:3" x14ac:dyDescent="0.2">
      <c r="A81" s="61">
        <v>39295</v>
      </c>
      <c r="B81" s="63">
        <v>-27</v>
      </c>
      <c r="C81" s="62">
        <f>VLOOKUP(A81,NFP!A:C,3)</f>
        <v>-23</v>
      </c>
    </row>
    <row r="82" spans="1:3" x14ac:dyDescent="0.2">
      <c r="A82" s="61">
        <v>39326</v>
      </c>
      <c r="B82" s="63">
        <v>23</v>
      </c>
      <c r="C82" s="62">
        <f>VLOOKUP(A82,NFP!A:C,3)</f>
        <v>80</v>
      </c>
    </row>
    <row r="83" spans="1:3" x14ac:dyDescent="0.2">
      <c r="A83" s="61">
        <v>39356</v>
      </c>
      <c r="B83" s="63">
        <v>44</v>
      </c>
      <c r="C83" s="62">
        <f>VLOOKUP(A83,NFP!A:C,3)</f>
        <v>79</v>
      </c>
    </row>
    <row r="84" spans="1:3" x14ac:dyDescent="0.2">
      <c r="A84" s="61">
        <v>39387</v>
      </c>
      <c r="B84" s="63">
        <v>58</v>
      </c>
      <c r="C84" s="62">
        <f>VLOOKUP(A84,NFP!A:C,3)</f>
        <v>110</v>
      </c>
    </row>
    <row r="85" spans="1:3" x14ac:dyDescent="0.2">
      <c r="A85" s="61">
        <v>39417</v>
      </c>
      <c r="B85" s="63">
        <v>47</v>
      </c>
      <c r="C85" s="62">
        <f>VLOOKUP(A85,NFP!A:C,3)</f>
        <v>108</v>
      </c>
    </row>
    <row r="86" spans="1:3" x14ac:dyDescent="0.2">
      <c r="A86" s="61">
        <v>39448</v>
      </c>
      <c r="B86" s="63">
        <v>118</v>
      </c>
      <c r="C86" s="62">
        <f>VLOOKUP(A86,NFP!A:C,3)</f>
        <v>11</v>
      </c>
    </row>
    <row r="87" spans="1:3" x14ac:dyDescent="0.2">
      <c r="A87" s="61">
        <v>39479</v>
      </c>
      <c r="B87" s="63">
        <v>-78</v>
      </c>
      <c r="C87" s="62">
        <f>VLOOKUP(A87,NFP!A:C,3)</f>
        <v>-79</v>
      </c>
    </row>
    <row r="88" spans="1:3" x14ac:dyDescent="0.2">
      <c r="A88" s="61">
        <v>39508</v>
      </c>
      <c r="B88" s="63">
        <v>-181</v>
      </c>
      <c r="C88" s="62">
        <f>VLOOKUP(A88,NFP!A:C,3)</f>
        <v>-49</v>
      </c>
    </row>
    <row r="89" spans="1:3" x14ac:dyDescent="0.2">
      <c r="A89" s="61">
        <v>39539</v>
      </c>
      <c r="B89" s="63">
        <v>-406</v>
      </c>
      <c r="C89" s="62">
        <f>VLOOKUP(A89,NFP!A:C,3)</f>
        <v>-240</v>
      </c>
    </row>
    <row r="90" spans="1:3" x14ac:dyDescent="0.2">
      <c r="A90" s="61">
        <v>39569</v>
      </c>
      <c r="B90" s="63">
        <v>-409</v>
      </c>
      <c r="C90" s="62">
        <f>VLOOKUP(A90,NFP!A:C,3)</f>
        <v>-177</v>
      </c>
    </row>
    <row r="91" spans="1:3" x14ac:dyDescent="0.2">
      <c r="A91" s="61">
        <v>39600</v>
      </c>
      <c r="B91" s="63">
        <v>-465</v>
      </c>
      <c r="C91" s="62">
        <f>VLOOKUP(A91,NFP!A:C,3)</f>
        <v>-171</v>
      </c>
    </row>
    <row r="92" spans="1:3" x14ac:dyDescent="0.2">
      <c r="A92" s="61">
        <v>39630</v>
      </c>
      <c r="B92" s="63">
        <v>-416</v>
      </c>
      <c r="C92" s="62">
        <f>VLOOKUP(A92,NFP!A:C,3)</f>
        <v>-196</v>
      </c>
    </row>
    <row r="93" spans="1:3" x14ac:dyDescent="0.2">
      <c r="A93" s="61">
        <v>39661</v>
      </c>
      <c r="B93" s="63">
        <v>-430</v>
      </c>
      <c r="C93" s="62">
        <f>VLOOKUP(A93,NFP!A:C,3)</f>
        <v>-278</v>
      </c>
    </row>
    <row r="94" spans="1:3" x14ac:dyDescent="0.2">
      <c r="A94" s="61">
        <v>39692</v>
      </c>
      <c r="B94" s="63">
        <v>-489</v>
      </c>
      <c r="C94" s="62">
        <f>VLOOKUP(A94,NFP!A:C,3)</f>
        <v>-460</v>
      </c>
    </row>
    <row r="95" spans="1:3" x14ac:dyDescent="0.2">
      <c r="A95" s="61">
        <v>39722</v>
      </c>
      <c r="B95" s="63">
        <v>-430</v>
      </c>
      <c r="C95" s="62">
        <f>VLOOKUP(A95,NFP!A:C,3)</f>
        <v>-481</v>
      </c>
    </row>
    <row r="96" spans="1:3" x14ac:dyDescent="0.2">
      <c r="A96" s="61">
        <v>39753</v>
      </c>
      <c r="B96" s="63">
        <v>-620</v>
      </c>
      <c r="C96" s="62">
        <f>VLOOKUP(A96,NFP!A:C,3)</f>
        <v>-727</v>
      </c>
    </row>
    <row r="97" spans="1:3" x14ac:dyDescent="0.2">
      <c r="A97" s="61">
        <v>39783</v>
      </c>
      <c r="B97" s="63">
        <v>-510</v>
      </c>
      <c r="C97" s="62">
        <f>VLOOKUP(A97,NFP!A:C,3)</f>
        <v>-706</v>
      </c>
    </row>
    <row r="98" spans="1:3" x14ac:dyDescent="0.2">
      <c r="A98" s="61">
        <v>39814</v>
      </c>
      <c r="B98" s="63">
        <v>-584</v>
      </c>
      <c r="C98" s="62">
        <f>VLOOKUP(A98,NFP!A:C,3)</f>
        <v>-784</v>
      </c>
    </row>
    <row r="99" spans="1:3" x14ac:dyDescent="0.2">
      <c r="A99" s="61">
        <v>39845</v>
      </c>
      <c r="B99" s="63">
        <v>-706</v>
      </c>
      <c r="C99" s="62">
        <f>VLOOKUP(A99,NFP!A:C,3)</f>
        <v>-743</v>
      </c>
    </row>
    <row r="100" spans="1:3" x14ac:dyDescent="0.2">
      <c r="A100" s="61">
        <v>39873</v>
      </c>
      <c r="B100" s="63">
        <v>-417</v>
      </c>
      <c r="C100" s="62">
        <f>VLOOKUP(A100,NFP!A:C,3)</f>
        <v>-800</v>
      </c>
    </row>
    <row r="101" spans="1:3" x14ac:dyDescent="0.2">
      <c r="A101" s="61">
        <v>39904</v>
      </c>
      <c r="B101" s="63">
        <v>-325</v>
      </c>
      <c r="C101" s="62">
        <f>VLOOKUP(A101,NFP!A:C,3)</f>
        <v>-695</v>
      </c>
    </row>
    <row r="102" spans="1:3" x14ac:dyDescent="0.2">
      <c r="A102" s="61">
        <v>39934</v>
      </c>
      <c r="B102" s="63">
        <v>-244</v>
      </c>
      <c r="C102" s="62">
        <f>VLOOKUP(A102,NFP!A:C,3)</f>
        <v>-342</v>
      </c>
    </row>
    <row r="103" spans="1:3" x14ac:dyDescent="0.2">
      <c r="A103" s="61">
        <v>39965</v>
      </c>
      <c r="B103" s="63">
        <v>-334</v>
      </c>
      <c r="C103" s="62">
        <f>VLOOKUP(A103,NFP!A:C,3)</f>
        <v>-467</v>
      </c>
    </row>
    <row r="104" spans="1:3" x14ac:dyDescent="0.2">
      <c r="A104" s="61">
        <v>39995</v>
      </c>
      <c r="B104" s="63">
        <v>-180</v>
      </c>
      <c r="C104" s="62">
        <f>VLOOKUP(A104,NFP!A:C,3)</f>
        <v>-340</v>
      </c>
    </row>
    <row r="105" spans="1:3" x14ac:dyDescent="0.2">
      <c r="A105" s="61">
        <v>40026</v>
      </c>
      <c r="B105" s="63">
        <v>-212</v>
      </c>
      <c r="C105" s="62">
        <f>VLOOKUP(A105,NFP!A:C,3)</f>
        <v>-183</v>
      </c>
    </row>
    <row r="106" spans="1:3" x14ac:dyDescent="0.2">
      <c r="A106" s="61">
        <v>40057</v>
      </c>
      <c r="B106" s="63">
        <v>-126</v>
      </c>
      <c r="C106" s="62">
        <f>VLOOKUP(A106,NFP!A:C,3)</f>
        <v>-241</v>
      </c>
    </row>
    <row r="107" spans="1:3" x14ac:dyDescent="0.2">
      <c r="A107" s="61">
        <v>40087</v>
      </c>
      <c r="B107" s="63">
        <v>-114</v>
      </c>
      <c r="C107" s="62">
        <f>VLOOKUP(A107,NFP!A:C,3)</f>
        <v>-199</v>
      </c>
    </row>
    <row r="108" spans="1:3" x14ac:dyDescent="0.2">
      <c r="A108" s="61">
        <v>40118</v>
      </c>
      <c r="B108" s="63">
        <v>-374</v>
      </c>
      <c r="C108" s="62">
        <f>VLOOKUP(A108,NFP!A:C,3)</f>
        <v>12</v>
      </c>
    </row>
    <row r="109" spans="1:3" x14ac:dyDescent="0.2">
      <c r="A109" s="61">
        <v>40148</v>
      </c>
      <c r="B109" s="63">
        <v>-212</v>
      </c>
      <c r="C109" s="62">
        <f>VLOOKUP(A109,NFP!A:C,3)</f>
        <v>-269</v>
      </c>
    </row>
    <row r="110" spans="1:3" x14ac:dyDescent="0.2">
      <c r="A110" s="61">
        <v>40179</v>
      </c>
      <c r="B110" s="63">
        <v>-137</v>
      </c>
      <c r="C110" s="62">
        <f>VLOOKUP(A110,NFP!A:C,3)</f>
        <v>2</v>
      </c>
    </row>
    <row r="111" spans="1:3" x14ac:dyDescent="0.2">
      <c r="A111" s="61">
        <v>40210</v>
      </c>
      <c r="B111" s="63">
        <v>-219</v>
      </c>
      <c r="C111" s="62">
        <f>VLOOKUP(A111,NFP!A:C,3)</f>
        <v>-92</v>
      </c>
    </row>
    <row r="112" spans="1:3" x14ac:dyDescent="0.2">
      <c r="A112" s="61">
        <v>40238</v>
      </c>
      <c r="B112" s="63">
        <v>-113</v>
      </c>
      <c r="C112" s="62">
        <f>VLOOKUP(A112,NFP!A:C,3)</f>
        <v>181</v>
      </c>
    </row>
    <row r="113" spans="1:3" x14ac:dyDescent="0.2">
      <c r="A113" s="61">
        <v>40269</v>
      </c>
      <c r="B113" s="63">
        <v>147</v>
      </c>
      <c r="C113" s="62">
        <f>VLOOKUP(A113,NFP!A:C,3)</f>
        <v>231</v>
      </c>
    </row>
    <row r="114" spans="1:3" x14ac:dyDescent="0.2">
      <c r="A114" s="61">
        <v>40299</v>
      </c>
      <c r="B114" s="63">
        <v>152</v>
      </c>
      <c r="C114" s="62">
        <f>VLOOKUP(A114,NFP!A:C,3)</f>
        <v>540</v>
      </c>
    </row>
    <row r="115" spans="1:3" x14ac:dyDescent="0.2">
      <c r="A115" s="61">
        <v>40330</v>
      </c>
      <c r="B115" s="63">
        <v>102</v>
      </c>
      <c r="C115" s="62">
        <f>VLOOKUP(A115,NFP!A:C,3)</f>
        <v>-139</v>
      </c>
    </row>
    <row r="116" spans="1:3" x14ac:dyDescent="0.2">
      <c r="A116" s="61">
        <v>40360</v>
      </c>
      <c r="B116" s="63">
        <v>159</v>
      </c>
      <c r="C116" s="62">
        <f>VLOOKUP(A116,NFP!A:C,3)</f>
        <v>-84</v>
      </c>
    </row>
    <row r="117" spans="1:3" x14ac:dyDescent="0.2">
      <c r="A117" s="61">
        <v>40391</v>
      </c>
      <c r="B117" s="63">
        <v>99</v>
      </c>
      <c r="C117" s="62">
        <f>VLOOKUP(A117,NFP!A:C,3)</f>
        <v>-5</v>
      </c>
    </row>
    <row r="118" spans="1:3" x14ac:dyDescent="0.2">
      <c r="A118" s="61">
        <v>40422</v>
      </c>
      <c r="B118" s="63">
        <v>117</v>
      </c>
      <c r="C118" s="62">
        <f>VLOOKUP(A118,NFP!A:C,3)</f>
        <v>-65</v>
      </c>
    </row>
    <row r="119" spans="1:3" x14ac:dyDescent="0.2">
      <c r="A119" s="61">
        <v>40452</v>
      </c>
      <c r="B119" s="63">
        <v>219</v>
      </c>
      <c r="C119" s="62">
        <f>VLOOKUP(A119,NFP!A:C,3)</f>
        <v>268</v>
      </c>
    </row>
    <row r="120" spans="1:3" x14ac:dyDescent="0.2">
      <c r="A120" s="61">
        <v>40483</v>
      </c>
      <c r="B120" s="63">
        <v>141</v>
      </c>
      <c r="C120" s="62">
        <f>VLOOKUP(A120,NFP!A:C,3)</f>
        <v>125</v>
      </c>
    </row>
    <row r="121" spans="1:3" x14ac:dyDescent="0.2">
      <c r="A121" s="61">
        <v>40513</v>
      </c>
      <c r="B121" s="63">
        <v>85</v>
      </c>
      <c r="C121" s="62">
        <f>VLOOKUP(A121,NFP!A:C,3)</f>
        <v>72</v>
      </c>
    </row>
    <row r="122" spans="1:3" x14ac:dyDescent="0.2">
      <c r="A122" s="61">
        <v>40544</v>
      </c>
      <c r="B122" s="63">
        <v>137</v>
      </c>
      <c r="C122" s="62">
        <f>VLOOKUP(A122,NFP!A:C,3)</f>
        <v>19</v>
      </c>
    </row>
    <row r="123" spans="1:3" x14ac:dyDescent="0.2">
      <c r="A123" s="61">
        <v>40575</v>
      </c>
      <c r="B123" s="63">
        <v>164</v>
      </c>
      <c r="C123" s="62">
        <f>VLOOKUP(A123,NFP!A:C,3)</f>
        <v>212</v>
      </c>
    </row>
    <row r="124" spans="1:3" x14ac:dyDescent="0.2">
      <c r="A124" s="61">
        <v>40603</v>
      </c>
      <c r="B124" s="63">
        <v>213</v>
      </c>
      <c r="C124" s="62">
        <f>VLOOKUP(A124,NFP!A:C,3)</f>
        <v>235</v>
      </c>
    </row>
    <row r="125" spans="1:3" x14ac:dyDescent="0.2">
      <c r="A125" s="61">
        <v>40634</v>
      </c>
      <c r="B125" s="63">
        <v>299</v>
      </c>
      <c r="C125" s="62">
        <f>VLOOKUP(A125,NFP!A:C,3)</f>
        <v>314</v>
      </c>
    </row>
    <row r="126" spans="1:3" x14ac:dyDescent="0.2">
      <c r="A126" s="61">
        <v>40664</v>
      </c>
      <c r="B126" s="63">
        <v>254</v>
      </c>
      <c r="C126" s="62">
        <f>VLOOKUP(A126,NFP!A:C,3)</f>
        <v>101</v>
      </c>
    </row>
    <row r="127" spans="1:3" x14ac:dyDescent="0.2">
      <c r="A127" s="61">
        <v>40695</v>
      </c>
      <c r="B127" s="63">
        <v>263</v>
      </c>
      <c r="C127" s="62">
        <f>VLOOKUP(A127,NFP!A:C,3)</f>
        <v>236</v>
      </c>
    </row>
    <row r="128" spans="1:3" x14ac:dyDescent="0.2">
      <c r="A128" s="61">
        <v>40725</v>
      </c>
      <c r="B128" s="63">
        <v>213</v>
      </c>
      <c r="C128" s="62">
        <f>VLOOKUP(A128,NFP!A:C,3)</f>
        <v>60</v>
      </c>
    </row>
    <row r="129" spans="1:3" x14ac:dyDescent="0.2">
      <c r="A129" s="61">
        <v>40756</v>
      </c>
      <c r="B129" s="63">
        <v>216</v>
      </c>
      <c r="C129" s="62">
        <f>VLOOKUP(A129,NFP!A:C,3)</f>
        <v>126</v>
      </c>
    </row>
    <row r="130" spans="1:3" x14ac:dyDescent="0.2">
      <c r="A130" s="61">
        <v>40787</v>
      </c>
      <c r="B130" s="63">
        <v>227</v>
      </c>
      <c r="C130" s="62">
        <f>VLOOKUP(A130,NFP!A:C,3)</f>
        <v>233</v>
      </c>
    </row>
    <row r="131" spans="1:3" x14ac:dyDescent="0.2">
      <c r="A131" s="61">
        <v>40817</v>
      </c>
      <c r="B131" s="63">
        <v>191</v>
      </c>
      <c r="C131" s="62">
        <f>VLOOKUP(A131,NFP!A:C,3)</f>
        <v>204</v>
      </c>
    </row>
    <row r="132" spans="1:3" x14ac:dyDescent="0.2">
      <c r="A132" s="61">
        <v>40848</v>
      </c>
      <c r="B132" s="63">
        <v>127</v>
      </c>
      <c r="C132" s="62">
        <f>VLOOKUP(A132,NFP!A:C,3)</f>
        <v>132</v>
      </c>
    </row>
    <row r="133" spans="1:3" x14ac:dyDescent="0.2">
      <c r="A133" s="61">
        <v>40878</v>
      </c>
      <c r="B133" s="63">
        <v>194</v>
      </c>
      <c r="C133" s="62">
        <f>VLOOKUP(A133,NFP!A:C,3)</f>
        <v>202</v>
      </c>
    </row>
    <row r="134" spans="1:3" x14ac:dyDescent="0.2">
      <c r="A134" s="61">
        <v>40909</v>
      </c>
      <c r="B134" s="63">
        <v>199</v>
      </c>
      <c r="C134" s="62">
        <f>VLOOKUP(A134,NFP!A:C,3)</f>
        <v>354</v>
      </c>
    </row>
    <row r="135" spans="1:3" x14ac:dyDescent="0.2">
      <c r="A135" s="61">
        <v>40940</v>
      </c>
      <c r="B135" s="63">
        <v>281</v>
      </c>
      <c r="C135" s="62">
        <f>VLOOKUP(A135,NFP!A:C,3)</f>
        <v>262</v>
      </c>
    </row>
    <row r="136" spans="1:3" x14ac:dyDescent="0.2">
      <c r="A136" s="61">
        <v>40969</v>
      </c>
      <c r="B136" s="63">
        <v>250</v>
      </c>
      <c r="C136" s="62">
        <f>VLOOKUP(A136,NFP!A:C,3)</f>
        <v>240</v>
      </c>
    </row>
    <row r="137" spans="1:3" x14ac:dyDescent="0.2">
      <c r="A137" s="61">
        <v>41000</v>
      </c>
      <c r="B137" s="63">
        <v>83</v>
      </c>
      <c r="C137" s="62">
        <f>VLOOKUP(A137,NFP!A:C,3)</f>
        <v>82</v>
      </c>
    </row>
    <row r="138" spans="1:3" x14ac:dyDescent="0.2">
      <c r="A138" s="61">
        <v>41030</v>
      </c>
      <c r="B138" s="63">
        <v>153</v>
      </c>
      <c r="C138" s="62">
        <f>VLOOKUP(A138,NFP!A:C,3)</f>
        <v>100</v>
      </c>
    </row>
    <row r="139" spans="1:3" x14ac:dyDescent="0.2">
      <c r="A139" s="61">
        <v>41061</v>
      </c>
      <c r="B139" s="63">
        <v>79</v>
      </c>
      <c r="C139" s="62">
        <f>VLOOKUP(A139,NFP!A:C,3)</f>
        <v>73</v>
      </c>
    </row>
    <row r="140" spans="1:3" x14ac:dyDescent="0.2">
      <c r="A140" s="61">
        <v>41091</v>
      </c>
      <c r="B140" s="63">
        <v>142</v>
      </c>
      <c r="C140" s="62">
        <f>VLOOKUP(A140,NFP!A:C,3)</f>
        <v>152</v>
      </c>
    </row>
    <row r="141" spans="1:3" x14ac:dyDescent="0.2">
      <c r="A141" s="61">
        <v>41122</v>
      </c>
      <c r="B141" s="63">
        <v>184</v>
      </c>
      <c r="C141" s="62">
        <f>VLOOKUP(A141,NFP!A:C,3)</f>
        <v>172</v>
      </c>
    </row>
    <row r="142" spans="1:3" x14ac:dyDescent="0.2">
      <c r="A142" s="61">
        <v>41153</v>
      </c>
      <c r="B142" s="63">
        <v>150</v>
      </c>
      <c r="C142" s="62">
        <f>VLOOKUP(A142,NFP!A:C,3)</f>
        <v>187</v>
      </c>
    </row>
    <row r="143" spans="1:3" x14ac:dyDescent="0.2">
      <c r="A143" s="61">
        <v>41183</v>
      </c>
      <c r="B143" s="63">
        <v>227</v>
      </c>
      <c r="C143" s="62">
        <f>VLOOKUP(A143,NFP!A:C,3)</f>
        <v>159</v>
      </c>
    </row>
    <row r="144" spans="1:3" x14ac:dyDescent="0.2">
      <c r="A144" s="61">
        <v>41214</v>
      </c>
      <c r="B144" s="63">
        <v>159</v>
      </c>
      <c r="C144" s="62">
        <f>VLOOKUP(A144,NFP!A:C,3)</f>
        <v>156</v>
      </c>
    </row>
    <row r="145" spans="1:3" x14ac:dyDescent="0.2">
      <c r="A145" s="61">
        <v>41244</v>
      </c>
      <c r="B145" s="63">
        <v>231</v>
      </c>
      <c r="C145" s="62">
        <f>VLOOKUP(A145,NFP!A:C,3)</f>
        <v>239</v>
      </c>
    </row>
    <row r="146" spans="1:3" x14ac:dyDescent="0.2">
      <c r="A146" s="61">
        <v>41275</v>
      </c>
      <c r="B146" s="63">
        <v>208</v>
      </c>
      <c r="C146" s="62">
        <f>VLOOKUP(A146,NFP!A:C,3)</f>
        <v>191</v>
      </c>
    </row>
    <row r="147" spans="1:3" x14ac:dyDescent="0.2">
      <c r="A147" s="61">
        <v>41306</v>
      </c>
      <c r="B147" s="63">
        <v>203</v>
      </c>
      <c r="C147" s="62">
        <f>VLOOKUP(A147,NFP!A:C,3)</f>
        <v>278</v>
      </c>
    </row>
    <row r="148" spans="1:3" x14ac:dyDescent="0.2">
      <c r="A148" s="61">
        <v>41334</v>
      </c>
      <c r="B148" s="63">
        <v>181</v>
      </c>
      <c r="C148" s="62">
        <f>VLOOKUP(A148,NFP!A:C,3)</f>
        <v>139</v>
      </c>
    </row>
    <row r="149" spans="1:3" x14ac:dyDescent="0.2">
      <c r="A149" s="61">
        <v>41365</v>
      </c>
      <c r="B149" s="63">
        <v>126</v>
      </c>
      <c r="C149" s="62">
        <f>VLOOKUP(A149,NFP!A:C,3)</f>
        <v>191</v>
      </c>
    </row>
    <row r="150" spans="1:3" x14ac:dyDescent="0.2">
      <c r="A150" s="61">
        <v>41395</v>
      </c>
      <c r="B150" s="63">
        <v>210</v>
      </c>
      <c r="C150" s="62">
        <f>VLOOKUP(A150,NFP!A:C,3)</f>
        <v>222</v>
      </c>
    </row>
    <row r="151" spans="1:3" x14ac:dyDescent="0.2">
      <c r="A151" s="61">
        <v>41426</v>
      </c>
      <c r="B151" s="63">
        <v>217</v>
      </c>
      <c r="C151" s="62">
        <f>VLOOKUP(A151,NFP!A:C,3)</f>
        <v>181</v>
      </c>
    </row>
    <row r="152" spans="1:3" x14ac:dyDescent="0.2">
      <c r="A152" s="61">
        <v>41456</v>
      </c>
      <c r="B152" s="63">
        <v>157</v>
      </c>
      <c r="C152" s="62">
        <f>VLOOKUP(A152,NFP!A:C,3)</f>
        <v>112</v>
      </c>
    </row>
    <row r="153" spans="1:3" x14ac:dyDescent="0.2">
      <c r="A153" s="61">
        <v>41487</v>
      </c>
      <c r="B153" s="63">
        <v>206</v>
      </c>
      <c r="C153" s="62">
        <f>VLOOKUP(A153,NFP!A:C,3)</f>
        <v>242</v>
      </c>
    </row>
    <row r="154" spans="1:3" x14ac:dyDescent="0.2">
      <c r="A154" s="61">
        <v>41518</v>
      </c>
      <c r="B154" s="63">
        <v>243</v>
      </c>
      <c r="C154" s="62">
        <f>VLOOKUP(A154,NFP!A:C,3)</f>
        <v>187</v>
      </c>
    </row>
    <row r="155" spans="1:3" x14ac:dyDescent="0.2">
      <c r="A155" s="61">
        <v>41548</v>
      </c>
      <c r="B155" s="63">
        <v>211</v>
      </c>
      <c r="C155" s="62">
        <f>VLOOKUP(A155,NFP!A:C,3)</f>
        <v>225</v>
      </c>
    </row>
    <row r="156" spans="1:3" x14ac:dyDescent="0.2">
      <c r="A156" s="61">
        <v>41579</v>
      </c>
      <c r="B156" s="63">
        <v>195</v>
      </c>
      <c r="C156" s="62">
        <f>VLOOKUP(A156,NFP!A:C,3)</f>
        <v>264</v>
      </c>
    </row>
    <row r="157" spans="1:3" x14ac:dyDescent="0.2">
      <c r="A157" s="61">
        <v>41609</v>
      </c>
      <c r="B157" s="63">
        <v>178</v>
      </c>
      <c r="C157" s="62">
        <f>VLOOKUP(A157,NFP!A:C,3)</f>
        <v>69</v>
      </c>
    </row>
    <row r="158" spans="1:3" x14ac:dyDescent="0.2">
      <c r="A158" s="61">
        <v>41640</v>
      </c>
      <c r="B158" s="63">
        <v>212</v>
      </c>
      <c r="C158" s="62">
        <f>VLOOKUP(A158,NFP!A:C,3)</f>
        <v>175</v>
      </c>
    </row>
    <row r="159" spans="1:3" x14ac:dyDescent="0.2">
      <c r="A159" s="61">
        <v>41671</v>
      </c>
      <c r="B159" s="63">
        <v>190</v>
      </c>
      <c r="C159" s="62">
        <f>VLOOKUP(A159,NFP!A:C,3)</f>
        <v>166</v>
      </c>
    </row>
    <row r="160" spans="1:3" x14ac:dyDescent="0.2">
      <c r="A160" s="61">
        <v>41699</v>
      </c>
      <c r="B160" s="63">
        <v>179</v>
      </c>
      <c r="C160" s="62">
        <f>VLOOKUP(A160,NFP!A:C,3)</f>
        <v>254</v>
      </c>
    </row>
    <row r="161" spans="1:3" x14ac:dyDescent="0.2">
      <c r="A161" s="61">
        <v>41730</v>
      </c>
      <c r="B161" s="63">
        <v>278</v>
      </c>
      <c r="C161" s="62">
        <f>VLOOKUP(A161,NFP!A:C,3)</f>
        <v>325</v>
      </c>
    </row>
    <row r="162" spans="1:3" x14ac:dyDescent="0.2">
      <c r="A162" s="61">
        <v>41760</v>
      </c>
      <c r="B162" s="63">
        <v>202</v>
      </c>
      <c r="C162" s="62">
        <f>VLOOKUP(A162,NFP!A:C,3)</f>
        <v>218</v>
      </c>
    </row>
    <row r="163" spans="1:3" x14ac:dyDescent="0.2">
      <c r="A163" s="61">
        <v>41791</v>
      </c>
      <c r="B163" s="63">
        <v>292</v>
      </c>
      <c r="C163" s="62">
        <f>VLOOKUP(A163,NFP!A:C,3)</f>
        <v>326</v>
      </c>
    </row>
    <row r="164" spans="1:3" x14ac:dyDescent="0.2">
      <c r="A164" s="61">
        <v>41821</v>
      </c>
      <c r="B164" s="63">
        <v>223</v>
      </c>
      <c r="C164" s="62">
        <f>VLOOKUP(A164,NFP!A:C,3)</f>
        <v>232</v>
      </c>
    </row>
    <row r="165" spans="1:3" x14ac:dyDescent="0.2">
      <c r="A165" s="61">
        <v>41852</v>
      </c>
      <c r="B165" s="63">
        <v>230</v>
      </c>
      <c r="C165" s="62">
        <f>VLOOKUP(A165,NFP!A:C,3)</f>
        <v>188</v>
      </c>
    </row>
    <row r="166" spans="1:3" x14ac:dyDescent="0.2">
      <c r="A166" s="61">
        <v>41883</v>
      </c>
      <c r="B166" s="63">
        <v>251</v>
      </c>
      <c r="C166" s="62">
        <f>VLOOKUP(A166,NFP!A:C,3)</f>
        <v>309</v>
      </c>
    </row>
    <row r="167" spans="1:3" x14ac:dyDescent="0.2">
      <c r="A167" s="61">
        <v>41913</v>
      </c>
      <c r="B167" s="63">
        <v>252</v>
      </c>
      <c r="C167" s="62">
        <f>VLOOKUP(A167,NFP!A:C,3)</f>
        <v>252</v>
      </c>
    </row>
    <row r="168" spans="1:3" x14ac:dyDescent="0.2">
      <c r="A168" s="61">
        <v>41944</v>
      </c>
      <c r="B168" s="63">
        <v>195</v>
      </c>
      <c r="C168" s="62">
        <f>VLOOKUP(A168,NFP!A:C,3)</f>
        <v>291</v>
      </c>
    </row>
    <row r="169" spans="1:3" x14ac:dyDescent="0.2">
      <c r="A169" s="61">
        <v>41974</v>
      </c>
      <c r="B169" s="63">
        <v>292</v>
      </c>
      <c r="C169" s="62">
        <f>VLOOKUP(A169,NFP!A:C,3)</f>
        <v>268</v>
      </c>
    </row>
    <row r="170" spans="1:3" x14ac:dyDescent="0.2">
      <c r="A170" s="61">
        <v>42005</v>
      </c>
      <c r="B170" s="63">
        <v>191</v>
      </c>
      <c r="C170" s="62">
        <f>VLOOKUP(A170,NFP!A:C,3)</f>
        <v>191</v>
      </c>
    </row>
    <row r="171" spans="1:3" x14ac:dyDescent="0.2">
      <c r="A171" s="61">
        <v>42036</v>
      </c>
      <c r="B171" s="63">
        <v>226</v>
      </c>
      <c r="C171" s="62">
        <f>VLOOKUP(A171,NFP!A:C,3)</f>
        <v>271</v>
      </c>
    </row>
    <row r="172" spans="1:3" x14ac:dyDescent="0.2">
      <c r="A172" s="61">
        <v>42064</v>
      </c>
      <c r="B172" s="63">
        <v>178</v>
      </c>
      <c r="C172" s="62">
        <f>VLOOKUP(A172,NFP!A:C,3)</f>
        <v>71</v>
      </c>
    </row>
    <row r="173" spans="1:3" x14ac:dyDescent="0.2">
      <c r="A173" s="61">
        <v>42095</v>
      </c>
      <c r="B173" s="63">
        <v>179</v>
      </c>
      <c r="C173" s="62">
        <f>VLOOKUP(A173,NFP!A:C,3)</f>
        <v>284</v>
      </c>
    </row>
    <row r="174" spans="1:3" x14ac:dyDescent="0.2">
      <c r="A174" s="61">
        <v>42125</v>
      </c>
      <c r="B174" s="63">
        <v>296</v>
      </c>
      <c r="C174" s="62">
        <f>VLOOKUP(A174,NFP!A:C,3)</f>
        <v>331</v>
      </c>
    </row>
    <row r="175" spans="1:3" x14ac:dyDescent="0.2">
      <c r="A175" s="61">
        <v>42156</v>
      </c>
      <c r="B175" s="63">
        <v>219</v>
      </c>
      <c r="C175" s="62">
        <f>VLOOKUP(A175,NFP!A:C,3)</f>
        <v>174</v>
      </c>
    </row>
    <row r="176" spans="1:3" x14ac:dyDescent="0.2">
      <c r="A176" s="61">
        <v>42186</v>
      </c>
      <c r="B176" s="63">
        <v>190</v>
      </c>
      <c r="C176" s="62">
        <f>VLOOKUP(A176,NFP!A:C,3)</f>
        <v>302</v>
      </c>
    </row>
    <row r="177" spans="1:3" x14ac:dyDescent="0.2">
      <c r="A177" s="61">
        <v>42217</v>
      </c>
      <c r="B177" s="63">
        <v>190</v>
      </c>
      <c r="C177" s="62">
        <f>VLOOKUP(A177,NFP!A:C,3)</f>
        <v>125</v>
      </c>
    </row>
    <row r="178" spans="1:3" x14ac:dyDescent="0.2">
      <c r="A178" s="61">
        <v>42248</v>
      </c>
      <c r="B178" s="63">
        <v>204</v>
      </c>
      <c r="C178" s="62">
        <f>VLOOKUP(A178,NFP!A:C,3)</f>
        <v>155</v>
      </c>
    </row>
    <row r="179" spans="1:3" x14ac:dyDescent="0.2">
      <c r="A179" s="61">
        <v>42278</v>
      </c>
      <c r="B179" s="63">
        <v>186</v>
      </c>
      <c r="C179" s="62">
        <f>VLOOKUP(A179,NFP!A:C,3)</f>
        <v>306</v>
      </c>
    </row>
    <row r="180" spans="1:3" x14ac:dyDescent="0.2">
      <c r="A180" s="61">
        <v>42309</v>
      </c>
      <c r="B180" s="63">
        <v>223</v>
      </c>
      <c r="C180" s="62">
        <f>VLOOKUP(A180,NFP!A:C,3)</f>
        <v>237</v>
      </c>
    </row>
    <row r="181" spans="1:3" x14ac:dyDescent="0.2">
      <c r="A181" s="61">
        <v>42339</v>
      </c>
      <c r="B181" s="63">
        <v>271</v>
      </c>
      <c r="C181" s="62">
        <f>VLOOKUP(A181,NFP!A:C,3)</f>
        <v>273</v>
      </c>
    </row>
    <row r="182" spans="1:3" x14ac:dyDescent="0.2">
      <c r="A182" s="61">
        <v>42370</v>
      </c>
      <c r="B182" s="63">
        <v>130</v>
      </c>
      <c r="C182" s="62">
        <f>VLOOKUP(A182,NFP!A:C,3)</f>
        <v>108</v>
      </c>
    </row>
    <row r="183" spans="1:3" x14ac:dyDescent="0.2">
      <c r="A183" s="61">
        <v>42401</v>
      </c>
      <c r="B183" s="63">
        <v>241</v>
      </c>
      <c r="C183" s="62">
        <f>VLOOKUP(A183,NFP!A:C,3)</f>
        <v>212</v>
      </c>
    </row>
    <row r="184" spans="1:3" x14ac:dyDescent="0.2">
      <c r="A184" s="61">
        <v>42430</v>
      </c>
      <c r="B184" s="63">
        <v>205</v>
      </c>
      <c r="C184" s="62">
        <f>VLOOKUP(A184,NFP!A:C,3)</f>
        <v>237</v>
      </c>
    </row>
    <row r="185" spans="1:3" x14ac:dyDescent="0.2">
      <c r="A185" s="61">
        <v>42461</v>
      </c>
      <c r="B185" s="63">
        <v>170</v>
      </c>
      <c r="C185" s="62">
        <f>VLOOKUP(A185,NFP!A:C,3)</f>
        <v>197</v>
      </c>
    </row>
    <row r="186" spans="1:3" x14ac:dyDescent="0.2">
      <c r="A186" s="61">
        <v>42491</v>
      </c>
      <c r="B186" s="63">
        <v>84</v>
      </c>
      <c r="C186" s="62">
        <f>VLOOKUP(A186,NFP!A:C,3)</f>
        <v>41</v>
      </c>
    </row>
    <row r="187" spans="1:3" x14ac:dyDescent="0.2">
      <c r="A187" s="61">
        <v>42522</v>
      </c>
      <c r="B187" s="63">
        <v>255</v>
      </c>
      <c r="C187" s="62">
        <f>VLOOKUP(A187,NFP!A:C,3)</f>
        <v>258</v>
      </c>
    </row>
    <row r="188" spans="1:3" x14ac:dyDescent="0.2">
      <c r="A188" s="61">
        <v>42552</v>
      </c>
      <c r="B188" s="63">
        <v>152</v>
      </c>
      <c r="C188" s="62">
        <f>VLOOKUP(A188,NFP!A:C,3)</f>
        <v>371</v>
      </c>
    </row>
    <row r="189" spans="1:3" x14ac:dyDescent="0.2">
      <c r="A189" s="61">
        <v>42583</v>
      </c>
      <c r="B189" s="63">
        <v>192</v>
      </c>
      <c r="C189" s="62">
        <f>VLOOKUP(A189,NFP!A:C,3)</f>
        <v>143</v>
      </c>
    </row>
    <row r="190" spans="1:3" x14ac:dyDescent="0.2">
      <c r="A190" s="61">
        <v>42614</v>
      </c>
      <c r="B190" s="63">
        <v>181</v>
      </c>
      <c r="C190" s="62">
        <f>VLOOKUP(A190,NFP!A:C,3)</f>
        <v>289</v>
      </c>
    </row>
    <row r="191" spans="1:3" x14ac:dyDescent="0.2">
      <c r="A191" s="61">
        <v>42644</v>
      </c>
      <c r="B191" s="63">
        <v>91</v>
      </c>
      <c r="C191" s="62">
        <f>VLOOKUP(A191,NFP!A:C,3)</f>
        <v>118</v>
      </c>
    </row>
    <row r="192" spans="1:3" x14ac:dyDescent="0.2">
      <c r="A192" s="61">
        <v>42675</v>
      </c>
      <c r="B192" s="63">
        <v>236</v>
      </c>
      <c r="C192" s="62">
        <f>VLOOKUP(A192,NFP!A:C,3)</f>
        <v>130</v>
      </c>
    </row>
    <row r="193" spans="1:3" x14ac:dyDescent="0.2">
      <c r="A193" s="61">
        <v>42705</v>
      </c>
      <c r="B193" s="63">
        <v>105</v>
      </c>
      <c r="C193" s="62">
        <f>VLOOKUP(A193,NFP!A:C,3)</f>
        <v>214</v>
      </c>
    </row>
    <row r="194" spans="1:3" x14ac:dyDescent="0.2">
      <c r="A194" s="61">
        <v>42736</v>
      </c>
      <c r="B194" s="63">
        <v>224</v>
      </c>
      <c r="C194" s="62">
        <f>VLOOKUP(A194,NFP!A:C,3)</f>
        <v>197</v>
      </c>
    </row>
    <row r="195" spans="1:3" x14ac:dyDescent="0.2">
      <c r="A195" s="61">
        <v>42767</v>
      </c>
      <c r="B195" s="63">
        <v>237</v>
      </c>
      <c r="C195" s="62">
        <f>VLOOKUP(A195,NFP!A:C,3)</f>
        <v>183</v>
      </c>
    </row>
    <row r="196" spans="1:3" x14ac:dyDescent="0.2">
      <c r="A196" s="61">
        <v>42795</v>
      </c>
      <c r="B196" s="63">
        <v>209</v>
      </c>
      <c r="C196" s="62">
        <f>VLOOKUP(A196,NFP!A:C,3)</f>
        <v>139</v>
      </c>
    </row>
    <row r="197" spans="1:3" x14ac:dyDescent="0.2">
      <c r="A197" s="61">
        <v>42826</v>
      </c>
      <c r="B197" s="63">
        <v>173</v>
      </c>
      <c r="C197" s="62">
        <f>VLOOKUP(A197,NFP!A:C,3)</f>
        <v>220</v>
      </c>
    </row>
    <row r="198" spans="1:3" x14ac:dyDescent="0.2">
      <c r="A198" s="61">
        <v>42856</v>
      </c>
      <c r="B198" s="63">
        <v>170</v>
      </c>
      <c r="C198" s="62">
        <f>VLOOKUP(A198,NFP!A:C,3)</f>
        <v>141</v>
      </c>
    </row>
    <row r="199" spans="1:3" x14ac:dyDescent="0.2">
      <c r="A199" s="61">
        <v>42887</v>
      </c>
      <c r="B199" s="63">
        <v>135</v>
      </c>
      <c r="C199" s="62">
        <f>VLOOKUP(A199,NFP!A:C,3)</f>
        <v>211</v>
      </c>
    </row>
    <row r="200" spans="1:3" x14ac:dyDescent="0.2">
      <c r="A200" s="61">
        <v>42917</v>
      </c>
      <c r="B200" s="63">
        <v>183</v>
      </c>
      <c r="C200" s="62">
        <f>VLOOKUP(A200,NFP!A:C,3)</f>
        <v>228</v>
      </c>
    </row>
    <row r="201" spans="1:3" x14ac:dyDescent="0.2">
      <c r="A201" s="61">
        <v>42948</v>
      </c>
      <c r="B201" s="63">
        <v>174</v>
      </c>
      <c r="C201" s="62">
        <f>VLOOKUP(A201,NFP!A:C,3)</f>
        <v>190</v>
      </c>
    </row>
    <row r="202" spans="1:3" x14ac:dyDescent="0.2">
      <c r="A202" s="61">
        <v>42979</v>
      </c>
      <c r="B202" s="63">
        <v>111</v>
      </c>
      <c r="C202" s="62">
        <f>VLOOKUP(A202,NFP!A:C,3)</f>
        <v>42</v>
      </c>
    </row>
    <row r="203" spans="1:3" x14ac:dyDescent="0.2">
      <c r="A203" s="61">
        <v>43009</v>
      </c>
      <c r="B203" s="63">
        <v>158</v>
      </c>
      <c r="C203" s="62">
        <f>VLOOKUP(A203,NFP!A:C,3)</f>
        <v>249</v>
      </c>
    </row>
    <row r="204" spans="1:3" x14ac:dyDescent="0.2">
      <c r="A204" s="61">
        <v>43040</v>
      </c>
      <c r="B204" s="63">
        <v>207</v>
      </c>
      <c r="C204" s="62">
        <f>VLOOKUP(A204,NFP!A:C,3)</f>
        <v>196</v>
      </c>
    </row>
    <row r="205" spans="1:3" x14ac:dyDescent="0.2">
      <c r="A205" s="61">
        <v>43070</v>
      </c>
      <c r="B205" s="63">
        <v>241</v>
      </c>
      <c r="C205" s="62">
        <f>VLOOKUP(A205,NFP!A:C,3)</f>
        <v>179</v>
      </c>
    </row>
    <row r="206" spans="1:3" x14ac:dyDescent="0.2">
      <c r="A206" s="61">
        <v>43101</v>
      </c>
      <c r="B206" s="63">
        <v>252</v>
      </c>
      <c r="C206" s="62">
        <f>VLOOKUP(A206,NFP!A:C,3)</f>
        <v>81</v>
      </c>
    </row>
    <row r="207" spans="1:3" x14ac:dyDescent="0.2">
      <c r="A207" s="61">
        <v>43132</v>
      </c>
      <c r="B207" s="63">
        <v>219</v>
      </c>
      <c r="C207" s="62">
        <f>VLOOKUP(A207,NFP!A:C,3)</f>
        <v>378</v>
      </c>
    </row>
    <row r="208" spans="1:3" x14ac:dyDescent="0.2">
      <c r="A208" s="61">
        <v>43160</v>
      </c>
      <c r="B208" s="63">
        <v>213</v>
      </c>
      <c r="C208" s="62">
        <f>VLOOKUP(A208,NFP!A:C,3)</f>
        <v>195</v>
      </c>
    </row>
    <row r="209" spans="1:3" x14ac:dyDescent="0.2">
      <c r="A209" s="61">
        <v>43191</v>
      </c>
      <c r="B209" s="63">
        <v>178</v>
      </c>
      <c r="C209" s="62">
        <f>VLOOKUP(A209,NFP!A:C,3)</f>
        <v>153</v>
      </c>
    </row>
    <row r="210" spans="1:3" x14ac:dyDescent="0.2">
      <c r="A210" s="61">
        <v>43221</v>
      </c>
      <c r="B210" s="63">
        <v>276</v>
      </c>
      <c r="C210" s="62">
        <f>VLOOKUP(A210,NFP!A:C,3)</f>
        <v>270</v>
      </c>
    </row>
    <row r="211" spans="1:3" x14ac:dyDescent="0.2">
      <c r="A211" s="61">
        <v>43252</v>
      </c>
      <c r="B211" s="63">
        <v>221</v>
      </c>
      <c r="C211" s="62">
        <f>VLOOKUP(A211,NFP!A:C,3)</f>
        <v>214</v>
      </c>
    </row>
    <row r="212" spans="1:3" x14ac:dyDescent="0.2">
      <c r="A212" s="61">
        <v>43282</v>
      </c>
      <c r="B212" s="63">
        <v>284</v>
      </c>
      <c r="C212" s="62">
        <f>VLOOKUP(A212,NFP!A:C,3)</f>
        <v>149</v>
      </c>
    </row>
    <row r="213" spans="1:3" x14ac:dyDescent="0.2">
      <c r="A213" s="61">
        <v>43313</v>
      </c>
      <c r="B213" s="63">
        <v>159</v>
      </c>
      <c r="C213" s="62">
        <f>VLOOKUP(A213,NFP!A:C,3)</f>
        <v>229</v>
      </c>
    </row>
    <row r="214" spans="1:3" x14ac:dyDescent="0.2">
      <c r="A214" s="61">
        <v>43344</v>
      </c>
      <c r="B214" s="63">
        <v>199</v>
      </c>
      <c r="C214" s="62">
        <f>VLOOKUP(A214,NFP!A:C,3)</f>
        <v>105</v>
      </c>
    </row>
    <row r="215" spans="1:3" x14ac:dyDescent="0.2">
      <c r="A215" s="61">
        <v>43374</v>
      </c>
      <c r="B215" s="63">
        <v>238</v>
      </c>
      <c r="C215" s="62">
        <f>VLOOKUP(A215,NFP!A:C,3)</f>
        <v>212</v>
      </c>
    </row>
    <row r="216" spans="1:3" x14ac:dyDescent="0.2">
      <c r="A216" s="61">
        <v>43405</v>
      </c>
      <c r="B216" s="63">
        <v>136</v>
      </c>
      <c r="C216" s="62">
        <f>VLOOKUP(A216,NFP!A:C,3)</f>
        <v>92</v>
      </c>
    </row>
    <row r="217" spans="1:3" x14ac:dyDescent="0.2">
      <c r="A217" s="61">
        <v>43435</v>
      </c>
      <c r="B217" s="63">
        <v>249</v>
      </c>
      <c r="C217" s="62">
        <f>VLOOKUP(A217,NFP!A:C,3)</f>
        <v>240</v>
      </c>
    </row>
    <row r="218" spans="1:3" x14ac:dyDescent="0.2">
      <c r="A218" s="61">
        <v>43466</v>
      </c>
      <c r="B218" s="63">
        <v>264</v>
      </c>
      <c r="C218" s="62">
        <f>VLOOKUP(A218,NFP!A:C,3)</f>
        <v>237</v>
      </c>
    </row>
    <row r="219" spans="1:3" x14ac:dyDescent="0.2">
      <c r="A219" s="61">
        <v>43497</v>
      </c>
      <c r="B219" s="63">
        <v>220</v>
      </c>
      <c r="C219" s="62">
        <f>VLOOKUP(A219,NFP!A:C,3)</f>
        <v>-50</v>
      </c>
    </row>
    <row r="220" spans="1:3" x14ac:dyDescent="0.2">
      <c r="A220" s="61">
        <v>43525</v>
      </c>
      <c r="B220" s="63">
        <v>158</v>
      </c>
      <c r="C220" s="62">
        <f>VLOOKUP(A220,NFP!A:C,3)</f>
        <v>168</v>
      </c>
    </row>
    <row r="221" spans="1:3" x14ac:dyDescent="0.2">
      <c r="A221" s="61">
        <v>43556</v>
      </c>
      <c r="B221" s="63">
        <v>255</v>
      </c>
      <c r="C221" s="62">
        <f>VLOOKUP(A221,NFP!A:C,3)</f>
        <v>219</v>
      </c>
    </row>
    <row r="222" spans="1:3" x14ac:dyDescent="0.2">
      <c r="A222" s="61">
        <v>43586</v>
      </c>
      <c r="B222" s="63">
        <v>46</v>
      </c>
      <c r="C222" s="62">
        <f>VLOOKUP(A222,NFP!A:C,3)</f>
        <v>63</v>
      </c>
    </row>
    <row r="223" spans="1:3" s="60" customFormat="1" x14ac:dyDescent="0.2">
      <c r="A223" s="61">
        <v>43617</v>
      </c>
      <c r="B223" s="63">
        <v>107</v>
      </c>
      <c r="C223" s="62">
        <f>VLOOKUP(A223,NFP!A:C,3)</f>
        <v>175</v>
      </c>
    </row>
    <row r="224" spans="1:3" s="60" customFormat="1" x14ac:dyDescent="0.2">
      <c r="A224" s="61">
        <v>43647</v>
      </c>
      <c r="B224" s="63">
        <v>143</v>
      </c>
      <c r="C224" s="62">
        <f>VLOOKUP(A224,NFP!A:C,3)</f>
        <v>193</v>
      </c>
    </row>
    <row r="225" spans="1:3" s="60" customFormat="1" x14ac:dyDescent="0.2">
      <c r="A225" s="61">
        <v>43678</v>
      </c>
      <c r="B225" s="63">
        <v>159</v>
      </c>
      <c r="C225" s="62">
        <f>VLOOKUP(A225,NFP!A:C,3)</f>
        <v>195</v>
      </c>
    </row>
    <row r="226" spans="1:3" s="60" customFormat="1" x14ac:dyDescent="0.2">
      <c r="A226" s="61">
        <v>43709</v>
      </c>
      <c r="B226" s="63">
        <v>124</v>
      </c>
      <c r="C226" s="62">
        <f>VLOOKUP(A226,NFP!A:C,3)</f>
        <v>221</v>
      </c>
    </row>
    <row r="227" spans="1:3" s="60" customFormat="1" x14ac:dyDescent="0.2">
      <c r="A227" s="61">
        <v>43739</v>
      </c>
      <c r="B227" s="63">
        <v>151</v>
      </c>
      <c r="C227" s="62">
        <f>VLOOKUP(A227,NFP!A:C,3)</f>
        <v>195</v>
      </c>
    </row>
    <row r="228" spans="1:3" s="60" customFormat="1" x14ac:dyDescent="0.2">
      <c r="A228" s="61">
        <v>43770</v>
      </c>
      <c r="B228" s="63">
        <v>124</v>
      </c>
      <c r="C228" s="62">
        <f>VLOOKUP(A228,NFP!A:C,3)</f>
        <v>234</v>
      </c>
    </row>
    <row r="229" spans="1:3" s="60" customFormat="1" x14ac:dyDescent="0.2">
      <c r="A229" s="61">
        <v>43800</v>
      </c>
      <c r="B229" s="63">
        <v>199</v>
      </c>
      <c r="C229" s="62">
        <f>VLOOKUP(A229,NFP!A:C,3)</f>
        <v>161</v>
      </c>
    </row>
    <row r="230" spans="1:3" s="60" customFormat="1" x14ac:dyDescent="0.2">
      <c r="A230" s="61">
        <v>43831</v>
      </c>
      <c r="B230" s="63">
        <v>209</v>
      </c>
      <c r="C230" s="62">
        <f>VLOOKUP(A230,NFP!A:C,3)</f>
        <v>315</v>
      </c>
    </row>
    <row r="231" spans="1:3" s="60" customFormat="1" x14ac:dyDescent="0.2">
      <c r="A231" s="61">
        <v>43862</v>
      </c>
      <c r="B231" s="63">
        <v>183</v>
      </c>
      <c r="C231" s="62">
        <f>VLOOKUP(A231,NFP!A:C,3)</f>
        <v>289</v>
      </c>
    </row>
    <row r="232" spans="1:3" s="60" customFormat="1" x14ac:dyDescent="0.2">
      <c r="A232" s="61">
        <v>43891</v>
      </c>
      <c r="B232" s="63">
        <v>-149</v>
      </c>
      <c r="C232" s="62">
        <f>VLOOKUP(A232,NFP!A:C,3)</f>
        <v>-1683</v>
      </c>
    </row>
    <row r="233" spans="1:3" s="60" customFormat="1" x14ac:dyDescent="0.2">
      <c r="A233" s="61">
        <v>43922</v>
      </c>
      <c r="B233" s="63">
        <v>-19557</v>
      </c>
      <c r="C233" s="62">
        <f>VLOOKUP(A233,NFP!A:C,3)</f>
        <v>-20679</v>
      </c>
    </row>
    <row r="234" spans="1:3" s="60" customFormat="1" x14ac:dyDescent="0.2">
      <c r="A234" s="61">
        <v>43952</v>
      </c>
      <c r="B234" s="63">
        <v>3065</v>
      </c>
      <c r="C234" s="62">
        <f>VLOOKUP(A234,NFP!A:C,3)</f>
        <v>2833</v>
      </c>
    </row>
    <row r="235" spans="1:3" s="60" customFormat="1" x14ac:dyDescent="0.2">
      <c r="A235" s="61">
        <v>43983</v>
      </c>
      <c r="B235" s="63">
        <v>2369</v>
      </c>
      <c r="C235" s="62">
        <f>VLOOKUP(A235,NFP!A:C,3)</f>
        <v>4846</v>
      </c>
    </row>
    <row r="236" spans="1:3" s="60" customFormat="1" x14ac:dyDescent="0.2">
      <c r="A236" s="61">
        <v>44013</v>
      </c>
      <c r="B236" s="63">
        <v>167</v>
      </c>
      <c r="C236" s="62">
        <f>VLOOKUP(A236,NFP!A:C,3)</f>
        <v>1726</v>
      </c>
    </row>
    <row r="237" spans="1:3" s="60" customFormat="1" x14ac:dyDescent="0.2">
      <c r="A237" s="61">
        <v>44044</v>
      </c>
      <c r="B237" s="63">
        <v>428</v>
      </c>
      <c r="C237" s="62">
        <f>VLOOKUP(A237,NFP!A:C,3)</f>
        <v>1583</v>
      </c>
    </row>
    <row r="238" spans="1:3" s="60" customFormat="1" x14ac:dyDescent="0.2">
      <c r="A238" s="61">
        <v>44075</v>
      </c>
      <c r="B238" s="63">
        <v>749</v>
      </c>
      <c r="C238" s="62">
        <f>VLOOKUP(A238,NFP!A:C,3)</f>
        <v>716</v>
      </c>
    </row>
    <row r="239" spans="1:3" s="60" customFormat="1" x14ac:dyDescent="0.2">
      <c r="A239" s="61">
        <v>44105</v>
      </c>
      <c r="B239" s="63">
        <v>365</v>
      </c>
      <c r="C239" s="62">
        <f>VLOOKUP(A239,NFP!A:C,3)</f>
        <v>680</v>
      </c>
    </row>
    <row r="240" spans="1:3" s="60" customFormat="1" x14ac:dyDescent="0.2">
      <c r="A240" s="61">
        <v>44136</v>
      </c>
      <c r="B240" s="63">
        <v>307</v>
      </c>
      <c r="C240" s="62">
        <f>VLOOKUP(A240,NFP!A:C,3)</f>
        <v>264</v>
      </c>
    </row>
    <row r="241" spans="1:3" s="60" customFormat="1" x14ac:dyDescent="0.2">
      <c r="A241" s="61">
        <v>44166</v>
      </c>
      <c r="B241" s="63">
        <v>-123</v>
      </c>
      <c r="C241" s="62">
        <f>VLOOKUP(A241,NFP!A:C,3)</f>
        <v>-306</v>
      </c>
    </row>
    <row r="242" spans="1:3" s="60" customFormat="1" x14ac:dyDescent="0.2">
      <c r="A242" s="61">
        <v>44197</v>
      </c>
      <c r="B242" s="63">
        <v>174</v>
      </c>
      <c r="C242" s="62">
        <f>VLOOKUP(A242,NFP!A:C,3)</f>
        <v>233</v>
      </c>
    </row>
    <row r="243" spans="1:3" s="60" customFormat="1" x14ac:dyDescent="0.2">
      <c r="A243" s="61">
        <v>44228</v>
      </c>
      <c r="B243" s="63">
        <v>117</v>
      </c>
      <c r="C243" s="62">
        <f>VLOOKUP(A243,NFP!A:C,3)</f>
        <v>536</v>
      </c>
    </row>
    <row r="244" spans="1:3" s="60" customFormat="1" x14ac:dyDescent="0.2">
      <c r="A244" s="61">
        <v>44256</v>
      </c>
      <c r="B244" s="63">
        <v>517</v>
      </c>
      <c r="C244" s="62">
        <f>VLOOKUP(A244,NFP!A:C,3)</f>
        <v>785</v>
      </c>
    </row>
    <row r="245" spans="1:3" s="60" customFormat="1" x14ac:dyDescent="0.2">
      <c r="A245" s="61">
        <v>44287</v>
      </c>
      <c r="B245" s="63">
        <v>742</v>
      </c>
      <c r="C245" s="62">
        <f>VLOOKUP(A245,NFP!A:C,3)</f>
        <v>269</v>
      </c>
    </row>
    <row r="246" spans="1:3" s="60" customFormat="1" x14ac:dyDescent="0.2">
      <c r="A246" s="61">
        <v>44317</v>
      </c>
      <c r="B246" s="63">
        <v>978</v>
      </c>
      <c r="C246" s="62">
        <f>VLOOKUP(A246,NFP!A:C,3)</f>
        <v>614</v>
      </c>
    </row>
    <row r="247" spans="1:3" s="60" customFormat="1" x14ac:dyDescent="0.2">
      <c r="A247" s="61">
        <v>44348</v>
      </c>
      <c r="B247" s="63">
        <v>692</v>
      </c>
      <c r="C247" s="62">
        <f>VLOOKUP(A247,NFP!A:C,3)</f>
        <v>962</v>
      </c>
    </row>
    <row r="248" spans="1:3" s="60" customFormat="1" x14ac:dyDescent="0.2">
      <c r="A248" s="61">
        <v>44378</v>
      </c>
      <c r="B248" s="63">
        <v>330</v>
      </c>
      <c r="C248" s="62">
        <f>VLOOKUP(A248,NFP!A:C,3)</f>
        <v>1091</v>
      </c>
    </row>
    <row r="249" spans="1:3" s="60" customFormat="1" x14ac:dyDescent="0.2">
      <c r="A249" s="61">
        <v>44409</v>
      </c>
      <c r="B249" s="63">
        <v>374</v>
      </c>
      <c r="C249" s="62">
        <f>VLOOKUP(A249,NFP!A:C,3)</f>
        <v>483</v>
      </c>
    </row>
    <row r="250" spans="1:3" s="60" customFormat="1" x14ac:dyDescent="0.2">
      <c r="A250" s="16"/>
      <c r="B250" s="16"/>
      <c r="C250" s="16"/>
    </row>
    <row r="251" spans="1:3" s="60" customFormat="1" x14ac:dyDescent="0.2">
      <c r="A251" s="16"/>
      <c r="B251" s="16"/>
      <c r="C251" s="16"/>
    </row>
    <row r="252" spans="1:3" s="60" customFormat="1" x14ac:dyDescent="0.2">
      <c r="A252" s="16"/>
      <c r="B252" s="16"/>
      <c r="C252" s="16"/>
    </row>
    <row r="253" spans="1:3" s="60" customFormat="1" x14ac:dyDescent="0.2">
      <c r="A253" s="16"/>
      <c r="B253" s="16"/>
      <c r="C253" s="16"/>
    </row>
    <row r="254" spans="1:3" s="60" customFormat="1" x14ac:dyDescent="0.2">
      <c r="A254" s="16"/>
      <c r="B254" s="16"/>
      <c r="C254" s="16"/>
    </row>
    <row r="255" spans="1:3" s="60" customFormat="1" x14ac:dyDescent="0.2">
      <c r="A255" s="16"/>
      <c r="B255" s="16"/>
      <c r="C255" s="16"/>
    </row>
    <row r="256" spans="1:3" s="60" customFormat="1" x14ac:dyDescent="0.2">
      <c r="A256" s="16"/>
      <c r="B256" s="16"/>
      <c r="C256" s="16"/>
    </row>
    <row r="257" spans="1:3" s="60" customFormat="1" x14ac:dyDescent="0.2">
      <c r="A257" s="16"/>
      <c r="B257" s="16"/>
      <c r="C257" s="16"/>
    </row>
    <row r="258" spans="1:3" s="60" customFormat="1" x14ac:dyDescent="0.2">
      <c r="A258" s="16"/>
      <c r="B258" s="16"/>
      <c r="C258" s="16"/>
    </row>
    <row r="259" spans="1:3" s="60" customFormat="1" x14ac:dyDescent="0.2">
      <c r="A259" s="16"/>
      <c r="B259" s="16"/>
      <c r="C259" s="16"/>
    </row>
    <row r="260" spans="1:3" s="60" customFormat="1" x14ac:dyDescent="0.2">
      <c r="A260" s="16"/>
      <c r="B260" s="16"/>
      <c r="C260" s="16"/>
    </row>
    <row r="261" spans="1:3" s="60" customFormat="1" x14ac:dyDescent="0.2">
      <c r="A261" s="16"/>
      <c r="B261" s="16"/>
      <c r="C261" s="16"/>
    </row>
    <row r="262" spans="1:3" s="60" customFormat="1" x14ac:dyDescent="0.2">
      <c r="A262" s="16"/>
      <c r="B262" s="16"/>
      <c r="C262" s="16"/>
    </row>
    <row r="263" spans="1:3" s="60" customFormat="1" x14ac:dyDescent="0.2">
      <c r="A263" s="16"/>
      <c r="B263" s="16"/>
      <c r="C263" s="16"/>
    </row>
    <row r="264" spans="1:3" s="60" customFormat="1" x14ac:dyDescent="0.2">
      <c r="A264" s="16"/>
      <c r="B264" s="16"/>
      <c r="C264" s="16"/>
    </row>
    <row r="265" spans="1:3" s="60" customFormat="1" x14ac:dyDescent="0.2">
      <c r="A265" s="16"/>
      <c r="B265" s="16"/>
      <c r="C265" s="16"/>
    </row>
    <row r="266" spans="1:3" s="60" customFormat="1" x14ac:dyDescent="0.2">
      <c r="A266" s="16"/>
      <c r="B266" s="16"/>
      <c r="C266" s="16"/>
    </row>
    <row r="267" spans="1:3" s="60" customFormat="1" x14ac:dyDescent="0.2">
      <c r="A267" s="16"/>
      <c r="B267" s="16"/>
      <c r="C267" s="16"/>
    </row>
    <row r="268" spans="1:3" s="60" customFormat="1" x14ac:dyDescent="0.2">
      <c r="A268" s="16"/>
      <c r="B268" s="16"/>
      <c r="C268" s="16"/>
    </row>
    <row r="269" spans="1:3" s="60" customFormat="1" x14ac:dyDescent="0.2">
      <c r="A269" s="16"/>
      <c r="B269" s="16"/>
      <c r="C269" s="16"/>
    </row>
    <row r="270" spans="1:3" s="60" customFormat="1" x14ac:dyDescent="0.2">
      <c r="A270" s="16"/>
      <c r="B270" s="16"/>
      <c r="C270" s="16"/>
    </row>
    <row r="271" spans="1:3" s="60" customFormat="1" x14ac:dyDescent="0.2">
      <c r="A271" s="16"/>
      <c r="B271" s="16"/>
      <c r="C271" s="16"/>
    </row>
    <row r="272" spans="1:3" s="60" customFormat="1" x14ac:dyDescent="0.2">
      <c r="A272" s="16"/>
      <c r="B272" s="16"/>
      <c r="C272" s="16"/>
    </row>
    <row r="273" spans="1:3" s="60" customFormat="1" x14ac:dyDescent="0.2">
      <c r="A273" s="16"/>
      <c r="B273" s="16"/>
      <c r="C273" s="16"/>
    </row>
    <row r="274" spans="1:3" s="60" customFormat="1" x14ac:dyDescent="0.2">
      <c r="A274" s="16"/>
      <c r="B274" s="16"/>
      <c r="C274" s="16"/>
    </row>
    <row r="275" spans="1:3" s="60" customFormat="1" x14ac:dyDescent="0.2">
      <c r="A275" s="16"/>
      <c r="B275" s="16"/>
      <c r="C275" s="16"/>
    </row>
    <row r="276" spans="1:3" s="60" customFormat="1" x14ac:dyDescent="0.2">
      <c r="A276" s="16"/>
      <c r="B276" s="16"/>
      <c r="C276" s="16"/>
    </row>
    <row r="277" spans="1:3" s="60" customFormat="1" x14ac:dyDescent="0.2">
      <c r="A277" s="16"/>
      <c r="B277" s="16"/>
      <c r="C277" s="16"/>
    </row>
    <row r="278" spans="1:3" s="60" customFormat="1" x14ac:dyDescent="0.2">
      <c r="A278" s="16"/>
      <c r="B278" s="16"/>
      <c r="C278" s="16"/>
    </row>
    <row r="279" spans="1:3" s="60" customFormat="1" x14ac:dyDescent="0.2">
      <c r="A279" s="16"/>
      <c r="B279" s="16"/>
      <c r="C279" s="16"/>
    </row>
    <row r="280" spans="1:3" s="60" customFormat="1" x14ac:dyDescent="0.2">
      <c r="A280" s="16"/>
      <c r="B280" s="16"/>
      <c r="C280" s="16"/>
    </row>
    <row r="281" spans="1:3" s="60" customFormat="1" x14ac:dyDescent="0.2">
      <c r="A281" s="16"/>
      <c r="B281" s="16"/>
      <c r="C281" s="16"/>
    </row>
    <row r="282" spans="1:3" s="60" customFormat="1" x14ac:dyDescent="0.2">
      <c r="A282" s="16"/>
      <c r="B282" s="16"/>
      <c r="C282" s="16"/>
    </row>
    <row r="283" spans="1:3" s="60" customFormat="1" x14ac:dyDescent="0.2">
      <c r="A283" s="16"/>
      <c r="B283" s="16"/>
      <c r="C283" s="16"/>
    </row>
    <row r="284" spans="1:3" s="60" customFormat="1" x14ac:dyDescent="0.2">
      <c r="A284" s="16"/>
      <c r="B284" s="16"/>
      <c r="C284" s="16"/>
    </row>
    <row r="285" spans="1:3" s="60" customFormat="1" x14ac:dyDescent="0.2">
      <c r="A285" s="16"/>
      <c r="B285" s="16"/>
      <c r="C285" s="16"/>
    </row>
    <row r="286" spans="1:3" s="60" customFormat="1" x14ac:dyDescent="0.2">
      <c r="A286" s="16"/>
      <c r="B286" s="16"/>
      <c r="C286" s="16"/>
    </row>
    <row r="287" spans="1:3" s="60" customFormat="1" x14ac:dyDescent="0.2">
      <c r="A287" s="16"/>
      <c r="B287" s="16"/>
      <c r="C287" s="16"/>
    </row>
    <row r="288" spans="1:3" s="60" customFormat="1" x14ac:dyDescent="0.2">
      <c r="A288" s="16"/>
      <c r="B288" s="16"/>
      <c r="C288" s="16"/>
    </row>
    <row r="289" spans="1:3" s="60" customFormat="1" x14ac:dyDescent="0.2">
      <c r="A289" s="16"/>
      <c r="B289" s="16"/>
      <c r="C289" s="16"/>
    </row>
    <row r="290" spans="1:3" s="60" customFormat="1" x14ac:dyDescent="0.2">
      <c r="A290" s="16"/>
      <c r="B290" s="16"/>
      <c r="C290" s="16"/>
    </row>
    <row r="291" spans="1:3" s="60" customFormat="1" x14ac:dyDescent="0.2">
      <c r="A291" s="16"/>
      <c r="B291" s="16"/>
      <c r="C291" s="16"/>
    </row>
    <row r="292" spans="1:3" s="60" customFormat="1" x14ac:dyDescent="0.2">
      <c r="A292" s="16"/>
      <c r="B292" s="16"/>
      <c r="C292" s="16"/>
    </row>
    <row r="293" spans="1:3" s="60" customFormat="1" x14ac:dyDescent="0.2">
      <c r="A293" s="16"/>
      <c r="B293" s="16"/>
      <c r="C293" s="16"/>
    </row>
    <row r="294" spans="1:3" s="60" customFormat="1" x14ac:dyDescent="0.2">
      <c r="A294" s="16"/>
      <c r="B294" s="16"/>
      <c r="C294" s="16"/>
    </row>
    <row r="295" spans="1:3" s="60" customFormat="1" x14ac:dyDescent="0.2">
      <c r="A295" s="16"/>
      <c r="B295" s="16"/>
      <c r="C295" s="16"/>
    </row>
    <row r="296" spans="1:3" s="60" customFormat="1" x14ac:dyDescent="0.2">
      <c r="A296" s="16"/>
      <c r="B296" s="16"/>
      <c r="C296" s="16"/>
    </row>
    <row r="297" spans="1:3" s="60" customFormat="1" x14ac:dyDescent="0.2">
      <c r="A297" s="16"/>
      <c r="B297" s="16"/>
      <c r="C297" s="16"/>
    </row>
    <row r="298" spans="1:3" s="60" customFormat="1" x14ac:dyDescent="0.2">
      <c r="A298" s="16"/>
      <c r="B298" s="16"/>
      <c r="C298" s="16"/>
    </row>
    <row r="299" spans="1:3" s="60" customFormat="1" x14ac:dyDescent="0.2">
      <c r="A299" s="16"/>
      <c r="B299" s="16"/>
      <c r="C299" s="16"/>
    </row>
    <row r="300" spans="1:3" s="60" customFormat="1" x14ac:dyDescent="0.2">
      <c r="A300" s="16"/>
      <c r="B300" s="16"/>
      <c r="C300" s="16"/>
    </row>
    <row r="301" spans="1:3" s="60" customFormat="1" x14ac:dyDescent="0.2">
      <c r="A301" s="16"/>
      <c r="B301" s="16"/>
      <c r="C301" s="16"/>
    </row>
    <row r="302" spans="1:3" s="60" customFormat="1" x14ac:dyDescent="0.2">
      <c r="A302" s="16"/>
      <c r="B302" s="16"/>
      <c r="C302" s="16"/>
    </row>
    <row r="303" spans="1:3" s="60" customFormat="1" x14ac:dyDescent="0.2">
      <c r="A303" s="16"/>
      <c r="B303" s="16"/>
      <c r="C303" s="16"/>
    </row>
    <row r="304" spans="1:3" s="60" customFormat="1" x14ac:dyDescent="0.2">
      <c r="A304" s="16"/>
      <c r="B304" s="16"/>
      <c r="C304" s="16"/>
    </row>
    <row r="305" spans="1:3" s="60" customFormat="1" x14ac:dyDescent="0.2">
      <c r="A305" s="16"/>
      <c r="B305" s="16"/>
      <c r="C305" s="16"/>
    </row>
    <row r="306" spans="1:3" s="60" customFormat="1" x14ac:dyDescent="0.2">
      <c r="A306" s="16"/>
      <c r="B306" s="16"/>
      <c r="C306" s="16"/>
    </row>
    <row r="307" spans="1:3" s="60" customFormat="1" x14ac:dyDescent="0.2">
      <c r="A307" s="16"/>
      <c r="B307" s="16"/>
      <c r="C307" s="16"/>
    </row>
    <row r="308" spans="1:3" s="60" customFormat="1" x14ac:dyDescent="0.2">
      <c r="A308" s="16"/>
      <c r="B308" s="16"/>
      <c r="C308" s="16"/>
    </row>
    <row r="309" spans="1:3" s="60" customFormat="1" x14ac:dyDescent="0.2">
      <c r="A309" s="16"/>
      <c r="B309" s="16"/>
      <c r="C309" s="16"/>
    </row>
    <row r="310" spans="1:3" s="60" customFormat="1" x14ac:dyDescent="0.2">
      <c r="A310" s="16"/>
      <c r="B310" s="16"/>
      <c r="C310" s="16"/>
    </row>
    <row r="311" spans="1:3" s="60" customFormat="1" x14ac:dyDescent="0.2">
      <c r="A311" s="16"/>
      <c r="B311" s="16"/>
      <c r="C311" s="16"/>
    </row>
    <row r="312" spans="1:3" s="60" customFormat="1" x14ac:dyDescent="0.2">
      <c r="A312" s="16"/>
      <c r="B312" s="16"/>
      <c r="C312" s="16"/>
    </row>
    <row r="313" spans="1:3" s="60" customFormat="1" x14ac:dyDescent="0.2">
      <c r="A313" s="16"/>
      <c r="B313" s="16"/>
      <c r="C313" s="16"/>
    </row>
    <row r="314" spans="1:3" s="60" customFormat="1" x14ac:dyDescent="0.2">
      <c r="A314" s="16"/>
      <c r="B314" s="16"/>
      <c r="C314" s="16"/>
    </row>
    <row r="315" spans="1:3" s="60" customFormat="1" x14ac:dyDescent="0.2">
      <c r="A315" s="16"/>
      <c r="B315" s="16"/>
      <c r="C315" s="16"/>
    </row>
    <row r="316" spans="1:3" s="60" customFormat="1" x14ac:dyDescent="0.2">
      <c r="A316" s="16"/>
      <c r="B316" s="16"/>
      <c r="C316" s="16"/>
    </row>
    <row r="317" spans="1:3" s="60" customFormat="1" x14ac:dyDescent="0.2">
      <c r="A317" s="16"/>
      <c r="B317" s="16"/>
      <c r="C317" s="16"/>
    </row>
    <row r="318" spans="1:3" s="60" customFormat="1" x14ac:dyDescent="0.2">
      <c r="A318" s="16"/>
      <c r="B318" s="16"/>
      <c r="C318" s="16"/>
    </row>
    <row r="319" spans="1:3" s="60" customFormat="1" x14ac:dyDescent="0.2">
      <c r="A319" s="16"/>
      <c r="B319" s="16"/>
      <c r="C319" s="16"/>
    </row>
    <row r="320" spans="1:3" s="60" customFormat="1" x14ac:dyDescent="0.2">
      <c r="A320" s="16"/>
      <c r="B320" s="16"/>
      <c r="C320" s="16"/>
    </row>
    <row r="321" spans="1:3" s="60" customFormat="1" x14ac:dyDescent="0.2">
      <c r="A321" s="16"/>
      <c r="B321" s="16"/>
      <c r="C321" s="16"/>
    </row>
    <row r="322" spans="1:3" s="60" customFormat="1" x14ac:dyDescent="0.2">
      <c r="A322" s="16"/>
      <c r="B322" s="16"/>
      <c r="C322" s="16"/>
    </row>
    <row r="323" spans="1:3" s="60" customFormat="1" x14ac:dyDescent="0.2">
      <c r="A323" s="16"/>
      <c r="B323" s="16"/>
      <c r="C323" s="16"/>
    </row>
    <row r="324" spans="1:3" s="60" customFormat="1" x14ac:dyDescent="0.2">
      <c r="A324" s="16"/>
      <c r="B324" s="16"/>
      <c r="C324" s="16"/>
    </row>
    <row r="325" spans="1:3" s="60" customFormat="1" x14ac:dyDescent="0.2">
      <c r="A325" s="16"/>
      <c r="B325" s="16"/>
      <c r="C325" s="16"/>
    </row>
    <row r="326" spans="1:3" s="60" customFormat="1" x14ac:dyDescent="0.2">
      <c r="A326" s="16"/>
      <c r="B326" s="16"/>
      <c r="C326" s="16"/>
    </row>
    <row r="327" spans="1:3" s="60" customFormat="1" x14ac:dyDescent="0.2">
      <c r="A327" s="16"/>
      <c r="B327" s="16"/>
      <c r="C327" s="16"/>
    </row>
    <row r="328" spans="1:3" s="60" customFormat="1" x14ac:dyDescent="0.2">
      <c r="A328" s="16"/>
      <c r="B328" s="16"/>
      <c r="C328" s="16"/>
    </row>
    <row r="329" spans="1:3" s="60" customFormat="1" x14ac:dyDescent="0.2">
      <c r="A329" s="16"/>
      <c r="B329" s="16"/>
      <c r="C329" s="16"/>
    </row>
    <row r="330" spans="1:3" s="60" customFormat="1" x14ac:dyDescent="0.2">
      <c r="A330" s="16"/>
      <c r="B330" s="16"/>
      <c r="C330" s="16"/>
    </row>
    <row r="331" spans="1:3" s="60" customFormat="1" x14ac:dyDescent="0.2">
      <c r="A331" s="16"/>
      <c r="B331" s="16"/>
      <c r="C331" s="16"/>
    </row>
    <row r="332" spans="1:3" s="60" customFormat="1" x14ac:dyDescent="0.2">
      <c r="A332" s="16"/>
      <c r="B332" s="16"/>
      <c r="C332" s="16"/>
    </row>
    <row r="333" spans="1:3" s="60" customFormat="1" x14ac:dyDescent="0.2">
      <c r="A333" s="16"/>
      <c r="B333" s="16"/>
      <c r="C333" s="16"/>
    </row>
    <row r="334" spans="1:3" s="60" customFormat="1" x14ac:dyDescent="0.2">
      <c r="A334" s="16"/>
      <c r="B334" s="16"/>
      <c r="C334" s="16"/>
    </row>
    <row r="335" spans="1:3" s="60" customFormat="1" x14ac:dyDescent="0.2">
      <c r="A335" s="16"/>
      <c r="B335" s="16"/>
      <c r="C335" s="16"/>
    </row>
    <row r="336" spans="1:3" s="60" customFormat="1" x14ac:dyDescent="0.2">
      <c r="A336" s="16"/>
      <c r="B336" s="16"/>
      <c r="C336" s="16"/>
    </row>
    <row r="337" spans="1:3" s="60" customFormat="1" x14ac:dyDescent="0.2">
      <c r="A337" s="16"/>
      <c r="B337" s="16"/>
      <c r="C337" s="16"/>
    </row>
    <row r="338" spans="1:3" s="60" customFormat="1" x14ac:dyDescent="0.2">
      <c r="A338" s="16"/>
      <c r="B338" s="16"/>
      <c r="C338" s="16"/>
    </row>
    <row r="339" spans="1:3" s="60" customFormat="1" x14ac:dyDescent="0.2">
      <c r="A339" s="16"/>
      <c r="B339" s="16"/>
      <c r="C339" s="16"/>
    </row>
    <row r="340" spans="1:3" s="60" customFormat="1" x14ac:dyDescent="0.2">
      <c r="A340" s="16"/>
      <c r="B340" s="16"/>
      <c r="C340" s="16"/>
    </row>
    <row r="341" spans="1:3" s="60" customFormat="1" x14ac:dyDescent="0.2">
      <c r="A341" s="16"/>
      <c r="B341" s="16"/>
      <c r="C341" s="16"/>
    </row>
    <row r="342" spans="1:3" s="60" customFormat="1" x14ac:dyDescent="0.2">
      <c r="A342" s="16"/>
      <c r="B342" s="16"/>
      <c r="C342" s="16"/>
    </row>
    <row r="343" spans="1:3" s="60" customFormat="1" x14ac:dyDescent="0.2">
      <c r="A343" s="16"/>
      <c r="B343" s="16"/>
      <c r="C343" s="16"/>
    </row>
    <row r="344" spans="1:3" s="60" customFormat="1" x14ac:dyDescent="0.2">
      <c r="A344" s="16"/>
      <c r="B344" s="16"/>
      <c r="C344" s="16"/>
    </row>
    <row r="345" spans="1:3" s="60" customFormat="1" x14ac:dyDescent="0.2">
      <c r="A345" s="16"/>
      <c r="B345" s="16"/>
      <c r="C345" s="16"/>
    </row>
    <row r="346" spans="1:3" s="60" customFormat="1" x14ac:dyDescent="0.2">
      <c r="A346" s="16"/>
      <c r="B346" s="16"/>
      <c r="C346" s="16"/>
    </row>
    <row r="347" spans="1:3" s="60" customFormat="1" x14ac:dyDescent="0.2">
      <c r="A347" s="16"/>
      <c r="B347" s="16"/>
      <c r="C347" s="16"/>
    </row>
    <row r="348" spans="1:3" s="60" customFormat="1" x14ac:dyDescent="0.2">
      <c r="A348" s="16"/>
      <c r="B348" s="16"/>
      <c r="C348" s="16"/>
    </row>
    <row r="349" spans="1:3" s="60" customFormat="1" x14ac:dyDescent="0.2">
      <c r="A349" s="16"/>
      <c r="B349" s="16"/>
      <c r="C349" s="16"/>
    </row>
    <row r="350" spans="1:3" s="60" customFormat="1" x14ac:dyDescent="0.2">
      <c r="A350" s="16"/>
      <c r="B350" s="16"/>
      <c r="C350" s="16"/>
    </row>
    <row r="351" spans="1:3" s="60" customFormat="1" x14ac:dyDescent="0.2">
      <c r="A351" s="16"/>
      <c r="B351" s="16"/>
      <c r="C351" s="16"/>
    </row>
    <row r="352" spans="1:3" s="60" customFormat="1" x14ac:dyDescent="0.2">
      <c r="A352" s="16"/>
      <c r="B352" s="16"/>
      <c r="C352" s="16"/>
    </row>
    <row r="353" spans="1:3" s="60" customFormat="1" x14ac:dyDescent="0.2">
      <c r="A353" s="16"/>
      <c r="B353" s="16"/>
      <c r="C353" s="16"/>
    </row>
    <row r="354" spans="1:3" s="60" customFormat="1" x14ac:dyDescent="0.2">
      <c r="A354" s="16"/>
      <c r="B354" s="16"/>
      <c r="C354" s="16"/>
    </row>
    <row r="355" spans="1:3" s="60" customFormat="1" x14ac:dyDescent="0.2">
      <c r="A355" s="16"/>
      <c r="B355" s="16"/>
      <c r="C355" s="16"/>
    </row>
    <row r="356" spans="1:3" s="60" customFormat="1" x14ac:dyDescent="0.2">
      <c r="A356" s="16"/>
      <c r="B356" s="16"/>
      <c r="C356" s="16"/>
    </row>
    <row r="357" spans="1:3" s="60" customFormat="1" x14ac:dyDescent="0.2">
      <c r="A357" s="16"/>
      <c r="B357" s="16"/>
      <c r="C357" s="16"/>
    </row>
    <row r="358" spans="1:3" s="60" customFormat="1" x14ac:dyDescent="0.2">
      <c r="A358" s="16"/>
      <c r="B358" s="16"/>
      <c r="C358" s="16"/>
    </row>
    <row r="359" spans="1:3" s="60" customFormat="1" x14ac:dyDescent="0.2">
      <c r="A359" s="16"/>
      <c r="B359" s="16"/>
      <c r="C359" s="16"/>
    </row>
    <row r="360" spans="1:3" s="60" customFormat="1" x14ac:dyDescent="0.2">
      <c r="A360" s="16"/>
      <c r="B360" s="16"/>
      <c r="C360" s="16"/>
    </row>
    <row r="361" spans="1:3" s="60" customFormat="1" x14ac:dyDescent="0.2">
      <c r="A361" s="16"/>
      <c r="B361" s="16"/>
      <c r="C361" s="16"/>
    </row>
    <row r="362" spans="1:3" s="60" customFormat="1" x14ac:dyDescent="0.2">
      <c r="A362" s="16"/>
      <c r="B362" s="16"/>
      <c r="C362" s="16"/>
    </row>
    <row r="363" spans="1:3" s="60" customFormat="1" x14ac:dyDescent="0.2">
      <c r="A363" s="16"/>
      <c r="B363" s="16"/>
      <c r="C363" s="16"/>
    </row>
    <row r="364" spans="1:3" s="60" customFormat="1" x14ac:dyDescent="0.2">
      <c r="A364" s="16"/>
      <c r="B364" s="16"/>
      <c r="C364" s="16"/>
    </row>
    <row r="365" spans="1:3" s="60" customFormat="1" x14ac:dyDescent="0.2">
      <c r="A365" s="16"/>
      <c r="B365" s="16"/>
      <c r="C365" s="16"/>
    </row>
    <row r="366" spans="1:3" s="60" customFormat="1" x14ac:dyDescent="0.2">
      <c r="A366" s="16"/>
      <c r="B366" s="16"/>
      <c r="C366" s="16"/>
    </row>
    <row r="367" spans="1:3" s="60" customFormat="1" x14ac:dyDescent="0.2">
      <c r="A367" s="16"/>
      <c r="B367" s="16"/>
      <c r="C367" s="16"/>
    </row>
    <row r="368" spans="1:3" s="60" customFormat="1" x14ac:dyDescent="0.2">
      <c r="A368" s="16"/>
      <c r="B368" s="16"/>
      <c r="C368" s="16"/>
    </row>
    <row r="369" spans="1:3" s="60" customFormat="1" x14ac:dyDescent="0.2">
      <c r="A369" s="16"/>
      <c r="B369" s="16"/>
      <c r="C369" s="16"/>
    </row>
    <row r="370" spans="1:3" s="60" customFormat="1" x14ac:dyDescent="0.2">
      <c r="A370" s="16"/>
      <c r="B370" s="16"/>
      <c r="C370" s="16"/>
    </row>
    <row r="371" spans="1:3" s="60" customFormat="1" x14ac:dyDescent="0.2">
      <c r="A371" s="16"/>
      <c r="B371" s="16"/>
      <c r="C371" s="16"/>
    </row>
    <row r="372" spans="1:3" s="60" customFormat="1" x14ac:dyDescent="0.2">
      <c r="A372" s="16"/>
      <c r="B372" s="16"/>
      <c r="C372" s="16"/>
    </row>
    <row r="373" spans="1:3" s="60" customFormat="1" x14ac:dyDescent="0.2">
      <c r="A373" s="16"/>
      <c r="B373" s="16"/>
      <c r="C373" s="16"/>
    </row>
    <row r="374" spans="1:3" s="60" customFormat="1" x14ac:dyDescent="0.2">
      <c r="A374" s="16"/>
      <c r="B374" s="16"/>
      <c r="C374" s="16"/>
    </row>
    <row r="375" spans="1:3" s="60" customFormat="1" x14ac:dyDescent="0.2">
      <c r="A375" s="16"/>
      <c r="B375" s="16"/>
      <c r="C375" s="16"/>
    </row>
    <row r="376" spans="1:3" s="60" customFormat="1" x14ac:dyDescent="0.2">
      <c r="A376" s="16"/>
      <c r="B376" s="16"/>
      <c r="C376" s="16"/>
    </row>
    <row r="377" spans="1:3" s="60" customFormat="1" x14ac:dyDescent="0.2">
      <c r="A377" s="16"/>
      <c r="B377" s="16"/>
      <c r="C377" s="16"/>
    </row>
    <row r="378" spans="1:3" s="60" customFormat="1" x14ac:dyDescent="0.2">
      <c r="A378" s="16"/>
      <c r="B378" s="16"/>
      <c r="C378" s="16"/>
    </row>
    <row r="379" spans="1:3" s="60" customFormat="1" x14ac:dyDescent="0.2">
      <c r="A379" s="16"/>
      <c r="B379" s="16"/>
      <c r="C379" s="16"/>
    </row>
    <row r="380" spans="1:3" s="60" customFormat="1" x14ac:dyDescent="0.2">
      <c r="A380" s="16"/>
      <c r="B380" s="16"/>
      <c r="C380" s="16"/>
    </row>
    <row r="381" spans="1:3" s="60" customFormat="1" x14ac:dyDescent="0.2">
      <c r="A381" s="16"/>
      <c r="B381" s="16"/>
      <c r="C381" s="16"/>
    </row>
    <row r="382" spans="1:3" s="60" customFormat="1" x14ac:dyDescent="0.2">
      <c r="A382" s="16"/>
      <c r="B382" s="16"/>
      <c r="C382" s="16"/>
    </row>
    <row r="383" spans="1:3" s="60" customFormat="1" x14ac:dyDescent="0.2">
      <c r="A383" s="16"/>
      <c r="B383" s="16"/>
      <c r="C383" s="16"/>
    </row>
    <row r="384" spans="1:3" s="60" customFormat="1" x14ac:dyDescent="0.2">
      <c r="A384" s="16"/>
      <c r="B384" s="16"/>
      <c r="C384" s="16"/>
    </row>
    <row r="385" spans="1:3" s="60" customFormat="1" x14ac:dyDescent="0.2">
      <c r="A385" s="16"/>
      <c r="B385" s="16"/>
      <c r="C385" s="16"/>
    </row>
    <row r="386" spans="1:3" s="60" customFormat="1" x14ac:dyDescent="0.2">
      <c r="A386" s="16"/>
      <c r="B386" s="16"/>
      <c r="C386" s="16"/>
    </row>
    <row r="387" spans="1:3" s="60" customFormat="1" x14ac:dyDescent="0.2">
      <c r="A387" s="16"/>
      <c r="B387" s="16"/>
      <c r="C387" s="16"/>
    </row>
    <row r="388" spans="1:3" s="60" customFormat="1" x14ac:dyDescent="0.2">
      <c r="A388" s="16"/>
      <c r="B388" s="16"/>
      <c r="C388" s="16"/>
    </row>
    <row r="389" spans="1:3" s="60" customFormat="1" x14ac:dyDescent="0.2">
      <c r="A389" s="16"/>
      <c r="B389" s="16"/>
      <c r="C389" s="16"/>
    </row>
    <row r="390" spans="1:3" s="60" customFormat="1" x14ac:dyDescent="0.2">
      <c r="A390" s="16"/>
      <c r="B390" s="16"/>
      <c r="C390" s="16"/>
    </row>
    <row r="391" spans="1:3" s="60" customFormat="1" x14ac:dyDescent="0.2">
      <c r="A391" s="16"/>
      <c r="B391" s="16"/>
      <c r="C391" s="16"/>
    </row>
    <row r="392" spans="1:3" s="60" customFormat="1" x14ac:dyDescent="0.2">
      <c r="A392" s="16"/>
      <c r="B392" s="16"/>
      <c r="C392" s="16"/>
    </row>
    <row r="393" spans="1:3" s="60" customFormat="1" x14ac:dyDescent="0.2">
      <c r="A393" s="16"/>
      <c r="B393" s="16"/>
      <c r="C393" s="16"/>
    </row>
    <row r="394" spans="1:3" s="60" customFormat="1" x14ac:dyDescent="0.2">
      <c r="A394" s="16"/>
      <c r="B394" s="16"/>
      <c r="C394" s="16"/>
    </row>
    <row r="395" spans="1:3" s="60" customFormat="1" x14ac:dyDescent="0.2">
      <c r="A395" s="16"/>
      <c r="B395" s="16"/>
      <c r="C395" s="16"/>
    </row>
    <row r="396" spans="1:3" s="60" customFormat="1" x14ac:dyDescent="0.2">
      <c r="A396" s="16"/>
      <c r="B396" s="16"/>
      <c r="C396" s="16"/>
    </row>
    <row r="397" spans="1:3" s="60" customFormat="1" x14ac:dyDescent="0.2">
      <c r="A397" s="16"/>
      <c r="B397" s="16"/>
      <c r="C397" s="16"/>
    </row>
    <row r="398" spans="1:3" s="60" customFormat="1" x14ac:dyDescent="0.2">
      <c r="A398" s="16"/>
      <c r="B398" s="16"/>
      <c r="C398" s="16"/>
    </row>
    <row r="399" spans="1:3" s="60" customFormat="1" x14ac:dyDescent="0.2">
      <c r="A399" s="16"/>
      <c r="B399" s="16"/>
      <c r="C399" s="16"/>
    </row>
    <row r="400" spans="1:3" s="60" customFormat="1" x14ac:dyDescent="0.2">
      <c r="A400" s="16"/>
      <c r="B400" s="16"/>
      <c r="C400" s="16"/>
    </row>
    <row r="401" spans="1:3" s="60" customFormat="1" x14ac:dyDescent="0.2">
      <c r="A401" s="16"/>
      <c r="B401" s="16"/>
      <c r="C401" s="16"/>
    </row>
    <row r="402" spans="1:3" s="60" customFormat="1" x14ac:dyDescent="0.2">
      <c r="A402" s="16"/>
      <c r="B402" s="16"/>
      <c r="C402" s="16"/>
    </row>
    <row r="403" spans="1:3" s="60" customFormat="1" x14ac:dyDescent="0.2">
      <c r="A403" s="16"/>
      <c r="B403" s="16"/>
      <c r="C403" s="16"/>
    </row>
    <row r="404" spans="1:3" s="60" customFormat="1" x14ac:dyDescent="0.2">
      <c r="A404" s="16"/>
      <c r="B404" s="16"/>
      <c r="C404" s="16"/>
    </row>
    <row r="405" spans="1:3" s="60" customFormat="1" x14ac:dyDescent="0.2">
      <c r="A405" s="16"/>
      <c r="B405" s="16"/>
      <c r="C405" s="16"/>
    </row>
    <row r="406" spans="1:3" s="60" customFormat="1" x14ac:dyDescent="0.2">
      <c r="A406" s="16"/>
      <c r="B406" s="16"/>
      <c r="C406" s="16"/>
    </row>
    <row r="407" spans="1:3" s="60" customFormat="1" x14ac:dyDescent="0.2">
      <c r="A407" s="16"/>
      <c r="B407" s="16"/>
      <c r="C407" s="16"/>
    </row>
    <row r="408" spans="1:3" s="60" customFormat="1" x14ac:dyDescent="0.2">
      <c r="A408" s="16"/>
      <c r="B408" s="16"/>
      <c r="C408" s="16"/>
    </row>
    <row r="409" spans="1:3" s="60" customFormat="1" x14ac:dyDescent="0.2">
      <c r="A409" s="16"/>
      <c r="B409" s="16"/>
      <c r="C409" s="16"/>
    </row>
    <row r="410" spans="1:3" s="60" customFormat="1" x14ac:dyDescent="0.2">
      <c r="A410" s="16"/>
      <c r="B410" s="16"/>
      <c r="C410" s="16"/>
    </row>
    <row r="411" spans="1:3" s="60" customFormat="1" x14ac:dyDescent="0.2">
      <c r="A411" s="16"/>
      <c r="B411" s="16"/>
      <c r="C411" s="16"/>
    </row>
    <row r="412" spans="1:3" s="60" customFormat="1" x14ac:dyDescent="0.2">
      <c r="A412" s="16"/>
      <c r="B412" s="16"/>
      <c r="C412" s="16"/>
    </row>
    <row r="413" spans="1:3" s="60" customFormat="1" x14ac:dyDescent="0.2">
      <c r="A413" s="16"/>
      <c r="B413" s="16"/>
      <c r="C413" s="16"/>
    </row>
    <row r="414" spans="1:3" s="60" customFormat="1" x14ac:dyDescent="0.2">
      <c r="A414" s="16"/>
      <c r="B414" s="16"/>
      <c r="C414" s="16"/>
    </row>
    <row r="415" spans="1:3" s="60" customFormat="1" x14ac:dyDescent="0.2">
      <c r="A415" s="16"/>
      <c r="B415" s="16"/>
      <c r="C415" s="16"/>
    </row>
    <row r="416" spans="1:3" s="60" customFormat="1" x14ac:dyDescent="0.2">
      <c r="A416" s="16"/>
      <c r="B416" s="16"/>
      <c r="C416" s="16"/>
    </row>
    <row r="417" spans="1:3" s="60" customFormat="1" x14ac:dyDescent="0.2">
      <c r="A417" s="16"/>
      <c r="B417" s="16"/>
      <c r="C417" s="16"/>
    </row>
    <row r="418" spans="1:3" s="60" customFormat="1" x14ac:dyDescent="0.2">
      <c r="A418" s="16"/>
      <c r="B418" s="16"/>
      <c r="C418" s="16"/>
    </row>
    <row r="419" spans="1:3" s="60" customFormat="1" x14ac:dyDescent="0.2">
      <c r="A419" s="16"/>
      <c r="B419" s="16"/>
      <c r="C419" s="16"/>
    </row>
    <row r="420" spans="1:3" s="60" customFormat="1" x14ac:dyDescent="0.2">
      <c r="A420" s="16"/>
      <c r="B420" s="16"/>
      <c r="C420" s="16"/>
    </row>
    <row r="421" spans="1:3" s="60" customFormat="1" x14ac:dyDescent="0.2">
      <c r="A421" s="16"/>
      <c r="B421" s="16"/>
      <c r="C421" s="16"/>
    </row>
    <row r="422" spans="1:3" s="60" customFormat="1" x14ac:dyDescent="0.2">
      <c r="A422" s="16"/>
      <c r="B422" s="16"/>
      <c r="C422" s="16"/>
    </row>
    <row r="423" spans="1:3" s="60" customFormat="1" x14ac:dyDescent="0.2">
      <c r="A423" s="16"/>
      <c r="B423" s="16"/>
      <c r="C423" s="16"/>
    </row>
    <row r="424" spans="1:3" s="60" customFormat="1" x14ac:dyDescent="0.2">
      <c r="A424" s="16"/>
      <c r="B424" s="16"/>
      <c r="C424" s="16"/>
    </row>
    <row r="425" spans="1:3" s="60" customFormat="1" x14ac:dyDescent="0.2">
      <c r="A425" s="16"/>
      <c r="B425" s="16"/>
      <c r="C425" s="16"/>
    </row>
    <row r="426" spans="1:3" s="60" customFormat="1" x14ac:dyDescent="0.2">
      <c r="A426" s="16"/>
      <c r="B426" s="16"/>
      <c r="C426" s="16"/>
    </row>
    <row r="427" spans="1:3" s="60" customFormat="1" x14ac:dyDescent="0.2">
      <c r="A427" s="16"/>
      <c r="B427" s="16"/>
      <c r="C427" s="16"/>
    </row>
    <row r="428" spans="1:3" s="60" customFormat="1" x14ac:dyDescent="0.2">
      <c r="A428" s="16"/>
      <c r="B428" s="16"/>
      <c r="C428" s="16"/>
    </row>
    <row r="429" spans="1:3" s="60" customFormat="1" x14ac:dyDescent="0.2">
      <c r="A429" s="16"/>
      <c r="B429" s="16"/>
      <c r="C429" s="16"/>
    </row>
    <row r="430" spans="1:3" s="60" customFormat="1" x14ac:dyDescent="0.2">
      <c r="A430" s="16"/>
      <c r="B430" s="16"/>
      <c r="C430" s="16"/>
    </row>
    <row r="431" spans="1:3" s="60" customFormat="1" x14ac:dyDescent="0.2">
      <c r="A431" s="16"/>
      <c r="B431" s="16"/>
      <c r="C431" s="16"/>
    </row>
    <row r="432" spans="1:3" s="60" customFormat="1" x14ac:dyDescent="0.2">
      <c r="A432" s="16"/>
      <c r="B432" s="16"/>
      <c r="C432" s="16"/>
    </row>
    <row r="433" spans="1:3" s="60" customFormat="1" x14ac:dyDescent="0.2">
      <c r="A433" s="16"/>
      <c r="B433" s="16"/>
      <c r="C433" s="16"/>
    </row>
    <row r="434" spans="1:3" s="60" customFormat="1" x14ac:dyDescent="0.2">
      <c r="A434" s="16"/>
      <c r="B434" s="16"/>
      <c r="C434" s="16"/>
    </row>
    <row r="435" spans="1:3" s="60" customFormat="1" x14ac:dyDescent="0.2">
      <c r="A435" s="16"/>
      <c r="B435" s="16"/>
      <c r="C435" s="16"/>
    </row>
    <row r="436" spans="1:3" s="60" customFormat="1" x14ac:dyDescent="0.2">
      <c r="A436" s="16"/>
      <c r="B436" s="16"/>
      <c r="C436" s="16"/>
    </row>
    <row r="437" spans="1:3" s="60" customFormat="1" x14ac:dyDescent="0.2">
      <c r="A437" s="16"/>
      <c r="B437" s="16"/>
      <c r="C437" s="16"/>
    </row>
    <row r="438" spans="1:3" s="60" customFormat="1" x14ac:dyDescent="0.2">
      <c r="A438" s="16"/>
      <c r="B438" s="16"/>
      <c r="C438" s="16"/>
    </row>
    <row r="439" spans="1:3" s="60" customFormat="1" x14ac:dyDescent="0.2">
      <c r="A439" s="16"/>
      <c r="B439" s="16"/>
      <c r="C439" s="16"/>
    </row>
    <row r="440" spans="1:3" s="60" customFormat="1" x14ac:dyDescent="0.2">
      <c r="A440" s="16"/>
      <c r="B440" s="16"/>
      <c r="C440" s="16"/>
    </row>
    <row r="441" spans="1:3" s="60" customFormat="1" x14ac:dyDescent="0.2">
      <c r="A441" s="16"/>
      <c r="B441" s="16"/>
      <c r="C441" s="16"/>
    </row>
    <row r="442" spans="1:3" s="60" customFormat="1" x14ac:dyDescent="0.2">
      <c r="A442" s="16"/>
      <c r="B442" s="16"/>
      <c r="C442" s="16"/>
    </row>
    <row r="443" spans="1:3" s="60" customFormat="1" x14ac:dyDescent="0.2">
      <c r="A443" s="16"/>
      <c r="B443" s="16"/>
      <c r="C443" s="16"/>
    </row>
    <row r="444" spans="1:3" s="60" customFormat="1" x14ac:dyDescent="0.2">
      <c r="A444" s="16"/>
      <c r="B444" s="16"/>
      <c r="C444" s="16"/>
    </row>
    <row r="445" spans="1:3" s="60" customFormat="1" x14ac:dyDescent="0.2">
      <c r="A445" s="16"/>
      <c r="B445" s="16"/>
      <c r="C445" s="16"/>
    </row>
    <row r="446" spans="1:3" s="60" customFormat="1" x14ac:dyDescent="0.2">
      <c r="A446" s="16"/>
      <c r="B446" s="16"/>
      <c r="C446" s="16"/>
    </row>
    <row r="447" spans="1:3" s="60" customFormat="1" x14ac:dyDescent="0.2">
      <c r="A447" s="16"/>
      <c r="B447" s="16"/>
      <c r="C447" s="16"/>
    </row>
    <row r="448" spans="1:3" s="60" customFormat="1" x14ac:dyDescent="0.2">
      <c r="A448" s="16"/>
      <c r="B448" s="16"/>
      <c r="C448" s="16"/>
    </row>
    <row r="449" spans="1:3" s="60" customFormat="1" x14ac:dyDescent="0.2">
      <c r="A449" s="16"/>
      <c r="B449" s="16"/>
      <c r="C449" s="16"/>
    </row>
    <row r="450" spans="1:3" s="60" customFormat="1" x14ac:dyDescent="0.2">
      <c r="A450" s="16"/>
      <c r="B450" s="16"/>
      <c r="C450" s="16"/>
    </row>
    <row r="451" spans="1:3" s="60" customFormat="1" x14ac:dyDescent="0.2">
      <c r="A451" s="16"/>
      <c r="B451" s="16"/>
      <c r="C451" s="16"/>
    </row>
    <row r="452" spans="1:3" s="60" customFormat="1" x14ac:dyDescent="0.2">
      <c r="A452" s="16"/>
      <c r="B452" s="16"/>
      <c r="C452" s="16"/>
    </row>
    <row r="453" spans="1:3" s="60" customFormat="1" x14ac:dyDescent="0.2">
      <c r="A453" s="16"/>
      <c r="B453" s="16"/>
      <c r="C453" s="16"/>
    </row>
    <row r="454" spans="1:3" s="60" customFormat="1" x14ac:dyDescent="0.2">
      <c r="A454" s="16"/>
      <c r="B454" s="16"/>
      <c r="C454" s="16"/>
    </row>
    <row r="455" spans="1:3" s="60" customFormat="1" x14ac:dyDescent="0.2">
      <c r="A455" s="16"/>
      <c r="B455" s="16"/>
      <c r="C455" s="16"/>
    </row>
    <row r="456" spans="1:3" s="60" customFormat="1" x14ac:dyDescent="0.2">
      <c r="A456" s="16"/>
      <c r="B456" s="16"/>
      <c r="C456" s="16"/>
    </row>
    <row r="457" spans="1:3" s="60" customFormat="1" x14ac:dyDescent="0.2">
      <c r="A457" s="16"/>
      <c r="B457" s="16"/>
      <c r="C457" s="16"/>
    </row>
    <row r="458" spans="1:3" s="60" customFormat="1" x14ac:dyDescent="0.2">
      <c r="A458" s="16"/>
      <c r="B458" s="16"/>
      <c r="C458" s="16"/>
    </row>
    <row r="459" spans="1:3" s="60" customFormat="1" x14ac:dyDescent="0.2">
      <c r="A459" s="16"/>
      <c r="B459" s="16"/>
      <c r="C459" s="16"/>
    </row>
    <row r="460" spans="1:3" s="60" customFormat="1" x14ac:dyDescent="0.2">
      <c r="A460" s="16"/>
      <c r="B460" s="16"/>
      <c r="C460" s="16"/>
    </row>
    <row r="461" spans="1:3" s="60" customFormat="1" x14ac:dyDescent="0.2">
      <c r="A461" s="16"/>
      <c r="B461" s="16"/>
      <c r="C461" s="16"/>
    </row>
    <row r="462" spans="1:3" s="60" customFormat="1" x14ac:dyDescent="0.2">
      <c r="A462" s="16"/>
      <c r="B462" s="16"/>
      <c r="C462" s="16"/>
    </row>
    <row r="463" spans="1:3" s="60" customFormat="1" x14ac:dyDescent="0.2">
      <c r="A463" s="16"/>
      <c r="B463" s="16"/>
      <c r="C463" s="16"/>
    </row>
    <row r="464" spans="1:3" s="60" customFormat="1" x14ac:dyDescent="0.2">
      <c r="A464" s="16"/>
      <c r="B464" s="16"/>
      <c r="C464" s="16"/>
    </row>
    <row r="465" spans="1:3" s="60" customFormat="1" x14ac:dyDescent="0.2">
      <c r="A465" s="16"/>
      <c r="B465" s="16"/>
      <c r="C465" s="16"/>
    </row>
    <row r="466" spans="1:3" s="60" customFormat="1" x14ac:dyDescent="0.2">
      <c r="A466" s="16"/>
      <c r="B466" s="16"/>
      <c r="C466" s="16"/>
    </row>
    <row r="467" spans="1:3" s="60" customFormat="1" x14ac:dyDescent="0.2">
      <c r="A467" s="16"/>
      <c r="B467" s="16"/>
      <c r="C467" s="16"/>
    </row>
    <row r="468" spans="1:3" s="60" customFormat="1" x14ac:dyDescent="0.2">
      <c r="A468" s="16"/>
      <c r="B468" s="16"/>
      <c r="C468" s="16"/>
    </row>
    <row r="469" spans="1:3" s="60" customFormat="1" x14ac:dyDescent="0.2">
      <c r="A469" s="16"/>
      <c r="B469" s="16"/>
      <c r="C469" s="16"/>
    </row>
    <row r="470" spans="1:3" s="60" customFormat="1" x14ac:dyDescent="0.2">
      <c r="A470" s="16"/>
      <c r="B470" s="16"/>
      <c r="C470" s="16"/>
    </row>
    <row r="471" spans="1:3" s="60" customFormat="1" x14ac:dyDescent="0.2">
      <c r="A471" s="16"/>
      <c r="B471" s="16"/>
      <c r="C471" s="16"/>
    </row>
    <row r="472" spans="1:3" s="60" customFormat="1" x14ac:dyDescent="0.2">
      <c r="A472" s="16"/>
      <c r="B472" s="16"/>
      <c r="C472" s="16"/>
    </row>
    <row r="473" spans="1:3" s="60" customFormat="1" x14ac:dyDescent="0.2">
      <c r="A473" s="16"/>
      <c r="B473" s="16"/>
      <c r="C473" s="16"/>
    </row>
    <row r="474" spans="1:3" s="60" customFormat="1" x14ac:dyDescent="0.2">
      <c r="A474" s="16"/>
      <c r="B474" s="16"/>
      <c r="C474" s="16"/>
    </row>
    <row r="475" spans="1:3" s="60" customFormat="1" x14ac:dyDescent="0.2">
      <c r="A475" s="16"/>
      <c r="B475" s="16"/>
      <c r="C475" s="16"/>
    </row>
    <row r="476" spans="1:3" s="60" customFormat="1" x14ac:dyDescent="0.2">
      <c r="A476" s="16"/>
      <c r="B476" s="16"/>
      <c r="C476" s="16"/>
    </row>
    <row r="477" spans="1:3" s="60" customFormat="1" x14ac:dyDescent="0.2">
      <c r="A477" s="16"/>
      <c r="B477" s="16"/>
      <c r="C477" s="16"/>
    </row>
    <row r="478" spans="1:3" s="60" customFormat="1" x14ac:dyDescent="0.2">
      <c r="A478" s="16"/>
      <c r="B478" s="16"/>
      <c r="C478" s="16"/>
    </row>
    <row r="479" spans="1:3" s="60" customFormat="1" x14ac:dyDescent="0.2">
      <c r="A479" s="16"/>
      <c r="B479" s="16"/>
      <c r="C479" s="16"/>
    </row>
    <row r="480" spans="1:3" s="60" customFormat="1" x14ac:dyDescent="0.2">
      <c r="A480" s="16"/>
      <c r="B480" s="16"/>
      <c r="C480" s="16"/>
    </row>
    <row r="481" spans="1:3" s="60" customFormat="1" x14ac:dyDescent="0.2">
      <c r="A481" s="16"/>
      <c r="B481" s="16"/>
      <c r="C481" s="16"/>
    </row>
    <row r="482" spans="1:3" s="60" customFormat="1" x14ac:dyDescent="0.2">
      <c r="A482" s="16"/>
      <c r="B482" s="16"/>
      <c r="C482" s="16"/>
    </row>
    <row r="483" spans="1:3" s="60" customFormat="1" x14ac:dyDescent="0.2">
      <c r="A483" s="16"/>
      <c r="B483" s="16"/>
      <c r="C483" s="16"/>
    </row>
    <row r="484" spans="1:3" s="60" customFormat="1" x14ac:dyDescent="0.2">
      <c r="A484" s="16"/>
      <c r="B484" s="16"/>
      <c r="C484" s="16"/>
    </row>
    <row r="485" spans="1:3" s="60" customFormat="1" x14ac:dyDescent="0.2">
      <c r="A485" s="16"/>
      <c r="B485" s="16"/>
      <c r="C485" s="16"/>
    </row>
    <row r="486" spans="1:3" s="60" customFormat="1" x14ac:dyDescent="0.2">
      <c r="A486" s="16"/>
      <c r="B486" s="16"/>
      <c r="C486" s="16"/>
    </row>
    <row r="487" spans="1:3" s="60" customFormat="1" x14ac:dyDescent="0.2">
      <c r="A487" s="16"/>
      <c r="B487" s="16"/>
      <c r="C487" s="16"/>
    </row>
    <row r="488" spans="1:3" s="60" customFormat="1" x14ac:dyDescent="0.2">
      <c r="A488" s="16"/>
      <c r="B488" s="16"/>
      <c r="C488" s="16"/>
    </row>
    <row r="489" spans="1:3" s="60" customFormat="1" x14ac:dyDescent="0.2">
      <c r="A489" s="16"/>
      <c r="B489" s="16"/>
      <c r="C489" s="16"/>
    </row>
    <row r="490" spans="1:3" s="60" customFormat="1" x14ac:dyDescent="0.2">
      <c r="A490" s="16"/>
      <c r="B490" s="16"/>
      <c r="C490" s="16"/>
    </row>
    <row r="491" spans="1:3" s="60" customFormat="1" x14ac:dyDescent="0.2">
      <c r="A491" s="16"/>
      <c r="B491" s="16"/>
      <c r="C491" s="16"/>
    </row>
    <row r="492" spans="1:3" s="60" customFormat="1" x14ac:dyDescent="0.2">
      <c r="A492" s="16"/>
      <c r="B492" s="16"/>
      <c r="C492" s="16"/>
    </row>
    <row r="493" spans="1:3" s="60" customFormat="1" x14ac:dyDescent="0.2">
      <c r="A493" s="16"/>
      <c r="B493" s="16"/>
      <c r="C493" s="16"/>
    </row>
    <row r="494" spans="1:3" s="60" customFormat="1" x14ac:dyDescent="0.2">
      <c r="A494" s="16"/>
      <c r="B494" s="16"/>
      <c r="C494" s="16"/>
    </row>
    <row r="495" spans="1:3" s="60" customFormat="1" x14ac:dyDescent="0.2">
      <c r="A495" s="16"/>
      <c r="B495" s="16"/>
      <c r="C495" s="16"/>
    </row>
    <row r="496" spans="1:3" s="60" customFormat="1" x14ac:dyDescent="0.2">
      <c r="A496" s="16"/>
      <c r="B496" s="16"/>
      <c r="C496" s="16"/>
    </row>
    <row r="497" spans="1:3" s="60" customFormat="1" x14ac:dyDescent="0.2">
      <c r="A497" s="16"/>
      <c r="B497" s="16"/>
      <c r="C497" s="16"/>
    </row>
    <row r="498" spans="1:3" s="60" customFormat="1" x14ac:dyDescent="0.2">
      <c r="A498" s="16"/>
      <c r="B498" s="16"/>
      <c r="C498" s="16"/>
    </row>
    <row r="499" spans="1:3" s="60" customFormat="1" x14ac:dyDescent="0.2">
      <c r="A499" s="16"/>
      <c r="B499" s="16"/>
      <c r="C499" s="16"/>
    </row>
    <row r="500" spans="1:3" s="60" customFormat="1" x14ac:dyDescent="0.2">
      <c r="A500" s="16"/>
      <c r="B500" s="16"/>
      <c r="C500" s="16"/>
    </row>
    <row r="501" spans="1:3" s="60" customFormat="1" x14ac:dyDescent="0.2">
      <c r="A501" s="16"/>
      <c r="B501" s="16"/>
      <c r="C501" s="16"/>
    </row>
    <row r="502" spans="1:3" s="60" customFormat="1" x14ac:dyDescent="0.2">
      <c r="A502" s="16"/>
      <c r="B502" s="16"/>
      <c r="C502" s="16"/>
    </row>
    <row r="503" spans="1:3" s="60" customFormat="1" x14ac:dyDescent="0.2">
      <c r="A503" s="16"/>
      <c r="B503" s="16"/>
      <c r="C503" s="16"/>
    </row>
    <row r="504" spans="1:3" s="60" customFormat="1" x14ac:dyDescent="0.2">
      <c r="A504" s="16"/>
      <c r="B504" s="16"/>
      <c r="C504" s="16"/>
    </row>
    <row r="505" spans="1:3" s="60" customFormat="1" x14ac:dyDescent="0.2">
      <c r="A505" s="16"/>
      <c r="B505" s="16"/>
      <c r="C505" s="16"/>
    </row>
    <row r="506" spans="1:3" s="60" customFormat="1" x14ac:dyDescent="0.2">
      <c r="A506" s="16"/>
      <c r="B506" s="16"/>
      <c r="C506" s="16"/>
    </row>
    <row r="507" spans="1:3" s="60" customFormat="1" x14ac:dyDescent="0.2">
      <c r="A507" s="16"/>
      <c r="B507" s="16"/>
      <c r="C507" s="16"/>
    </row>
    <row r="508" spans="1:3" s="60" customFormat="1" x14ac:dyDescent="0.2">
      <c r="A508" s="16"/>
      <c r="B508" s="16"/>
      <c r="C508" s="16"/>
    </row>
    <row r="509" spans="1:3" s="60" customFormat="1" x14ac:dyDescent="0.2">
      <c r="A509" s="16"/>
      <c r="B509" s="16"/>
      <c r="C509" s="16"/>
    </row>
    <row r="510" spans="1:3" s="60" customFormat="1" x14ac:dyDescent="0.2">
      <c r="A510" s="16"/>
      <c r="B510" s="16"/>
      <c r="C510" s="16"/>
    </row>
    <row r="511" spans="1:3" s="60" customFormat="1" x14ac:dyDescent="0.2">
      <c r="A511" s="16"/>
      <c r="B511" s="16"/>
      <c r="C511" s="16"/>
    </row>
    <row r="512" spans="1:3" s="60" customFormat="1" x14ac:dyDescent="0.2">
      <c r="A512" s="16"/>
      <c r="B512" s="16"/>
      <c r="C512" s="16"/>
    </row>
    <row r="513" spans="1:3" s="60" customFormat="1" x14ac:dyDescent="0.2">
      <c r="A513" s="16"/>
      <c r="B513" s="16"/>
      <c r="C513" s="16"/>
    </row>
    <row r="514" spans="1:3" s="60" customFormat="1" x14ac:dyDescent="0.2">
      <c r="A514" s="16"/>
      <c r="B514" s="16"/>
      <c r="C514" s="16"/>
    </row>
    <row r="515" spans="1:3" s="60" customFormat="1" x14ac:dyDescent="0.2">
      <c r="A515" s="16"/>
      <c r="B515" s="16"/>
      <c r="C515" s="16"/>
    </row>
    <row r="516" spans="1:3" s="60" customFormat="1" x14ac:dyDescent="0.2">
      <c r="A516" s="16"/>
      <c r="B516" s="16"/>
      <c r="C516" s="16"/>
    </row>
    <row r="517" spans="1:3" s="60" customFormat="1" x14ac:dyDescent="0.2">
      <c r="A517" s="16"/>
      <c r="B517" s="16"/>
      <c r="C517" s="16"/>
    </row>
    <row r="518" spans="1:3" s="60" customFormat="1" x14ac:dyDescent="0.2">
      <c r="A518" s="16"/>
      <c r="B518" s="16"/>
      <c r="C518" s="16"/>
    </row>
    <row r="519" spans="1:3" s="60" customFormat="1" x14ac:dyDescent="0.2">
      <c r="A519" s="16"/>
      <c r="B519" s="16"/>
      <c r="C519" s="16"/>
    </row>
    <row r="520" spans="1:3" s="60" customFormat="1" x14ac:dyDescent="0.2">
      <c r="A520" s="16"/>
      <c r="B520" s="16"/>
      <c r="C520" s="16"/>
    </row>
    <row r="521" spans="1:3" s="60" customFormat="1" x14ac:dyDescent="0.2">
      <c r="A521" s="16"/>
      <c r="B521" s="16"/>
      <c r="C521" s="16"/>
    </row>
    <row r="522" spans="1:3" s="60" customFormat="1" x14ac:dyDescent="0.2">
      <c r="A522" s="16"/>
      <c r="B522" s="16"/>
      <c r="C522" s="16"/>
    </row>
    <row r="523" spans="1:3" s="60" customFormat="1" x14ac:dyDescent="0.2">
      <c r="A523" s="16"/>
      <c r="B523" s="16"/>
      <c r="C523" s="16"/>
    </row>
    <row r="524" spans="1:3" s="60" customFormat="1" x14ac:dyDescent="0.2">
      <c r="A524" s="16"/>
      <c r="B524" s="16"/>
      <c r="C524" s="16"/>
    </row>
    <row r="525" spans="1:3" s="60" customFormat="1" x14ac:dyDescent="0.2">
      <c r="A525" s="16"/>
      <c r="B525" s="16"/>
      <c r="C525" s="16"/>
    </row>
    <row r="526" spans="1:3" s="60" customFormat="1" x14ac:dyDescent="0.2">
      <c r="A526" s="16"/>
      <c r="B526" s="16"/>
      <c r="C526" s="16"/>
    </row>
    <row r="527" spans="1:3" s="60" customFormat="1" x14ac:dyDescent="0.2">
      <c r="A527" s="16"/>
      <c r="B527" s="16"/>
      <c r="C527" s="16"/>
    </row>
    <row r="528" spans="1:3" s="60" customFormat="1" x14ac:dyDescent="0.2">
      <c r="A528" s="16"/>
      <c r="B528" s="16"/>
      <c r="C528" s="16"/>
    </row>
    <row r="529" spans="1:3" s="60" customFormat="1" x14ac:dyDescent="0.2">
      <c r="A529" s="16"/>
      <c r="B529" s="16"/>
      <c r="C529" s="16"/>
    </row>
    <row r="530" spans="1:3" s="60" customFormat="1" x14ac:dyDescent="0.2">
      <c r="A530" s="16"/>
      <c r="B530" s="16"/>
      <c r="C530" s="16"/>
    </row>
    <row r="531" spans="1:3" s="60" customFormat="1" x14ac:dyDescent="0.2">
      <c r="A531" s="16"/>
      <c r="B531" s="16"/>
      <c r="C531" s="16"/>
    </row>
    <row r="532" spans="1:3" s="60" customFormat="1" x14ac:dyDescent="0.2">
      <c r="A532" s="16"/>
      <c r="B532" s="16"/>
      <c r="C532" s="16"/>
    </row>
    <row r="533" spans="1:3" s="60" customFormat="1" x14ac:dyDescent="0.2">
      <c r="A533" s="16"/>
      <c r="B533" s="16"/>
      <c r="C533" s="16"/>
    </row>
    <row r="534" spans="1:3" s="60" customFormat="1" x14ac:dyDescent="0.2">
      <c r="A534" s="16"/>
      <c r="B534" s="16"/>
      <c r="C534" s="16"/>
    </row>
    <row r="535" spans="1:3" s="60" customFormat="1" x14ac:dyDescent="0.2">
      <c r="A535" s="16"/>
      <c r="B535" s="16"/>
      <c r="C535" s="16"/>
    </row>
    <row r="536" spans="1:3" s="60" customFormat="1" x14ac:dyDescent="0.2">
      <c r="A536" s="16"/>
      <c r="B536" s="16"/>
      <c r="C536" s="16"/>
    </row>
    <row r="537" spans="1:3" s="60" customFormat="1" x14ac:dyDescent="0.2">
      <c r="A537" s="16"/>
      <c r="B537" s="16"/>
      <c r="C537" s="16"/>
    </row>
    <row r="538" spans="1:3" s="60" customFormat="1" x14ac:dyDescent="0.2">
      <c r="A538" s="16"/>
      <c r="B538" s="16"/>
      <c r="C538" s="16"/>
    </row>
    <row r="539" spans="1:3" s="60" customFormat="1" x14ac:dyDescent="0.2">
      <c r="A539" s="16"/>
      <c r="B539" s="16"/>
      <c r="C539" s="16"/>
    </row>
    <row r="540" spans="1:3" s="60" customFormat="1" x14ac:dyDescent="0.2">
      <c r="A540" s="16"/>
      <c r="B540" s="16"/>
      <c r="C540" s="16"/>
    </row>
    <row r="541" spans="1:3" s="60" customFormat="1" x14ac:dyDescent="0.2">
      <c r="A541" s="16"/>
      <c r="B541" s="16"/>
      <c r="C541" s="16"/>
    </row>
    <row r="542" spans="1:3" s="60" customFormat="1" x14ac:dyDescent="0.2">
      <c r="A542" s="16"/>
      <c r="B542" s="16"/>
      <c r="C542" s="16"/>
    </row>
    <row r="543" spans="1:3" s="60" customFormat="1" x14ac:dyDescent="0.2">
      <c r="A543" s="16"/>
      <c r="B543" s="16"/>
      <c r="C543" s="16"/>
    </row>
    <row r="544" spans="1:3" s="60" customFormat="1" x14ac:dyDescent="0.2">
      <c r="A544" s="16"/>
      <c r="B544" s="16"/>
      <c r="C544" s="16"/>
    </row>
    <row r="545" spans="1:3" s="60" customFormat="1" x14ac:dyDescent="0.2">
      <c r="A545" s="16"/>
      <c r="B545" s="16"/>
      <c r="C545" s="16"/>
    </row>
    <row r="546" spans="1:3" s="60" customFormat="1" x14ac:dyDescent="0.2">
      <c r="A546" s="16"/>
      <c r="B546" s="16"/>
      <c r="C546" s="16"/>
    </row>
    <row r="547" spans="1:3" s="60" customFormat="1" x14ac:dyDescent="0.2">
      <c r="A547" s="16"/>
      <c r="B547" s="16"/>
      <c r="C547" s="16"/>
    </row>
    <row r="548" spans="1:3" s="60" customFormat="1" x14ac:dyDescent="0.2">
      <c r="A548" s="16"/>
      <c r="B548" s="16"/>
      <c r="C548" s="16"/>
    </row>
    <row r="549" spans="1:3" s="60" customFormat="1" x14ac:dyDescent="0.2">
      <c r="A549" s="16"/>
      <c r="B549" s="16"/>
      <c r="C549" s="16"/>
    </row>
    <row r="550" spans="1:3" s="60" customFormat="1" x14ac:dyDescent="0.2">
      <c r="A550" s="16"/>
      <c r="B550" s="16"/>
      <c r="C550" s="16"/>
    </row>
    <row r="551" spans="1:3" s="60" customFormat="1" x14ac:dyDescent="0.2">
      <c r="A551" s="16"/>
      <c r="B551" s="16"/>
      <c r="C551" s="16"/>
    </row>
    <row r="552" spans="1:3" s="60" customFormat="1" x14ac:dyDescent="0.2">
      <c r="A552" s="16"/>
      <c r="B552" s="16"/>
      <c r="C552" s="16"/>
    </row>
  </sheetData>
  <hyperlinks>
    <hyperlink ref="A1" r:id="rId1" xr:uid="{00000000-0004-0000-0700-000000000000}"/>
    <hyperlink ref="A2" r:id="rId2" xr:uid="{00000000-0004-0000-0700-000001000000}"/>
    <hyperlink ref="A3" r:id="rId3" xr:uid="{00000000-0004-0000-0700-000002000000}"/>
  </hyperlinks>
  <pageMargins left="0.7" right="0.7" top="0.75" bottom="0.75" header="0.3" footer="0.3"/>
  <drawing r:id="rId4"/>
  <tableParts count="1">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theme="9" tint="-0.249977111117893"/>
  </sheetPr>
  <dimension ref="A1:AL797"/>
  <sheetViews>
    <sheetView workbookViewId="0">
      <pane xSplit="1" ySplit="1" topLeftCell="B734" activePane="bottomRight" state="frozen"/>
      <selection activeCell="H14" sqref="H14"/>
      <selection pane="topRight" activeCell="H14" sqref="H14"/>
      <selection pane="bottomLeft" activeCell="H14" sqref="H14"/>
      <selection pane="bottomRight" activeCell="H14" sqref="H14"/>
    </sheetView>
  </sheetViews>
  <sheetFormatPr baseColWidth="10" defaultColWidth="9.1640625" defaultRowHeight="15" x14ac:dyDescent="0.2"/>
  <cols>
    <col min="1" max="1" width="9.1640625" style="51" customWidth="1"/>
    <col min="2" max="2" width="16.33203125" style="51" customWidth="1"/>
    <col min="3" max="4" width="9.1640625" style="51" customWidth="1"/>
    <col min="5" max="5" width="10.6640625" style="51" bestFit="1" customWidth="1"/>
    <col min="6" max="6" width="10.6640625" style="51" customWidth="1"/>
    <col min="7" max="11" width="9.1640625" style="51" customWidth="1"/>
    <col min="12" max="16384" width="9.1640625" style="51"/>
  </cols>
  <sheetData>
    <row r="1" spans="1:38" x14ac:dyDescent="0.2">
      <c r="A1" t="s">
        <v>36</v>
      </c>
      <c r="B1" t="s">
        <v>53</v>
      </c>
      <c r="C1" t="s">
        <v>54</v>
      </c>
      <c r="D1" t="s">
        <v>55</v>
      </c>
      <c r="E1" t="s">
        <v>56</v>
      </c>
      <c r="F1" t="s">
        <v>57</v>
      </c>
      <c r="G1" t="s">
        <v>58</v>
      </c>
      <c r="H1" t="s">
        <v>59</v>
      </c>
      <c r="I1" t="s">
        <v>60</v>
      </c>
      <c r="J1" t="s">
        <v>61</v>
      </c>
      <c r="K1" t="s">
        <v>62</v>
      </c>
      <c r="L1" t="s">
        <v>63</v>
      </c>
      <c r="M1" t="s">
        <v>64</v>
      </c>
      <c r="N1" t="s">
        <v>65</v>
      </c>
      <c r="O1" t="s">
        <v>66</v>
      </c>
      <c r="P1" t="s">
        <v>67</v>
      </c>
      <c r="Q1" t="s">
        <v>68</v>
      </c>
      <c r="R1" t="s">
        <v>69</v>
      </c>
      <c r="S1" t="s">
        <v>70</v>
      </c>
      <c r="T1" t="s">
        <v>71</v>
      </c>
      <c r="U1" t="s">
        <v>72</v>
      </c>
      <c r="V1" t="s">
        <v>73</v>
      </c>
      <c r="W1" t="s">
        <v>74</v>
      </c>
      <c r="X1" t="s">
        <v>75</v>
      </c>
      <c r="Y1" t="s">
        <v>76</v>
      </c>
      <c r="Z1" t="s">
        <v>77</v>
      </c>
      <c r="AA1" t="s">
        <v>78</v>
      </c>
      <c r="AB1" t="s">
        <v>79</v>
      </c>
      <c r="AC1" t="s">
        <v>80</v>
      </c>
      <c r="AD1" t="s">
        <v>81</v>
      </c>
      <c r="AE1" t="s">
        <v>82</v>
      </c>
      <c r="AF1" t="s">
        <v>83</v>
      </c>
      <c r="AG1" t="s">
        <v>84</v>
      </c>
      <c r="AH1" t="s">
        <v>85</v>
      </c>
      <c r="AI1" t="s">
        <v>86</v>
      </c>
      <c r="AJ1" t="s">
        <v>87</v>
      </c>
      <c r="AK1" t="s">
        <v>88</v>
      </c>
      <c r="AL1" t="s">
        <v>89</v>
      </c>
    </row>
    <row r="2" spans="1:38" x14ac:dyDescent="0.2">
      <c r="A2" s="6">
        <v>20090</v>
      </c>
      <c r="E2">
        <v>4.8</v>
      </c>
      <c r="U2">
        <v>2.6</v>
      </c>
      <c r="AI2">
        <v>4.9000000000000004</v>
      </c>
    </row>
    <row r="3" spans="1:38" x14ac:dyDescent="0.2">
      <c r="A3" s="6">
        <v>20121</v>
      </c>
      <c r="E3">
        <v>4.7</v>
      </c>
      <c r="U3">
        <v>2.5</v>
      </c>
      <c r="AI3">
        <v>4.7</v>
      </c>
    </row>
    <row r="4" spans="1:38" x14ac:dyDescent="0.2">
      <c r="A4" s="6">
        <v>20149</v>
      </c>
      <c r="E4">
        <v>4.9000000000000004</v>
      </c>
      <c r="U4">
        <v>2.2999999999999998</v>
      </c>
      <c r="AI4">
        <v>4.5999999999999996</v>
      </c>
    </row>
    <row r="5" spans="1:38" x14ac:dyDescent="0.2">
      <c r="A5" s="6">
        <v>20180</v>
      </c>
      <c r="E5">
        <v>4.5</v>
      </c>
      <c r="U5">
        <v>2.5</v>
      </c>
      <c r="AI5">
        <v>4.7</v>
      </c>
    </row>
    <row r="6" spans="1:38" x14ac:dyDescent="0.2">
      <c r="A6" s="6">
        <v>20210</v>
      </c>
      <c r="E6">
        <v>4.5</v>
      </c>
      <c r="U6">
        <v>2.4</v>
      </c>
      <c r="AI6">
        <v>4.3</v>
      </c>
    </row>
    <row r="7" spans="1:38" x14ac:dyDescent="0.2">
      <c r="A7" s="6">
        <v>20241</v>
      </c>
      <c r="E7">
        <v>4.3</v>
      </c>
      <c r="U7">
        <v>2.6</v>
      </c>
      <c r="AI7">
        <v>4.2</v>
      </c>
    </row>
    <row r="8" spans="1:38" x14ac:dyDescent="0.2">
      <c r="A8" s="6">
        <v>20271</v>
      </c>
      <c r="E8">
        <v>4.3</v>
      </c>
      <c r="U8">
        <v>2.6</v>
      </c>
      <c r="AI8">
        <v>4</v>
      </c>
    </row>
    <row r="9" spans="1:38" x14ac:dyDescent="0.2">
      <c r="A9" s="6">
        <v>20302</v>
      </c>
      <c r="E9">
        <v>3.8</v>
      </c>
      <c r="U9">
        <v>2.6</v>
      </c>
      <c r="AI9">
        <v>4.2</v>
      </c>
    </row>
    <row r="10" spans="1:38" x14ac:dyDescent="0.2">
      <c r="A10" s="6">
        <v>20333</v>
      </c>
      <c r="E10">
        <v>4.0999999999999996</v>
      </c>
      <c r="U10">
        <v>2.6</v>
      </c>
      <c r="AI10">
        <v>4.0999999999999996</v>
      </c>
    </row>
    <row r="11" spans="1:38" x14ac:dyDescent="0.2">
      <c r="A11" s="6">
        <v>20363</v>
      </c>
      <c r="E11">
        <v>4</v>
      </c>
      <c r="U11">
        <v>2.7</v>
      </c>
      <c r="AI11">
        <v>4.3</v>
      </c>
    </row>
    <row r="12" spans="1:38" x14ac:dyDescent="0.2">
      <c r="A12" s="6">
        <v>20394</v>
      </c>
      <c r="E12">
        <v>3.8</v>
      </c>
      <c r="U12">
        <v>2.4</v>
      </c>
      <c r="AI12">
        <v>4.2</v>
      </c>
    </row>
    <row r="13" spans="1:38" x14ac:dyDescent="0.2">
      <c r="A13" s="6">
        <v>20424</v>
      </c>
      <c r="E13">
        <v>3.7</v>
      </c>
      <c r="U13">
        <v>2.4</v>
      </c>
      <c r="AI13">
        <v>4.2</v>
      </c>
    </row>
    <row r="14" spans="1:38" x14ac:dyDescent="0.2">
      <c r="A14" s="6">
        <v>20455</v>
      </c>
      <c r="E14">
        <v>3.7</v>
      </c>
      <c r="U14">
        <v>2.5</v>
      </c>
      <c r="AI14">
        <v>4</v>
      </c>
    </row>
    <row r="15" spans="1:38" x14ac:dyDescent="0.2">
      <c r="A15" s="6">
        <v>20486</v>
      </c>
      <c r="E15">
        <v>3.8</v>
      </c>
      <c r="U15">
        <v>2.6</v>
      </c>
      <c r="AI15">
        <v>3.9</v>
      </c>
    </row>
    <row r="16" spans="1:38" x14ac:dyDescent="0.2">
      <c r="A16" s="6">
        <v>20515</v>
      </c>
      <c r="E16">
        <v>3.6</v>
      </c>
      <c r="U16">
        <v>2.7</v>
      </c>
      <c r="AI16">
        <v>4.2</v>
      </c>
    </row>
    <row r="17" spans="1:35" x14ac:dyDescent="0.2">
      <c r="A17" s="6">
        <v>20546</v>
      </c>
      <c r="E17">
        <v>3.5</v>
      </c>
      <c r="U17">
        <v>2.4</v>
      </c>
      <c r="AI17">
        <v>4</v>
      </c>
    </row>
    <row r="18" spans="1:35" x14ac:dyDescent="0.2">
      <c r="A18" s="6">
        <v>20576</v>
      </c>
      <c r="E18">
        <v>3.4</v>
      </c>
      <c r="U18">
        <v>2.2999999999999998</v>
      </c>
      <c r="AI18">
        <v>4.3</v>
      </c>
    </row>
    <row r="19" spans="1:35" x14ac:dyDescent="0.2">
      <c r="A19" s="6">
        <v>20607</v>
      </c>
      <c r="E19">
        <v>3.2</v>
      </c>
      <c r="U19">
        <v>2.2000000000000002</v>
      </c>
      <c r="AI19">
        <v>4.3</v>
      </c>
    </row>
    <row r="20" spans="1:35" x14ac:dyDescent="0.2">
      <c r="A20" s="6">
        <v>20637</v>
      </c>
      <c r="E20">
        <v>3</v>
      </c>
      <c r="U20">
        <v>2.1</v>
      </c>
      <c r="AI20">
        <v>4.4000000000000004</v>
      </c>
    </row>
    <row r="21" spans="1:35" x14ac:dyDescent="0.2">
      <c r="A21" s="6">
        <v>20668</v>
      </c>
      <c r="E21">
        <v>3</v>
      </c>
      <c r="U21">
        <v>2.1</v>
      </c>
      <c r="AI21">
        <v>4.0999999999999996</v>
      </c>
    </row>
    <row r="22" spans="1:35" x14ac:dyDescent="0.2">
      <c r="A22" s="6">
        <v>20699</v>
      </c>
      <c r="E22">
        <v>3.1</v>
      </c>
      <c r="U22">
        <v>2.2000000000000002</v>
      </c>
      <c r="AI22">
        <v>3.9</v>
      </c>
    </row>
    <row r="23" spans="1:35" x14ac:dyDescent="0.2">
      <c r="A23" s="6">
        <v>20729</v>
      </c>
      <c r="E23">
        <v>2.8</v>
      </c>
      <c r="U23">
        <v>2</v>
      </c>
      <c r="AI23">
        <v>3.9</v>
      </c>
    </row>
    <row r="24" spans="1:35" x14ac:dyDescent="0.2">
      <c r="A24" s="6">
        <v>20760</v>
      </c>
      <c r="E24">
        <v>3.1</v>
      </c>
      <c r="U24">
        <v>2.2000000000000002</v>
      </c>
      <c r="AI24">
        <v>4.3</v>
      </c>
    </row>
    <row r="25" spans="1:35" x14ac:dyDescent="0.2">
      <c r="A25" s="6">
        <v>20790</v>
      </c>
      <c r="E25">
        <v>3.4</v>
      </c>
      <c r="U25">
        <v>2.2999999999999998</v>
      </c>
      <c r="AI25">
        <v>4.2</v>
      </c>
    </row>
    <row r="26" spans="1:35" x14ac:dyDescent="0.2">
      <c r="A26" s="6">
        <v>20821</v>
      </c>
      <c r="E26">
        <v>3.8</v>
      </c>
      <c r="U26">
        <v>2.1</v>
      </c>
      <c r="AI26">
        <v>4.2</v>
      </c>
    </row>
    <row r="27" spans="1:35" x14ac:dyDescent="0.2">
      <c r="A27" s="6">
        <v>20852</v>
      </c>
      <c r="E27">
        <v>3.9</v>
      </c>
      <c r="U27">
        <v>2</v>
      </c>
      <c r="AI27">
        <v>3.9</v>
      </c>
    </row>
    <row r="28" spans="1:35" x14ac:dyDescent="0.2">
      <c r="A28" s="6">
        <v>20880</v>
      </c>
      <c r="E28">
        <v>4.0999999999999996</v>
      </c>
      <c r="U28">
        <v>2</v>
      </c>
      <c r="AI28">
        <v>3.7</v>
      </c>
    </row>
    <row r="29" spans="1:35" x14ac:dyDescent="0.2">
      <c r="A29" s="6">
        <v>20911</v>
      </c>
      <c r="E29">
        <v>4.2</v>
      </c>
      <c r="U29">
        <v>2</v>
      </c>
      <c r="AI29">
        <v>3.9</v>
      </c>
    </row>
    <row r="30" spans="1:35" x14ac:dyDescent="0.2">
      <c r="A30" s="6">
        <v>20941</v>
      </c>
      <c r="E30">
        <v>3.9</v>
      </c>
      <c r="U30">
        <v>1.9</v>
      </c>
      <c r="AI30">
        <v>4.0999999999999996</v>
      </c>
    </row>
    <row r="31" spans="1:35" x14ac:dyDescent="0.2">
      <c r="A31" s="6">
        <v>20972</v>
      </c>
      <c r="E31">
        <v>4.3</v>
      </c>
      <c r="U31">
        <v>1.8</v>
      </c>
      <c r="AI31">
        <v>4.3</v>
      </c>
    </row>
    <row r="32" spans="1:35" x14ac:dyDescent="0.2">
      <c r="A32" s="6">
        <v>21002</v>
      </c>
      <c r="E32">
        <v>4.5999999999999996</v>
      </c>
      <c r="U32">
        <v>1.8</v>
      </c>
      <c r="AI32">
        <v>4.2</v>
      </c>
    </row>
    <row r="33" spans="1:35" x14ac:dyDescent="0.2">
      <c r="A33" s="6">
        <v>21033</v>
      </c>
      <c r="E33">
        <v>4.8</v>
      </c>
      <c r="U33">
        <v>1.8</v>
      </c>
      <c r="AI33">
        <v>4.0999999999999996</v>
      </c>
    </row>
    <row r="34" spans="1:35" x14ac:dyDescent="0.2">
      <c r="A34" s="6">
        <v>21064</v>
      </c>
      <c r="E34">
        <v>5.4</v>
      </c>
      <c r="U34">
        <v>2</v>
      </c>
      <c r="AI34">
        <v>4.4000000000000004</v>
      </c>
    </row>
    <row r="35" spans="1:35" x14ac:dyDescent="0.2">
      <c r="A35" s="6">
        <v>21094</v>
      </c>
      <c r="E35">
        <v>5.3</v>
      </c>
      <c r="U35">
        <v>2</v>
      </c>
      <c r="AI35">
        <v>4.5</v>
      </c>
    </row>
    <row r="36" spans="1:35" x14ac:dyDescent="0.2">
      <c r="A36" s="6">
        <v>21125</v>
      </c>
      <c r="E36">
        <v>6.2</v>
      </c>
      <c r="U36">
        <v>1.9</v>
      </c>
      <c r="AI36">
        <v>5.0999999999999996</v>
      </c>
    </row>
    <row r="37" spans="1:35" x14ac:dyDescent="0.2">
      <c r="A37" s="6">
        <v>21155</v>
      </c>
      <c r="E37">
        <v>6.5</v>
      </c>
      <c r="U37">
        <v>1.8</v>
      </c>
      <c r="AI37">
        <v>5.2</v>
      </c>
    </row>
    <row r="38" spans="1:35" x14ac:dyDescent="0.2">
      <c r="A38" s="6">
        <v>21186</v>
      </c>
      <c r="E38">
        <v>6.5</v>
      </c>
      <c r="U38">
        <v>1.9</v>
      </c>
      <c r="AI38">
        <v>5.8</v>
      </c>
    </row>
    <row r="39" spans="1:35" x14ac:dyDescent="0.2">
      <c r="A39" s="6">
        <v>21217</v>
      </c>
      <c r="E39">
        <v>6.6</v>
      </c>
      <c r="U39">
        <v>1.9</v>
      </c>
      <c r="AI39">
        <v>6.4</v>
      </c>
    </row>
    <row r="40" spans="1:35" x14ac:dyDescent="0.2">
      <c r="A40" s="6">
        <v>21245</v>
      </c>
      <c r="E40">
        <v>6.9</v>
      </c>
      <c r="U40">
        <v>2</v>
      </c>
      <c r="AI40">
        <v>6.7</v>
      </c>
    </row>
    <row r="41" spans="1:35" x14ac:dyDescent="0.2">
      <c r="A41" s="6">
        <v>21276</v>
      </c>
      <c r="E41">
        <v>6.9</v>
      </c>
      <c r="U41">
        <v>2</v>
      </c>
      <c r="AI41">
        <v>7.4</v>
      </c>
    </row>
    <row r="42" spans="1:35" x14ac:dyDescent="0.2">
      <c r="A42" s="6">
        <v>21306</v>
      </c>
      <c r="E42">
        <v>7</v>
      </c>
      <c r="U42">
        <v>2</v>
      </c>
      <c r="AI42">
        <v>7.4</v>
      </c>
    </row>
    <row r="43" spans="1:35" x14ac:dyDescent="0.2">
      <c r="A43" s="6">
        <v>21337</v>
      </c>
      <c r="E43">
        <v>7.9</v>
      </c>
      <c r="U43">
        <v>2.2000000000000002</v>
      </c>
      <c r="AI43">
        <v>7.3</v>
      </c>
    </row>
    <row r="44" spans="1:35" x14ac:dyDescent="0.2">
      <c r="A44" s="6">
        <v>21367</v>
      </c>
      <c r="E44">
        <v>7.5</v>
      </c>
      <c r="U44">
        <v>2.1</v>
      </c>
      <c r="AI44">
        <v>7.5</v>
      </c>
    </row>
    <row r="45" spans="1:35" x14ac:dyDescent="0.2">
      <c r="A45" s="6">
        <v>21398</v>
      </c>
      <c r="E45">
        <v>7.5</v>
      </c>
      <c r="U45">
        <v>2.2000000000000002</v>
      </c>
      <c r="AI45">
        <v>7.4</v>
      </c>
    </row>
    <row r="46" spans="1:35" x14ac:dyDescent="0.2">
      <c r="A46" s="6">
        <v>21429</v>
      </c>
      <c r="E46">
        <v>7.1</v>
      </c>
      <c r="U46">
        <v>2.2000000000000002</v>
      </c>
      <c r="AI46">
        <v>7.1</v>
      </c>
    </row>
    <row r="47" spans="1:35" x14ac:dyDescent="0.2">
      <c r="A47" s="6">
        <v>21459</v>
      </c>
      <c r="E47">
        <v>7.5</v>
      </c>
      <c r="U47">
        <v>2.1</v>
      </c>
      <c r="AI47">
        <v>6.7</v>
      </c>
    </row>
    <row r="48" spans="1:35" x14ac:dyDescent="0.2">
      <c r="A48" s="6">
        <v>21490</v>
      </c>
      <c r="E48">
        <v>7.2</v>
      </c>
      <c r="U48">
        <v>2.1</v>
      </c>
      <c r="AI48">
        <v>6.2</v>
      </c>
    </row>
    <row r="49" spans="1:35" x14ac:dyDescent="0.2">
      <c r="A49" s="6">
        <v>21520</v>
      </c>
      <c r="E49">
        <v>7</v>
      </c>
      <c r="U49">
        <v>2.1</v>
      </c>
      <c r="AI49">
        <v>6.2</v>
      </c>
    </row>
    <row r="50" spans="1:35" x14ac:dyDescent="0.2">
      <c r="A50" s="6">
        <v>21551</v>
      </c>
      <c r="E50">
        <v>6.5</v>
      </c>
      <c r="U50">
        <v>2.4</v>
      </c>
      <c r="AI50">
        <v>6</v>
      </c>
    </row>
    <row r="51" spans="1:35" x14ac:dyDescent="0.2">
      <c r="A51" s="6">
        <v>21582</v>
      </c>
      <c r="E51">
        <v>6.2</v>
      </c>
      <c r="U51">
        <v>2.5</v>
      </c>
      <c r="AI51">
        <v>5.9</v>
      </c>
    </row>
    <row r="52" spans="1:35" x14ac:dyDescent="0.2">
      <c r="A52" s="6">
        <v>21610</v>
      </c>
      <c r="E52">
        <v>6</v>
      </c>
      <c r="U52">
        <v>2.4</v>
      </c>
      <c r="AI52">
        <v>5.6</v>
      </c>
    </row>
    <row r="53" spans="1:35" x14ac:dyDescent="0.2">
      <c r="A53" s="6">
        <v>21641</v>
      </c>
      <c r="E53">
        <v>5.8</v>
      </c>
      <c r="U53">
        <v>2.2000000000000002</v>
      </c>
      <c r="AI53">
        <v>5.2</v>
      </c>
    </row>
    <row r="54" spans="1:35" x14ac:dyDescent="0.2">
      <c r="A54" s="6">
        <v>21671</v>
      </c>
      <c r="E54">
        <v>6.3</v>
      </c>
      <c r="U54">
        <v>2.2000000000000002</v>
      </c>
      <c r="AI54">
        <v>5.0999999999999996</v>
      </c>
    </row>
    <row r="55" spans="1:35" x14ac:dyDescent="0.2">
      <c r="A55" s="6">
        <v>21702</v>
      </c>
      <c r="E55">
        <v>5.6</v>
      </c>
      <c r="U55">
        <v>2.2999999999999998</v>
      </c>
      <c r="AI55">
        <v>5</v>
      </c>
    </row>
    <row r="56" spans="1:35" x14ac:dyDescent="0.2">
      <c r="A56" s="6">
        <v>21732</v>
      </c>
      <c r="E56">
        <v>5.5</v>
      </c>
      <c r="U56">
        <v>2.2999999999999998</v>
      </c>
      <c r="AI56">
        <v>5.0999999999999996</v>
      </c>
    </row>
    <row r="57" spans="1:35" x14ac:dyDescent="0.2">
      <c r="A57" s="6">
        <v>21763</v>
      </c>
      <c r="E57">
        <v>5.9</v>
      </c>
      <c r="U57">
        <v>2.2999999999999998</v>
      </c>
      <c r="AI57">
        <v>5.2</v>
      </c>
    </row>
    <row r="58" spans="1:35" x14ac:dyDescent="0.2">
      <c r="A58" s="6">
        <v>21794</v>
      </c>
      <c r="E58">
        <v>5.4</v>
      </c>
      <c r="U58">
        <v>2</v>
      </c>
      <c r="AI58">
        <v>5.5</v>
      </c>
    </row>
    <row r="59" spans="1:35" x14ac:dyDescent="0.2">
      <c r="A59" s="6">
        <v>21824</v>
      </c>
      <c r="E59">
        <v>5.5</v>
      </c>
      <c r="U59">
        <v>1.9</v>
      </c>
      <c r="AI59">
        <v>5.7</v>
      </c>
    </row>
    <row r="60" spans="1:35" x14ac:dyDescent="0.2">
      <c r="A60" s="6">
        <v>21855</v>
      </c>
      <c r="E60">
        <v>5.8</v>
      </c>
      <c r="U60">
        <v>2</v>
      </c>
      <c r="AI60">
        <v>5.8</v>
      </c>
    </row>
    <row r="61" spans="1:35" x14ac:dyDescent="0.2">
      <c r="A61" s="6">
        <v>21885</v>
      </c>
      <c r="E61">
        <v>6</v>
      </c>
      <c r="U61">
        <v>2</v>
      </c>
      <c r="AI61">
        <v>5.3</v>
      </c>
    </row>
    <row r="62" spans="1:35" x14ac:dyDescent="0.2">
      <c r="A62" s="6">
        <v>21916</v>
      </c>
      <c r="E62">
        <v>6.1</v>
      </c>
      <c r="U62">
        <v>1.9</v>
      </c>
      <c r="AI62">
        <v>5.2</v>
      </c>
    </row>
    <row r="63" spans="1:35" x14ac:dyDescent="0.2">
      <c r="A63" s="6">
        <v>21947</v>
      </c>
      <c r="E63">
        <v>6.4</v>
      </c>
      <c r="U63">
        <v>1.7</v>
      </c>
      <c r="AI63">
        <v>4.8</v>
      </c>
    </row>
    <row r="64" spans="1:35" x14ac:dyDescent="0.2">
      <c r="A64" s="6">
        <v>21976</v>
      </c>
      <c r="E64">
        <v>6.5</v>
      </c>
      <c r="U64">
        <v>1.7</v>
      </c>
      <c r="AI64">
        <v>5.4</v>
      </c>
    </row>
    <row r="65" spans="1:35" x14ac:dyDescent="0.2">
      <c r="A65" s="6">
        <v>22007</v>
      </c>
      <c r="E65">
        <v>6.8</v>
      </c>
      <c r="U65">
        <v>1.7</v>
      </c>
      <c r="AI65">
        <v>5.2</v>
      </c>
    </row>
    <row r="66" spans="1:35" x14ac:dyDescent="0.2">
      <c r="A66" s="6">
        <v>22037</v>
      </c>
      <c r="E66">
        <v>7.2</v>
      </c>
      <c r="U66">
        <v>1.7</v>
      </c>
      <c r="AI66">
        <v>5.0999999999999996</v>
      </c>
    </row>
    <row r="67" spans="1:35" x14ac:dyDescent="0.2">
      <c r="A67" s="6">
        <v>22068</v>
      </c>
      <c r="E67">
        <v>6.7</v>
      </c>
      <c r="U67">
        <v>1.6</v>
      </c>
      <c r="AI67">
        <v>5.4</v>
      </c>
    </row>
    <row r="68" spans="1:35" x14ac:dyDescent="0.2">
      <c r="A68" s="6">
        <v>22098</v>
      </c>
      <c r="E68">
        <v>7.1</v>
      </c>
      <c r="U68">
        <v>1.5</v>
      </c>
      <c r="AI68">
        <v>5.5</v>
      </c>
    </row>
    <row r="69" spans="1:35" x14ac:dyDescent="0.2">
      <c r="A69" s="6">
        <v>22129</v>
      </c>
      <c r="E69">
        <v>7.6</v>
      </c>
      <c r="U69">
        <v>1.6</v>
      </c>
      <c r="AI69">
        <v>5.6</v>
      </c>
    </row>
    <row r="70" spans="1:35" x14ac:dyDescent="0.2">
      <c r="A70" s="6">
        <v>22160</v>
      </c>
      <c r="E70">
        <v>7.5</v>
      </c>
      <c r="U70">
        <v>1.6</v>
      </c>
      <c r="AI70">
        <v>5.5</v>
      </c>
    </row>
    <row r="71" spans="1:35" x14ac:dyDescent="0.2">
      <c r="A71" s="6">
        <v>22190</v>
      </c>
      <c r="E71">
        <v>7.6</v>
      </c>
      <c r="U71">
        <v>1.4</v>
      </c>
      <c r="AI71">
        <v>6.1</v>
      </c>
    </row>
    <row r="72" spans="1:35" x14ac:dyDescent="0.2">
      <c r="A72" s="6">
        <v>22221</v>
      </c>
      <c r="E72">
        <v>7.5</v>
      </c>
      <c r="U72">
        <v>1.5</v>
      </c>
      <c r="AI72">
        <v>6.1</v>
      </c>
    </row>
    <row r="73" spans="1:35" x14ac:dyDescent="0.2">
      <c r="A73" s="6">
        <v>22251</v>
      </c>
      <c r="E73">
        <v>7.6</v>
      </c>
      <c r="U73">
        <v>1.5</v>
      </c>
      <c r="AI73">
        <v>6.6</v>
      </c>
    </row>
    <row r="74" spans="1:35" x14ac:dyDescent="0.2">
      <c r="A74" s="6">
        <v>22282</v>
      </c>
      <c r="E74">
        <v>7.6</v>
      </c>
      <c r="U74">
        <v>1.5</v>
      </c>
      <c r="AI74">
        <v>6.6</v>
      </c>
    </row>
    <row r="75" spans="1:35" x14ac:dyDescent="0.2">
      <c r="A75" s="6">
        <v>22313</v>
      </c>
      <c r="E75">
        <v>7.7</v>
      </c>
      <c r="U75">
        <v>1.5</v>
      </c>
      <c r="AI75">
        <v>6.9</v>
      </c>
    </row>
    <row r="76" spans="1:35" x14ac:dyDescent="0.2">
      <c r="A76" s="6">
        <v>22341</v>
      </c>
      <c r="E76">
        <v>7.6</v>
      </c>
      <c r="U76">
        <v>1.3</v>
      </c>
      <c r="AI76">
        <v>6.9</v>
      </c>
    </row>
    <row r="77" spans="1:35" x14ac:dyDescent="0.2">
      <c r="A77" s="6">
        <v>22372</v>
      </c>
      <c r="E77">
        <v>7.6</v>
      </c>
      <c r="U77">
        <v>1.4</v>
      </c>
      <c r="AI77">
        <v>7</v>
      </c>
    </row>
    <row r="78" spans="1:35" x14ac:dyDescent="0.2">
      <c r="A78" s="6">
        <v>22402</v>
      </c>
      <c r="E78">
        <v>7.6</v>
      </c>
      <c r="U78">
        <v>1.5</v>
      </c>
      <c r="AI78">
        <v>7.1</v>
      </c>
    </row>
    <row r="79" spans="1:35" x14ac:dyDescent="0.2">
      <c r="A79" s="6">
        <v>22433</v>
      </c>
      <c r="E79">
        <v>7.4</v>
      </c>
      <c r="U79">
        <v>1.5</v>
      </c>
      <c r="AI79">
        <v>6.9</v>
      </c>
    </row>
    <row r="80" spans="1:35" x14ac:dyDescent="0.2">
      <c r="A80" s="6">
        <v>22463</v>
      </c>
      <c r="E80">
        <v>7.2</v>
      </c>
      <c r="U80">
        <v>1.5</v>
      </c>
      <c r="AI80">
        <v>7</v>
      </c>
    </row>
    <row r="81" spans="1:35" x14ac:dyDescent="0.2">
      <c r="A81" s="6">
        <v>22494</v>
      </c>
      <c r="E81">
        <v>6.8</v>
      </c>
      <c r="U81">
        <v>1.4</v>
      </c>
      <c r="AI81">
        <v>6.6</v>
      </c>
    </row>
    <row r="82" spans="1:35" x14ac:dyDescent="0.2">
      <c r="A82" s="6">
        <v>22525</v>
      </c>
      <c r="E82">
        <v>6.9</v>
      </c>
      <c r="U82">
        <v>1.4</v>
      </c>
      <c r="AI82">
        <v>6.7</v>
      </c>
    </row>
    <row r="83" spans="1:35" x14ac:dyDescent="0.2">
      <c r="A83" s="6">
        <v>22555</v>
      </c>
      <c r="E83">
        <v>6.5</v>
      </c>
      <c r="U83">
        <v>1.4</v>
      </c>
      <c r="AI83">
        <v>6.5</v>
      </c>
    </row>
    <row r="84" spans="1:35" x14ac:dyDescent="0.2">
      <c r="A84" s="6">
        <v>22586</v>
      </c>
      <c r="E84">
        <v>6.1</v>
      </c>
      <c r="U84">
        <v>1.5</v>
      </c>
      <c r="AI84">
        <v>6.1</v>
      </c>
    </row>
    <row r="85" spans="1:35" x14ac:dyDescent="0.2">
      <c r="A85" s="6">
        <v>22616</v>
      </c>
      <c r="E85">
        <v>6</v>
      </c>
      <c r="U85">
        <v>1.4</v>
      </c>
      <c r="AI85">
        <v>6</v>
      </c>
    </row>
    <row r="86" spans="1:35" x14ac:dyDescent="0.2">
      <c r="A86" s="6">
        <v>22647</v>
      </c>
      <c r="E86">
        <v>6</v>
      </c>
      <c r="U86">
        <v>1.3</v>
      </c>
      <c r="AI86">
        <v>5.8</v>
      </c>
    </row>
    <row r="87" spans="1:35" x14ac:dyDescent="0.2">
      <c r="A87" s="6">
        <v>22678</v>
      </c>
      <c r="E87">
        <v>6.2</v>
      </c>
      <c r="U87">
        <v>1.3</v>
      </c>
      <c r="AI87">
        <v>5.5</v>
      </c>
    </row>
    <row r="88" spans="1:35" x14ac:dyDescent="0.2">
      <c r="A88" s="6">
        <v>22706</v>
      </c>
      <c r="E88">
        <v>6</v>
      </c>
      <c r="U88">
        <v>1.3</v>
      </c>
      <c r="AI88">
        <v>5.6</v>
      </c>
    </row>
    <row r="89" spans="1:35" x14ac:dyDescent="0.2">
      <c r="A89" s="6">
        <v>22737</v>
      </c>
      <c r="E89">
        <v>5.9</v>
      </c>
      <c r="U89">
        <v>1.4</v>
      </c>
      <c r="AI89">
        <v>5.6</v>
      </c>
    </row>
    <row r="90" spans="1:35" x14ac:dyDescent="0.2">
      <c r="A90" s="6">
        <v>22767</v>
      </c>
      <c r="E90">
        <v>5.6</v>
      </c>
      <c r="U90">
        <v>1.2</v>
      </c>
      <c r="AI90">
        <v>5.5</v>
      </c>
    </row>
    <row r="91" spans="1:35" x14ac:dyDescent="0.2">
      <c r="A91" s="6">
        <v>22798</v>
      </c>
      <c r="E91">
        <v>5.7</v>
      </c>
      <c r="U91">
        <v>1.3</v>
      </c>
      <c r="AI91">
        <v>5.5</v>
      </c>
    </row>
    <row r="92" spans="1:35" x14ac:dyDescent="0.2">
      <c r="A92" s="6">
        <v>22828</v>
      </c>
      <c r="E92">
        <v>6</v>
      </c>
      <c r="U92">
        <v>1.3</v>
      </c>
      <c r="AI92">
        <v>5.4</v>
      </c>
    </row>
    <row r="93" spans="1:35" x14ac:dyDescent="0.2">
      <c r="A93" s="6">
        <v>22859</v>
      </c>
      <c r="E93">
        <v>5.7</v>
      </c>
      <c r="U93">
        <v>1.2</v>
      </c>
      <c r="AI93">
        <v>5.7</v>
      </c>
    </row>
    <row r="94" spans="1:35" x14ac:dyDescent="0.2">
      <c r="A94" s="6">
        <v>22890</v>
      </c>
      <c r="E94">
        <v>5.7</v>
      </c>
      <c r="U94">
        <v>1.2</v>
      </c>
      <c r="AI94">
        <v>5.6</v>
      </c>
    </row>
    <row r="95" spans="1:35" x14ac:dyDescent="0.2">
      <c r="A95" s="6">
        <v>22920</v>
      </c>
      <c r="E95">
        <v>5.7</v>
      </c>
      <c r="U95">
        <v>1.4</v>
      </c>
      <c r="AI95">
        <v>5.4</v>
      </c>
    </row>
    <row r="96" spans="1:35" x14ac:dyDescent="0.2">
      <c r="A96" s="6">
        <v>22951</v>
      </c>
      <c r="E96">
        <v>5.9</v>
      </c>
      <c r="U96">
        <v>1.3</v>
      </c>
      <c r="AI96">
        <v>5.7</v>
      </c>
    </row>
    <row r="97" spans="1:35" x14ac:dyDescent="0.2">
      <c r="A97" s="6">
        <v>22981</v>
      </c>
      <c r="E97">
        <v>6</v>
      </c>
      <c r="U97">
        <v>1.3</v>
      </c>
      <c r="AI97">
        <v>5.5</v>
      </c>
    </row>
    <row r="98" spans="1:35" x14ac:dyDescent="0.2">
      <c r="A98" s="6">
        <v>23012</v>
      </c>
      <c r="E98">
        <v>5.9</v>
      </c>
      <c r="U98">
        <v>1.4</v>
      </c>
      <c r="AI98">
        <v>5.7</v>
      </c>
    </row>
    <row r="99" spans="1:35" x14ac:dyDescent="0.2">
      <c r="A99" s="6">
        <v>23043</v>
      </c>
      <c r="E99">
        <v>5.8</v>
      </c>
      <c r="U99">
        <v>1.4</v>
      </c>
      <c r="AI99">
        <v>5.9</v>
      </c>
    </row>
    <row r="100" spans="1:35" x14ac:dyDescent="0.2">
      <c r="A100" s="6">
        <v>23071</v>
      </c>
      <c r="E100">
        <v>5.9</v>
      </c>
      <c r="U100">
        <v>1.4</v>
      </c>
      <c r="AI100">
        <v>5.7</v>
      </c>
    </row>
    <row r="101" spans="1:35" x14ac:dyDescent="0.2">
      <c r="A101" s="6">
        <v>23102</v>
      </c>
      <c r="E101">
        <v>5.7</v>
      </c>
      <c r="U101">
        <v>1.2</v>
      </c>
      <c r="AI101">
        <v>5.7</v>
      </c>
    </row>
    <row r="102" spans="1:35" x14ac:dyDescent="0.2">
      <c r="A102" s="6">
        <v>23132</v>
      </c>
      <c r="E102">
        <v>5.7</v>
      </c>
      <c r="U102">
        <v>1.3</v>
      </c>
      <c r="AI102">
        <v>5.9</v>
      </c>
    </row>
    <row r="103" spans="1:35" x14ac:dyDescent="0.2">
      <c r="A103" s="6">
        <v>23163</v>
      </c>
      <c r="E103">
        <v>5.5</v>
      </c>
      <c r="U103">
        <v>1.1000000000000001</v>
      </c>
      <c r="AI103">
        <v>5.6</v>
      </c>
    </row>
    <row r="104" spans="1:35" x14ac:dyDescent="0.2">
      <c r="A104" s="6">
        <v>23193</v>
      </c>
      <c r="E104">
        <v>5.4</v>
      </c>
      <c r="U104">
        <v>1.1000000000000001</v>
      </c>
      <c r="AI104">
        <v>5.6</v>
      </c>
    </row>
    <row r="105" spans="1:35" x14ac:dyDescent="0.2">
      <c r="A105" s="6">
        <v>23224</v>
      </c>
      <c r="E105">
        <v>5.3</v>
      </c>
      <c r="U105">
        <v>1.2</v>
      </c>
      <c r="AI105">
        <v>5.4</v>
      </c>
    </row>
    <row r="106" spans="1:35" x14ac:dyDescent="0.2">
      <c r="A106" s="6">
        <v>23255</v>
      </c>
      <c r="E106">
        <v>5.3</v>
      </c>
      <c r="U106">
        <v>1.3</v>
      </c>
      <c r="AI106">
        <v>5.5</v>
      </c>
    </row>
    <row r="107" spans="1:35" x14ac:dyDescent="0.2">
      <c r="A107" s="6">
        <v>23285</v>
      </c>
      <c r="E107">
        <v>5.2</v>
      </c>
      <c r="U107">
        <v>1.2</v>
      </c>
      <c r="AI107">
        <v>5.5</v>
      </c>
    </row>
    <row r="108" spans="1:35" x14ac:dyDescent="0.2">
      <c r="A108" s="6">
        <v>23316</v>
      </c>
      <c r="E108">
        <v>5.0999999999999996</v>
      </c>
      <c r="U108">
        <v>1.2</v>
      </c>
      <c r="AI108">
        <v>5.7</v>
      </c>
    </row>
    <row r="109" spans="1:35" x14ac:dyDescent="0.2">
      <c r="A109" s="6">
        <v>23346</v>
      </c>
      <c r="E109">
        <v>5</v>
      </c>
      <c r="U109">
        <v>1.3</v>
      </c>
      <c r="AI109">
        <v>5.5</v>
      </c>
    </row>
    <row r="110" spans="1:35" x14ac:dyDescent="0.2">
      <c r="A110" s="6">
        <v>23377</v>
      </c>
      <c r="E110">
        <v>4.9000000000000004</v>
      </c>
      <c r="U110">
        <v>1.2</v>
      </c>
      <c r="AI110">
        <v>5.6</v>
      </c>
    </row>
    <row r="111" spans="1:35" x14ac:dyDescent="0.2">
      <c r="A111" s="6">
        <v>23408</v>
      </c>
      <c r="E111">
        <v>4.9000000000000004</v>
      </c>
      <c r="U111">
        <v>1.3</v>
      </c>
      <c r="AI111">
        <v>5.4</v>
      </c>
    </row>
    <row r="112" spans="1:35" x14ac:dyDescent="0.2">
      <c r="A112" s="6">
        <v>23437</v>
      </c>
      <c r="E112">
        <v>4.8</v>
      </c>
      <c r="U112">
        <v>1.2</v>
      </c>
      <c r="AI112">
        <v>5.4</v>
      </c>
    </row>
    <row r="113" spans="1:35" x14ac:dyDescent="0.2">
      <c r="A113" s="6">
        <v>23468</v>
      </c>
      <c r="E113">
        <v>4.9000000000000004</v>
      </c>
      <c r="U113">
        <v>1.2</v>
      </c>
      <c r="AI113">
        <v>5.3</v>
      </c>
    </row>
    <row r="114" spans="1:35" x14ac:dyDescent="0.2">
      <c r="A114" s="6">
        <v>23498</v>
      </c>
      <c r="E114">
        <v>4.5999999999999996</v>
      </c>
      <c r="U114">
        <v>1.1000000000000001</v>
      </c>
      <c r="AI114">
        <v>5.0999999999999996</v>
      </c>
    </row>
    <row r="115" spans="1:35" x14ac:dyDescent="0.2">
      <c r="A115" s="6">
        <v>23529</v>
      </c>
      <c r="E115">
        <v>4.8</v>
      </c>
      <c r="U115">
        <v>1.2</v>
      </c>
      <c r="AI115">
        <v>5.2</v>
      </c>
    </row>
    <row r="116" spans="1:35" x14ac:dyDescent="0.2">
      <c r="A116" s="6">
        <v>23559</v>
      </c>
      <c r="E116">
        <v>4.5999999999999996</v>
      </c>
      <c r="U116">
        <v>1.2</v>
      </c>
      <c r="AI116">
        <v>4.9000000000000004</v>
      </c>
    </row>
    <row r="117" spans="1:35" x14ac:dyDescent="0.2">
      <c r="A117" s="6">
        <v>23590</v>
      </c>
      <c r="E117">
        <v>4.5999999999999996</v>
      </c>
      <c r="U117">
        <v>1.2</v>
      </c>
      <c r="AI117">
        <v>5</v>
      </c>
    </row>
    <row r="118" spans="1:35" x14ac:dyDescent="0.2">
      <c r="A118" s="6">
        <v>23621</v>
      </c>
      <c r="E118">
        <v>4.5</v>
      </c>
      <c r="U118">
        <v>1.1000000000000001</v>
      </c>
      <c r="AI118">
        <v>5.0999999999999996</v>
      </c>
    </row>
    <row r="119" spans="1:35" x14ac:dyDescent="0.2">
      <c r="A119" s="6">
        <v>23651</v>
      </c>
      <c r="E119">
        <v>4.9000000000000004</v>
      </c>
      <c r="U119">
        <v>1.1000000000000001</v>
      </c>
      <c r="AI119">
        <v>5.0999999999999996</v>
      </c>
    </row>
    <row r="120" spans="1:35" x14ac:dyDescent="0.2">
      <c r="A120" s="6">
        <v>23682</v>
      </c>
      <c r="E120">
        <v>4.3</v>
      </c>
      <c r="U120">
        <v>1.1000000000000001</v>
      </c>
      <c r="AI120">
        <v>4.8</v>
      </c>
    </row>
    <row r="121" spans="1:35" x14ac:dyDescent="0.2">
      <c r="A121" s="6">
        <v>23712</v>
      </c>
      <c r="E121">
        <v>4.0999999999999996</v>
      </c>
      <c r="U121">
        <v>1.1000000000000001</v>
      </c>
      <c r="AI121">
        <v>5</v>
      </c>
    </row>
    <row r="122" spans="1:35" x14ac:dyDescent="0.2">
      <c r="A122" s="6">
        <v>23743</v>
      </c>
      <c r="E122">
        <v>4.2</v>
      </c>
      <c r="U122">
        <v>1.1000000000000001</v>
      </c>
      <c r="AI122">
        <v>4.9000000000000004</v>
      </c>
    </row>
    <row r="123" spans="1:35" x14ac:dyDescent="0.2">
      <c r="A123" s="6">
        <v>23774</v>
      </c>
      <c r="E123">
        <v>4.0999999999999996</v>
      </c>
      <c r="U123">
        <v>1.2</v>
      </c>
      <c r="AI123">
        <v>5.0999999999999996</v>
      </c>
    </row>
    <row r="124" spans="1:35" x14ac:dyDescent="0.2">
      <c r="A124" s="6">
        <v>23802</v>
      </c>
      <c r="E124">
        <v>4.0999999999999996</v>
      </c>
      <c r="U124">
        <v>1.1000000000000001</v>
      </c>
      <c r="AI124">
        <v>4.7</v>
      </c>
    </row>
    <row r="125" spans="1:35" x14ac:dyDescent="0.2">
      <c r="A125" s="6">
        <v>23833</v>
      </c>
      <c r="E125">
        <v>4.4000000000000004</v>
      </c>
      <c r="U125">
        <v>1.2</v>
      </c>
      <c r="AI125">
        <v>4.8</v>
      </c>
    </row>
    <row r="126" spans="1:35" x14ac:dyDescent="0.2">
      <c r="A126" s="6">
        <v>23863</v>
      </c>
      <c r="E126">
        <v>4</v>
      </c>
      <c r="U126">
        <v>1.2</v>
      </c>
      <c r="AI126">
        <v>4.5999999999999996</v>
      </c>
    </row>
    <row r="127" spans="1:35" x14ac:dyDescent="0.2">
      <c r="A127" s="6">
        <v>23894</v>
      </c>
      <c r="E127">
        <v>4.0999999999999996</v>
      </c>
      <c r="U127">
        <v>1.3</v>
      </c>
      <c r="AI127">
        <v>4.5999999999999996</v>
      </c>
    </row>
    <row r="128" spans="1:35" x14ac:dyDescent="0.2">
      <c r="A128" s="6">
        <v>23924</v>
      </c>
      <c r="E128">
        <v>3.9</v>
      </c>
      <c r="U128">
        <v>1.3</v>
      </c>
      <c r="AI128">
        <v>4.4000000000000004</v>
      </c>
    </row>
    <row r="129" spans="1:35" x14ac:dyDescent="0.2">
      <c r="A129" s="6">
        <v>23955</v>
      </c>
      <c r="E129">
        <v>3.8</v>
      </c>
      <c r="U129">
        <v>1.2</v>
      </c>
      <c r="AI129">
        <v>4.4000000000000004</v>
      </c>
    </row>
    <row r="130" spans="1:35" x14ac:dyDescent="0.2">
      <c r="A130" s="6">
        <v>23986</v>
      </c>
      <c r="E130">
        <v>3.6</v>
      </c>
      <c r="U130">
        <v>1.3</v>
      </c>
      <c r="AI130">
        <v>4.3</v>
      </c>
    </row>
    <row r="131" spans="1:35" x14ac:dyDescent="0.2">
      <c r="A131" s="6">
        <v>24016</v>
      </c>
      <c r="E131">
        <v>3.1</v>
      </c>
      <c r="U131">
        <v>1.3</v>
      </c>
      <c r="AI131">
        <v>4.2</v>
      </c>
    </row>
    <row r="132" spans="1:35" x14ac:dyDescent="0.2">
      <c r="A132" s="6">
        <v>24047</v>
      </c>
      <c r="E132">
        <v>3.6</v>
      </c>
      <c r="U132">
        <v>1.3</v>
      </c>
      <c r="AI132">
        <v>4.0999999999999996</v>
      </c>
    </row>
    <row r="133" spans="1:35" x14ac:dyDescent="0.2">
      <c r="A133" s="6">
        <v>24077</v>
      </c>
      <c r="E133">
        <v>3.5</v>
      </c>
      <c r="U133">
        <v>1.3</v>
      </c>
      <c r="AI133">
        <v>4</v>
      </c>
    </row>
    <row r="134" spans="1:35" x14ac:dyDescent="0.2">
      <c r="A134" s="6">
        <v>24108</v>
      </c>
      <c r="E134">
        <v>3.4</v>
      </c>
      <c r="U134">
        <v>1.4</v>
      </c>
      <c r="AI134">
        <v>4</v>
      </c>
    </row>
    <row r="135" spans="1:35" x14ac:dyDescent="0.2">
      <c r="A135" s="6">
        <v>24139</v>
      </c>
      <c r="E135">
        <v>3.4</v>
      </c>
      <c r="U135">
        <v>1.3</v>
      </c>
      <c r="AI135">
        <v>3.8</v>
      </c>
    </row>
    <row r="136" spans="1:35" x14ac:dyDescent="0.2">
      <c r="A136" s="6">
        <v>24167</v>
      </c>
      <c r="E136">
        <v>3.3</v>
      </c>
      <c r="U136">
        <v>1.4</v>
      </c>
      <c r="AI136">
        <v>3.8</v>
      </c>
    </row>
    <row r="137" spans="1:35" x14ac:dyDescent="0.2">
      <c r="A137" s="6">
        <v>24198</v>
      </c>
      <c r="E137">
        <v>3.2</v>
      </c>
      <c r="U137">
        <v>1.3</v>
      </c>
      <c r="AI137">
        <v>3.8</v>
      </c>
    </row>
    <row r="138" spans="1:35" x14ac:dyDescent="0.2">
      <c r="A138" s="6">
        <v>24228</v>
      </c>
      <c r="E138">
        <v>3.2</v>
      </c>
      <c r="U138">
        <v>1.4</v>
      </c>
      <c r="AI138">
        <v>3.9</v>
      </c>
    </row>
    <row r="139" spans="1:35" x14ac:dyDescent="0.2">
      <c r="A139" s="6">
        <v>24259</v>
      </c>
      <c r="E139">
        <v>2.9</v>
      </c>
      <c r="U139">
        <v>1.3</v>
      </c>
      <c r="AI139">
        <v>3.8</v>
      </c>
    </row>
    <row r="140" spans="1:35" x14ac:dyDescent="0.2">
      <c r="A140" s="6">
        <v>24289</v>
      </c>
      <c r="E140">
        <v>3.2</v>
      </c>
      <c r="U140">
        <v>1.2</v>
      </c>
      <c r="AI140">
        <v>3.8</v>
      </c>
    </row>
    <row r="141" spans="1:35" x14ac:dyDescent="0.2">
      <c r="A141" s="6">
        <v>24320</v>
      </c>
      <c r="E141">
        <v>3.5</v>
      </c>
      <c r="U141">
        <v>1.3</v>
      </c>
      <c r="AI141">
        <v>3.8</v>
      </c>
    </row>
    <row r="142" spans="1:35" x14ac:dyDescent="0.2">
      <c r="A142" s="6">
        <v>24351</v>
      </c>
      <c r="E142">
        <v>3.6</v>
      </c>
      <c r="U142">
        <v>1.4</v>
      </c>
      <c r="AI142">
        <v>3.7</v>
      </c>
    </row>
    <row r="143" spans="1:35" x14ac:dyDescent="0.2">
      <c r="A143" s="6">
        <v>24381</v>
      </c>
      <c r="E143">
        <v>3.3</v>
      </c>
      <c r="U143">
        <v>1.3</v>
      </c>
      <c r="AI143">
        <v>3.7</v>
      </c>
    </row>
    <row r="144" spans="1:35" x14ac:dyDescent="0.2">
      <c r="A144" s="6">
        <v>24412</v>
      </c>
      <c r="E144">
        <v>3.5</v>
      </c>
      <c r="U144">
        <v>1.3</v>
      </c>
      <c r="AI144">
        <v>3.6</v>
      </c>
    </row>
    <row r="145" spans="1:35" x14ac:dyDescent="0.2">
      <c r="A145" s="6">
        <v>24442</v>
      </c>
      <c r="E145">
        <v>3.4</v>
      </c>
      <c r="U145">
        <v>1.2</v>
      </c>
      <c r="AI145">
        <v>3.8</v>
      </c>
    </row>
    <row r="146" spans="1:35" x14ac:dyDescent="0.2">
      <c r="A146" s="6">
        <v>24473</v>
      </c>
      <c r="E146">
        <v>3.6</v>
      </c>
      <c r="U146">
        <v>1.2</v>
      </c>
      <c r="AI146">
        <v>3.9</v>
      </c>
    </row>
    <row r="147" spans="1:35" x14ac:dyDescent="0.2">
      <c r="A147" s="6">
        <v>24504</v>
      </c>
      <c r="E147">
        <v>3.7</v>
      </c>
      <c r="U147">
        <v>1.1000000000000001</v>
      </c>
      <c r="AI147">
        <v>3.8</v>
      </c>
    </row>
    <row r="148" spans="1:35" x14ac:dyDescent="0.2">
      <c r="A148" s="6">
        <v>24532</v>
      </c>
      <c r="E148">
        <v>3.8</v>
      </c>
      <c r="U148">
        <v>1.6</v>
      </c>
      <c r="AI148">
        <v>3.8</v>
      </c>
    </row>
    <row r="149" spans="1:35" x14ac:dyDescent="0.2">
      <c r="A149" s="6">
        <v>24563</v>
      </c>
      <c r="E149">
        <v>3.9</v>
      </c>
      <c r="U149">
        <v>1.3</v>
      </c>
      <c r="AI149">
        <v>3.8</v>
      </c>
    </row>
    <row r="150" spans="1:35" x14ac:dyDescent="0.2">
      <c r="A150" s="6">
        <v>24593</v>
      </c>
      <c r="E150">
        <v>3.7</v>
      </c>
      <c r="U150">
        <v>1.2</v>
      </c>
      <c r="AI150">
        <v>3.8</v>
      </c>
    </row>
    <row r="151" spans="1:35" x14ac:dyDescent="0.2">
      <c r="A151" s="6">
        <v>24624</v>
      </c>
      <c r="E151">
        <v>3.6</v>
      </c>
      <c r="U151">
        <v>1.3</v>
      </c>
      <c r="AI151">
        <v>3.9</v>
      </c>
    </row>
    <row r="152" spans="1:35" x14ac:dyDescent="0.2">
      <c r="A152" s="6">
        <v>24654</v>
      </c>
      <c r="E152">
        <v>3.7</v>
      </c>
      <c r="U152">
        <v>1.2</v>
      </c>
      <c r="AI152">
        <v>3.8</v>
      </c>
    </row>
    <row r="153" spans="1:35" x14ac:dyDescent="0.2">
      <c r="A153" s="6">
        <v>24685</v>
      </c>
      <c r="E153">
        <v>3.6</v>
      </c>
      <c r="U153">
        <v>1.2</v>
      </c>
      <c r="AI153">
        <v>3.8</v>
      </c>
    </row>
    <row r="154" spans="1:35" x14ac:dyDescent="0.2">
      <c r="A154" s="6">
        <v>24716</v>
      </c>
      <c r="E154">
        <v>3.7</v>
      </c>
      <c r="U154">
        <v>1.1000000000000001</v>
      </c>
      <c r="AI154">
        <v>3.8</v>
      </c>
    </row>
    <row r="155" spans="1:35" x14ac:dyDescent="0.2">
      <c r="A155" s="6">
        <v>24746</v>
      </c>
      <c r="E155">
        <v>4.0999999999999996</v>
      </c>
      <c r="U155">
        <v>1.2</v>
      </c>
      <c r="AI155">
        <v>4</v>
      </c>
    </row>
    <row r="156" spans="1:35" x14ac:dyDescent="0.2">
      <c r="A156" s="6">
        <v>24777</v>
      </c>
      <c r="E156">
        <v>4</v>
      </c>
      <c r="U156">
        <v>1.3</v>
      </c>
      <c r="AI156">
        <v>3.9</v>
      </c>
    </row>
    <row r="157" spans="1:35" x14ac:dyDescent="0.2">
      <c r="A157" s="6">
        <v>24807</v>
      </c>
      <c r="E157">
        <v>4.4000000000000004</v>
      </c>
      <c r="U157">
        <v>1.3</v>
      </c>
      <c r="AI157">
        <v>3.8</v>
      </c>
    </row>
    <row r="158" spans="1:35" x14ac:dyDescent="0.2">
      <c r="A158" s="6">
        <v>24838</v>
      </c>
      <c r="E158">
        <v>4.3</v>
      </c>
      <c r="U158">
        <v>1.3</v>
      </c>
      <c r="AI158">
        <v>3.7</v>
      </c>
    </row>
    <row r="159" spans="1:35" x14ac:dyDescent="0.2">
      <c r="A159" s="6">
        <v>24869</v>
      </c>
      <c r="E159">
        <v>4.4000000000000004</v>
      </c>
      <c r="U159">
        <v>1.3</v>
      </c>
      <c r="AI159">
        <v>3.8</v>
      </c>
    </row>
    <row r="160" spans="1:35" x14ac:dyDescent="0.2">
      <c r="A160" s="6">
        <v>24898</v>
      </c>
      <c r="E160">
        <v>4.5999999999999996</v>
      </c>
      <c r="U160">
        <v>1.2</v>
      </c>
      <c r="AI160">
        <v>3.7</v>
      </c>
    </row>
    <row r="161" spans="1:35" x14ac:dyDescent="0.2">
      <c r="A161" s="6">
        <v>24929</v>
      </c>
      <c r="E161">
        <v>4.5</v>
      </c>
      <c r="U161">
        <v>1.2</v>
      </c>
      <c r="AI161">
        <v>3.5</v>
      </c>
    </row>
    <row r="162" spans="1:35" x14ac:dyDescent="0.2">
      <c r="A162" s="6">
        <v>24959</v>
      </c>
      <c r="E162">
        <v>4.4000000000000004</v>
      </c>
      <c r="U162">
        <v>1.2</v>
      </c>
      <c r="AI162">
        <v>3.5</v>
      </c>
    </row>
    <row r="163" spans="1:35" x14ac:dyDescent="0.2">
      <c r="A163" s="6">
        <v>24990</v>
      </c>
      <c r="E163">
        <v>4.7</v>
      </c>
      <c r="U163">
        <v>1.1000000000000001</v>
      </c>
      <c r="AI163">
        <v>3.7</v>
      </c>
    </row>
    <row r="164" spans="1:35" x14ac:dyDescent="0.2">
      <c r="A164" s="6">
        <v>25020</v>
      </c>
      <c r="E164">
        <v>4.7</v>
      </c>
      <c r="U164">
        <v>1.3</v>
      </c>
      <c r="AI164">
        <v>3.7</v>
      </c>
    </row>
    <row r="165" spans="1:35" x14ac:dyDescent="0.2">
      <c r="A165" s="6">
        <v>25051</v>
      </c>
      <c r="E165">
        <v>4.5999999999999996</v>
      </c>
      <c r="U165">
        <v>1.2</v>
      </c>
      <c r="AI165">
        <v>3.5</v>
      </c>
    </row>
    <row r="166" spans="1:35" x14ac:dyDescent="0.2">
      <c r="A166" s="6">
        <v>25082</v>
      </c>
      <c r="E166">
        <v>4.3</v>
      </c>
      <c r="U166">
        <v>1.1000000000000001</v>
      </c>
      <c r="AI166">
        <v>3.4</v>
      </c>
    </row>
    <row r="167" spans="1:35" x14ac:dyDescent="0.2">
      <c r="A167" s="6">
        <v>25112</v>
      </c>
      <c r="E167">
        <v>4.4000000000000004</v>
      </c>
      <c r="U167">
        <v>1.1000000000000001</v>
      </c>
      <c r="AI167">
        <v>3.4</v>
      </c>
    </row>
    <row r="168" spans="1:35" x14ac:dyDescent="0.2">
      <c r="A168" s="6">
        <v>25143</v>
      </c>
      <c r="E168">
        <v>4.5</v>
      </c>
      <c r="U168">
        <v>1</v>
      </c>
      <c r="AI168">
        <v>3.4</v>
      </c>
    </row>
    <row r="169" spans="1:35" x14ac:dyDescent="0.2">
      <c r="A169" s="6">
        <v>25173</v>
      </c>
      <c r="E169">
        <v>4.5</v>
      </c>
      <c r="U169">
        <v>1.1000000000000001</v>
      </c>
      <c r="AI169">
        <v>3.4</v>
      </c>
    </row>
    <row r="170" spans="1:35" x14ac:dyDescent="0.2">
      <c r="A170" s="6">
        <v>25204</v>
      </c>
      <c r="E170">
        <v>4.3</v>
      </c>
      <c r="U170">
        <v>1.1000000000000001</v>
      </c>
      <c r="AI170">
        <v>3.4</v>
      </c>
    </row>
    <row r="171" spans="1:35" x14ac:dyDescent="0.2">
      <c r="A171" s="6">
        <v>25235</v>
      </c>
      <c r="E171">
        <v>4.3</v>
      </c>
      <c r="U171">
        <v>1.2</v>
      </c>
      <c r="AI171">
        <v>3.4</v>
      </c>
    </row>
    <row r="172" spans="1:35" x14ac:dyDescent="0.2">
      <c r="A172" s="6">
        <v>25263</v>
      </c>
      <c r="E172">
        <v>4.2</v>
      </c>
      <c r="U172">
        <v>1.1000000000000001</v>
      </c>
      <c r="AI172">
        <v>3.4</v>
      </c>
    </row>
    <row r="173" spans="1:35" x14ac:dyDescent="0.2">
      <c r="A173" s="6">
        <v>25294</v>
      </c>
      <c r="E173">
        <v>4.3</v>
      </c>
      <c r="U173">
        <v>1.1000000000000001</v>
      </c>
      <c r="AI173">
        <v>3.4</v>
      </c>
    </row>
    <row r="174" spans="1:35" x14ac:dyDescent="0.2">
      <c r="A174" s="6">
        <v>25324</v>
      </c>
      <c r="E174">
        <v>4.4000000000000004</v>
      </c>
      <c r="U174">
        <v>1.2</v>
      </c>
      <c r="AI174">
        <v>3.4</v>
      </c>
    </row>
    <row r="175" spans="1:35" x14ac:dyDescent="0.2">
      <c r="A175" s="6">
        <v>25355</v>
      </c>
      <c r="E175">
        <v>4.4000000000000004</v>
      </c>
      <c r="U175">
        <v>1.3</v>
      </c>
      <c r="AI175">
        <v>3.5</v>
      </c>
    </row>
    <row r="176" spans="1:35" x14ac:dyDescent="0.2">
      <c r="A176" s="6">
        <v>25385</v>
      </c>
      <c r="E176">
        <v>4.3</v>
      </c>
      <c r="U176">
        <v>1.2</v>
      </c>
      <c r="AI176">
        <v>3.5</v>
      </c>
    </row>
    <row r="177" spans="1:35" x14ac:dyDescent="0.2">
      <c r="A177" s="6">
        <v>25416</v>
      </c>
      <c r="E177">
        <v>4.5</v>
      </c>
      <c r="U177">
        <v>1.1000000000000001</v>
      </c>
      <c r="AI177">
        <v>3.5</v>
      </c>
    </row>
    <row r="178" spans="1:35" x14ac:dyDescent="0.2">
      <c r="A178" s="6">
        <v>25447</v>
      </c>
      <c r="E178">
        <v>4.4000000000000004</v>
      </c>
      <c r="U178">
        <v>1.1000000000000001</v>
      </c>
      <c r="AI178">
        <v>3.7</v>
      </c>
    </row>
    <row r="179" spans="1:35" x14ac:dyDescent="0.2">
      <c r="A179" s="6">
        <v>25477</v>
      </c>
      <c r="E179">
        <v>4.7</v>
      </c>
      <c r="U179">
        <v>1.1000000000000001</v>
      </c>
      <c r="AI179">
        <v>3.7</v>
      </c>
    </row>
    <row r="180" spans="1:35" x14ac:dyDescent="0.2">
      <c r="A180" s="6">
        <v>25508</v>
      </c>
      <c r="E180">
        <v>4.5999999999999996</v>
      </c>
      <c r="U180">
        <v>1</v>
      </c>
      <c r="AI180">
        <v>3.5</v>
      </c>
    </row>
    <row r="181" spans="1:35" x14ac:dyDescent="0.2">
      <c r="A181" s="6">
        <v>25538</v>
      </c>
      <c r="E181">
        <v>4.5</v>
      </c>
      <c r="U181">
        <v>1.1000000000000001</v>
      </c>
      <c r="AI181">
        <v>3.5</v>
      </c>
    </row>
    <row r="182" spans="1:35" x14ac:dyDescent="0.2">
      <c r="A182" s="6">
        <v>25569</v>
      </c>
      <c r="E182">
        <v>4.5</v>
      </c>
      <c r="U182">
        <v>1.1000000000000001</v>
      </c>
      <c r="AI182">
        <v>3.9</v>
      </c>
    </row>
    <row r="183" spans="1:35" x14ac:dyDescent="0.2">
      <c r="A183" s="6">
        <v>25600</v>
      </c>
      <c r="E183">
        <v>4.9000000000000004</v>
      </c>
      <c r="U183">
        <v>1.1000000000000001</v>
      </c>
      <c r="AI183">
        <v>4.2</v>
      </c>
    </row>
    <row r="184" spans="1:35" x14ac:dyDescent="0.2">
      <c r="A184" s="6">
        <v>25628</v>
      </c>
      <c r="E184">
        <v>5.2</v>
      </c>
      <c r="U184">
        <v>1</v>
      </c>
      <c r="AI184">
        <v>4.4000000000000004</v>
      </c>
    </row>
    <row r="185" spans="1:35" x14ac:dyDescent="0.2">
      <c r="A185" s="6">
        <v>25659</v>
      </c>
      <c r="E185">
        <v>5.4</v>
      </c>
      <c r="U185">
        <v>1.2</v>
      </c>
      <c r="AI185">
        <v>4.5999999999999996</v>
      </c>
    </row>
    <row r="186" spans="1:35" x14ac:dyDescent="0.2">
      <c r="A186" s="6">
        <v>25689</v>
      </c>
      <c r="E186">
        <v>5.8</v>
      </c>
      <c r="U186">
        <v>1.1000000000000001</v>
      </c>
      <c r="AI186">
        <v>4.8</v>
      </c>
    </row>
    <row r="187" spans="1:35" x14ac:dyDescent="0.2">
      <c r="A187" s="6">
        <v>25720</v>
      </c>
      <c r="E187">
        <v>6.1</v>
      </c>
      <c r="U187">
        <v>1.1000000000000001</v>
      </c>
      <c r="AI187">
        <v>4.9000000000000004</v>
      </c>
    </row>
    <row r="188" spans="1:35" x14ac:dyDescent="0.2">
      <c r="A188" s="6">
        <v>25750</v>
      </c>
      <c r="E188">
        <v>6.4</v>
      </c>
      <c r="U188">
        <v>1.2</v>
      </c>
      <c r="AI188">
        <v>5</v>
      </c>
    </row>
    <row r="189" spans="1:35" x14ac:dyDescent="0.2">
      <c r="A189" s="6">
        <v>25781</v>
      </c>
      <c r="E189">
        <v>6.1</v>
      </c>
      <c r="U189">
        <v>1.2</v>
      </c>
      <c r="AI189">
        <v>5.0999999999999996</v>
      </c>
    </row>
    <row r="190" spans="1:35" x14ac:dyDescent="0.2">
      <c r="A190" s="6">
        <v>25812</v>
      </c>
      <c r="E190">
        <v>6</v>
      </c>
      <c r="U190">
        <v>1.3</v>
      </c>
      <c r="AI190">
        <v>5.4</v>
      </c>
    </row>
    <row r="191" spans="1:35" x14ac:dyDescent="0.2">
      <c r="A191" s="6">
        <v>25842</v>
      </c>
      <c r="E191">
        <v>6</v>
      </c>
      <c r="U191">
        <v>1.3</v>
      </c>
      <c r="AI191">
        <v>5.5</v>
      </c>
    </row>
    <row r="192" spans="1:35" x14ac:dyDescent="0.2">
      <c r="A192" s="6">
        <v>25873</v>
      </c>
      <c r="E192">
        <v>6.1</v>
      </c>
      <c r="U192">
        <v>1.3</v>
      </c>
      <c r="AI192">
        <v>5.9</v>
      </c>
    </row>
    <row r="193" spans="1:35" x14ac:dyDescent="0.2">
      <c r="A193" s="6">
        <v>25903</v>
      </c>
      <c r="E193">
        <v>6.2</v>
      </c>
      <c r="U193">
        <v>1.2</v>
      </c>
      <c r="AI193">
        <v>6.1</v>
      </c>
    </row>
    <row r="194" spans="1:35" x14ac:dyDescent="0.2">
      <c r="A194" s="6">
        <v>25934</v>
      </c>
      <c r="E194">
        <v>6.2</v>
      </c>
      <c r="U194">
        <v>1.1000000000000001</v>
      </c>
      <c r="AI194">
        <v>5.9</v>
      </c>
    </row>
    <row r="195" spans="1:35" x14ac:dyDescent="0.2">
      <c r="A195" s="6">
        <v>25965</v>
      </c>
      <c r="E195">
        <v>6.3</v>
      </c>
      <c r="U195">
        <v>1.2</v>
      </c>
      <c r="AI195">
        <v>5.9</v>
      </c>
    </row>
    <row r="196" spans="1:35" x14ac:dyDescent="0.2">
      <c r="A196" s="6">
        <v>25993</v>
      </c>
      <c r="E196">
        <v>6.2</v>
      </c>
      <c r="U196">
        <v>1.2</v>
      </c>
      <c r="AI196">
        <v>6</v>
      </c>
    </row>
    <row r="197" spans="1:35" x14ac:dyDescent="0.2">
      <c r="A197" s="6">
        <v>26024</v>
      </c>
      <c r="E197">
        <v>6.6</v>
      </c>
      <c r="U197">
        <v>1.2</v>
      </c>
      <c r="AI197">
        <v>5.9</v>
      </c>
    </row>
    <row r="198" spans="1:35" x14ac:dyDescent="0.2">
      <c r="A198" s="6">
        <v>26054</v>
      </c>
      <c r="E198">
        <v>6.1</v>
      </c>
      <c r="U198">
        <v>1.2</v>
      </c>
      <c r="AI198">
        <v>5.9</v>
      </c>
    </row>
    <row r="199" spans="1:35" x14ac:dyDescent="0.2">
      <c r="A199" s="6">
        <v>26085</v>
      </c>
      <c r="E199">
        <v>6.1</v>
      </c>
      <c r="U199">
        <v>1.2</v>
      </c>
      <c r="AI199">
        <v>5.9</v>
      </c>
    </row>
    <row r="200" spans="1:35" x14ac:dyDescent="0.2">
      <c r="A200" s="6">
        <v>26115</v>
      </c>
      <c r="E200">
        <v>6.1</v>
      </c>
      <c r="U200">
        <v>1.2</v>
      </c>
      <c r="AI200">
        <v>6</v>
      </c>
    </row>
    <row r="201" spans="1:35" x14ac:dyDescent="0.2">
      <c r="A201" s="6">
        <v>26146</v>
      </c>
      <c r="E201">
        <v>6</v>
      </c>
      <c r="U201">
        <v>1.3</v>
      </c>
      <c r="AI201">
        <v>6.1</v>
      </c>
    </row>
    <row r="202" spans="1:35" x14ac:dyDescent="0.2">
      <c r="A202" s="6">
        <v>26177</v>
      </c>
      <c r="E202">
        <v>6.2</v>
      </c>
      <c r="U202">
        <v>1.2</v>
      </c>
      <c r="AI202">
        <v>6</v>
      </c>
    </row>
    <row r="203" spans="1:35" x14ac:dyDescent="0.2">
      <c r="A203" s="6">
        <v>26207</v>
      </c>
      <c r="E203">
        <v>6.3</v>
      </c>
      <c r="U203">
        <v>1.3</v>
      </c>
      <c r="AI203">
        <v>5.8</v>
      </c>
    </row>
    <row r="204" spans="1:35" x14ac:dyDescent="0.2">
      <c r="A204" s="6">
        <v>26238</v>
      </c>
      <c r="E204">
        <v>6.2</v>
      </c>
      <c r="U204">
        <v>1.3</v>
      </c>
      <c r="AI204">
        <v>6</v>
      </c>
    </row>
    <row r="205" spans="1:35" x14ac:dyDescent="0.2">
      <c r="A205" s="6">
        <v>26268</v>
      </c>
      <c r="E205">
        <v>5.9</v>
      </c>
      <c r="U205">
        <v>1.4</v>
      </c>
      <c r="AI205">
        <v>6</v>
      </c>
    </row>
    <row r="206" spans="1:35" x14ac:dyDescent="0.2">
      <c r="A206" s="6">
        <v>26299</v>
      </c>
      <c r="E206">
        <v>6</v>
      </c>
      <c r="U206">
        <v>1.4</v>
      </c>
      <c r="AI206">
        <v>5.8</v>
      </c>
    </row>
    <row r="207" spans="1:35" x14ac:dyDescent="0.2">
      <c r="A207" s="6">
        <v>26330</v>
      </c>
      <c r="E207">
        <v>5.8</v>
      </c>
      <c r="U207">
        <v>1.4</v>
      </c>
      <c r="AI207">
        <v>5.7</v>
      </c>
    </row>
    <row r="208" spans="1:35" x14ac:dyDescent="0.2">
      <c r="A208" s="6">
        <v>26359</v>
      </c>
      <c r="E208">
        <v>6.1</v>
      </c>
      <c r="U208">
        <v>1.4</v>
      </c>
      <c r="AI208">
        <v>5.8</v>
      </c>
    </row>
    <row r="209" spans="1:35" x14ac:dyDescent="0.2">
      <c r="A209" s="6">
        <v>26390</v>
      </c>
      <c r="E209">
        <v>5.8</v>
      </c>
      <c r="U209">
        <v>1.4</v>
      </c>
      <c r="AI209">
        <v>5.7</v>
      </c>
    </row>
    <row r="210" spans="1:35" x14ac:dyDescent="0.2">
      <c r="A210" s="6">
        <v>26420</v>
      </c>
      <c r="E210">
        <v>6.1</v>
      </c>
      <c r="U210">
        <v>1.4</v>
      </c>
      <c r="AI210">
        <v>5.7</v>
      </c>
    </row>
    <row r="211" spans="1:35" x14ac:dyDescent="0.2">
      <c r="A211" s="6">
        <v>26451</v>
      </c>
      <c r="E211">
        <v>6.3</v>
      </c>
      <c r="U211">
        <v>1.4</v>
      </c>
      <c r="AI211">
        <v>5.7</v>
      </c>
    </row>
    <row r="212" spans="1:35" x14ac:dyDescent="0.2">
      <c r="A212" s="6">
        <v>26481</v>
      </c>
      <c r="E212">
        <v>6.3</v>
      </c>
      <c r="U212">
        <v>1.4</v>
      </c>
      <c r="AI212">
        <v>5.6</v>
      </c>
    </row>
    <row r="213" spans="1:35" x14ac:dyDescent="0.2">
      <c r="A213" s="6">
        <v>26512</v>
      </c>
      <c r="E213">
        <v>6.4</v>
      </c>
      <c r="U213">
        <v>1.4</v>
      </c>
      <c r="AI213">
        <v>5.6</v>
      </c>
    </row>
    <row r="214" spans="1:35" x14ac:dyDescent="0.2">
      <c r="A214" s="6">
        <v>26543</v>
      </c>
      <c r="E214">
        <v>6.4</v>
      </c>
      <c r="U214">
        <v>1.5</v>
      </c>
      <c r="AI214">
        <v>5.5</v>
      </c>
    </row>
    <row r="215" spans="1:35" x14ac:dyDescent="0.2">
      <c r="A215" s="6">
        <v>26573</v>
      </c>
      <c r="E215">
        <v>6.6</v>
      </c>
      <c r="U215">
        <v>1.4</v>
      </c>
      <c r="AI215">
        <v>5.6</v>
      </c>
    </row>
    <row r="216" spans="1:35" x14ac:dyDescent="0.2">
      <c r="A216" s="6">
        <v>26604</v>
      </c>
      <c r="E216">
        <v>6.4</v>
      </c>
      <c r="U216">
        <v>1.4</v>
      </c>
      <c r="AI216">
        <v>5.3</v>
      </c>
    </row>
    <row r="217" spans="1:35" x14ac:dyDescent="0.2">
      <c r="A217" s="6">
        <v>26634</v>
      </c>
      <c r="E217">
        <v>6.4</v>
      </c>
      <c r="U217">
        <v>1.4</v>
      </c>
      <c r="AI217">
        <v>5.2</v>
      </c>
    </row>
    <row r="218" spans="1:35" x14ac:dyDescent="0.2">
      <c r="A218" s="6">
        <v>26665</v>
      </c>
      <c r="E218">
        <v>6.1</v>
      </c>
      <c r="U218">
        <v>1.3</v>
      </c>
      <c r="AI218">
        <v>4.9000000000000004</v>
      </c>
    </row>
    <row r="219" spans="1:35" x14ac:dyDescent="0.2">
      <c r="A219" s="6">
        <v>26696</v>
      </c>
      <c r="E219">
        <v>5.9</v>
      </c>
      <c r="U219">
        <v>1.2</v>
      </c>
      <c r="AI219">
        <v>5</v>
      </c>
    </row>
    <row r="220" spans="1:35" x14ac:dyDescent="0.2">
      <c r="A220" s="6">
        <v>26724</v>
      </c>
      <c r="E220">
        <v>5.6</v>
      </c>
      <c r="U220">
        <v>1.2</v>
      </c>
      <c r="AI220">
        <v>4.9000000000000004</v>
      </c>
    </row>
    <row r="221" spans="1:35" x14ac:dyDescent="0.2">
      <c r="A221" s="6">
        <v>26755</v>
      </c>
      <c r="E221">
        <v>5.5</v>
      </c>
      <c r="U221">
        <v>1.3</v>
      </c>
      <c r="AI221">
        <v>5</v>
      </c>
    </row>
    <row r="222" spans="1:35" x14ac:dyDescent="0.2">
      <c r="A222" s="6">
        <v>26785</v>
      </c>
      <c r="E222">
        <v>5.3</v>
      </c>
      <c r="U222">
        <v>1.4</v>
      </c>
      <c r="AI222">
        <v>4.9000000000000004</v>
      </c>
    </row>
    <row r="223" spans="1:35" x14ac:dyDescent="0.2">
      <c r="A223" s="6">
        <v>26816</v>
      </c>
      <c r="E223">
        <v>5.4</v>
      </c>
      <c r="U223">
        <v>1.4</v>
      </c>
      <c r="AI223">
        <v>4.9000000000000004</v>
      </c>
    </row>
    <row r="224" spans="1:35" x14ac:dyDescent="0.2">
      <c r="A224" s="6">
        <v>26846</v>
      </c>
      <c r="E224">
        <v>5.3</v>
      </c>
      <c r="U224">
        <v>1.3</v>
      </c>
      <c r="AI224">
        <v>4.8</v>
      </c>
    </row>
    <row r="225" spans="1:35" x14ac:dyDescent="0.2">
      <c r="A225" s="6">
        <v>26877</v>
      </c>
      <c r="E225">
        <v>5.3</v>
      </c>
      <c r="U225">
        <v>1.2</v>
      </c>
      <c r="AI225">
        <v>4.8</v>
      </c>
    </row>
    <row r="226" spans="1:35" x14ac:dyDescent="0.2">
      <c r="A226" s="6">
        <v>26908</v>
      </c>
      <c r="E226">
        <v>5.6</v>
      </c>
      <c r="U226">
        <v>1.3</v>
      </c>
      <c r="AI226">
        <v>4.8</v>
      </c>
    </row>
    <row r="227" spans="1:35" x14ac:dyDescent="0.2">
      <c r="A227" s="6">
        <v>26938</v>
      </c>
      <c r="E227">
        <v>5.7</v>
      </c>
      <c r="U227">
        <v>1.1000000000000001</v>
      </c>
      <c r="AI227">
        <v>4.5999999999999996</v>
      </c>
    </row>
    <row r="228" spans="1:35" x14ac:dyDescent="0.2">
      <c r="A228" s="6">
        <v>26969</v>
      </c>
      <c r="E228">
        <v>5.5</v>
      </c>
      <c r="U228">
        <v>1.2</v>
      </c>
      <c r="AI228">
        <v>4.8</v>
      </c>
    </row>
    <row r="229" spans="1:35" x14ac:dyDescent="0.2">
      <c r="A229" s="6">
        <v>26999</v>
      </c>
      <c r="E229">
        <v>5.4</v>
      </c>
      <c r="U229">
        <v>1.1000000000000001</v>
      </c>
      <c r="AI229">
        <v>4.9000000000000004</v>
      </c>
    </row>
    <row r="230" spans="1:35" x14ac:dyDescent="0.2">
      <c r="A230" s="6">
        <v>27030</v>
      </c>
      <c r="E230">
        <v>5.3</v>
      </c>
      <c r="U230">
        <v>1.2</v>
      </c>
      <c r="AI230">
        <v>5.0999999999999996</v>
      </c>
    </row>
    <row r="231" spans="1:35" x14ac:dyDescent="0.2">
      <c r="A231" s="6">
        <v>27061</v>
      </c>
      <c r="E231">
        <v>5.2</v>
      </c>
      <c r="U231">
        <v>1.3</v>
      </c>
      <c r="AI231">
        <v>5.2</v>
      </c>
    </row>
    <row r="232" spans="1:35" x14ac:dyDescent="0.2">
      <c r="A232" s="6">
        <v>27089</v>
      </c>
      <c r="E232">
        <v>5.2</v>
      </c>
      <c r="U232">
        <v>1.4</v>
      </c>
      <c r="AI232">
        <v>5.0999999999999996</v>
      </c>
    </row>
    <row r="233" spans="1:35" x14ac:dyDescent="0.2">
      <c r="A233" s="6">
        <v>27120</v>
      </c>
      <c r="E233">
        <v>5.2</v>
      </c>
      <c r="U233">
        <v>1.3</v>
      </c>
      <c r="AI233">
        <v>5.0999999999999996</v>
      </c>
    </row>
    <row r="234" spans="1:35" x14ac:dyDescent="0.2">
      <c r="A234" s="6">
        <v>27150</v>
      </c>
      <c r="E234">
        <v>5.4</v>
      </c>
      <c r="U234">
        <v>1.3</v>
      </c>
      <c r="AI234">
        <v>5.0999999999999996</v>
      </c>
    </row>
    <row r="235" spans="1:35" x14ac:dyDescent="0.2">
      <c r="A235" s="6">
        <v>27181</v>
      </c>
      <c r="E235">
        <v>5</v>
      </c>
      <c r="U235">
        <v>1.3</v>
      </c>
      <c r="AI235">
        <v>5.4</v>
      </c>
    </row>
    <row r="236" spans="1:35" x14ac:dyDescent="0.2">
      <c r="A236" s="6">
        <v>27211</v>
      </c>
      <c r="E236">
        <v>5.0999999999999996</v>
      </c>
      <c r="U236">
        <v>1.3</v>
      </c>
      <c r="AI236">
        <v>5.5</v>
      </c>
    </row>
    <row r="237" spans="1:35" x14ac:dyDescent="0.2">
      <c r="A237" s="6">
        <v>27242</v>
      </c>
      <c r="E237">
        <v>5.3</v>
      </c>
      <c r="U237">
        <v>1.5</v>
      </c>
      <c r="AI237">
        <v>5.5</v>
      </c>
    </row>
    <row r="238" spans="1:35" x14ac:dyDescent="0.2">
      <c r="A238" s="6">
        <v>27273</v>
      </c>
      <c r="E238">
        <v>5.4</v>
      </c>
      <c r="U238">
        <v>1.4</v>
      </c>
      <c r="AI238">
        <v>5.9</v>
      </c>
    </row>
    <row r="239" spans="1:35" x14ac:dyDescent="0.2">
      <c r="A239" s="6">
        <v>27303</v>
      </c>
      <c r="E239">
        <v>5.4</v>
      </c>
      <c r="U239">
        <v>1.6</v>
      </c>
      <c r="AI239">
        <v>6</v>
      </c>
    </row>
    <row r="240" spans="1:35" x14ac:dyDescent="0.2">
      <c r="A240" s="6">
        <v>27334</v>
      </c>
      <c r="E240">
        <v>5.6</v>
      </c>
      <c r="U240">
        <v>1.5</v>
      </c>
      <c r="AI240">
        <v>6.6</v>
      </c>
    </row>
    <row r="241" spans="1:35" x14ac:dyDescent="0.2">
      <c r="A241" s="6">
        <v>27364</v>
      </c>
      <c r="E241">
        <v>6</v>
      </c>
      <c r="U241">
        <v>1.7</v>
      </c>
      <c r="AI241">
        <v>7.2</v>
      </c>
    </row>
    <row r="242" spans="1:35" x14ac:dyDescent="0.2">
      <c r="A242" s="6">
        <v>27395</v>
      </c>
      <c r="E242">
        <v>6.9</v>
      </c>
      <c r="U242">
        <v>1.7</v>
      </c>
      <c r="AI242">
        <v>8.1</v>
      </c>
    </row>
    <row r="243" spans="1:35" x14ac:dyDescent="0.2">
      <c r="A243" s="6">
        <v>27426</v>
      </c>
      <c r="E243">
        <v>6.6</v>
      </c>
      <c r="U243">
        <v>1.8</v>
      </c>
      <c r="AI243">
        <v>8.1</v>
      </c>
    </row>
    <row r="244" spans="1:35" x14ac:dyDescent="0.2">
      <c r="A244" s="6">
        <v>27454</v>
      </c>
      <c r="E244">
        <v>6.6</v>
      </c>
      <c r="U244">
        <v>1.8</v>
      </c>
      <c r="AI244">
        <v>8.6</v>
      </c>
    </row>
    <row r="245" spans="1:35" x14ac:dyDescent="0.2">
      <c r="A245" s="6">
        <v>27485</v>
      </c>
      <c r="E245">
        <v>6.5</v>
      </c>
      <c r="U245">
        <v>1.8</v>
      </c>
      <c r="AI245">
        <v>8.8000000000000007</v>
      </c>
    </row>
    <row r="246" spans="1:35" x14ac:dyDescent="0.2">
      <c r="A246" s="6">
        <v>27515</v>
      </c>
      <c r="E246">
        <v>7</v>
      </c>
      <c r="U246">
        <v>1.8</v>
      </c>
      <c r="AI246">
        <v>9</v>
      </c>
    </row>
    <row r="247" spans="1:35" x14ac:dyDescent="0.2">
      <c r="A247" s="6">
        <v>27546</v>
      </c>
      <c r="E247">
        <v>7</v>
      </c>
      <c r="U247">
        <v>1.8</v>
      </c>
      <c r="AI247">
        <v>8.8000000000000007</v>
      </c>
    </row>
    <row r="248" spans="1:35" x14ac:dyDescent="0.2">
      <c r="A248" s="6">
        <v>27576</v>
      </c>
      <c r="E248">
        <v>6.9</v>
      </c>
      <c r="U248">
        <v>1.8</v>
      </c>
      <c r="AI248">
        <v>8.6</v>
      </c>
    </row>
    <row r="249" spans="1:35" x14ac:dyDescent="0.2">
      <c r="A249" s="6">
        <v>27607</v>
      </c>
      <c r="E249">
        <v>7.1</v>
      </c>
      <c r="U249">
        <v>1.9</v>
      </c>
      <c r="AI249">
        <v>8.4</v>
      </c>
    </row>
    <row r="250" spans="1:35" x14ac:dyDescent="0.2">
      <c r="A250" s="6">
        <v>27638</v>
      </c>
      <c r="E250">
        <v>6.9</v>
      </c>
      <c r="U250">
        <v>2</v>
      </c>
      <c r="AI250">
        <v>8.4</v>
      </c>
    </row>
    <row r="251" spans="1:35" x14ac:dyDescent="0.2">
      <c r="A251" s="6">
        <v>27668</v>
      </c>
      <c r="E251">
        <v>7.2</v>
      </c>
      <c r="U251">
        <v>2.1</v>
      </c>
      <c r="AI251">
        <v>8.4</v>
      </c>
    </row>
    <row r="252" spans="1:35" x14ac:dyDescent="0.2">
      <c r="A252" s="6">
        <v>27699</v>
      </c>
      <c r="E252">
        <v>7.2</v>
      </c>
      <c r="U252">
        <v>2.1</v>
      </c>
      <c r="AI252">
        <v>8.3000000000000007</v>
      </c>
    </row>
    <row r="253" spans="1:35" x14ac:dyDescent="0.2">
      <c r="A253" s="6">
        <v>27729</v>
      </c>
      <c r="E253">
        <v>7</v>
      </c>
      <c r="U253">
        <v>2.1</v>
      </c>
      <c r="AI253">
        <v>8.1999999999999993</v>
      </c>
    </row>
    <row r="254" spans="1:35" x14ac:dyDescent="0.2">
      <c r="A254" s="6">
        <v>27760</v>
      </c>
      <c r="E254">
        <v>7.1</v>
      </c>
      <c r="U254">
        <v>2.1</v>
      </c>
      <c r="AI254">
        <v>7.9</v>
      </c>
    </row>
    <row r="255" spans="1:35" x14ac:dyDescent="0.2">
      <c r="A255" s="6">
        <v>27791</v>
      </c>
      <c r="E255">
        <v>7</v>
      </c>
      <c r="U255">
        <v>2</v>
      </c>
      <c r="AI255">
        <v>7.7</v>
      </c>
    </row>
    <row r="256" spans="1:35" x14ac:dyDescent="0.2">
      <c r="A256" s="6">
        <v>27820</v>
      </c>
      <c r="E256">
        <v>6.7</v>
      </c>
      <c r="U256">
        <v>2</v>
      </c>
      <c r="AI256">
        <v>7.6</v>
      </c>
    </row>
    <row r="257" spans="1:35" x14ac:dyDescent="0.2">
      <c r="A257" s="6">
        <v>27851</v>
      </c>
      <c r="E257">
        <v>6.8</v>
      </c>
      <c r="U257">
        <v>2.1</v>
      </c>
      <c r="AI257">
        <v>7.7</v>
      </c>
    </row>
    <row r="258" spans="1:35" x14ac:dyDescent="0.2">
      <c r="A258" s="6">
        <v>27881</v>
      </c>
      <c r="E258">
        <v>6.9</v>
      </c>
      <c r="U258">
        <v>2.1</v>
      </c>
      <c r="AI258">
        <v>7.4</v>
      </c>
    </row>
    <row r="259" spans="1:35" x14ac:dyDescent="0.2">
      <c r="A259" s="6">
        <v>27912</v>
      </c>
      <c r="E259">
        <v>6.9</v>
      </c>
      <c r="U259">
        <v>2</v>
      </c>
      <c r="AI259">
        <v>7.6</v>
      </c>
    </row>
    <row r="260" spans="1:35" x14ac:dyDescent="0.2">
      <c r="A260" s="6">
        <v>27942</v>
      </c>
      <c r="E260">
        <v>7.4</v>
      </c>
      <c r="U260">
        <v>2</v>
      </c>
      <c r="AI260">
        <v>7.8</v>
      </c>
    </row>
    <row r="261" spans="1:35" x14ac:dyDescent="0.2">
      <c r="A261" s="6">
        <v>27973</v>
      </c>
      <c r="E261">
        <v>7.1</v>
      </c>
      <c r="U261">
        <v>2</v>
      </c>
      <c r="AI261">
        <v>7.8</v>
      </c>
    </row>
    <row r="262" spans="1:35" x14ac:dyDescent="0.2">
      <c r="A262" s="6">
        <v>28004</v>
      </c>
      <c r="E262">
        <v>7</v>
      </c>
      <c r="U262">
        <v>2</v>
      </c>
      <c r="AI262">
        <v>7.6</v>
      </c>
    </row>
    <row r="263" spans="1:35" x14ac:dyDescent="0.2">
      <c r="A263" s="6">
        <v>28034</v>
      </c>
      <c r="E263">
        <v>7.4</v>
      </c>
      <c r="U263">
        <v>2</v>
      </c>
      <c r="AI263">
        <v>7.7</v>
      </c>
    </row>
    <row r="264" spans="1:35" x14ac:dyDescent="0.2">
      <c r="A264" s="6">
        <v>28065</v>
      </c>
      <c r="E264">
        <v>7.3</v>
      </c>
      <c r="U264">
        <v>2</v>
      </c>
      <c r="AI264">
        <v>7.8</v>
      </c>
    </row>
    <row r="265" spans="1:35" x14ac:dyDescent="0.2">
      <c r="A265" s="6">
        <v>28095</v>
      </c>
      <c r="E265">
        <v>7.4</v>
      </c>
      <c r="U265">
        <v>1.8</v>
      </c>
      <c r="AI265">
        <v>7.8</v>
      </c>
    </row>
    <row r="266" spans="1:35" x14ac:dyDescent="0.2">
      <c r="A266" s="6">
        <v>28126</v>
      </c>
      <c r="E266">
        <v>7.6</v>
      </c>
      <c r="U266">
        <v>1.9</v>
      </c>
      <c r="AI266">
        <v>7.5</v>
      </c>
    </row>
    <row r="267" spans="1:35" x14ac:dyDescent="0.2">
      <c r="A267" s="6">
        <v>28157</v>
      </c>
      <c r="E267">
        <v>7.8</v>
      </c>
      <c r="U267">
        <v>2</v>
      </c>
      <c r="AI267">
        <v>7.6</v>
      </c>
    </row>
    <row r="268" spans="1:35" x14ac:dyDescent="0.2">
      <c r="A268" s="6">
        <v>28185</v>
      </c>
      <c r="E268">
        <v>7.8</v>
      </c>
      <c r="U268">
        <v>2</v>
      </c>
      <c r="AI268">
        <v>7.4</v>
      </c>
    </row>
    <row r="269" spans="1:35" x14ac:dyDescent="0.2">
      <c r="A269" s="6">
        <v>28216</v>
      </c>
      <c r="E269">
        <v>7.9</v>
      </c>
      <c r="U269">
        <v>1.9</v>
      </c>
      <c r="AI269">
        <v>7.2</v>
      </c>
    </row>
    <row r="270" spans="1:35" x14ac:dyDescent="0.2">
      <c r="A270" s="6">
        <v>28246</v>
      </c>
      <c r="E270">
        <v>7.8</v>
      </c>
      <c r="U270">
        <v>2.1</v>
      </c>
      <c r="AI270">
        <v>7</v>
      </c>
    </row>
    <row r="271" spans="1:35" x14ac:dyDescent="0.2">
      <c r="A271" s="6">
        <v>28277</v>
      </c>
      <c r="E271">
        <v>7.9</v>
      </c>
      <c r="U271">
        <v>2.1</v>
      </c>
      <c r="AI271">
        <v>7.2</v>
      </c>
    </row>
    <row r="272" spans="1:35" x14ac:dyDescent="0.2">
      <c r="A272" s="6">
        <v>28307</v>
      </c>
      <c r="E272">
        <v>8.1999999999999993</v>
      </c>
      <c r="U272">
        <v>2.1</v>
      </c>
      <c r="AI272">
        <v>6.9</v>
      </c>
    </row>
    <row r="273" spans="1:35" x14ac:dyDescent="0.2">
      <c r="A273" s="6">
        <v>28338</v>
      </c>
      <c r="E273">
        <v>8.1999999999999993</v>
      </c>
      <c r="U273">
        <v>2</v>
      </c>
      <c r="AI273">
        <v>7</v>
      </c>
    </row>
    <row r="274" spans="1:35" x14ac:dyDescent="0.2">
      <c r="A274" s="6">
        <v>28369</v>
      </c>
      <c r="E274">
        <v>8.3000000000000007</v>
      </c>
      <c r="U274">
        <v>2</v>
      </c>
      <c r="AI274">
        <v>6.8</v>
      </c>
    </row>
    <row r="275" spans="1:35" x14ac:dyDescent="0.2">
      <c r="A275" s="6">
        <v>28399</v>
      </c>
      <c r="E275">
        <v>8.3000000000000007</v>
      </c>
      <c r="U275">
        <v>1.9</v>
      </c>
      <c r="AI275">
        <v>6.8</v>
      </c>
    </row>
    <row r="276" spans="1:35" x14ac:dyDescent="0.2">
      <c r="A276" s="6">
        <v>28430</v>
      </c>
      <c r="E276">
        <v>8.4</v>
      </c>
      <c r="U276">
        <v>2</v>
      </c>
      <c r="AI276">
        <v>6.8</v>
      </c>
    </row>
    <row r="277" spans="1:35" x14ac:dyDescent="0.2">
      <c r="A277" s="6">
        <v>28460</v>
      </c>
      <c r="E277">
        <v>8.5</v>
      </c>
      <c r="U277">
        <v>2.1</v>
      </c>
      <c r="AI277">
        <v>6.4</v>
      </c>
    </row>
    <row r="278" spans="1:35" x14ac:dyDescent="0.2">
      <c r="A278" s="6">
        <v>28491</v>
      </c>
      <c r="E278">
        <v>8.3000000000000007</v>
      </c>
      <c r="U278">
        <v>2.1</v>
      </c>
      <c r="AI278">
        <v>6.4</v>
      </c>
    </row>
    <row r="279" spans="1:35" x14ac:dyDescent="0.2">
      <c r="A279" s="6">
        <v>28522</v>
      </c>
      <c r="B279">
        <v>6.6453470000000001</v>
      </c>
      <c r="E279">
        <v>8.3000000000000007</v>
      </c>
      <c r="U279">
        <v>2.2000000000000002</v>
      </c>
      <c r="AI279">
        <v>6.3</v>
      </c>
    </row>
    <row r="280" spans="1:35" x14ac:dyDescent="0.2">
      <c r="A280" s="6">
        <v>28550</v>
      </c>
      <c r="B280">
        <v>6.3034400000000002</v>
      </c>
      <c r="E280">
        <v>8.5</v>
      </c>
      <c r="U280">
        <v>2.2000000000000002</v>
      </c>
      <c r="AI280">
        <v>6.3</v>
      </c>
    </row>
    <row r="281" spans="1:35" x14ac:dyDescent="0.2">
      <c r="A281" s="6">
        <v>28581</v>
      </c>
      <c r="B281">
        <v>6.2681100000000001</v>
      </c>
      <c r="E281">
        <v>8.4</v>
      </c>
      <c r="U281">
        <v>2.2000000000000002</v>
      </c>
      <c r="AI281">
        <v>6.1</v>
      </c>
    </row>
    <row r="282" spans="1:35" x14ac:dyDescent="0.2">
      <c r="A282" s="6">
        <v>28611</v>
      </c>
      <c r="B282">
        <v>6.2101709999999999</v>
      </c>
      <c r="E282">
        <v>8.6</v>
      </c>
      <c r="U282">
        <v>2.2999999999999998</v>
      </c>
      <c r="AI282">
        <v>6</v>
      </c>
    </row>
    <row r="283" spans="1:35" x14ac:dyDescent="0.2">
      <c r="A283" s="6">
        <v>28642</v>
      </c>
      <c r="B283">
        <v>6.3041840000000002</v>
      </c>
      <c r="E283">
        <v>8.4</v>
      </c>
      <c r="U283">
        <v>2.2999999999999998</v>
      </c>
      <c r="AI283">
        <v>5.9</v>
      </c>
    </row>
    <row r="284" spans="1:35" x14ac:dyDescent="0.2">
      <c r="A284" s="6">
        <v>28672</v>
      </c>
      <c r="B284">
        <v>6.2232580000000004</v>
      </c>
      <c r="E284">
        <v>8.5</v>
      </c>
      <c r="U284">
        <v>2.2000000000000002</v>
      </c>
      <c r="AI284">
        <v>6.2</v>
      </c>
    </row>
    <row r="285" spans="1:35" x14ac:dyDescent="0.2">
      <c r="A285" s="6">
        <v>28703</v>
      </c>
      <c r="B285">
        <v>6.4908619999999999</v>
      </c>
      <c r="E285">
        <v>8.5</v>
      </c>
      <c r="U285">
        <v>2.2999999999999998</v>
      </c>
      <c r="AI285">
        <v>5.9</v>
      </c>
    </row>
    <row r="286" spans="1:35" x14ac:dyDescent="0.2">
      <c r="A286" s="6">
        <v>28734</v>
      </c>
      <c r="B286">
        <v>6.2526140000000003</v>
      </c>
      <c r="E286">
        <v>8.4</v>
      </c>
      <c r="U286">
        <v>2.4</v>
      </c>
      <c r="AI286">
        <v>6</v>
      </c>
    </row>
    <row r="287" spans="1:35" x14ac:dyDescent="0.2">
      <c r="A287" s="6">
        <v>28764</v>
      </c>
      <c r="B287">
        <v>6.1640329999999999</v>
      </c>
      <c r="E287">
        <v>8.1</v>
      </c>
      <c r="U287">
        <v>2.2000000000000002</v>
      </c>
      <c r="AI287">
        <v>5.8</v>
      </c>
    </row>
    <row r="288" spans="1:35" x14ac:dyDescent="0.2">
      <c r="A288" s="6">
        <v>28795</v>
      </c>
      <c r="B288">
        <v>6.3326830000000003</v>
      </c>
      <c r="E288">
        <v>8.1999999999999993</v>
      </c>
      <c r="U288">
        <v>2.2000000000000002</v>
      </c>
      <c r="AI288">
        <v>5.9</v>
      </c>
    </row>
    <row r="289" spans="1:35" x14ac:dyDescent="0.2">
      <c r="A289" s="6">
        <v>28825</v>
      </c>
      <c r="B289">
        <v>6.4064240000000003</v>
      </c>
      <c r="E289">
        <v>8.3000000000000007</v>
      </c>
      <c r="U289">
        <v>2.2000000000000002</v>
      </c>
      <c r="AI289">
        <v>6</v>
      </c>
    </row>
    <row r="290" spans="1:35" x14ac:dyDescent="0.2">
      <c r="A290" s="6">
        <v>28856</v>
      </c>
      <c r="B290">
        <v>6.3715260000000002</v>
      </c>
      <c r="E290">
        <v>8.1</v>
      </c>
      <c r="U290">
        <v>2.2000000000000002</v>
      </c>
      <c r="AI290">
        <v>5.9</v>
      </c>
    </row>
    <row r="291" spans="1:35" x14ac:dyDescent="0.2">
      <c r="A291" s="6">
        <v>28887</v>
      </c>
      <c r="B291">
        <v>6.2575940000000001</v>
      </c>
      <c r="E291">
        <v>8</v>
      </c>
      <c r="U291">
        <v>2</v>
      </c>
      <c r="AI291">
        <v>5.9</v>
      </c>
    </row>
    <row r="292" spans="1:35" x14ac:dyDescent="0.2">
      <c r="A292" s="6">
        <v>28915</v>
      </c>
      <c r="B292">
        <v>6.3036279999999998</v>
      </c>
      <c r="E292">
        <v>7.9</v>
      </c>
      <c r="U292">
        <v>2.1</v>
      </c>
      <c r="AI292">
        <v>5.8</v>
      </c>
    </row>
    <row r="293" spans="1:35" x14ac:dyDescent="0.2">
      <c r="A293" s="6">
        <v>28946</v>
      </c>
      <c r="B293">
        <v>6.4990459999999999</v>
      </c>
      <c r="E293">
        <v>7.9</v>
      </c>
      <c r="U293">
        <v>2.1</v>
      </c>
      <c r="AI293">
        <v>5.8</v>
      </c>
    </row>
    <row r="294" spans="1:35" x14ac:dyDescent="0.2">
      <c r="A294" s="6">
        <v>28976</v>
      </c>
      <c r="B294">
        <v>6.2043609999999996</v>
      </c>
      <c r="E294">
        <v>7.6</v>
      </c>
      <c r="U294">
        <v>2</v>
      </c>
      <c r="AI294">
        <v>5.6</v>
      </c>
    </row>
    <row r="295" spans="1:35" x14ac:dyDescent="0.2">
      <c r="A295" s="6">
        <v>29007</v>
      </c>
      <c r="B295">
        <v>6.2519970000000002</v>
      </c>
      <c r="E295">
        <v>7.4</v>
      </c>
      <c r="U295">
        <v>2</v>
      </c>
      <c r="AI295">
        <v>5.7</v>
      </c>
    </row>
    <row r="296" spans="1:35" x14ac:dyDescent="0.2">
      <c r="A296" s="6">
        <v>29037</v>
      </c>
      <c r="B296">
        <v>6.2740650000000002</v>
      </c>
      <c r="E296">
        <v>7.1</v>
      </c>
      <c r="U296">
        <v>2.2000000000000002</v>
      </c>
      <c r="AI296">
        <v>5.7</v>
      </c>
    </row>
    <row r="297" spans="1:35" x14ac:dyDescent="0.2">
      <c r="A297" s="6">
        <v>29068</v>
      </c>
      <c r="B297">
        <v>6.1187610000000001</v>
      </c>
      <c r="E297">
        <v>7.1</v>
      </c>
      <c r="U297">
        <v>2.2000000000000002</v>
      </c>
      <c r="AI297">
        <v>6</v>
      </c>
    </row>
    <row r="298" spans="1:35" x14ac:dyDescent="0.2">
      <c r="A298" s="6">
        <v>29099</v>
      </c>
      <c r="B298">
        <v>6.2344039999999996</v>
      </c>
      <c r="E298">
        <v>7</v>
      </c>
      <c r="U298">
        <v>2</v>
      </c>
      <c r="AI298">
        <v>5.9</v>
      </c>
    </row>
    <row r="299" spans="1:35" x14ac:dyDescent="0.2">
      <c r="A299" s="6">
        <v>29129</v>
      </c>
      <c r="B299">
        <v>6.3846990000000003</v>
      </c>
      <c r="E299">
        <v>7.3</v>
      </c>
      <c r="U299">
        <v>2.1</v>
      </c>
      <c r="AI299">
        <v>6</v>
      </c>
    </row>
    <row r="300" spans="1:35" x14ac:dyDescent="0.2">
      <c r="A300" s="6">
        <v>29160</v>
      </c>
      <c r="B300">
        <v>6.0461729999999996</v>
      </c>
      <c r="E300">
        <v>7.2</v>
      </c>
      <c r="U300">
        <v>2.1</v>
      </c>
      <c r="AI300">
        <v>5.9</v>
      </c>
    </row>
    <row r="301" spans="1:35" x14ac:dyDescent="0.2">
      <c r="A301" s="6">
        <v>29190</v>
      </c>
      <c r="B301">
        <v>6.1211950000000002</v>
      </c>
      <c r="E301">
        <v>7.2</v>
      </c>
      <c r="U301">
        <v>2</v>
      </c>
      <c r="AI301">
        <v>6</v>
      </c>
    </row>
    <row r="302" spans="1:35" x14ac:dyDescent="0.2">
      <c r="A302" s="6">
        <v>29221</v>
      </c>
      <c r="B302">
        <v>6.1471559999999998</v>
      </c>
      <c r="E302">
        <v>7.5</v>
      </c>
      <c r="U302">
        <v>1.9</v>
      </c>
      <c r="AI302">
        <v>6.3</v>
      </c>
    </row>
    <row r="303" spans="1:35" x14ac:dyDescent="0.2">
      <c r="A303" s="6">
        <v>29252</v>
      </c>
      <c r="B303">
        <v>5.9992140000000003</v>
      </c>
      <c r="E303">
        <v>7.6</v>
      </c>
      <c r="U303">
        <v>1.9</v>
      </c>
      <c r="AI303">
        <v>6.3</v>
      </c>
    </row>
    <row r="304" spans="1:35" x14ac:dyDescent="0.2">
      <c r="A304" s="6">
        <v>29281</v>
      </c>
      <c r="B304">
        <v>5.9370669999999999</v>
      </c>
      <c r="E304">
        <v>7.6</v>
      </c>
      <c r="U304">
        <v>1.9</v>
      </c>
      <c r="AI304">
        <v>6.3</v>
      </c>
    </row>
    <row r="305" spans="1:35" x14ac:dyDescent="0.2">
      <c r="A305" s="6">
        <v>29312</v>
      </c>
      <c r="B305">
        <v>6.1156829999999998</v>
      </c>
      <c r="E305">
        <v>7.6</v>
      </c>
      <c r="U305">
        <v>2</v>
      </c>
      <c r="AI305">
        <v>6.9</v>
      </c>
    </row>
    <row r="306" spans="1:35" x14ac:dyDescent="0.2">
      <c r="A306" s="6">
        <v>29342</v>
      </c>
      <c r="B306">
        <v>6.2466480000000004</v>
      </c>
      <c r="E306">
        <v>7.8</v>
      </c>
      <c r="U306">
        <v>2</v>
      </c>
      <c r="AI306">
        <v>7.5</v>
      </c>
    </row>
    <row r="307" spans="1:35" x14ac:dyDescent="0.2">
      <c r="A307" s="6">
        <v>29373</v>
      </c>
      <c r="B307">
        <v>6.32362</v>
      </c>
      <c r="E307">
        <v>7.8</v>
      </c>
      <c r="U307">
        <v>1.9</v>
      </c>
      <c r="AI307">
        <v>7.6</v>
      </c>
    </row>
    <row r="308" spans="1:35" x14ac:dyDescent="0.2">
      <c r="A308" s="6">
        <v>29403</v>
      </c>
      <c r="B308">
        <v>6.0773320000000002</v>
      </c>
      <c r="E308">
        <v>7.6</v>
      </c>
      <c r="U308">
        <v>2</v>
      </c>
      <c r="AI308">
        <v>7.8</v>
      </c>
    </row>
    <row r="309" spans="1:35" x14ac:dyDescent="0.2">
      <c r="A309" s="6">
        <v>29434</v>
      </c>
      <c r="B309">
        <v>6.1776869999999997</v>
      </c>
      <c r="E309">
        <v>7.6</v>
      </c>
      <c r="U309">
        <v>2.1</v>
      </c>
      <c r="AI309">
        <v>7.7</v>
      </c>
    </row>
    <row r="310" spans="1:35" x14ac:dyDescent="0.2">
      <c r="A310" s="6">
        <v>29465</v>
      </c>
      <c r="B310">
        <v>6.1424399999999997</v>
      </c>
      <c r="E310">
        <v>7.4</v>
      </c>
      <c r="U310">
        <v>2</v>
      </c>
      <c r="AI310">
        <v>7.5</v>
      </c>
    </row>
    <row r="311" spans="1:35" x14ac:dyDescent="0.2">
      <c r="A311" s="6">
        <v>29495</v>
      </c>
      <c r="B311">
        <v>6.0558909999999999</v>
      </c>
      <c r="E311">
        <v>7.3</v>
      </c>
      <c r="U311">
        <v>2.1</v>
      </c>
      <c r="AI311">
        <v>7.5</v>
      </c>
    </row>
    <row r="312" spans="1:35" x14ac:dyDescent="0.2">
      <c r="A312" s="6">
        <v>29526</v>
      </c>
      <c r="B312">
        <v>5.8513890000000002</v>
      </c>
      <c r="E312">
        <v>7.2</v>
      </c>
      <c r="U312">
        <v>2.2000000000000002</v>
      </c>
      <c r="AI312">
        <v>7.5</v>
      </c>
    </row>
    <row r="313" spans="1:35" x14ac:dyDescent="0.2">
      <c r="A313" s="6">
        <v>29556</v>
      </c>
      <c r="B313">
        <v>6.0520709999999998</v>
      </c>
      <c r="E313">
        <v>7.2</v>
      </c>
      <c r="U313">
        <v>2.2000000000000002</v>
      </c>
      <c r="AI313">
        <v>7.2</v>
      </c>
    </row>
    <row r="314" spans="1:35" x14ac:dyDescent="0.2">
      <c r="A314" s="6">
        <v>29587</v>
      </c>
      <c r="B314">
        <v>5.9171940000000003</v>
      </c>
      <c r="E314">
        <v>7.4</v>
      </c>
      <c r="U314">
        <v>2.1</v>
      </c>
      <c r="AI314">
        <v>7.5</v>
      </c>
    </row>
    <row r="315" spans="1:35" x14ac:dyDescent="0.2">
      <c r="A315" s="6">
        <v>29618</v>
      </c>
      <c r="B315">
        <v>5.6170809999999998</v>
      </c>
      <c r="E315">
        <v>7.3</v>
      </c>
      <c r="U315">
        <v>2.2999999999999998</v>
      </c>
      <c r="AI315">
        <v>7.4</v>
      </c>
    </row>
    <row r="316" spans="1:35" x14ac:dyDescent="0.2">
      <c r="A316" s="6">
        <v>29646</v>
      </c>
      <c r="B316">
        <v>5.7465520000000003</v>
      </c>
      <c r="E316">
        <v>7.5</v>
      </c>
      <c r="U316">
        <v>2.2000000000000002</v>
      </c>
      <c r="AI316">
        <v>7.4</v>
      </c>
    </row>
    <row r="317" spans="1:35" x14ac:dyDescent="0.2">
      <c r="A317" s="6">
        <v>29677</v>
      </c>
      <c r="B317">
        <v>5.5555070000000004</v>
      </c>
      <c r="E317">
        <v>7.1</v>
      </c>
      <c r="U317">
        <v>2.2000000000000002</v>
      </c>
      <c r="AI317">
        <v>7.2</v>
      </c>
    </row>
    <row r="318" spans="1:35" x14ac:dyDescent="0.2">
      <c r="A318" s="6">
        <v>29707</v>
      </c>
      <c r="B318">
        <v>5.5894209999999998</v>
      </c>
      <c r="E318">
        <v>7.2</v>
      </c>
      <c r="U318">
        <v>2.2999999999999998</v>
      </c>
      <c r="AI318">
        <v>7.5</v>
      </c>
    </row>
    <row r="319" spans="1:35" x14ac:dyDescent="0.2">
      <c r="A319" s="6">
        <v>29738</v>
      </c>
      <c r="B319">
        <v>5.3745320000000003</v>
      </c>
      <c r="E319">
        <v>7.3</v>
      </c>
      <c r="U319">
        <v>2.2999999999999998</v>
      </c>
      <c r="AI319">
        <v>7.5</v>
      </c>
    </row>
    <row r="320" spans="1:35" x14ac:dyDescent="0.2">
      <c r="A320" s="6">
        <v>29768</v>
      </c>
      <c r="B320">
        <v>5.8279820000000004</v>
      </c>
      <c r="E320">
        <v>7.2</v>
      </c>
      <c r="U320">
        <v>2.2000000000000002</v>
      </c>
      <c r="AI320">
        <v>7.2</v>
      </c>
    </row>
    <row r="321" spans="1:35" x14ac:dyDescent="0.2">
      <c r="A321" s="6">
        <v>29799</v>
      </c>
      <c r="B321">
        <v>5.8466750000000003</v>
      </c>
      <c r="E321">
        <v>7</v>
      </c>
      <c r="U321">
        <v>2.1</v>
      </c>
      <c r="AI321">
        <v>7.4</v>
      </c>
    </row>
    <row r="322" spans="1:35" x14ac:dyDescent="0.2">
      <c r="A322" s="6">
        <v>29830</v>
      </c>
      <c r="B322">
        <v>5.8133010000000001</v>
      </c>
      <c r="E322">
        <v>8.1999999999999993</v>
      </c>
      <c r="U322">
        <v>2.2000000000000002</v>
      </c>
      <c r="AI322">
        <v>7.6</v>
      </c>
    </row>
    <row r="323" spans="1:35" x14ac:dyDescent="0.2">
      <c r="A323" s="6">
        <v>29860</v>
      </c>
      <c r="B323">
        <v>5.8730510000000002</v>
      </c>
      <c r="E323">
        <v>8.3000000000000007</v>
      </c>
      <c r="U323">
        <v>2.2000000000000002</v>
      </c>
      <c r="AI323">
        <v>7.9</v>
      </c>
    </row>
    <row r="324" spans="1:35" x14ac:dyDescent="0.2">
      <c r="A324" s="6">
        <v>29891</v>
      </c>
      <c r="B324">
        <v>5.9962109999999997</v>
      </c>
      <c r="E324">
        <v>8.3000000000000007</v>
      </c>
      <c r="U324">
        <v>2.2000000000000002</v>
      </c>
      <c r="AI324">
        <v>8.3000000000000007</v>
      </c>
    </row>
    <row r="325" spans="1:35" x14ac:dyDescent="0.2">
      <c r="A325" s="6">
        <v>29921</v>
      </c>
      <c r="B325">
        <v>6.0280360000000002</v>
      </c>
      <c r="E325">
        <v>8.6999999999999993</v>
      </c>
      <c r="U325">
        <v>2.2000000000000002</v>
      </c>
      <c r="AI325">
        <v>8.5</v>
      </c>
    </row>
    <row r="326" spans="1:35" x14ac:dyDescent="0.2">
      <c r="A326" s="6">
        <v>29952</v>
      </c>
      <c r="B326">
        <v>5.9833119999999997</v>
      </c>
      <c r="E326">
        <v>8.6</v>
      </c>
      <c r="U326">
        <v>2.2000000000000002</v>
      </c>
      <c r="AI326">
        <v>8.6</v>
      </c>
    </row>
    <row r="327" spans="1:35" x14ac:dyDescent="0.2">
      <c r="A327" s="6">
        <v>29983</v>
      </c>
      <c r="B327">
        <v>6.3089490000000001</v>
      </c>
      <c r="E327">
        <v>8.9</v>
      </c>
      <c r="U327">
        <v>2.2000000000000002</v>
      </c>
      <c r="AI327">
        <v>8.9</v>
      </c>
    </row>
    <row r="328" spans="1:35" x14ac:dyDescent="0.2">
      <c r="A328" s="6">
        <v>30011</v>
      </c>
      <c r="B328">
        <v>6.3235000000000001</v>
      </c>
      <c r="E328">
        <v>9.3000000000000007</v>
      </c>
      <c r="U328">
        <v>2.2999999999999998</v>
      </c>
      <c r="AI328">
        <v>9</v>
      </c>
    </row>
    <row r="329" spans="1:35" x14ac:dyDescent="0.2">
      <c r="A329" s="6">
        <v>30042</v>
      </c>
      <c r="B329">
        <v>6.3343160000000003</v>
      </c>
      <c r="E329">
        <v>9.8000000000000007</v>
      </c>
      <c r="U329">
        <v>2.2999999999999998</v>
      </c>
      <c r="AI329">
        <v>9.3000000000000007</v>
      </c>
    </row>
    <row r="330" spans="1:35" x14ac:dyDescent="0.2">
      <c r="A330" s="6">
        <v>30072</v>
      </c>
      <c r="B330">
        <v>6.5933849999999996</v>
      </c>
      <c r="E330">
        <v>10.4</v>
      </c>
      <c r="U330">
        <v>2.2999999999999998</v>
      </c>
      <c r="AI330">
        <v>9.4</v>
      </c>
    </row>
    <row r="331" spans="1:35" x14ac:dyDescent="0.2">
      <c r="A331" s="6">
        <v>30103</v>
      </c>
      <c r="B331">
        <v>6.7675169999999998</v>
      </c>
      <c r="E331">
        <v>11.1</v>
      </c>
      <c r="U331">
        <v>2.4</v>
      </c>
      <c r="AI331">
        <v>9.6</v>
      </c>
    </row>
    <row r="332" spans="1:35" x14ac:dyDescent="0.2">
      <c r="A332" s="6">
        <v>30133</v>
      </c>
      <c r="B332">
        <v>6.884125</v>
      </c>
      <c r="E332">
        <v>12</v>
      </c>
      <c r="U332">
        <v>2.4</v>
      </c>
      <c r="AI332">
        <v>9.8000000000000007</v>
      </c>
    </row>
    <row r="333" spans="1:35" x14ac:dyDescent="0.2">
      <c r="A333" s="6">
        <v>30164</v>
      </c>
      <c r="B333">
        <v>7.0122359999999997</v>
      </c>
      <c r="E333">
        <v>12.1</v>
      </c>
      <c r="U333">
        <v>2.2999999999999998</v>
      </c>
      <c r="AI333">
        <v>9.8000000000000007</v>
      </c>
    </row>
    <row r="334" spans="1:35" x14ac:dyDescent="0.2">
      <c r="A334" s="6">
        <v>30195</v>
      </c>
      <c r="B334">
        <v>7.4306219999999996</v>
      </c>
      <c r="E334">
        <v>12.4</v>
      </c>
      <c r="U334">
        <v>2.4</v>
      </c>
      <c r="AI334">
        <v>10.1</v>
      </c>
    </row>
    <row r="335" spans="1:35" x14ac:dyDescent="0.2">
      <c r="A335" s="6">
        <v>30225</v>
      </c>
      <c r="B335">
        <v>8.2956909999999997</v>
      </c>
      <c r="E335">
        <v>12.9</v>
      </c>
      <c r="U335">
        <v>2.5</v>
      </c>
      <c r="AI335">
        <v>10.4</v>
      </c>
    </row>
    <row r="336" spans="1:35" x14ac:dyDescent="0.2">
      <c r="A336" s="6">
        <v>30256</v>
      </c>
      <c r="B336">
        <v>8.6802360000000007</v>
      </c>
      <c r="E336">
        <v>12.9</v>
      </c>
      <c r="U336">
        <v>2.4</v>
      </c>
      <c r="AI336">
        <v>10.8</v>
      </c>
    </row>
    <row r="337" spans="1:35" x14ac:dyDescent="0.2">
      <c r="A337" s="6">
        <v>30286</v>
      </c>
      <c r="B337">
        <v>9.4030280000000008</v>
      </c>
      <c r="E337">
        <v>13</v>
      </c>
      <c r="U337">
        <v>2.5</v>
      </c>
      <c r="AI337">
        <v>10.8</v>
      </c>
    </row>
    <row r="338" spans="1:35" x14ac:dyDescent="0.2">
      <c r="A338" s="6">
        <v>30317</v>
      </c>
      <c r="B338">
        <v>9.3008959999999998</v>
      </c>
      <c r="D338">
        <v>10.4</v>
      </c>
      <c r="E338">
        <v>12.6</v>
      </c>
      <c r="I338">
        <v>8.1</v>
      </c>
      <c r="M338">
        <v>8.3000000000000007</v>
      </c>
      <c r="N338">
        <v>10.7</v>
      </c>
      <c r="Q338">
        <v>12.9</v>
      </c>
      <c r="T338">
        <v>6.9</v>
      </c>
      <c r="U338">
        <v>2.7</v>
      </c>
      <c r="W338">
        <v>3.3</v>
      </c>
      <c r="Z338">
        <v>9.5</v>
      </c>
      <c r="AD338">
        <v>8.1</v>
      </c>
      <c r="AG338">
        <v>3.4</v>
      </c>
      <c r="AI338">
        <v>10.4</v>
      </c>
    </row>
    <row r="339" spans="1:35" x14ac:dyDescent="0.2">
      <c r="A339" s="6">
        <v>30348</v>
      </c>
      <c r="B339">
        <v>9.6593680000000006</v>
      </c>
      <c r="D339">
        <v>10.5</v>
      </c>
      <c r="E339">
        <v>12.7</v>
      </c>
      <c r="I339">
        <v>8.1999999999999993</v>
      </c>
      <c r="M339">
        <v>8</v>
      </c>
      <c r="N339">
        <v>10.8</v>
      </c>
      <c r="Q339">
        <v>13.2</v>
      </c>
      <c r="T339">
        <v>7.1</v>
      </c>
      <c r="U339">
        <v>2.7</v>
      </c>
      <c r="W339">
        <v>3.3</v>
      </c>
      <c r="Z339">
        <v>9.5</v>
      </c>
      <c r="AD339">
        <v>8.1</v>
      </c>
      <c r="AG339">
        <v>3.7</v>
      </c>
      <c r="AI339">
        <v>10.4</v>
      </c>
    </row>
    <row r="340" spans="1:35" x14ac:dyDescent="0.2">
      <c r="A340" s="6">
        <v>30376</v>
      </c>
      <c r="B340">
        <v>9.9517489999999995</v>
      </c>
      <c r="D340">
        <v>10.6</v>
      </c>
      <c r="E340">
        <v>12.5</v>
      </c>
      <c r="I340">
        <v>8.3000000000000007</v>
      </c>
      <c r="M340">
        <v>8</v>
      </c>
      <c r="N340">
        <v>10.8</v>
      </c>
      <c r="Q340">
        <v>13.4</v>
      </c>
      <c r="T340">
        <v>7.2</v>
      </c>
      <c r="U340">
        <v>2.6</v>
      </c>
      <c r="W340">
        <v>3.2</v>
      </c>
      <c r="Z340">
        <v>9.5</v>
      </c>
      <c r="AD340">
        <v>8.3000000000000007</v>
      </c>
      <c r="AG340">
        <v>3.7</v>
      </c>
      <c r="AI340">
        <v>10.3</v>
      </c>
    </row>
    <row r="341" spans="1:35" x14ac:dyDescent="0.2">
      <c r="A341" s="6">
        <v>30407</v>
      </c>
      <c r="B341">
        <v>10.152950000000001</v>
      </c>
      <c r="D341">
        <v>10.6</v>
      </c>
      <c r="E341">
        <v>12.5</v>
      </c>
      <c r="I341">
        <v>8.4</v>
      </c>
      <c r="M341">
        <v>8.3000000000000007</v>
      </c>
      <c r="N341">
        <v>11</v>
      </c>
      <c r="Q341">
        <v>13.5</v>
      </c>
      <c r="T341">
        <v>7.2</v>
      </c>
      <c r="U341">
        <v>2.7</v>
      </c>
      <c r="W341">
        <v>3.3</v>
      </c>
      <c r="Z341">
        <v>9.5</v>
      </c>
      <c r="AD341">
        <v>8.5</v>
      </c>
      <c r="AG341">
        <v>3.4</v>
      </c>
      <c r="AI341">
        <v>10.199999999999999</v>
      </c>
    </row>
    <row r="342" spans="1:35" x14ac:dyDescent="0.2">
      <c r="A342" s="6">
        <v>30437</v>
      </c>
      <c r="B342">
        <v>10.323639999999999</v>
      </c>
      <c r="D342">
        <v>10.7</v>
      </c>
      <c r="E342">
        <v>12.5</v>
      </c>
      <c r="I342">
        <v>8.4</v>
      </c>
      <c r="M342">
        <v>8.5</v>
      </c>
      <c r="N342">
        <v>10.9</v>
      </c>
      <c r="Q342">
        <v>13.7</v>
      </c>
      <c r="T342">
        <v>7.3</v>
      </c>
      <c r="U342">
        <v>2.7</v>
      </c>
      <c r="W342">
        <v>3.5</v>
      </c>
      <c r="Z342">
        <v>9.5</v>
      </c>
      <c r="AD342">
        <v>8.8000000000000007</v>
      </c>
      <c r="AG342">
        <v>3.7</v>
      </c>
      <c r="AI342">
        <v>10.1</v>
      </c>
    </row>
    <row r="343" spans="1:35" x14ac:dyDescent="0.2">
      <c r="A343" s="6">
        <v>30468</v>
      </c>
      <c r="B343">
        <v>10.20365</v>
      </c>
      <c r="D343">
        <v>10.7</v>
      </c>
      <c r="E343">
        <v>12.4</v>
      </c>
      <c r="I343">
        <v>8.5</v>
      </c>
      <c r="M343">
        <v>8.8000000000000007</v>
      </c>
      <c r="N343">
        <v>11</v>
      </c>
      <c r="Q343">
        <v>13.9</v>
      </c>
      <c r="T343">
        <v>7.3</v>
      </c>
      <c r="U343">
        <v>2.6</v>
      </c>
      <c r="W343">
        <v>3.6</v>
      </c>
      <c r="Z343">
        <v>9.5</v>
      </c>
      <c r="AD343">
        <v>9</v>
      </c>
      <c r="AG343">
        <v>3.9</v>
      </c>
      <c r="AI343">
        <v>10.1</v>
      </c>
    </row>
    <row r="344" spans="1:35" x14ac:dyDescent="0.2">
      <c r="A344" s="6">
        <v>30498</v>
      </c>
      <c r="B344">
        <v>10.507989999999999</v>
      </c>
      <c r="D344">
        <v>10.8</v>
      </c>
      <c r="E344">
        <v>12.1</v>
      </c>
      <c r="I344">
        <v>8.5</v>
      </c>
      <c r="M344">
        <v>8.9</v>
      </c>
      <c r="N344">
        <v>10.9</v>
      </c>
      <c r="Q344">
        <v>14</v>
      </c>
      <c r="T344">
        <v>7.4</v>
      </c>
      <c r="U344">
        <v>2.6</v>
      </c>
      <c r="W344">
        <v>3.6</v>
      </c>
      <c r="Z344">
        <v>9.5</v>
      </c>
      <c r="AD344">
        <v>9.1999999999999993</v>
      </c>
      <c r="AG344">
        <v>3.7</v>
      </c>
      <c r="AI344">
        <v>9.4</v>
      </c>
    </row>
    <row r="345" spans="1:35" x14ac:dyDescent="0.2">
      <c r="A345" s="6">
        <v>30529</v>
      </c>
      <c r="B345">
        <v>10.21984</v>
      </c>
      <c r="D345">
        <v>10.8</v>
      </c>
      <c r="E345">
        <v>11.8</v>
      </c>
      <c r="I345">
        <v>8.5</v>
      </c>
      <c r="M345">
        <v>9</v>
      </c>
      <c r="N345">
        <v>10.9</v>
      </c>
      <c r="Q345">
        <v>14.1</v>
      </c>
      <c r="T345">
        <v>7.4</v>
      </c>
      <c r="U345">
        <v>2.8</v>
      </c>
      <c r="W345">
        <v>3.7</v>
      </c>
      <c r="Z345">
        <v>9.5</v>
      </c>
      <c r="AD345">
        <v>9.4</v>
      </c>
      <c r="AG345">
        <v>3.8</v>
      </c>
      <c r="AI345">
        <v>9.5</v>
      </c>
    </row>
    <row r="346" spans="1:35" x14ac:dyDescent="0.2">
      <c r="A346" s="6">
        <v>30560</v>
      </c>
      <c r="B346">
        <v>10.33887</v>
      </c>
      <c r="D346">
        <v>10.9</v>
      </c>
      <c r="E346">
        <v>11.4</v>
      </c>
      <c r="I346">
        <v>8.4</v>
      </c>
      <c r="M346">
        <v>9.1</v>
      </c>
      <c r="N346">
        <v>10.9</v>
      </c>
      <c r="Q346">
        <v>14.3</v>
      </c>
      <c r="T346">
        <v>7.5</v>
      </c>
      <c r="U346">
        <v>2.7</v>
      </c>
      <c r="W346">
        <v>3.5</v>
      </c>
      <c r="Z346">
        <v>9.5</v>
      </c>
      <c r="AD346">
        <v>9.4</v>
      </c>
      <c r="AG346">
        <v>3.8</v>
      </c>
      <c r="AI346">
        <v>9.1999999999999993</v>
      </c>
    </row>
    <row r="347" spans="1:35" x14ac:dyDescent="0.2">
      <c r="A347" s="6">
        <v>30590</v>
      </c>
      <c r="B347">
        <v>10.00844</v>
      </c>
      <c r="D347">
        <v>11</v>
      </c>
      <c r="E347">
        <v>11.2</v>
      </c>
      <c r="I347">
        <v>8.4</v>
      </c>
      <c r="M347">
        <v>9.1999999999999993</v>
      </c>
      <c r="N347">
        <v>10.8</v>
      </c>
      <c r="Q347">
        <v>14.5</v>
      </c>
      <c r="T347">
        <v>7.6</v>
      </c>
      <c r="U347">
        <v>2.6</v>
      </c>
      <c r="W347">
        <v>3.3</v>
      </c>
      <c r="Z347">
        <v>9.5</v>
      </c>
      <c r="AD347">
        <v>9.3000000000000007</v>
      </c>
      <c r="AG347">
        <v>3.7</v>
      </c>
      <c r="AI347">
        <v>8.8000000000000007</v>
      </c>
    </row>
    <row r="348" spans="1:35" x14ac:dyDescent="0.2">
      <c r="A348" s="6">
        <v>30621</v>
      </c>
      <c r="B348">
        <v>9.654973</v>
      </c>
      <c r="D348">
        <v>11</v>
      </c>
      <c r="E348">
        <v>11.1</v>
      </c>
      <c r="I348">
        <v>8.4</v>
      </c>
      <c r="M348">
        <v>9.4</v>
      </c>
      <c r="N348">
        <v>10.8</v>
      </c>
      <c r="Q348">
        <v>14.6</v>
      </c>
      <c r="T348">
        <v>7.7</v>
      </c>
      <c r="U348">
        <v>2.6</v>
      </c>
      <c r="W348">
        <v>3.4</v>
      </c>
      <c r="Z348">
        <v>9.5</v>
      </c>
      <c r="AD348">
        <v>9.3000000000000007</v>
      </c>
      <c r="AG348">
        <v>3.7</v>
      </c>
      <c r="AI348">
        <v>8.5</v>
      </c>
    </row>
    <row r="349" spans="1:35" x14ac:dyDescent="0.2">
      <c r="A349" s="6">
        <v>30651</v>
      </c>
      <c r="B349">
        <v>9.4582789999999992</v>
      </c>
      <c r="D349">
        <v>10.9</v>
      </c>
      <c r="E349">
        <v>11.3</v>
      </c>
      <c r="I349">
        <v>8.4</v>
      </c>
      <c r="M349">
        <v>9.6</v>
      </c>
      <c r="N349">
        <v>10.8</v>
      </c>
      <c r="Q349">
        <v>14.7</v>
      </c>
      <c r="T349">
        <v>7.8</v>
      </c>
      <c r="U349">
        <v>2.6</v>
      </c>
      <c r="W349">
        <v>3.3</v>
      </c>
      <c r="Z349">
        <v>9.5</v>
      </c>
      <c r="AD349">
        <v>9.3000000000000007</v>
      </c>
      <c r="AG349">
        <v>3.6</v>
      </c>
      <c r="AI349">
        <v>8.3000000000000007</v>
      </c>
    </row>
    <row r="350" spans="1:35" x14ac:dyDescent="0.2">
      <c r="A350" s="6">
        <v>30682</v>
      </c>
      <c r="B350">
        <v>9.4990629999999996</v>
      </c>
      <c r="D350">
        <v>10.9</v>
      </c>
      <c r="E350">
        <v>11.2</v>
      </c>
      <c r="I350">
        <v>8.3000000000000007</v>
      </c>
      <c r="M350">
        <v>9.6</v>
      </c>
      <c r="N350">
        <v>10.7</v>
      </c>
      <c r="Q350">
        <v>14.9</v>
      </c>
      <c r="T350">
        <v>7.9</v>
      </c>
      <c r="U350">
        <v>2.7</v>
      </c>
      <c r="W350">
        <v>3.3</v>
      </c>
      <c r="Z350">
        <v>9.5</v>
      </c>
      <c r="AD350">
        <v>9.4</v>
      </c>
      <c r="AG350">
        <v>3.7</v>
      </c>
      <c r="AI350">
        <v>8</v>
      </c>
    </row>
    <row r="351" spans="1:35" x14ac:dyDescent="0.2">
      <c r="A351" s="6">
        <v>30713</v>
      </c>
      <c r="B351">
        <v>9.3862500000000004</v>
      </c>
      <c r="D351">
        <v>10.9</v>
      </c>
      <c r="E351">
        <v>11.3</v>
      </c>
      <c r="I351">
        <v>8.3000000000000007</v>
      </c>
      <c r="M351">
        <v>9.6999999999999993</v>
      </c>
      <c r="N351">
        <v>10.8</v>
      </c>
      <c r="Q351">
        <v>15.1</v>
      </c>
      <c r="T351">
        <v>7.9</v>
      </c>
      <c r="U351">
        <v>2.7</v>
      </c>
      <c r="W351">
        <v>3.3</v>
      </c>
      <c r="Z351">
        <v>9.4</v>
      </c>
      <c r="AD351">
        <v>9.4</v>
      </c>
      <c r="AG351">
        <v>3.4</v>
      </c>
      <c r="AI351">
        <v>7.8</v>
      </c>
    </row>
    <row r="352" spans="1:35" x14ac:dyDescent="0.2">
      <c r="A352" s="6">
        <v>30742</v>
      </c>
      <c r="B352">
        <v>9.2087690000000002</v>
      </c>
      <c r="D352">
        <v>10.8</v>
      </c>
      <c r="E352">
        <v>11.3</v>
      </c>
      <c r="I352">
        <v>8.1999999999999993</v>
      </c>
      <c r="M352">
        <v>9.8000000000000007</v>
      </c>
      <c r="N352">
        <v>10.7</v>
      </c>
      <c r="Q352">
        <v>15.2</v>
      </c>
      <c r="T352">
        <v>7.8</v>
      </c>
      <c r="U352">
        <v>2.7</v>
      </c>
      <c r="W352">
        <v>3.2</v>
      </c>
      <c r="Z352">
        <v>9.4</v>
      </c>
      <c r="AD352">
        <v>9.4</v>
      </c>
      <c r="AG352">
        <v>3.3</v>
      </c>
      <c r="AI352">
        <v>7.8</v>
      </c>
    </row>
    <row r="353" spans="1:35" x14ac:dyDescent="0.2">
      <c r="A353" s="6">
        <v>30773</v>
      </c>
      <c r="B353">
        <v>9.3711769999999994</v>
      </c>
      <c r="D353">
        <v>10.8</v>
      </c>
      <c r="E353">
        <v>11.5</v>
      </c>
      <c r="I353">
        <v>8.1</v>
      </c>
      <c r="M353">
        <v>9.9</v>
      </c>
      <c r="N353">
        <v>10.7</v>
      </c>
      <c r="Q353">
        <v>15.3</v>
      </c>
      <c r="T353">
        <v>7.9</v>
      </c>
      <c r="U353">
        <v>2.7</v>
      </c>
      <c r="W353">
        <v>3</v>
      </c>
      <c r="Z353">
        <v>9.4</v>
      </c>
      <c r="AD353">
        <v>9.5</v>
      </c>
      <c r="AG353">
        <v>3.5</v>
      </c>
      <c r="AI353">
        <v>7.7</v>
      </c>
    </row>
    <row r="354" spans="1:35" x14ac:dyDescent="0.2">
      <c r="A354" s="6">
        <v>30803</v>
      </c>
      <c r="B354">
        <v>8.9372430000000005</v>
      </c>
      <c r="D354">
        <v>10.8</v>
      </c>
      <c r="E354">
        <v>11.8</v>
      </c>
      <c r="I354">
        <v>8</v>
      </c>
      <c r="M354">
        <v>9.9</v>
      </c>
      <c r="N354">
        <v>10.7</v>
      </c>
      <c r="Q354">
        <v>15.4</v>
      </c>
      <c r="T354">
        <v>7.8</v>
      </c>
      <c r="U354">
        <v>2.7</v>
      </c>
      <c r="W354">
        <v>2.9</v>
      </c>
      <c r="Z354">
        <v>9.4</v>
      </c>
      <c r="AD354">
        <v>9.5</v>
      </c>
      <c r="AG354">
        <v>3.3</v>
      </c>
      <c r="AI354">
        <v>7.4</v>
      </c>
    </row>
    <row r="355" spans="1:35" x14ac:dyDescent="0.2">
      <c r="A355" s="6">
        <v>30834</v>
      </c>
      <c r="B355">
        <v>9.0961590000000001</v>
      </c>
      <c r="D355">
        <v>10.8</v>
      </c>
      <c r="E355">
        <v>11.2</v>
      </c>
      <c r="I355">
        <v>8</v>
      </c>
      <c r="M355">
        <v>10</v>
      </c>
      <c r="N355">
        <v>10.8</v>
      </c>
      <c r="Q355">
        <v>15.4</v>
      </c>
      <c r="T355">
        <v>7.8</v>
      </c>
      <c r="U355">
        <v>2.8</v>
      </c>
      <c r="W355">
        <v>2.9</v>
      </c>
      <c r="Z355">
        <v>9.3000000000000007</v>
      </c>
      <c r="AD355">
        <v>9.6</v>
      </c>
      <c r="AG355">
        <v>3.2</v>
      </c>
      <c r="AI355">
        <v>7.2</v>
      </c>
    </row>
    <row r="356" spans="1:35" x14ac:dyDescent="0.2">
      <c r="A356" s="6">
        <v>30864</v>
      </c>
      <c r="B356">
        <v>8.9081779999999995</v>
      </c>
      <c r="D356">
        <v>10.8</v>
      </c>
      <c r="E356">
        <v>11</v>
      </c>
      <c r="I356">
        <v>7.9</v>
      </c>
      <c r="M356">
        <v>10.1</v>
      </c>
      <c r="N356">
        <v>10.9</v>
      </c>
      <c r="Q356">
        <v>15.5</v>
      </c>
      <c r="T356">
        <v>7.8</v>
      </c>
      <c r="U356">
        <v>2.8</v>
      </c>
      <c r="W356">
        <v>3</v>
      </c>
      <c r="Z356">
        <v>9.3000000000000007</v>
      </c>
      <c r="AD356">
        <v>9.6</v>
      </c>
      <c r="AG356">
        <v>3.3</v>
      </c>
      <c r="AI356">
        <v>7.5</v>
      </c>
    </row>
    <row r="357" spans="1:35" x14ac:dyDescent="0.2">
      <c r="A357" s="6">
        <v>30895</v>
      </c>
      <c r="B357">
        <v>8.8294049999999995</v>
      </c>
      <c r="D357">
        <v>10.9</v>
      </c>
      <c r="E357">
        <v>11.3</v>
      </c>
      <c r="I357">
        <v>7.8</v>
      </c>
      <c r="M357">
        <v>10.199999999999999</v>
      </c>
      <c r="N357">
        <v>10.9</v>
      </c>
      <c r="Q357">
        <v>15.6</v>
      </c>
      <c r="T357">
        <v>7.8</v>
      </c>
      <c r="U357">
        <v>2.7</v>
      </c>
      <c r="W357">
        <v>3</v>
      </c>
      <c r="Z357">
        <v>9.1999999999999993</v>
      </c>
      <c r="AD357">
        <v>9.6999999999999993</v>
      </c>
      <c r="AG357">
        <v>3.2</v>
      </c>
      <c r="AI357">
        <v>7.5</v>
      </c>
    </row>
    <row r="358" spans="1:35" x14ac:dyDescent="0.2">
      <c r="A358" s="6">
        <v>30926</v>
      </c>
      <c r="B358">
        <v>8.7356960000000008</v>
      </c>
      <c r="D358">
        <v>10.9</v>
      </c>
      <c r="E358">
        <v>11.8</v>
      </c>
      <c r="I358">
        <v>7.8</v>
      </c>
      <c r="M358">
        <v>10.3</v>
      </c>
      <c r="N358">
        <v>11</v>
      </c>
      <c r="Q358">
        <v>15.7</v>
      </c>
      <c r="T358">
        <v>7.8</v>
      </c>
      <c r="U358">
        <v>2.7</v>
      </c>
      <c r="W358">
        <v>2.9</v>
      </c>
      <c r="Z358">
        <v>9.1999999999999993</v>
      </c>
      <c r="AD358">
        <v>9.6999999999999993</v>
      </c>
      <c r="AG358">
        <v>2.9</v>
      </c>
      <c r="AI358">
        <v>7.3</v>
      </c>
    </row>
    <row r="359" spans="1:35" x14ac:dyDescent="0.2">
      <c r="A359" s="6">
        <v>30956</v>
      </c>
      <c r="B359">
        <v>8.6959070000000001</v>
      </c>
      <c r="D359">
        <v>10.8</v>
      </c>
      <c r="E359">
        <v>11.4</v>
      </c>
      <c r="I359">
        <v>7.7</v>
      </c>
      <c r="M359">
        <v>10.4</v>
      </c>
      <c r="N359">
        <v>11</v>
      </c>
      <c r="Q359">
        <v>15.8</v>
      </c>
      <c r="T359">
        <v>7.8</v>
      </c>
      <c r="U359">
        <v>2.7</v>
      </c>
      <c r="W359">
        <v>3</v>
      </c>
      <c r="Z359">
        <v>9.1</v>
      </c>
      <c r="AD359">
        <v>9.8000000000000007</v>
      </c>
      <c r="AG359">
        <v>3.3</v>
      </c>
      <c r="AI359">
        <v>7.4</v>
      </c>
    </row>
    <row r="360" spans="1:35" x14ac:dyDescent="0.2">
      <c r="A360" s="6">
        <v>30987</v>
      </c>
      <c r="B360">
        <v>8.6795709999999993</v>
      </c>
      <c r="D360">
        <v>10.8</v>
      </c>
      <c r="E360">
        <v>11.5</v>
      </c>
      <c r="I360">
        <v>7.6</v>
      </c>
      <c r="M360">
        <v>10.4</v>
      </c>
      <c r="N360">
        <v>11.1</v>
      </c>
      <c r="Q360">
        <v>16</v>
      </c>
      <c r="T360">
        <v>7.8</v>
      </c>
      <c r="U360">
        <v>2.7</v>
      </c>
      <c r="W360">
        <v>3</v>
      </c>
      <c r="Z360">
        <v>9</v>
      </c>
      <c r="AD360">
        <v>9.9</v>
      </c>
      <c r="AG360">
        <v>3</v>
      </c>
      <c r="AI360">
        <v>7.2</v>
      </c>
    </row>
    <row r="361" spans="1:35" x14ac:dyDescent="0.2">
      <c r="A361" s="6">
        <v>31017</v>
      </c>
      <c r="B361">
        <v>8.5203539999999993</v>
      </c>
      <c r="D361">
        <v>10.7</v>
      </c>
      <c r="E361">
        <v>11</v>
      </c>
      <c r="I361">
        <v>7.4</v>
      </c>
      <c r="M361">
        <v>10.5</v>
      </c>
      <c r="N361">
        <v>11.1</v>
      </c>
      <c r="Q361">
        <v>16.100000000000001</v>
      </c>
      <c r="T361">
        <v>7.9</v>
      </c>
      <c r="U361">
        <v>2.6</v>
      </c>
      <c r="W361">
        <v>2.8</v>
      </c>
      <c r="Z361">
        <v>9</v>
      </c>
      <c r="AD361">
        <v>9.8000000000000007</v>
      </c>
      <c r="AG361">
        <v>2.9</v>
      </c>
      <c r="AI361">
        <v>7.3</v>
      </c>
    </row>
    <row r="362" spans="1:35" x14ac:dyDescent="0.2">
      <c r="A362" s="6">
        <v>31048</v>
      </c>
      <c r="B362">
        <v>8.551031</v>
      </c>
      <c r="D362">
        <v>10.6</v>
      </c>
      <c r="E362">
        <v>10.8</v>
      </c>
      <c r="I362">
        <v>7.4</v>
      </c>
      <c r="M362">
        <v>10.4</v>
      </c>
      <c r="N362">
        <v>11.2</v>
      </c>
      <c r="Q362">
        <v>16.3</v>
      </c>
      <c r="T362">
        <v>8</v>
      </c>
      <c r="U362">
        <v>2.5</v>
      </c>
      <c r="W362">
        <v>2.8</v>
      </c>
      <c r="Z362">
        <v>8.9</v>
      </c>
      <c r="AD362">
        <v>9.6</v>
      </c>
      <c r="AG362">
        <v>3.1</v>
      </c>
      <c r="AI362">
        <v>7.3</v>
      </c>
    </row>
    <row r="363" spans="1:35" x14ac:dyDescent="0.2">
      <c r="A363" s="6">
        <v>31079</v>
      </c>
      <c r="B363">
        <v>8.3899589999999993</v>
      </c>
      <c r="D363">
        <v>10.6</v>
      </c>
      <c r="E363">
        <v>10.9</v>
      </c>
      <c r="I363">
        <v>7.3</v>
      </c>
      <c r="M363">
        <v>10.4</v>
      </c>
      <c r="N363">
        <v>11.2</v>
      </c>
      <c r="Q363">
        <v>16.600000000000001</v>
      </c>
      <c r="T363">
        <v>8</v>
      </c>
      <c r="U363">
        <v>2.6</v>
      </c>
      <c r="W363">
        <v>2.8</v>
      </c>
      <c r="Z363">
        <v>8.8000000000000007</v>
      </c>
      <c r="AD363">
        <v>9.6</v>
      </c>
      <c r="AG363">
        <v>2.9</v>
      </c>
      <c r="AI363">
        <v>7.2</v>
      </c>
    </row>
    <row r="364" spans="1:35" x14ac:dyDescent="0.2">
      <c r="A364" s="6">
        <v>31107</v>
      </c>
      <c r="B364">
        <v>8.6662280000000003</v>
      </c>
      <c r="D364">
        <v>10.4</v>
      </c>
      <c r="E364">
        <v>11.1</v>
      </c>
      <c r="I364">
        <v>7.2</v>
      </c>
      <c r="M364">
        <v>10.4</v>
      </c>
      <c r="N364">
        <v>11.2</v>
      </c>
      <c r="Q364">
        <v>16.600000000000001</v>
      </c>
      <c r="T364">
        <v>8</v>
      </c>
      <c r="U364">
        <v>2.6</v>
      </c>
      <c r="W364">
        <v>2.9</v>
      </c>
      <c r="Z364">
        <v>8.6999999999999993</v>
      </c>
      <c r="AD364">
        <v>9.6999999999999993</v>
      </c>
      <c r="AG364">
        <v>3</v>
      </c>
      <c r="AI364">
        <v>7.2</v>
      </c>
    </row>
    <row r="365" spans="1:35" x14ac:dyDescent="0.2">
      <c r="A365" s="6">
        <v>31138</v>
      </c>
      <c r="B365">
        <v>8.4032250000000008</v>
      </c>
      <c r="D365">
        <v>10.199999999999999</v>
      </c>
      <c r="E365">
        <v>10.9</v>
      </c>
      <c r="I365">
        <v>7.1</v>
      </c>
      <c r="M365">
        <v>10.4</v>
      </c>
      <c r="N365">
        <v>11.3</v>
      </c>
      <c r="Q365">
        <v>16.7</v>
      </c>
      <c r="T365">
        <v>8</v>
      </c>
      <c r="U365">
        <v>2.5</v>
      </c>
      <c r="W365">
        <v>3</v>
      </c>
      <c r="Z365">
        <v>8.6999999999999993</v>
      </c>
      <c r="AD365">
        <v>9.8000000000000007</v>
      </c>
      <c r="AG365">
        <v>3</v>
      </c>
      <c r="AI365">
        <v>7.3</v>
      </c>
    </row>
    <row r="366" spans="1:35" x14ac:dyDescent="0.2">
      <c r="A366" s="6">
        <v>31168</v>
      </c>
      <c r="B366">
        <v>8.3766119999999997</v>
      </c>
      <c r="D366">
        <v>10.1</v>
      </c>
      <c r="E366">
        <v>10.7</v>
      </c>
      <c r="I366">
        <v>7</v>
      </c>
      <c r="M366">
        <v>10.4</v>
      </c>
      <c r="N366">
        <v>11.3</v>
      </c>
      <c r="Q366">
        <v>16.7</v>
      </c>
      <c r="T366">
        <v>8</v>
      </c>
      <c r="U366">
        <v>2.6</v>
      </c>
      <c r="W366">
        <v>3</v>
      </c>
      <c r="Z366">
        <v>8.6</v>
      </c>
      <c r="AD366">
        <v>9.8000000000000007</v>
      </c>
      <c r="AG366">
        <v>3</v>
      </c>
      <c r="AI366">
        <v>7.2</v>
      </c>
    </row>
    <row r="367" spans="1:35" x14ac:dyDescent="0.2">
      <c r="A367" s="6">
        <v>31199</v>
      </c>
      <c r="B367">
        <v>8.5712820000000001</v>
      </c>
      <c r="D367">
        <v>10</v>
      </c>
      <c r="E367">
        <v>10.7</v>
      </c>
      <c r="I367">
        <v>6.8</v>
      </c>
      <c r="M367">
        <v>10.4</v>
      </c>
      <c r="N367">
        <v>11.2</v>
      </c>
      <c r="Q367">
        <v>16.8</v>
      </c>
      <c r="T367">
        <v>8.1</v>
      </c>
      <c r="U367">
        <v>2.6</v>
      </c>
      <c r="W367">
        <v>3</v>
      </c>
      <c r="Z367">
        <v>8.5</v>
      </c>
      <c r="AD367">
        <v>9.8000000000000007</v>
      </c>
      <c r="AG367">
        <v>2.9</v>
      </c>
      <c r="AI367">
        <v>7.4</v>
      </c>
    </row>
    <row r="368" spans="1:35" x14ac:dyDescent="0.2">
      <c r="A368" s="6">
        <v>31229</v>
      </c>
      <c r="B368">
        <v>8.2985729999999993</v>
      </c>
      <c r="D368">
        <v>9.9</v>
      </c>
      <c r="E368">
        <v>10.5</v>
      </c>
      <c r="I368">
        <v>6.6</v>
      </c>
      <c r="M368">
        <v>10.4</v>
      </c>
      <c r="N368">
        <v>11.2</v>
      </c>
      <c r="Q368">
        <v>16.899999999999999</v>
      </c>
      <c r="T368">
        <v>8.1999999999999993</v>
      </c>
      <c r="U368">
        <v>2.6</v>
      </c>
      <c r="W368">
        <v>3</v>
      </c>
      <c r="Z368">
        <v>8.4</v>
      </c>
      <c r="AD368">
        <v>9.9</v>
      </c>
      <c r="AG368">
        <v>2.8</v>
      </c>
      <c r="AI368">
        <v>7.4</v>
      </c>
    </row>
    <row r="369" spans="1:35" x14ac:dyDescent="0.2">
      <c r="A369" s="6">
        <v>31260</v>
      </c>
      <c r="B369">
        <v>8.1563300000000005</v>
      </c>
      <c r="D369">
        <v>9.9</v>
      </c>
      <c r="E369">
        <v>10.5</v>
      </c>
      <c r="I369">
        <v>6.4</v>
      </c>
      <c r="M369">
        <v>10.4</v>
      </c>
      <c r="N369">
        <v>11.2</v>
      </c>
      <c r="Q369">
        <v>17</v>
      </c>
      <c r="T369">
        <v>8.1999999999999993</v>
      </c>
      <c r="U369">
        <v>2.5</v>
      </c>
      <c r="W369">
        <v>2.9</v>
      </c>
      <c r="Z369">
        <v>8.3000000000000007</v>
      </c>
      <c r="AD369">
        <v>10</v>
      </c>
      <c r="AG369">
        <v>2.8</v>
      </c>
      <c r="AI369">
        <v>7.1</v>
      </c>
    </row>
    <row r="370" spans="1:35" x14ac:dyDescent="0.2">
      <c r="A370" s="6">
        <v>31291</v>
      </c>
      <c r="B370">
        <v>8.0581379999999996</v>
      </c>
      <c r="D370">
        <v>9.9</v>
      </c>
      <c r="E370">
        <v>10.4</v>
      </c>
      <c r="I370">
        <v>6.2</v>
      </c>
      <c r="M370">
        <v>10.4</v>
      </c>
      <c r="N370">
        <v>11.2</v>
      </c>
      <c r="Q370">
        <v>17.100000000000001</v>
      </c>
      <c r="T370">
        <v>8.3000000000000007</v>
      </c>
      <c r="U370">
        <v>2.7</v>
      </c>
      <c r="W370">
        <v>2.8</v>
      </c>
      <c r="Z370">
        <v>8.1999999999999993</v>
      </c>
      <c r="AD370">
        <v>10</v>
      </c>
      <c r="AG370">
        <v>2.8</v>
      </c>
      <c r="AI370">
        <v>7.1</v>
      </c>
    </row>
    <row r="371" spans="1:35" x14ac:dyDescent="0.2">
      <c r="A371" s="6">
        <v>31321</v>
      </c>
      <c r="B371">
        <v>7.8488759999999997</v>
      </c>
      <c r="D371">
        <v>9.9</v>
      </c>
      <c r="E371">
        <v>10.5</v>
      </c>
      <c r="I371">
        <v>6</v>
      </c>
      <c r="M371">
        <v>10.4</v>
      </c>
      <c r="N371">
        <v>11.2</v>
      </c>
      <c r="Q371">
        <v>17</v>
      </c>
      <c r="T371">
        <v>8.3000000000000007</v>
      </c>
      <c r="U371">
        <v>2.7</v>
      </c>
      <c r="W371">
        <v>2.8</v>
      </c>
      <c r="Z371">
        <v>8.1999999999999993</v>
      </c>
      <c r="AD371">
        <v>10</v>
      </c>
      <c r="AG371">
        <v>2.6</v>
      </c>
      <c r="AI371">
        <v>7.1</v>
      </c>
    </row>
    <row r="372" spans="1:35" x14ac:dyDescent="0.2">
      <c r="A372" s="6">
        <v>31352</v>
      </c>
      <c r="B372">
        <v>7.9507459999999996</v>
      </c>
      <c r="D372">
        <v>9.9</v>
      </c>
      <c r="E372">
        <v>10.4</v>
      </c>
      <c r="I372">
        <v>5.8</v>
      </c>
      <c r="M372">
        <v>10.5</v>
      </c>
      <c r="N372">
        <v>11.1</v>
      </c>
      <c r="Q372">
        <v>16.899999999999999</v>
      </c>
      <c r="T372">
        <v>8.4</v>
      </c>
      <c r="U372">
        <v>2.8</v>
      </c>
      <c r="W372">
        <v>2.8</v>
      </c>
      <c r="Z372">
        <v>8.1</v>
      </c>
      <c r="AD372">
        <v>10</v>
      </c>
      <c r="AG372">
        <v>2.7</v>
      </c>
      <c r="AI372">
        <v>7</v>
      </c>
    </row>
    <row r="373" spans="1:35" x14ac:dyDescent="0.2">
      <c r="A373" s="6">
        <v>31382</v>
      </c>
      <c r="B373">
        <v>7.7852240000000004</v>
      </c>
      <c r="D373">
        <v>10</v>
      </c>
      <c r="E373">
        <v>10.199999999999999</v>
      </c>
      <c r="I373">
        <v>5.6</v>
      </c>
      <c r="M373">
        <v>10.5</v>
      </c>
      <c r="N373">
        <v>11.2</v>
      </c>
      <c r="Q373">
        <v>17</v>
      </c>
      <c r="T373">
        <v>8.5</v>
      </c>
      <c r="U373">
        <v>2.8</v>
      </c>
      <c r="W373">
        <v>2.8</v>
      </c>
      <c r="Z373">
        <v>8</v>
      </c>
      <c r="AD373">
        <v>10.1</v>
      </c>
      <c r="AG373">
        <v>2.8</v>
      </c>
      <c r="AI373">
        <v>7</v>
      </c>
    </row>
    <row r="374" spans="1:35" x14ac:dyDescent="0.2">
      <c r="A374" s="6">
        <v>31413</v>
      </c>
      <c r="B374">
        <v>7.8058230000000002</v>
      </c>
      <c r="D374">
        <v>10.1</v>
      </c>
      <c r="E374">
        <v>10</v>
      </c>
      <c r="F374">
        <v>14.479900000000001</v>
      </c>
      <c r="I374">
        <v>5.4</v>
      </c>
      <c r="M374">
        <v>10.4</v>
      </c>
      <c r="N374">
        <v>11.2</v>
      </c>
      <c r="Q374">
        <v>16.899999999999999</v>
      </c>
      <c r="T374">
        <v>8.5</v>
      </c>
      <c r="U374">
        <v>2.7</v>
      </c>
      <c r="W374">
        <v>2.8</v>
      </c>
      <c r="Z374">
        <v>7.9</v>
      </c>
      <c r="AD374">
        <v>10.1</v>
      </c>
      <c r="AG374">
        <v>2.7</v>
      </c>
      <c r="AI374">
        <v>6.7</v>
      </c>
    </row>
    <row r="375" spans="1:35" x14ac:dyDescent="0.2">
      <c r="A375" s="6">
        <v>31444</v>
      </c>
      <c r="B375">
        <v>8.0034510000000001</v>
      </c>
      <c r="D375">
        <v>10.1</v>
      </c>
      <c r="E375">
        <v>10</v>
      </c>
      <c r="F375">
        <v>13.88251</v>
      </c>
      <c r="I375">
        <v>5.2</v>
      </c>
      <c r="M375">
        <v>10.3</v>
      </c>
      <c r="N375">
        <v>11.1</v>
      </c>
      <c r="Q375">
        <v>16.8</v>
      </c>
      <c r="T375">
        <v>8.6</v>
      </c>
      <c r="U375">
        <v>2.6</v>
      </c>
      <c r="W375">
        <v>2.8</v>
      </c>
      <c r="Z375">
        <v>7.8</v>
      </c>
      <c r="AD375">
        <v>10.1</v>
      </c>
      <c r="AG375">
        <v>2.9</v>
      </c>
      <c r="AI375">
        <v>7.2</v>
      </c>
    </row>
    <row r="376" spans="1:35" x14ac:dyDescent="0.2">
      <c r="A376" s="6">
        <v>31472</v>
      </c>
      <c r="B376">
        <v>7.9285870000000003</v>
      </c>
      <c r="D376">
        <v>10.1</v>
      </c>
      <c r="E376">
        <v>9.9</v>
      </c>
      <c r="F376">
        <v>13.09198</v>
      </c>
      <c r="I376">
        <v>5.0999999999999996</v>
      </c>
      <c r="M376">
        <v>10.4</v>
      </c>
      <c r="N376">
        <v>11.2</v>
      </c>
      <c r="Q376">
        <v>16.8</v>
      </c>
      <c r="T376">
        <v>8.6</v>
      </c>
      <c r="U376">
        <v>2.7</v>
      </c>
      <c r="W376">
        <v>2.7</v>
      </c>
      <c r="Z376">
        <v>7.8</v>
      </c>
      <c r="AD376">
        <v>10.1</v>
      </c>
      <c r="AG376">
        <v>2.9</v>
      </c>
      <c r="AI376">
        <v>7.2</v>
      </c>
    </row>
    <row r="377" spans="1:35" x14ac:dyDescent="0.2">
      <c r="A377" s="6">
        <v>31503</v>
      </c>
      <c r="B377">
        <v>7.9016250000000001</v>
      </c>
      <c r="D377">
        <v>10.1</v>
      </c>
      <c r="E377">
        <v>9.8000000000000007</v>
      </c>
      <c r="F377">
        <v>12.488250000000001</v>
      </c>
      <c r="I377">
        <v>5</v>
      </c>
      <c r="J377">
        <v>20.6</v>
      </c>
      <c r="M377">
        <v>10.4</v>
      </c>
      <c r="N377">
        <v>11.3</v>
      </c>
      <c r="Q377">
        <v>16.8</v>
      </c>
      <c r="T377">
        <v>8.6999999999999993</v>
      </c>
      <c r="U377">
        <v>2.8</v>
      </c>
      <c r="W377">
        <v>2.7</v>
      </c>
      <c r="Z377">
        <v>7.7</v>
      </c>
      <c r="AD377">
        <v>9.9</v>
      </c>
      <c r="AG377">
        <v>2.6</v>
      </c>
      <c r="AI377">
        <v>7.1</v>
      </c>
    </row>
    <row r="378" spans="1:35" x14ac:dyDescent="0.2">
      <c r="A378" s="6">
        <v>31533</v>
      </c>
      <c r="B378">
        <v>7.8470570000000004</v>
      </c>
      <c r="D378">
        <v>10.1</v>
      </c>
      <c r="E378">
        <v>9.6999999999999993</v>
      </c>
      <c r="F378">
        <v>12.012689999999999</v>
      </c>
      <c r="I378">
        <v>4.9000000000000004</v>
      </c>
      <c r="J378">
        <v>20.5</v>
      </c>
      <c r="M378">
        <v>10.5</v>
      </c>
      <c r="N378">
        <v>11.3</v>
      </c>
      <c r="Q378">
        <v>16.8</v>
      </c>
      <c r="T378">
        <v>8.8000000000000007</v>
      </c>
      <c r="U378">
        <v>2.7</v>
      </c>
      <c r="W378">
        <v>2.7</v>
      </c>
      <c r="Z378">
        <v>7.6</v>
      </c>
      <c r="AD378">
        <v>9.8000000000000007</v>
      </c>
      <c r="AG378">
        <v>2.8</v>
      </c>
      <c r="AI378">
        <v>7.2</v>
      </c>
    </row>
    <row r="379" spans="1:35" x14ac:dyDescent="0.2">
      <c r="A379" s="6">
        <v>31564</v>
      </c>
      <c r="B379">
        <v>7.6539859999999997</v>
      </c>
      <c r="D379">
        <v>10.1</v>
      </c>
      <c r="E379">
        <v>9.6999999999999993</v>
      </c>
      <c r="F379">
        <v>11.55592</v>
      </c>
      <c r="I379">
        <v>4.9000000000000004</v>
      </c>
      <c r="J379">
        <v>20.399999999999999</v>
      </c>
      <c r="M379">
        <v>10.5</v>
      </c>
      <c r="N379">
        <v>11.3</v>
      </c>
      <c r="Q379">
        <v>16.899999999999999</v>
      </c>
      <c r="T379">
        <v>8.8000000000000007</v>
      </c>
      <c r="U379">
        <v>2.8</v>
      </c>
      <c r="W379">
        <v>2.7</v>
      </c>
      <c r="Z379">
        <v>7.6</v>
      </c>
      <c r="AD379">
        <v>9.6999999999999993</v>
      </c>
      <c r="AG379">
        <v>2.6</v>
      </c>
      <c r="AI379">
        <v>7.2</v>
      </c>
    </row>
    <row r="380" spans="1:35" x14ac:dyDescent="0.2">
      <c r="A380" s="6">
        <v>31594</v>
      </c>
      <c r="B380">
        <v>8.1134559999999993</v>
      </c>
      <c r="D380">
        <v>10</v>
      </c>
      <c r="E380">
        <v>9.6</v>
      </c>
      <c r="F380">
        <v>11.27819</v>
      </c>
      <c r="I380">
        <v>4.9000000000000004</v>
      </c>
      <c r="J380">
        <v>20.399999999999999</v>
      </c>
      <c r="M380">
        <v>10.6</v>
      </c>
      <c r="N380">
        <v>11.3</v>
      </c>
      <c r="Q380">
        <v>16.899999999999999</v>
      </c>
      <c r="T380">
        <v>8.9</v>
      </c>
      <c r="U380">
        <v>2.9</v>
      </c>
      <c r="W380">
        <v>2.5</v>
      </c>
      <c r="Z380">
        <v>7.6</v>
      </c>
      <c r="AD380">
        <v>9.4</v>
      </c>
      <c r="AG380">
        <v>2.5</v>
      </c>
      <c r="AI380">
        <v>7</v>
      </c>
    </row>
    <row r="381" spans="1:35" x14ac:dyDescent="0.2">
      <c r="A381" s="6">
        <v>31625</v>
      </c>
      <c r="B381">
        <v>8.2400110000000009</v>
      </c>
      <c r="D381">
        <v>9.9</v>
      </c>
      <c r="E381">
        <v>9.6</v>
      </c>
      <c r="F381">
        <v>11.31052</v>
      </c>
      <c r="I381">
        <v>4.9000000000000004</v>
      </c>
      <c r="J381">
        <v>20.3</v>
      </c>
      <c r="M381">
        <v>10.6</v>
      </c>
      <c r="N381">
        <v>11.3</v>
      </c>
      <c r="Q381">
        <v>16.8</v>
      </c>
      <c r="T381">
        <v>9</v>
      </c>
      <c r="U381">
        <v>2.8</v>
      </c>
      <c r="W381">
        <v>2.5</v>
      </c>
      <c r="Z381">
        <v>7.5</v>
      </c>
      <c r="AD381">
        <v>9.1999999999999993</v>
      </c>
      <c r="AG381">
        <v>2.6</v>
      </c>
      <c r="AI381">
        <v>6.9</v>
      </c>
    </row>
    <row r="382" spans="1:35" x14ac:dyDescent="0.2">
      <c r="A382" s="6">
        <v>31656</v>
      </c>
      <c r="B382">
        <v>8.338832</v>
      </c>
      <c r="D382">
        <v>9.9</v>
      </c>
      <c r="E382">
        <v>9.6</v>
      </c>
      <c r="F382">
        <v>11.29448</v>
      </c>
      <c r="I382">
        <v>4.9000000000000004</v>
      </c>
      <c r="J382">
        <v>20.3</v>
      </c>
      <c r="M382">
        <v>10.7</v>
      </c>
      <c r="N382">
        <v>11.3</v>
      </c>
      <c r="Q382">
        <v>16.8</v>
      </c>
      <c r="T382">
        <v>9.1</v>
      </c>
      <c r="U382">
        <v>2.8</v>
      </c>
      <c r="W382">
        <v>2.4</v>
      </c>
      <c r="Z382">
        <v>7.5</v>
      </c>
      <c r="AD382">
        <v>9</v>
      </c>
      <c r="AG382">
        <v>2.6</v>
      </c>
      <c r="AI382">
        <v>7</v>
      </c>
    </row>
    <row r="383" spans="1:35" x14ac:dyDescent="0.2">
      <c r="A383" s="6">
        <v>31686</v>
      </c>
      <c r="B383">
        <v>8.3099889999999998</v>
      </c>
      <c r="D383">
        <v>10</v>
      </c>
      <c r="E383">
        <v>9.5</v>
      </c>
      <c r="F383">
        <v>11.504619999999999</v>
      </c>
      <c r="I383">
        <v>4.8</v>
      </c>
      <c r="J383">
        <v>20.2</v>
      </c>
      <c r="M383">
        <v>10.8</v>
      </c>
      <c r="N383">
        <v>11.2</v>
      </c>
      <c r="Q383">
        <v>16.7</v>
      </c>
      <c r="T383">
        <v>9.1</v>
      </c>
      <c r="U383">
        <v>2.7</v>
      </c>
      <c r="W383">
        <v>2.2999999999999998</v>
      </c>
      <c r="Z383">
        <v>7.5</v>
      </c>
      <c r="AD383">
        <v>9</v>
      </c>
      <c r="AG383">
        <v>2.6</v>
      </c>
      <c r="AI383">
        <v>7</v>
      </c>
    </row>
    <row r="384" spans="1:35" x14ac:dyDescent="0.2">
      <c r="A384" s="6">
        <v>31717</v>
      </c>
      <c r="B384">
        <v>8.3190980000000003</v>
      </c>
      <c r="D384">
        <v>10.1</v>
      </c>
      <c r="E384">
        <v>9.4</v>
      </c>
      <c r="F384">
        <v>11.231949999999999</v>
      </c>
      <c r="I384">
        <v>4.9000000000000004</v>
      </c>
      <c r="J384">
        <v>20.3</v>
      </c>
      <c r="M384">
        <v>10.8</v>
      </c>
      <c r="N384">
        <v>11.2</v>
      </c>
      <c r="Q384">
        <v>16.8</v>
      </c>
      <c r="T384">
        <v>9.1</v>
      </c>
      <c r="U384">
        <v>2.8</v>
      </c>
      <c r="W384">
        <v>2.2999999999999998</v>
      </c>
      <c r="Z384">
        <v>7.4</v>
      </c>
      <c r="AD384">
        <v>8.9</v>
      </c>
      <c r="AG384">
        <v>2.7</v>
      </c>
      <c r="AI384">
        <v>6.9</v>
      </c>
    </row>
    <row r="385" spans="1:35" x14ac:dyDescent="0.2">
      <c r="A385" s="6">
        <v>31747</v>
      </c>
      <c r="B385">
        <v>8.3636320000000008</v>
      </c>
      <c r="D385">
        <v>10.1</v>
      </c>
      <c r="E385">
        <v>9.5</v>
      </c>
      <c r="F385">
        <v>11.02394</v>
      </c>
      <c r="I385">
        <v>4.9000000000000004</v>
      </c>
      <c r="J385">
        <v>20.2</v>
      </c>
      <c r="M385">
        <v>10.9</v>
      </c>
      <c r="N385">
        <v>11.2</v>
      </c>
      <c r="Q385">
        <v>16.8</v>
      </c>
      <c r="T385">
        <v>9.1999999999999993</v>
      </c>
      <c r="U385">
        <v>2.9</v>
      </c>
      <c r="W385">
        <v>2.4</v>
      </c>
      <c r="Z385">
        <v>7.4</v>
      </c>
      <c r="AD385">
        <v>8.9</v>
      </c>
      <c r="AG385">
        <v>2.6</v>
      </c>
      <c r="AI385">
        <v>6.6</v>
      </c>
    </row>
    <row r="386" spans="1:35" x14ac:dyDescent="0.2">
      <c r="A386" s="6">
        <v>31778</v>
      </c>
      <c r="B386">
        <v>8.1869259999999997</v>
      </c>
      <c r="D386">
        <v>10.1</v>
      </c>
      <c r="E386">
        <v>9.5</v>
      </c>
      <c r="F386">
        <v>10.994770000000001</v>
      </c>
      <c r="I386">
        <v>5</v>
      </c>
      <c r="J386">
        <v>20.2</v>
      </c>
      <c r="M386">
        <v>10.8</v>
      </c>
      <c r="N386">
        <v>11.1</v>
      </c>
      <c r="Q386">
        <v>16.8</v>
      </c>
      <c r="T386">
        <v>9.1999999999999993</v>
      </c>
      <c r="U386">
        <v>3</v>
      </c>
      <c r="W386">
        <v>2.4</v>
      </c>
      <c r="Y386">
        <v>4.5</v>
      </c>
      <c r="Z386">
        <v>7.4</v>
      </c>
      <c r="AD386">
        <v>8.6999999999999993</v>
      </c>
      <c r="AG386">
        <v>2.2999999999999998</v>
      </c>
      <c r="AI386">
        <v>6.6</v>
      </c>
    </row>
    <row r="387" spans="1:35" x14ac:dyDescent="0.2">
      <c r="A387" s="6">
        <v>31809</v>
      </c>
      <c r="B387">
        <v>8.2114519999999995</v>
      </c>
      <c r="D387">
        <v>10</v>
      </c>
      <c r="E387">
        <v>9.5</v>
      </c>
      <c r="F387">
        <v>11.058579999999999</v>
      </c>
      <c r="I387">
        <v>5</v>
      </c>
      <c r="J387">
        <v>20.100000000000001</v>
      </c>
      <c r="M387">
        <v>10.8</v>
      </c>
      <c r="N387">
        <v>11</v>
      </c>
      <c r="Q387">
        <v>16.7</v>
      </c>
      <c r="T387">
        <v>9.3000000000000007</v>
      </c>
      <c r="U387">
        <v>2.9</v>
      </c>
      <c r="W387">
        <v>2.5</v>
      </c>
      <c r="Y387">
        <v>4.7</v>
      </c>
      <c r="Z387">
        <v>7.4</v>
      </c>
      <c r="AD387">
        <v>8.6999999999999993</v>
      </c>
      <c r="AG387">
        <v>2.4</v>
      </c>
      <c r="AI387">
        <v>6.6</v>
      </c>
    </row>
    <row r="388" spans="1:35" x14ac:dyDescent="0.2">
      <c r="A388" s="6">
        <v>31837</v>
      </c>
      <c r="B388">
        <v>8.4369759999999996</v>
      </c>
      <c r="D388">
        <v>10</v>
      </c>
      <c r="E388">
        <v>9.5</v>
      </c>
      <c r="F388">
        <v>11.196809999999999</v>
      </c>
      <c r="I388">
        <v>5</v>
      </c>
      <c r="J388">
        <v>19.899999999999999</v>
      </c>
      <c r="M388">
        <v>10.8</v>
      </c>
      <c r="N388">
        <v>10.9</v>
      </c>
      <c r="Q388">
        <v>16.7</v>
      </c>
      <c r="T388">
        <v>9.3000000000000007</v>
      </c>
      <c r="U388">
        <v>2.9</v>
      </c>
      <c r="W388">
        <v>2.6</v>
      </c>
      <c r="Y388">
        <v>4.2</v>
      </c>
      <c r="Z388">
        <v>7.4</v>
      </c>
      <c r="AD388">
        <v>8.5</v>
      </c>
      <c r="AG388">
        <v>2.4</v>
      </c>
      <c r="AI388">
        <v>6.6</v>
      </c>
    </row>
    <row r="389" spans="1:35" x14ac:dyDescent="0.2">
      <c r="A389" s="6">
        <v>31868</v>
      </c>
      <c r="B389">
        <v>8.3008480000000002</v>
      </c>
      <c r="D389">
        <v>10</v>
      </c>
      <c r="E389">
        <v>9.1999999999999993</v>
      </c>
      <c r="F389">
        <v>11.318390000000001</v>
      </c>
      <c r="I389">
        <v>5</v>
      </c>
      <c r="J389">
        <v>19.8</v>
      </c>
      <c r="M389">
        <v>10.7</v>
      </c>
      <c r="N389">
        <v>10.8</v>
      </c>
      <c r="Q389">
        <v>16.7</v>
      </c>
      <c r="T389">
        <v>9.4</v>
      </c>
      <c r="U389">
        <v>2.9</v>
      </c>
      <c r="W389">
        <v>2.6</v>
      </c>
      <c r="Y389">
        <v>4.4000000000000004</v>
      </c>
      <c r="Z389">
        <v>7.4</v>
      </c>
      <c r="AD389">
        <v>8.3000000000000007</v>
      </c>
      <c r="AG389">
        <v>2.2999999999999998</v>
      </c>
      <c r="AI389">
        <v>6.3</v>
      </c>
    </row>
    <row r="390" spans="1:35" x14ac:dyDescent="0.2">
      <c r="A390" s="6">
        <v>31898</v>
      </c>
      <c r="B390">
        <v>8.2021429999999995</v>
      </c>
      <c r="D390">
        <v>9.9</v>
      </c>
      <c r="E390">
        <v>8.9</v>
      </c>
      <c r="F390">
        <v>11.397360000000001</v>
      </c>
      <c r="I390">
        <v>5</v>
      </c>
      <c r="J390">
        <v>19.7</v>
      </c>
      <c r="M390">
        <v>10.7</v>
      </c>
      <c r="N390">
        <v>10.6</v>
      </c>
      <c r="Q390">
        <v>16.7</v>
      </c>
      <c r="T390">
        <v>9.6999999999999993</v>
      </c>
      <c r="U390">
        <v>3.1</v>
      </c>
      <c r="W390">
        <v>2.6</v>
      </c>
      <c r="Y390">
        <v>3.9</v>
      </c>
      <c r="Z390">
        <v>7.4</v>
      </c>
      <c r="AD390">
        <v>8.1999999999999993</v>
      </c>
      <c r="AG390">
        <v>2.2999999999999998</v>
      </c>
      <c r="AI390">
        <v>6.3</v>
      </c>
    </row>
    <row r="391" spans="1:35" x14ac:dyDescent="0.2">
      <c r="A391" s="6">
        <v>31929</v>
      </c>
      <c r="B391">
        <v>8.0092300000000005</v>
      </c>
      <c r="D391">
        <v>9.9</v>
      </c>
      <c r="E391">
        <v>8.9</v>
      </c>
      <c r="F391">
        <v>11.417619999999999</v>
      </c>
      <c r="I391">
        <v>5</v>
      </c>
      <c r="J391">
        <v>19.600000000000001</v>
      </c>
      <c r="M391">
        <v>10.6</v>
      </c>
      <c r="N391">
        <v>10.5</v>
      </c>
      <c r="Q391">
        <v>16.7</v>
      </c>
      <c r="T391">
        <v>9.9</v>
      </c>
      <c r="U391">
        <v>3</v>
      </c>
      <c r="W391">
        <v>2.5</v>
      </c>
      <c r="Y391">
        <v>3.9</v>
      </c>
      <c r="Z391">
        <v>7.5</v>
      </c>
      <c r="AD391">
        <v>8.1</v>
      </c>
      <c r="AG391">
        <v>2.2999999999999998</v>
      </c>
      <c r="AI391">
        <v>6.2</v>
      </c>
    </row>
    <row r="392" spans="1:35" x14ac:dyDescent="0.2">
      <c r="A392" s="6">
        <v>31959</v>
      </c>
      <c r="B392">
        <v>8.0805710000000008</v>
      </c>
      <c r="D392">
        <v>9.8000000000000007</v>
      </c>
      <c r="E392">
        <v>8.6999999999999993</v>
      </c>
      <c r="F392">
        <v>11.093109999999999</v>
      </c>
      <c r="I392">
        <v>5</v>
      </c>
      <c r="J392">
        <v>19.7</v>
      </c>
      <c r="M392">
        <v>10.6</v>
      </c>
      <c r="N392">
        <v>10.3</v>
      </c>
      <c r="Q392">
        <v>16.600000000000001</v>
      </c>
      <c r="T392">
        <v>9.8000000000000007</v>
      </c>
      <c r="U392">
        <v>2.8</v>
      </c>
      <c r="W392">
        <v>2.5</v>
      </c>
      <c r="Y392">
        <v>3.7</v>
      </c>
      <c r="Z392">
        <v>7.5</v>
      </c>
      <c r="AD392">
        <v>7.8</v>
      </c>
      <c r="AG392">
        <v>2.2000000000000002</v>
      </c>
      <c r="AI392">
        <v>6.1</v>
      </c>
    </row>
    <row r="393" spans="1:35" x14ac:dyDescent="0.2">
      <c r="A393" s="6">
        <v>31990</v>
      </c>
      <c r="B393">
        <v>8.1059870000000007</v>
      </c>
      <c r="D393">
        <v>9.6999999999999993</v>
      </c>
      <c r="E393">
        <v>8.6</v>
      </c>
      <c r="F393">
        <v>10.893000000000001</v>
      </c>
      <c r="I393">
        <v>5</v>
      </c>
      <c r="J393">
        <v>19.7</v>
      </c>
      <c r="M393">
        <v>10.6</v>
      </c>
      <c r="N393">
        <v>10.1</v>
      </c>
      <c r="Q393">
        <v>16.5</v>
      </c>
      <c r="T393">
        <v>9.8000000000000007</v>
      </c>
      <c r="U393">
        <v>2.8</v>
      </c>
      <c r="W393">
        <v>2.4</v>
      </c>
      <c r="Y393">
        <v>3.7</v>
      </c>
      <c r="Z393">
        <v>7.5</v>
      </c>
      <c r="AD393">
        <v>7.7</v>
      </c>
      <c r="AG393">
        <v>2.4</v>
      </c>
      <c r="AI393">
        <v>6</v>
      </c>
    </row>
    <row r="394" spans="1:35" x14ac:dyDescent="0.2">
      <c r="A394" s="6">
        <v>32021</v>
      </c>
      <c r="B394">
        <v>7.7556900000000004</v>
      </c>
      <c r="D394">
        <v>9.6</v>
      </c>
      <c r="E394">
        <v>8.5</v>
      </c>
      <c r="F394">
        <v>10.82924</v>
      </c>
      <c r="I394">
        <v>5</v>
      </c>
      <c r="J394">
        <v>19.7</v>
      </c>
      <c r="M394">
        <v>10.5</v>
      </c>
      <c r="N394">
        <v>10</v>
      </c>
      <c r="Q394">
        <v>16.5</v>
      </c>
      <c r="T394">
        <v>9.8000000000000007</v>
      </c>
      <c r="U394">
        <v>2.7</v>
      </c>
      <c r="W394">
        <v>2.4</v>
      </c>
      <c r="Y394">
        <v>3.4</v>
      </c>
      <c r="Z394">
        <v>7.5</v>
      </c>
      <c r="AD394">
        <v>7.7</v>
      </c>
      <c r="AG394">
        <v>1.9</v>
      </c>
      <c r="AI394">
        <v>5.9</v>
      </c>
    </row>
    <row r="395" spans="1:35" x14ac:dyDescent="0.2">
      <c r="A395" s="6">
        <v>32051</v>
      </c>
      <c r="B395">
        <v>8.0859769999999997</v>
      </c>
      <c r="D395">
        <v>9.6</v>
      </c>
      <c r="E395">
        <v>8.3000000000000007</v>
      </c>
      <c r="F395">
        <v>10.243499999999999</v>
      </c>
      <c r="I395">
        <v>5</v>
      </c>
      <c r="J395">
        <v>19.5</v>
      </c>
      <c r="M395">
        <v>10.5</v>
      </c>
      <c r="N395">
        <v>9.8000000000000007</v>
      </c>
      <c r="Q395">
        <v>16.5</v>
      </c>
      <c r="T395">
        <v>9.8000000000000007</v>
      </c>
      <c r="U395">
        <v>2.7</v>
      </c>
      <c r="W395">
        <v>2.2999999999999998</v>
      </c>
      <c r="Y395">
        <v>3.6</v>
      </c>
      <c r="Z395">
        <v>7.5</v>
      </c>
      <c r="AD395">
        <v>7.6</v>
      </c>
      <c r="AG395">
        <v>2</v>
      </c>
      <c r="AI395">
        <v>6</v>
      </c>
    </row>
    <row r="396" spans="1:35" x14ac:dyDescent="0.2">
      <c r="A396" s="6">
        <v>32082</v>
      </c>
      <c r="B396">
        <v>7.9313880000000001</v>
      </c>
      <c r="D396">
        <v>9.6</v>
      </c>
      <c r="E396">
        <v>8.1</v>
      </c>
      <c r="F396">
        <v>10.36157</v>
      </c>
      <c r="I396">
        <v>5</v>
      </c>
      <c r="J396">
        <v>19.399999999999999</v>
      </c>
      <c r="M396">
        <v>10.5</v>
      </c>
      <c r="N396">
        <v>9.6</v>
      </c>
      <c r="Q396">
        <v>16.5</v>
      </c>
      <c r="T396">
        <v>9.6999999999999993</v>
      </c>
      <c r="U396">
        <v>2.7</v>
      </c>
      <c r="W396">
        <v>2.2999999999999998</v>
      </c>
      <c r="Y396">
        <v>3.5</v>
      </c>
      <c r="Z396">
        <v>7.5</v>
      </c>
      <c r="AD396">
        <v>7.5</v>
      </c>
      <c r="AG396">
        <v>1.9</v>
      </c>
      <c r="AI396">
        <v>5.8</v>
      </c>
    </row>
    <row r="397" spans="1:35" x14ac:dyDescent="0.2">
      <c r="A397" s="6">
        <v>32112</v>
      </c>
      <c r="B397">
        <v>7.7281880000000003</v>
      </c>
      <c r="D397">
        <v>9.5</v>
      </c>
      <c r="E397">
        <v>8</v>
      </c>
      <c r="F397">
        <v>10.20603</v>
      </c>
      <c r="I397">
        <v>5</v>
      </c>
      <c r="J397">
        <v>19.399999999999999</v>
      </c>
      <c r="M397">
        <v>10.5</v>
      </c>
      <c r="N397">
        <v>9.4</v>
      </c>
      <c r="Q397">
        <v>16.5</v>
      </c>
      <c r="T397">
        <v>9.6999999999999993</v>
      </c>
      <c r="U397">
        <v>2.7</v>
      </c>
      <c r="W397">
        <v>2.2999999999999998</v>
      </c>
      <c r="Y397">
        <v>3.1</v>
      </c>
      <c r="Z397">
        <v>7.5</v>
      </c>
      <c r="AD397">
        <v>7.3</v>
      </c>
      <c r="AG397">
        <v>1.8</v>
      </c>
      <c r="AI397">
        <v>5.7</v>
      </c>
    </row>
    <row r="398" spans="1:35" x14ac:dyDescent="0.2">
      <c r="A398" s="6">
        <v>32143</v>
      </c>
      <c r="B398">
        <v>7.631596</v>
      </c>
      <c r="D398">
        <v>9.5</v>
      </c>
      <c r="E398">
        <v>8</v>
      </c>
      <c r="F398">
        <v>10.67435</v>
      </c>
      <c r="I398">
        <v>5.0999999999999996</v>
      </c>
      <c r="J398">
        <v>19.3</v>
      </c>
      <c r="L398">
        <v>4.8</v>
      </c>
      <c r="M398">
        <v>10.3</v>
      </c>
      <c r="N398">
        <v>9.1999999999999993</v>
      </c>
      <c r="Q398">
        <v>16.5</v>
      </c>
      <c r="T398">
        <v>9.6999999999999993</v>
      </c>
      <c r="U398">
        <v>2.7</v>
      </c>
      <c r="W398">
        <v>2.2999999999999998</v>
      </c>
      <c r="Y398">
        <v>3.5</v>
      </c>
      <c r="Z398">
        <v>7.5</v>
      </c>
      <c r="AD398">
        <v>7</v>
      </c>
      <c r="AG398">
        <v>2</v>
      </c>
      <c r="AI398">
        <v>5.7</v>
      </c>
    </row>
    <row r="399" spans="1:35" x14ac:dyDescent="0.2">
      <c r="A399" s="6">
        <v>32174</v>
      </c>
      <c r="B399">
        <v>7.4172330000000004</v>
      </c>
      <c r="D399">
        <v>9.4</v>
      </c>
      <c r="E399">
        <v>7.8</v>
      </c>
      <c r="F399">
        <v>10.462759999999999</v>
      </c>
      <c r="I399">
        <v>5.2</v>
      </c>
      <c r="J399">
        <v>19.2</v>
      </c>
      <c r="L399">
        <v>4.5999999999999996</v>
      </c>
      <c r="M399">
        <v>10.3</v>
      </c>
      <c r="N399">
        <v>9.1</v>
      </c>
      <c r="Q399">
        <v>16.5</v>
      </c>
      <c r="T399">
        <v>9.6999999999999993</v>
      </c>
      <c r="U399">
        <v>2.7</v>
      </c>
      <c r="W399">
        <v>2.2000000000000002</v>
      </c>
      <c r="Y399">
        <v>3.3</v>
      </c>
      <c r="Z399">
        <v>7.5</v>
      </c>
      <c r="AD399">
        <v>7</v>
      </c>
      <c r="AG399">
        <v>1.8</v>
      </c>
      <c r="AI399">
        <v>5.7</v>
      </c>
    </row>
    <row r="400" spans="1:35" x14ac:dyDescent="0.2">
      <c r="A400" s="6">
        <v>32203</v>
      </c>
      <c r="B400">
        <v>7.5063880000000003</v>
      </c>
      <c r="D400">
        <v>9.3000000000000007</v>
      </c>
      <c r="E400">
        <v>7.8</v>
      </c>
      <c r="F400">
        <v>10.584519999999999</v>
      </c>
      <c r="I400">
        <v>5.2</v>
      </c>
      <c r="J400">
        <v>19.100000000000001</v>
      </c>
      <c r="L400">
        <v>4.5</v>
      </c>
      <c r="M400">
        <v>10.199999999999999</v>
      </c>
      <c r="N400">
        <v>8.9</v>
      </c>
      <c r="Q400">
        <v>16.5</v>
      </c>
      <c r="T400">
        <v>9.6999999999999993</v>
      </c>
      <c r="U400">
        <v>2.6</v>
      </c>
      <c r="W400">
        <v>2.2000000000000002</v>
      </c>
      <c r="Y400">
        <v>3.7</v>
      </c>
      <c r="Z400">
        <v>7.5</v>
      </c>
      <c r="AD400">
        <v>7</v>
      </c>
      <c r="AG400">
        <v>1.9</v>
      </c>
      <c r="AI400">
        <v>5.7</v>
      </c>
    </row>
    <row r="401" spans="1:35" x14ac:dyDescent="0.2">
      <c r="A401" s="6">
        <v>32234</v>
      </c>
      <c r="B401">
        <v>7.913608</v>
      </c>
      <c r="D401">
        <v>9.1999999999999993</v>
      </c>
      <c r="E401">
        <v>7.7</v>
      </c>
      <c r="F401">
        <v>10.315519999999999</v>
      </c>
      <c r="I401">
        <v>5.3</v>
      </c>
      <c r="J401">
        <v>19.100000000000001</v>
      </c>
      <c r="L401">
        <v>4.4000000000000004</v>
      </c>
      <c r="M401">
        <v>10.199999999999999</v>
      </c>
      <c r="N401">
        <v>8.8000000000000007</v>
      </c>
      <c r="Q401">
        <v>16.399999999999999</v>
      </c>
      <c r="T401">
        <v>9.6999999999999993</v>
      </c>
      <c r="U401">
        <v>2.5</v>
      </c>
      <c r="W401">
        <v>2.1</v>
      </c>
      <c r="Y401">
        <v>3.7</v>
      </c>
      <c r="Z401">
        <v>7.4</v>
      </c>
      <c r="AD401">
        <v>7.1</v>
      </c>
      <c r="AG401">
        <v>1.8</v>
      </c>
      <c r="AI401">
        <v>5.4</v>
      </c>
    </row>
    <row r="402" spans="1:35" x14ac:dyDescent="0.2">
      <c r="A402" s="6">
        <v>32264</v>
      </c>
      <c r="B402">
        <v>7.4515130000000003</v>
      </c>
      <c r="D402">
        <v>9.1</v>
      </c>
      <c r="E402">
        <v>7.8</v>
      </c>
      <c r="F402">
        <v>10.279059999999999</v>
      </c>
      <c r="I402">
        <v>5.4</v>
      </c>
      <c r="J402">
        <v>19.100000000000001</v>
      </c>
      <c r="L402">
        <v>4.3</v>
      </c>
      <c r="M402">
        <v>10.1</v>
      </c>
      <c r="N402">
        <v>8.6999999999999993</v>
      </c>
      <c r="Q402">
        <v>16.3</v>
      </c>
      <c r="T402">
        <v>9.6</v>
      </c>
      <c r="U402">
        <v>2.5</v>
      </c>
      <c r="W402">
        <v>2</v>
      </c>
      <c r="Y402">
        <v>3.7</v>
      </c>
      <c r="Z402">
        <v>7.4</v>
      </c>
      <c r="AD402">
        <v>7</v>
      </c>
      <c r="AG402">
        <v>1.9</v>
      </c>
      <c r="AI402">
        <v>5.6</v>
      </c>
    </row>
    <row r="403" spans="1:35" x14ac:dyDescent="0.2">
      <c r="A403" s="6">
        <v>32295</v>
      </c>
      <c r="B403">
        <v>7.5693570000000001</v>
      </c>
      <c r="D403">
        <v>8.9</v>
      </c>
      <c r="E403">
        <v>7.6</v>
      </c>
      <c r="F403">
        <v>10.013949999999999</v>
      </c>
      <c r="I403">
        <v>5.6</v>
      </c>
      <c r="J403">
        <v>19</v>
      </c>
      <c r="L403">
        <v>4.3</v>
      </c>
      <c r="M403">
        <v>10.1</v>
      </c>
      <c r="N403">
        <v>8.5</v>
      </c>
      <c r="Q403">
        <v>16.3</v>
      </c>
      <c r="T403">
        <v>9.6</v>
      </c>
      <c r="U403">
        <v>2.4</v>
      </c>
      <c r="W403">
        <v>2</v>
      </c>
      <c r="Y403">
        <v>3.8</v>
      </c>
      <c r="Z403">
        <v>7.4</v>
      </c>
      <c r="AD403">
        <v>6.7</v>
      </c>
      <c r="AG403">
        <v>1.8</v>
      </c>
      <c r="AI403">
        <v>5.4</v>
      </c>
    </row>
    <row r="404" spans="1:35" x14ac:dyDescent="0.2">
      <c r="A404" s="6">
        <v>32325</v>
      </c>
      <c r="B404">
        <v>6.7612949999999996</v>
      </c>
      <c r="D404">
        <v>8.8000000000000007</v>
      </c>
      <c r="E404">
        <v>7.8</v>
      </c>
      <c r="F404">
        <v>9.8559929999999998</v>
      </c>
      <c r="I404">
        <v>5.7</v>
      </c>
      <c r="J404">
        <v>18.899999999999999</v>
      </c>
      <c r="L404">
        <v>4.0999999999999996</v>
      </c>
      <c r="M404">
        <v>10</v>
      </c>
      <c r="N404">
        <v>8.4</v>
      </c>
      <c r="Q404">
        <v>16.2</v>
      </c>
      <c r="T404">
        <v>9.6</v>
      </c>
      <c r="U404">
        <v>2.5</v>
      </c>
      <c r="W404">
        <v>2</v>
      </c>
      <c r="Y404">
        <v>3.6</v>
      </c>
      <c r="Z404">
        <v>7.4</v>
      </c>
      <c r="AD404">
        <v>6.4</v>
      </c>
      <c r="AG404">
        <v>1.9</v>
      </c>
      <c r="AI404">
        <v>5.4</v>
      </c>
    </row>
    <row r="405" spans="1:35" x14ac:dyDescent="0.2">
      <c r="A405" s="6">
        <v>32356</v>
      </c>
      <c r="B405">
        <v>7.0689640000000002</v>
      </c>
      <c r="D405">
        <v>8.6999999999999993</v>
      </c>
      <c r="E405">
        <v>7.9</v>
      </c>
      <c r="F405">
        <v>9.6515090000000008</v>
      </c>
      <c r="I405">
        <v>5.8</v>
      </c>
      <c r="J405">
        <v>18.7</v>
      </c>
      <c r="L405">
        <v>4</v>
      </c>
      <c r="M405">
        <v>10</v>
      </c>
      <c r="N405">
        <v>8.3000000000000007</v>
      </c>
      <c r="Q405">
        <v>16.2</v>
      </c>
      <c r="T405">
        <v>9.6</v>
      </c>
      <c r="U405">
        <v>2.6</v>
      </c>
      <c r="W405">
        <v>1.9</v>
      </c>
      <c r="Y405">
        <v>3.5</v>
      </c>
      <c r="Z405">
        <v>7.3</v>
      </c>
      <c r="AD405">
        <v>6.3</v>
      </c>
      <c r="AG405">
        <v>1.8</v>
      </c>
      <c r="AI405">
        <v>5.6</v>
      </c>
    </row>
    <row r="406" spans="1:35" x14ac:dyDescent="0.2">
      <c r="A406" s="6">
        <v>32387</v>
      </c>
      <c r="B406">
        <v>6.9347529999999997</v>
      </c>
      <c r="D406">
        <v>8.5</v>
      </c>
      <c r="E406">
        <v>7.9</v>
      </c>
      <c r="F406">
        <v>9.1881979999999999</v>
      </c>
      <c r="I406">
        <v>5.9</v>
      </c>
      <c r="J406">
        <v>18.399999999999999</v>
      </c>
      <c r="L406">
        <v>3.9</v>
      </c>
      <c r="M406">
        <v>10</v>
      </c>
      <c r="N406">
        <v>8.4</v>
      </c>
      <c r="Q406">
        <v>16.100000000000001</v>
      </c>
      <c r="T406">
        <v>9.6</v>
      </c>
      <c r="U406">
        <v>2.5</v>
      </c>
      <c r="W406">
        <v>1.9</v>
      </c>
      <c r="Y406">
        <v>3.5</v>
      </c>
      <c r="Z406">
        <v>7.3</v>
      </c>
      <c r="AD406">
        <v>6.3</v>
      </c>
      <c r="AG406">
        <v>1.8</v>
      </c>
      <c r="AI406">
        <v>5.4</v>
      </c>
    </row>
    <row r="407" spans="1:35" x14ac:dyDescent="0.2">
      <c r="A407" s="6">
        <v>32417</v>
      </c>
      <c r="B407">
        <v>6.817863</v>
      </c>
      <c r="D407">
        <v>8.3000000000000007</v>
      </c>
      <c r="E407">
        <v>7.7</v>
      </c>
      <c r="F407">
        <v>8.8844460000000005</v>
      </c>
      <c r="I407">
        <v>6.1</v>
      </c>
      <c r="J407">
        <v>18</v>
      </c>
      <c r="L407">
        <v>3.8</v>
      </c>
      <c r="M407">
        <v>9.9</v>
      </c>
      <c r="N407">
        <v>8</v>
      </c>
      <c r="Q407">
        <v>16</v>
      </c>
      <c r="T407">
        <v>9.8000000000000007</v>
      </c>
      <c r="U407">
        <v>2.4</v>
      </c>
      <c r="W407">
        <v>1.8</v>
      </c>
      <c r="Y407">
        <v>3.3</v>
      </c>
      <c r="Z407">
        <v>7.2</v>
      </c>
      <c r="AD407">
        <v>6.4</v>
      </c>
      <c r="AG407">
        <v>1.8</v>
      </c>
      <c r="AI407">
        <v>5.4</v>
      </c>
    </row>
    <row r="408" spans="1:35" x14ac:dyDescent="0.2">
      <c r="A408" s="6">
        <v>32448</v>
      </c>
      <c r="B408">
        <v>6.6129629999999997</v>
      </c>
      <c r="D408">
        <v>8.1999999999999993</v>
      </c>
      <c r="E408">
        <v>7.7</v>
      </c>
      <c r="F408">
        <v>8.6029009999999992</v>
      </c>
      <c r="I408">
        <v>6.2</v>
      </c>
      <c r="J408">
        <v>17.7</v>
      </c>
      <c r="L408">
        <v>3.7</v>
      </c>
      <c r="M408">
        <v>9.9</v>
      </c>
      <c r="N408">
        <v>7.9</v>
      </c>
      <c r="Q408">
        <v>15.8</v>
      </c>
      <c r="T408">
        <v>9.8000000000000007</v>
      </c>
      <c r="U408">
        <v>2.4</v>
      </c>
      <c r="W408">
        <v>1.8</v>
      </c>
      <c r="Y408">
        <v>3.5</v>
      </c>
      <c r="Z408">
        <v>7.2</v>
      </c>
      <c r="AD408">
        <v>6.4</v>
      </c>
      <c r="AG408">
        <v>1.7</v>
      </c>
      <c r="AI408">
        <v>5.3</v>
      </c>
    </row>
    <row r="409" spans="1:35" x14ac:dyDescent="0.2">
      <c r="A409" s="6">
        <v>32478</v>
      </c>
      <c r="B409">
        <v>6.8325019999999999</v>
      </c>
      <c r="D409">
        <v>8.1</v>
      </c>
      <c r="E409">
        <v>7.5</v>
      </c>
      <c r="F409">
        <v>8.3205620000000007</v>
      </c>
      <c r="I409">
        <v>6.4</v>
      </c>
      <c r="J409">
        <v>17.600000000000001</v>
      </c>
      <c r="L409">
        <v>3.6</v>
      </c>
      <c r="M409">
        <v>9.9</v>
      </c>
      <c r="N409">
        <v>7.7</v>
      </c>
      <c r="Q409">
        <v>15.7</v>
      </c>
      <c r="T409">
        <v>9.8000000000000007</v>
      </c>
      <c r="U409">
        <v>2.4</v>
      </c>
      <c r="W409">
        <v>1.8</v>
      </c>
      <c r="Y409">
        <v>3.5</v>
      </c>
      <c r="Z409">
        <v>7.1</v>
      </c>
      <c r="AD409">
        <v>6.3</v>
      </c>
      <c r="AG409">
        <v>1.4</v>
      </c>
      <c r="AI409">
        <v>5.3</v>
      </c>
    </row>
    <row r="410" spans="1:35" x14ac:dyDescent="0.2">
      <c r="A410" s="6">
        <v>32509</v>
      </c>
      <c r="B410">
        <v>6.807849</v>
      </c>
      <c r="D410">
        <v>7.9</v>
      </c>
      <c r="E410">
        <v>7.5</v>
      </c>
      <c r="F410">
        <v>8.1731809999999996</v>
      </c>
      <c r="I410">
        <v>6.5</v>
      </c>
      <c r="J410">
        <v>17.5</v>
      </c>
      <c r="L410">
        <v>3.6</v>
      </c>
      <c r="M410">
        <v>9.8000000000000007</v>
      </c>
      <c r="N410">
        <v>7.6</v>
      </c>
      <c r="Q410">
        <v>15.5</v>
      </c>
      <c r="T410">
        <v>9.8000000000000007</v>
      </c>
      <c r="U410">
        <v>2.2999999999999998</v>
      </c>
      <c r="W410">
        <v>1.7</v>
      </c>
      <c r="Y410">
        <v>3.4</v>
      </c>
      <c r="Z410">
        <v>7.1</v>
      </c>
      <c r="AA410">
        <v>4.9000000000000004</v>
      </c>
      <c r="AD410">
        <v>6.2</v>
      </c>
      <c r="AG410">
        <v>1.5</v>
      </c>
      <c r="AI410">
        <v>5.4</v>
      </c>
    </row>
    <row r="411" spans="1:35" x14ac:dyDescent="0.2">
      <c r="A411" s="6">
        <v>32540</v>
      </c>
      <c r="B411">
        <v>6.6380109999999997</v>
      </c>
      <c r="D411">
        <v>7.8</v>
      </c>
      <c r="E411">
        <v>7.6</v>
      </c>
      <c r="F411">
        <v>8.2020730000000004</v>
      </c>
      <c r="I411">
        <v>6.6</v>
      </c>
      <c r="J411">
        <v>17.3</v>
      </c>
      <c r="L411">
        <v>3.5</v>
      </c>
      <c r="M411">
        <v>9.6999999999999993</v>
      </c>
      <c r="N411">
        <v>7.5</v>
      </c>
      <c r="Q411">
        <v>15.4</v>
      </c>
      <c r="T411">
        <v>9.8000000000000007</v>
      </c>
      <c r="U411">
        <v>2.2999999999999998</v>
      </c>
      <c r="W411">
        <v>1.7</v>
      </c>
      <c r="Y411">
        <v>3.1</v>
      </c>
      <c r="Z411">
        <v>7</v>
      </c>
      <c r="AA411">
        <v>5</v>
      </c>
      <c r="AD411">
        <v>6.2</v>
      </c>
      <c r="AG411">
        <v>1.7</v>
      </c>
      <c r="AI411">
        <v>5.2</v>
      </c>
    </row>
    <row r="412" spans="1:35" x14ac:dyDescent="0.2">
      <c r="A412" s="6">
        <v>32568</v>
      </c>
      <c r="B412">
        <v>6.3405870000000002</v>
      </c>
      <c r="D412">
        <v>7.7</v>
      </c>
      <c r="E412">
        <v>7.5</v>
      </c>
      <c r="F412">
        <v>8.2986360000000001</v>
      </c>
      <c r="I412">
        <v>6.7</v>
      </c>
      <c r="J412">
        <v>17.100000000000001</v>
      </c>
      <c r="L412">
        <v>3.4</v>
      </c>
      <c r="M412">
        <v>9.6999999999999993</v>
      </c>
      <c r="N412">
        <v>7.4</v>
      </c>
      <c r="Q412">
        <v>15.2</v>
      </c>
      <c r="T412">
        <v>9.8000000000000007</v>
      </c>
      <c r="U412">
        <v>2.4</v>
      </c>
      <c r="W412">
        <v>1.7</v>
      </c>
      <c r="Y412">
        <v>3</v>
      </c>
      <c r="Z412">
        <v>6.9</v>
      </c>
      <c r="AA412">
        <v>4.9000000000000004</v>
      </c>
      <c r="AD412">
        <v>6.2</v>
      </c>
      <c r="AG412">
        <v>1.6</v>
      </c>
      <c r="AI412">
        <v>5</v>
      </c>
    </row>
    <row r="413" spans="1:35" x14ac:dyDescent="0.2">
      <c r="A413" s="6">
        <v>32599</v>
      </c>
      <c r="B413">
        <v>6.2006309999999996</v>
      </c>
      <c r="D413">
        <v>7.6</v>
      </c>
      <c r="E413">
        <v>7.8</v>
      </c>
      <c r="F413">
        <v>8.4153549999999999</v>
      </c>
      <c r="I413">
        <v>6.7</v>
      </c>
      <c r="J413">
        <v>16.899999999999999</v>
      </c>
      <c r="L413">
        <v>3.2</v>
      </c>
      <c r="M413">
        <v>9.6999999999999993</v>
      </c>
      <c r="N413">
        <v>7.2</v>
      </c>
      <c r="Q413">
        <v>15.1</v>
      </c>
      <c r="T413">
        <v>9.8000000000000007</v>
      </c>
      <c r="U413">
        <v>2.4</v>
      </c>
      <c r="W413">
        <v>1.8</v>
      </c>
      <c r="Y413">
        <v>2.9</v>
      </c>
      <c r="Z413">
        <v>6.9</v>
      </c>
      <c r="AA413">
        <v>5.0999999999999996</v>
      </c>
      <c r="AD413">
        <v>6.1</v>
      </c>
      <c r="AG413">
        <v>1.6</v>
      </c>
      <c r="AI413">
        <v>5.2</v>
      </c>
    </row>
    <row r="414" spans="1:35" x14ac:dyDescent="0.2">
      <c r="A414" s="6">
        <v>32629</v>
      </c>
      <c r="B414">
        <v>6.2799950000000004</v>
      </c>
      <c r="D414">
        <v>7.5</v>
      </c>
      <c r="E414">
        <v>7.7</v>
      </c>
      <c r="F414">
        <v>8.217238</v>
      </c>
      <c r="I414">
        <v>6.8</v>
      </c>
      <c r="J414">
        <v>16.7</v>
      </c>
      <c r="L414">
        <v>3.1</v>
      </c>
      <c r="M414">
        <v>9.6999999999999993</v>
      </c>
      <c r="N414">
        <v>7.1</v>
      </c>
      <c r="Q414">
        <v>15</v>
      </c>
      <c r="T414">
        <v>9.8000000000000007</v>
      </c>
      <c r="U414">
        <v>2.2999999999999998</v>
      </c>
      <c r="W414">
        <v>1.7</v>
      </c>
      <c r="Y414">
        <v>3.1</v>
      </c>
      <c r="Z414">
        <v>6.8</v>
      </c>
      <c r="AA414">
        <v>5.3</v>
      </c>
      <c r="AD414">
        <v>6</v>
      </c>
      <c r="AG414">
        <v>1.6</v>
      </c>
      <c r="AI414">
        <v>5.2</v>
      </c>
    </row>
    <row r="415" spans="1:35" x14ac:dyDescent="0.2">
      <c r="A415" s="6">
        <v>32660</v>
      </c>
      <c r="B415">
        <v>6.0126179999999998</v>
      </c>
      <c r="D415">
        <v>7.4</v>
      </c>
      <c r="E415">
        <v>7.5</v>
      </c>
      <c r="F415">
        <v>7.8234620000000001</v>
      </c>
      <c r="I415">
        <v>6.9</v>
      </c>
      <c r="J415">
        <v>16.399999999999999</v>
      </c>
      <c r="L415">
        <v>3</v>
      </c>
      <c r="M415">
        <v>9.6</v>
      </c>
      <c r="N415">
        <v>7</v>
      </c>
      <c r="Q415">
        <v>14.9</v>
      </c>
      <c r="T415">
        <v>9.8000000000000007</v>
      </c>
      <c r="U415">
        <v>2.2000000000000002</v>
      </c>
      <c r="W415">
        <v>1.8</v>
      </c>
      <c r="Y415">
        <v>2.9</v>
      </c>
      <c r="Z415">
        <v>6.7</v>
      </c>
      <c r="AA415">
        <v>5.4</v>
      </c>
      <c r="AD415">
        <v>6.1</v>
      </c>
      <c r="AG415">
        <v>1.5</v>
      </c>
      <c r="AI415">
        <v>5.3</v>
      </c>
    </row>
    <row r="416" spans="1:35" x14ac:dyDescent="0.2">
      <c r="A416" s="6">
        <v>32690</v>
      </c>
      <c r="B416">
        <v>6.0475300000000001</v>
      </c>
      <c r="D416">
        <v>7.3</v>
      </c>
      <c r="E416">
        <v>7.6</v>
      </c>
      <c r="F416">
        <v>7.7330750000000004</v>
      </c>
      <c r="I416">
        <v>6.8</v>
      </c>
      <c r="J416">
        <v>16.2</v>
      </c>
      <c r="L416">
        <v>2.9</v>
      </c>
      <c r="M416">
        <v>9.6</v>
      </c>
      <c r="N416">
        <v>7</v>
      </c>
      <c r="Q416">
        <v>14.6</v>
      </c>
      <c r="T416">
        <v>9.8000000000000007</v>
      </c>
      <c r="U416">
        <v>2.2000000000000002</v>
      </c>
      <c r="W416">
        <v>1.8</v>
      </c>
      <c r="Y416">
        <v>2.8</v>
      </c>
      <c r="Z416">
        <v>6.7</v>
      </c>
      <c r="AA416">
        <v>5.2</v>
      </c>
      <c r="AD416">
        <v>6.1</v>
      </c>
      <c r="AG416">
        <v>1.3</v>
      </c>
      <c r="AI416">
        <v>5.2</v>
      </c>
    </row>
    <row r="417" spans="1:36" x14ac:dyDescent="0.2">
      <c r="A417" s="6">
        <v>32721</v>
      </c>
      <c r="B417">
        <v>5.9445069999999998</v>
      </c>
      <c r="D417">
        <v>7.2</v>
      </c>
      <c r="E417">
        <v>7.4</v>
      </c>
      <c r="F417">
        <v>7.5238389999999997</v>
      </c>
      <c r="I417">
        <v>6.9</v>
      </c>
      <c r="J417">
        <v>16.2</v>
      </c>
      <c r="L417">
        <v>2.9</v>
      </c>
      <c r="M417">
        <v>9.6</v>
      </c>
      <c r="N417">
        <v>7</v>
      </c>
      <c r="Q417">
        <v>14.5</v>
      </c>
      <c r="T417">
        <v>9.6999999999999993</v>
      </c>
      <c r="U417">
        <v>2.2000000000000002</v>
      </c>
      <c r="W417">
        <v>1.9</v>
      </c>
      <c r="Y417">
        <v>3.1</v>
      </c>
      <c r="Z417">
        <v>6.6</v>
      </c>
      <c r="AA417">
        <v>5.5</v>
      </c>
      <c r="AD417">
        <v>6</v>
      </c>
      <c r="AG417">
        <v>1.5</v>
      </c>
      <c r="AI417">
        <v>5.2</v>
      </c>
    </row>
    <row r="418" spans="1:36" x14ac:dyDescent="0.2">
      <c r="A418" s="6">
        <v>32752</v>
      </c>
      <c r="B418">
        <v>6.0313689999999998</v>
      </c>
      <c r="D418">
        <v>7.1</v>
      </c>
      <c r="E418">
        <v>7.3</v>
      </c>
      <c r="F418">
        <v>7.7730870000000003</v>
      </c>
      <c r="I418">
        <v>7</v>
      </c>
      <c r="J418">
        <v>16</v>
      </c>
      <c r="L418">
        <v>2.9</v>
      </c>
      <c r="M418">
        <v>9.6</v>
      </c>
      <c r="N418">
        <v>6.9</v>
      </c>
      <c r="Q418">
        <v>14.3</v>
      </c>
      <c r="T418">
        <v>9.6</v>
      </c>
      <c r="U418">
        <v>2.2000000000000002</v>
      </c>
      <c r="W418">
        <v>1.9</v>
      </c>
      <c r="Y418">
        <v>2.8</v>
      </c>
      <c r="Z418">
        <v>6.5</v>
      </c>
      <c r="AA418">
        <v>5.8</v>
      </c>
      <c r="AD418">
        <v>5.8</v>
      </c>
      <c r="AG418">
        <v>1.5</v>
      </c>
      <c r="AI418">
        <v>5.3</v>
      </c>
    </row>
    <row r="419" spans="1:36" x14ac:dyDescent="0.2">
      <c r="A419" s="6">
        <v>32782</v>
      </c>
      <c r="B419">
        <v>5.9241659999999996</v>
      </c>
      <c r="D419">
        <v>7</v>
      </c>
      <c r="E419">
        <v>7.3</v>
      </c>
      <c r="F419">
        <v>7.663392</v>
      </c>
      <c r="I419">
        <v>7</v>
      </c>
      <c r="J419">
        <v>16.100000000000001</v>
      </c>
      <c r="L419">
        <v>2.9</v>
      </c>
      <c r="M419">
        <v>9.6</v>
      </c>
      <c r="N419">
        <v>6.8</v>
      </c>
      <c r="Q419">
        <v>14.2</v>
      </c>
      <c r="T419">
        <v>9.4</v>
      </c>
      <c r="U419">
        <v>2.2000000000000002</v>
      </c>
      <c r="W419">
        <v>1.9</v>
      </c>
      <c r="Y419">
        <v>2.5</v>
      </c>
      <c r="Z419">
        <v>6.5</v>
      </c>
      <c r="AA419">
        <v>5.9</v>
      </c>
      <c r="AD419">
        <v>5.7</v>
      </c>
      <c r="AG419">
        <v>1.7</v>
      </c>
      <c r="AI419">
        <v>5.3</v>
      </c>
    </row>
    <row r="420" spans="1:36" x14ac:dyDescent="0.2">
      <c r="A420" s="6">
        <v>32813</v>
      </c>
      <c r="B420">
        <v>5.7868930000000001</v>
      </c>
      <c r="D420">
        <v>7</v>
      </c>
      <c r="E420">
        <v>7.5</v>
      </c>
      <c r="F420">
        <v>7.6877760000000004</v>
      </c>
      <c r="I420">
        <v>7</v>
      </c>
      <c r="J420">
        <v>16.100000000000001</v>
      </c>
      <c r="L420">
        <v>2.9</v>
      </c>
      <c r="M420">
        <v>9.6</v>
      </c>
      <c r="N420">
        <v>6.8</v>
      </c>
      <c r="Q420">
        <v>14.1</v>
      </c>
      <c r="T420">
        <v>9.4</v>
      </c>
      <c r="U420">
        <v>2.2000000000000002</v>
      </c>
      <c r="W420">
        <v>1.8</v>
      </c>
      <c r="Y420">
        <v>2.7</v>
      </c>
      <c r="Z420">
        <v>6.4</v>
      </c>
      <c r="AA420">
        <v>5.9</v>
      </c>
      <c r="AD420">
        <v>5.8</v>
      </c>
      <c r="AG420">
        <v>1.5</v>
      </c>
      <c r="AI420">
        <v>5.4</v>
      </c>
    </row>
    <row r="421" spans="1:36" x14ac:dyDescent="0.2">
      <c r="A421" s="6">
        <v>32843</v>
      </c>
      <c r="B421">
        <v>5.8479609999999997</v>
      </c>
      <c r="D421">
        <v>6.9</v>
      </c>
      <c r="E421">
        <v>7.7</v>
      </c>
      <c r="F421">
        <v>7.4113689999999997</v>
      </c>
      <c r="I421">
        <v>7</v>
      </c>
      <c r="J421">
        <v>16.100000000000001</v>
      </c>
      <c r="L421">
        <v>2.9</v>
      </c>
      <c r="M421">
        <v>9.6</v>
      </c>
      <c r="N421">
        <v>6.8</v>
      </c>
      <c r="Q421">
        <v>13.9</v>
      </c>
      <c r="T421">
        <v>9.3000000000000007</v>
      </c>
      <c r="U421">
        <v>2.1</v>
      </c>
      <c r="W421">
        <v>1.8</v>
      </c>
      <c r="Y421">
        <v>2.7</v>
      </c>
      <c r="Z421">
        <v>6.4</v>
      </c>
      <c r="AA421">
        <v>5.8</v>
      </c>
      <c r="AD421">
        <v>5.9</v>
      </c>
      <c r="AG421">
        <v>1.5</v>
      </c>
      <c r="AI421">
        <v>5.4</v>
      </c>
    </row>
    <row r="422" spans="1:36" x14ac:dyDescent="0.2">
      <c r="A422" s="6">
        <v>32874</v>
      </c>
      <c r="B422">
        <v>6.1129670000000003</v>
      </c>
      <c r="D422">
        <v>6.8</v>
      </c>
      <c r="E422">
        <v>7.9</v>
      </c>
      <c r="F422">
        <v>7.3158719999999997</v>
      </c>
      <c r="I422">
        <v>7</v>
      </c>
      <c r="J422">
        <v>15.9</v>
      </c>
      <c r="L422">
        <v>3</v>
      </c>
      <c r="M422">
        <v>9.5</v>
      </c>
      <c r="N422">
        <v>6.8</v>
      </c>
      <c r="Q422">
        <v>13.8</v>
      </c>
      <c r="T422">
        <v>9.1</v>
      </c>
      <c r="U422">
        <v>2.2000000000000002</v>
      </c>
      <c r="V422">
        <v>2.6</v>
      </c>
      <c r="W422">
        <v>1.8</v>
      </c>
      <c r="Y422">
        <v>2.5</v>
      </c>
      <c r="Z422">
        <v>6.3</v>
      </c>
      <c r="AA422">
        <v>6</v>
      </c>
      <c r="AD422">
        <v>6</v>
      </c>
      <c r="AG422">
        <v>1.5</v>
      </c>
      <c r="AI422">
        <v>5.4</v>
      </c>
    </row>
    <row r="423" spans="1:36" x14ac:dyDescent="0.2">
      <c r="A423" s="6">
        <v>32905</v>
      </c>
      <c r="B423">
        <v>6.3918569999999999</v>
      </c>
      <c r="D423">
        <v>6.7</v>
      </c>
      <c r="E423">
        <v>7.7</v>
      </c>
      <c r="F423">
        <v>7.4011110000000002</v>
      </c>
      <c r="I423">
        <v>7</v>
      </c>
      <c r="J423">
        <v>15.8</v>
      </c>
      <c r="L423">
        <v>3</v>
      </c>
      <c r="M423">
        <v>9.5</v>
      </c>
      <c r="N423">
        <v>6.8</v>
      </c>
      <c r="Q423">
        <v>13.7</v>
      </c>
      <c r="T423">
        <v>9</v>
      </c>
      <c r="U423">
        <v>2.2000000000000002</v>
      </c>
      <c r="V423">
        <v>2.5</v>
      </c>
      <c r="W423">
        <v>1.8</v>
      </c>
      <c r="Y423">
        <v>2.5</v>
      </c>
      <c r="Z423">
        <v>6.3</v>
      </c>
      <c r="AA423">
        <v>5.9</v>
      </c>
      <c r="AD423">
        <v>5.9</v>
      </c>
      <c r="AG423">
        <v>1.4</v>
      </c>
      <c r="AI423">
        <v>5.3</v>
      </c>
    </row>
    <row r="424" spans="1:36" x14ac:dyDescent="0.2">
      <c r="A424" s="6">
        <v>32933</v>
      </c>
      <c r="B424">
        <v>6.1852260000000001</v>
      </c>
      <c r="D424">
        <v>6.7</v>
      </c>
      <c r="E424">
        <v>7.3</v>
      </c>
      <c r="F424">
        <v>7.6691180000000001</v>
      </c>
      <c r="I424">
        <v>7</v>
      </c>
      <c r="J424">
        <v>15.6</v>
      </c>
      <c r="L424">
        <v>3</v>
      </c>
      <c r="M424">
        <v>9.5</v>
      </c>
      <c r="N424">
        <v>6.7</v>
      </c>
      <c r="Q424">
        <v>13.4</v>
      </c>
      <c r="T424">
        <v>8.9</v>
      </c>
      <c r="U424">
        <v>2</v>
      </c>
      <c r="V424">
        <v>2.2000000000000002</v>
      </c>
      <c r="W424">
        <v>1.7</v>
      </c>
      <c r="Y424">
        <v>2.5</v>
      </c>
      <c r="Z424">
        <v>6.2</v>
      </c>
      <c r="AA424">
        <v>5.8</v>
      </c>
      <c r="AD424">
        <v>5.7</v>
      </c>
      <c r="AG424">
        <v>1.4</v>
      </c>
      <c r="AI424">
        <v>5.2</v>
      </c>
    </row>
    <row r="425" spans="1:36" x14ac:dyDescent="0.2">
      <c r="A425" s="6">
        <v>32964</v>
      </c>
      <c r="B425">
        <v>6.2795800000000002</v>
      </c>
      <c r="D425">
        <v>6.6</v>
      </c>
      <c r="E425">
        <v>7.6</v>
      </c>
      <c r="F425">
        <v>7.8126850000000001</v>
      </c>
      <c r="I425">
        <v>7</v>
      </c>
      <c r="J425">
        <v>15.6</v>
      </c>
      <c r="L425">
        <v>3</v>
      </c>
      <c r="M425">
        <v>9.4</v>
      </c>
      <c r="N425">
        <v>6.8</v>
      </c>
      <c r="Q425">
        <v>13.2</v>
      </c>
      <c r="T425">
        <v>8.9</v>
      </c>
      <c r="U425">
        <v>2.1</v>
      </c>
      <c r="V425">
        <v>2.2000000000000002</v>
      </c>
      <c r="W425">
        <v>1.7</v>
      </c>
      <c r="Y425">
        <v>2.7</v>
      </c>
      <c r="Z425">
        <v>6.2</v>
      </c>
      <c r="AA425">
        <v>5.6</v>
      </c>
      <c r="AD425">
        <v>5.4</v>
      </c>
      <c r="AG425">
        <v>1.4</v>
      </c>
      <c r="AI425">
        <v>5.4</v>
      </c>
    </row>
    <row r="426" spans="1:36" x14ac:dyDescent="0.2">
      <c r="A426" s="6">
        <v>32994</v>
      </c>
      <c r="B426">
        <v>6.5046099999999996</v>
      </c>
      <c r="D426">
        <v>6.6</v>
      </c>
      <c r="E426">
        <v>7.8</v>
      </c>
      <c r="F426">
        <v>7.896611</v>
      </c>
      <c r="I426">
        <v>7.1</v>
      </c>
      <c r="J426">
        <v>15.6</v>
      </c>
      <c r="L426">
        <v>2.9</v>
      </c>
      <c r="M426">
        <v>9.4</v>
      </c>
      <c r="N426">
        <v>6.7</v>
      </c>
      <c r="Q426">
        <v>13.2</v>
      </c>
      <c r="T426">
        <v>8.9</v>
      </c>
      <c r="U426">
        <v>2.1</v>
      </c>
      <c r="V426">
        <v>2.4</v>
      </c>
      <c r="W426">
        <v>1.7</v>
      </c>
      <c r="Y426">
        <v>2.8</v>
      </c>
      <c r="Z426">
        <v>6.1</v>
      </c>
      <c r="AA426">
        <v>5.7</v>
      </c>
      <c r="AD426">
        <v>5.4</v>
      </c>
      <c r="AG426">
        <v>1.7</v>
      </c>
      <c r="AI426">
        <v>5.4</v>
      </c>
    </row>
    <row r="427" spans="1:36" x14ac:dyDescent="0.2">
      <c r="A427" s="6">
        <v>33025</v>
      </c>
      <c r="B427">
        <v>6.609394</v>
      </c>
      <c r="D427">
        <v>6.6</v>
      </c>
      <c r="E427">
        <v>7.6</v>
      </c>
      <c r="F427">
        <v>7.8828180000000003</v>
      </c>
      <c r="I427">
        <v>7.1</v>
      </c>
      <c r="J427">
        <v>15.5</v>
      </c>
      <c r="L427">
        <v>2.9</v>
      </c>
      <c r="M427">
        <v>9.4</v>
      </c>
      <c r="N427">
        <v>6.7</v>
      </c>
      <c r="Q427">
        <v>13.2</v>
      </c>
      <c r="T427">
        <v>8.9</v>
      </c>
      <c r="U427">
        <v>2.2000000000000002</v>
      </c>
      <c r="V427">
        <v>2.2999999999999998</v>
      </c>
      <c r="W427">
        <v>1.7</v>
      </c>
      <c r="Y427">
        <v>3</v>
      </c>
      <c r="Z427">
        <v>6.1</v>
      </c>
      <c r="AA427">
        <v>5.9</v>
      </c>
      <c r="AD427">
        <v>5.6</v>
      </c>
      <c r="AG427">
        <v>1.5</v>
      </c>
      <c r="AI427">
        <v>5.2</v>
      </c>
    </row>
    <row r="428" spans="1:36" x14ac:dyDescent="0.2">
      <c r="A428" s="6">
        <v>33055</v>
      </c>
      <c r="B428">
        <v>7.0893439999999996</v>
      </c>
      <c r="D428">
        <v>6.6</v>
      </c>
      <c r="E428">
        <v>7.9</v>
      </c>
      <c r="F428">
        <v>7.8217080000000001</v>
      </c>
      <c r="I428">
        <v>7.2</v>
      </c>
      <c r="J428">
        <v>15.3</v>
      </c>
      <c r="L428">
        <v>2.9</v>
      </c>
      <c r="M428">
        <v>9.3000000000000007</v>
      </c>
      <c r="N428">
        <v>6.8</v>
      </c>
      <c r="Q428">
        <v>13.2</v>
      </c>
      <c r="T428">
        <v>8.8000000000000007</v>
      </c>
      <c r="U428">
        <v>2.1</v>
      </c>
      <c r="V428">
        <v>2.5</v>
      </c>
      <c r="W428">
        <v>1.6</v>
      </c>
      <c r="Y428">
        <v>3.2</v>
      </c>
      <c r="Z428">
        <v>6</v>
      </c>
      <c r="AA428">
        <v>5.8</v>
      </c>
      <c r="AD428">
        <v>5.7</v>
      </c>
      <c r="AG428">
        <v>1.7</v>
      </c>
      <c r="AI428">
        <v>5.5</v>
      </c>
      <c r="AJ428">
        <v>7.589817</v>
      </c>
    </row>
    <row r="429" spans="1:36" x14ac:dyDescent="0.2">
      <c r="A429" s="6">
        <v>33086</v>
      </c>
      <c r="B429">
        <v>7.2121050000000002</v>
      </c>
      <c r="D429">
        <v>6.5</v>
      </c>
      <c r="E429">
        <v>8.1</v>
      </c>
      <c r="F429">
        <v>7.718229</v>
      </c>
      <c r="I429">
        <v>7.2</v>
      </c>
      <c r="J429">
        <v>15.3</v>
      </c>
      <c r="L429">
        <v>3</v>
      </c>
      <c r="M429">
        <v>9.3000000000000007</v>
      </c>
      <c r="N429">
        <v>6.8</v>
      </c>
      <c r="Q429">
        <v>13.3</v>
      </c>
      <c r="T429">
        <v>8.8000000000000007</v>
      </c>
      <c r="U429">
        <v>2</v>
      </c>
      <c r="V429">
        <v>2.5</v>
      </c>
      <c r="W429">
        <v>1.6</v>
      </c>
      <c r="Y429">
        <v>3.1</v>
      </c>
      <c r="Z429">
        <v>6</v>
      </c>
      <c r="AA429">
        <v>5.8</v>
      </c>
      <c r="AD429">
        <v>5.8</v>
      </c>
      <c r="AG429">
        <v>1.7</v>
      </c>
      <c r="AI429">
        <v>5.7</v>
      </c>
      <c r="AJ429">
        <v>7.6440530000000004</v>
      </c>
    </row>
    <row r="430" spans="1:36" x14ac:dyDescent="0.2">
      <c r="A430" s="6">
        <v>33117</v>
      </c>
      <c r="B430">
        <v>7.3746739999999997</v>
      </c>
      <c r="D430">
        <v>6.4</v>
      </c>
      <c r="E430">
        <v>8.5</v>
      </c>
      <c r="F430">
        <v>7.8672019999999998</v>
      </c>
      <c r="I430">
        <v>7.3</v>
      </c>
      <c r="J430">
        <v>15.3</v>
      </c>
      <c r="L430">
        <v>3.2</v>
      </c>
      <c r="M430">
        <v>9.3000000000000007</v>
      </c>
      <c r="N430">
        <v>6.9</v>
      </c>
      <c r="Q430">
        <v>13.3</v>
      </c>
      <c r="T430">
        <v>8.8000000000000007</v>
      </c>
      <c r="U430">
        <v>2.1</v>
      </c>
      <c r="V430">
        <v>2.6</v>
      </c>
      <c r="W430">
        <v>1.5</v>
      </c>
      <c r="Y430">
        <v>2.4</v>
      </c>
      <c r="Z430">
        <v>6</v>
      </c>
      <c r="AA430">
        <v>5.6</v>
      </c>
      <c r="AD430">
        <v>5.8</v>
      </c>
      <c r="AG430">
        <v>1.9</v>
      </c>
      <c r="AI430">
        <v>5.9</v>
      </c>
      <c r="AJ430">
        <v>7.6992399999999996</v>
      </c>
    </row>
    <row r="431" spans="1:36" x14ac:dyDescent="0.2">
      <c r="A431" s="6">
        <v>33147</v>
      </c>
      <c r="B431">
        <v>7.6372660000000003</v>
      </c>
      <c r="D431">
        <v>6.4</v>
      </c>
      <c r="E431">
        <v>8.8000000000000007</v>
      </c>
      <c r="F431">
        <v>8.1155899999999992</v>
      </c>
      <c r="I431">
        <v>7.3</v>
      </c>
      <c r="J431">
        <v>15.3</v>
      </c>
      <c r="L431">
        <v>3.5</v>
      </c>
      <c r="M431">
        <v>9.3000000000000007</v>
      </c>
      <c r="N431">
        <v>7</v>
      </c>
      <c r="Q431">
        <v>13.4</v>
      </c>
      <c r="T431">
        <v>8.8000000000000007</v>
      </c>
      <c r="U431">
        <v>2.2000000000000002</v>
      </c>
      <c r="V431">
        <v>2.6</v>
      </c>
      <c r="W431">
        <v>1.6</v>
      </c>
      <c r="Y431">
        <v>3</v>
      </c>
      <c r="Z431">
        <v>5.9</v>
      </c>
      <c r="AA431">
        <v>5.7</v>
      </c>
      <c r="AD431">
        <v>5.5</v>
      </c>
      <c r="AG431">
        <v>2</v>
      </c>
      <c r="AI431">
        <v>5.9</v>
      </c>
      <c r="AJ431">
        <v>7.7244809999999999</v>
      </c>
    </row>
    <row r="432" spans="1:36" x14ac:dyDescent="0.2">
      <c r="A432" s="6">
        <v>33178</v>
      </c>
      <c r="B432">
        <v>7.946186</v>
      </c>
      <c r="D432">
        <v>6.4</v>
      </c>
      <c r="E432">
        <v>9.1</v>
      </c>
      <c r="F432">
        <v>8.0385740000000006</v>
      </c>
      <c r="I432">
        <v>7.4</v>
      </c>
      <c r="J432">
        <v>15.3</v>
      </c>
      <c r="L432">
        <v>3.7</v>
      </c>
      <c r="M432">
        <v>9.3000000000000007</v>
      </c>
      <c r="N432">
        <v>7.1</v>
      </c>
      <c r="Q432">
        <v>13.6</v>
      </c>
      <c r="T432">
        <v>8.6999999999999993</v>
      </c>
      <c r="U432">
        <v>2</v>
      </c>
      <c r="V432">
        <v>2.6</v>
      </c>
      <c r="W432">
        <v>1.6</v>
      </c>
      <c r="Y432">
        <v>2.6</v>
      </c>
      <c r="Z432">
        <v>5.9</v>
      </c>
      <c r="AA432">
        <v>5.7</v>
      </c>
      <c r="AD432">
        <v>5.4</v>
      </c>
      <c r="AG432">
        <v>2.2999999999999998</v>
      </c>
      <c r="AI432">
        <v>6.2</v>
      </c>
      <c r="AJ432">
        <v>7.7629149999999996</v>
      </c>
    </row>
    <row r="433" spans="1:37" x14ac:dyDescent="0.2">
      <c r="A433" s="6">
        <v>33208</v>
      </c>
      <c r="B433">
        <v>8.0190760000000001</v>
      </c>
      <c r="D433">
        <v>6.4</v>
      </c>
      <c r="E433">
        <v>9.5</v>
      </c>
      <c r="F433">
        <v>7.9704329999999999</v>
      </c>
      <c r="I433">
        <v>7.4</v>
      </c>
      <c r="J433">
        <v>15.3</v>
      </c>
      <c r="L433">
        <v>3.9</v>
      </c>
      <c r="M433">
        <v>9.3000000000000007</v>
      </c>
      <c r="N433">
        <v>7.4</v>
      </c>
      <c r="Q433">
        <v>13.7</v>
      </c>
      <c r="T433">
        <v>8.6999999999999993</v>
      </c>
      <c r="U433">
        <v>2</v>
      </c>
      <c r="V433">
        <v>2.5</v>
      </c>
      <c r="W433">
        <v>1.6</v>
      </c>
      <c r="Y433">
        <v>2.6</v>
      </c>
      <c r="Z433">
        <v>5.9</v>
      </c>
      <c r="AA433">
        <v>5.9</v>
      </c>
      <c r="AD433">
        <v>5.3</v>
      </c>
      <c r="AG433">
        <v>2.2000000000000002</v>
      </c>
      <c r="AI433">
        <v>6.3</v>
      </c>
      <c r="AJ433">
        <v>7.7925300000000002</v>
      </c>
    </row>
    <row r="434" spans="1:37" x14ac:dyDescent="0.2">
      <c r="A434" s="6">
        <v>33239</v>
      </c>
      <c r="B434">
        <v>8.3975840000000002</v>
      </c>
      <c r="D434">
        <v>6.4</v>
      </c>
      <c r="E434">
        <v>9.8000000000000007</v>
      </c>
      <c r="F434">
        <v>7.9804529999999998</v>
      </c>
      <c r="H434">
        <v>5.2</v>
      </c>
      <c r="I434">
        <v>7.4</v>
      </c>
      <c r="J434">
        <v>15.1</v>
      </c>
      <c r="L434">
        <v>4.3</v>
      </c>
      <c r="M434">
        <v>9.1999999999999993</v>
      </c>
      <c r="N434">
        <v>7.5</v>
      </c>
      <c r="Q434">
        <v>13.9</v>
      </c>
      <c r="T434">
        <v>8.6999999999999993</v>
      </c>
      <c r="U434">
        <v>2</v>
      </c>
      <c r="V434">
        <v>2.6</v>
      </c>
      <c r="W434">
        <v>1.6</v>
      </c>
      <c r="Y434">
        <v>2.7</v>
      </c>
      <c r="Z434">
        <v>5.8</v>
      </c>
      <c r="AA434">
        <v>5.8</v>
      </c>
      <c r="AD434">
        <v>5.2</v>
      </c>
      <c r="AG434">
        <v>2.2000000000000002</v>
      </c>
      <c r="AI434">
        <v>6.4</v>
      </c>
      <c r="AJ434">
        <v>7.7905439999999997</v>
      </c>
      <c r="AK434">
        <v>5.9949070000000004</v>
      </c>
    </row>
    <row r="435" spans="1:37" x14ac:dyDescent="0.2">
      <c r="A435" s="6">
        <v>33270</v>
      </c>
      <c r="B435">
        <v>8.6171489999999995</v>
      </c>
      <c r="D435">
        <v>6.4</v>
      </c>
      <c r="E435">
        <v>10.199999999999999</v>
      </c>
      <c r="F435">
        <v>8.2929019999999998</v>
      </c>
      <c r="H435">
        <v>5.2</v>
      </c>
      <c r="I435">
        <v>7.5</v>
      </c>
      <c r="J435">
        <v>15.1</v>
      </c>
      <c r="L435">
        <v>4.5999999999999996</v>
      </c>
      <c r="M435">
        <v>9.3000000000000007</v>
      </c>
      <c r="N435">
        <v>7.7</v>
      </c>
      <c r="Q435">
        <v>14.1</v>
      </c>
      <c r="T435">
        <v>8.6</v>
      </c>
      <c r="U435">
        <v>2.1</v>
      </c>
      <c r="V435">
        <v>2.5</v>
      </c>
      <c r="W435">
        <v>1.5</v>
      </c>
      <c r="Y435">
        <v>2.6</v>
      </c>
      <c r="Z435">
        <v>5.8</v>
      </c>
      <c r="AA435">
        <v>5.8</v>
      </c>
      <c r="AD435">
        <v>5</v>
      </c>
      <c r="AG435">
        <v>2.5</v>
      </c>
      <c r="AI435">
        <v>6.6</v>
      </c>
      <c r="AJ435">
        <v>7.8084800000000003</v>
      </c>
      <c r="AK435">
        <v>6.109064</v>
      </c>
    </row>
    <row r="436" spans="1:37" x14ac:dyDescent="0.2">
      <c r="A436" s="6">
        <v>33298</v>
      </c>
      <c r="B436">
        <v>9.1829429999999999</v>
      </c>
      <c r="D436">
        <v>6.4</v>
      </c>
      <c r="E436">
        <v>10.5</v>
      </c>
      <c r="F436">
        <v>8.2028239999999997</v>
      </c>
      <c r="H436">
        <v>5.3</v>
      </c>
      <c r="I436">
        <v>7.6</v>
      </c>
      <c r="J436">
        <v>15.1</v>
      </c>
      <c r="L436">
        <v>5</v>
      </c>
      <c r="M436">
        <v>9.3000000000000007</v>
      </c>
      <c r="N436">
        <v>8.1</v>
      </c>
      <c r="Q436">
        <v>14.3</v>
      </c>
      <c r="T436">
        <v>8.6</v>
      </c>
      <c r="U436">
        <v>2.2000000000000002</v>
      </c>
      <c r="V436">
        <v>2.4</v>
      </c>
      <c r="W436">
        <v>1.4</v>
      </c>
      <c r="Y436">
        <v>2.9</v>
      </c>
      <c r="Z436">
        <v>5.8</v>
      </c>
      <c r="AA436">
        <v>5.9</v>
      </c>
      <c r="AD436">
        <v>4.9000000000000004</v>
      </c>
      <c r="AG436">
        <v>2.6</v>
      </c>
      <c r="AI436">
        <v>6.8</v>
      </c>
      <c r="AJ436">
        <v>7.8309699999999998</v>
      </c>
      <c r="AK436">
        <v>6.2874699999999999</v>
      </c>
    </row>
    <row r="437" spans="1:37" x14ac:dyDescent="0.2">
      <c r="A437" s="6">
        <v>33329</v>
      </c>
      <c r="B437">
        <v>9.8613909999999994</v>
      </c>
      <c r="D437">
        <v>6.4</v>
      </c>
      <c r="E437">
        <v>10.3</v>
      </c>
      <c r="F437">
        <v>8.1396610000000003</v>
      </c>
      <c r="H437">
        <v>5.3</v>
      </c>
      <c r="I437">
        <v>7.7</v>
      </c>
      <c r="J437">
        <v>15.2</v>
      </c>
      <c r="L437">
        <v>5.4</v>
      </c>
      <c r="M437">
        <v>9.4</v>
      </c>
      <c r="N437">
        <v>8.3000000000000007</v>
      </c>
      <c r="Q437">
        <v>14.6</v>
      </c>
      <c r="T437">
        <v>8.5</v>
      </c>
      <c r="U437">
        <v>2.1</v>
      </c>
      <c r="V437">
        <v>2.2999999999999998</v>
      </c>
      <c r="W437">
        <v>1.5</v>
      </c>
      <c r="Y437">
        <v>2.6</v>
      </c>
      <c r="Z437">
        <v>5.8</v>
      </c>
      <c r="AA437">
        <v>5.9</v>
      </c>
      <c r="AD437">
        <v>4.8</v>
      </c>
      <c r="AG437">
        <v>2.7</v>
      </c>
      <c r="AI437">
        <v>6.7</v>
      </c>
      <c r="AJ437">
        <v>7.8696700000000002</v>
      </c>
      <c r="AK437">
        <v>6.2436439999999997</v>
      </c>
    </row>
    <row r="438" spans="1:37" x14ac:dyDescent="0.2">
      <c r="A438" s="6">
        <v>33359</v>
      </c>
      <c r="B438">
        <v>9.5029489999999992</v>
      </c>
      <c r="D438">
        <v>6.4</v>
      </c>
      <c r="E438">
        <v>10.199999999999999</v>
      </c>
      <c r="F438">
        <v>8.0355430000000005</v>
      </c>
      <c r="H438">
        <v>5.3</v>
      </c>
      <c r="I438">
        <v>7.8</v>
      </c>
      <c r="J438">
        <v>15.3</v>
      </c>
      <c r="L438">
        <v>5.9</v>
      </c>
      <c r="M438">
        <v>9.4</v>
      </c>
      <c r="N438">
        <v>8.5</v>
      </c>
      <c r="Q438">
        <v>14.7</v>
      </c>
      <c r="T438">
        <v>8.5</v>
      </c>
      <c r="U438">
        <v>2.1</v>
      </c>
      <c r="V438">
        <v>2.2999999999999998</v>
      </c>
      <c r="W438">
        <v>1.6</v>
      </c>
      <c r="Y438">
        <v>2.2999999999999998</v>
      </c>
      <c r="Z438">
        <v>5.7</v>
      </c>
      <c r="AA438">
        <v>5.7</v>
      </c>
      <c r="AD438">
        <v>4.9000000000000004</v>
      </c>
      <c r="AG438">
        <v>2.7</v>
      </c>
      <c r="AI438">
        <v>6.9</v>
      </c>
      <c r="AJ438">
        <v>7.9291850000000004</v>
      </c>
      <c r="AK438">
        <v>6.338387</v>
      </c>
    </row>
    <row r="439" spans="1:37" x14ac:dyDescent="0.2">
      <c r="A439" s="6">
        <v>33390</v>
      </c>
      <c r="B439">
        <v>9.5374680000000005</v>
      </c>
      <c r="D439">
        <v>6.4</v>
      </c>
      <c r="E439">
        <v>10.5</v>
      </c>
      <c r="F439">
        <v>8.4544049999999995</v>
      </c>
      <c r="H439">
        <v>5.4</v>
      </c>
      <c r="I439">
        <v>7.9</v>
      </c>
      <c r="J439">
        <v>15.4</v>
      </c>
      <c r="L439">
        <v>6.4</v>
      </c>
      <c r="M439">
        <v>9.5</v>
      </c>
      <c r="N439">
        <v>8.6</v>
      </c>
      <c r="Q439">
        <v>14.8</v>
      </c>
      <c r="T439">
        <v>8.4</v>
      </c>
      <c r="U439">
        <v>2.1</v>
      </c>
      <c r="V439">
        <v>2.2999999999999998</v>
      </c>
      <c r="W439">
        <v>1.6</v>
      </c>
      <c r="Y439">
        <v>2.2000000000000002</v>
      </c>
      <c r="Z439">
        <v>5.7</v>
      </c>
      <c r="AA439">
        <v>5.8</v>
      </c>
      <c r="AD439">
        <v>5</v>
      </c>
      <c r="AG439">
        <v>2.8</v>
      </c>
      <c r="AI439">
        <v>6.9</v>
      </c>
      <c r="AJ439">
        <v>7.5948520000000004</v>
      </c>
      <c r="AK439">
        <v>6.3656470000000001</v>
      </c>
    </row>
    <row r="440" spans="1:37" x14ac:dyDescent="0.2">
      <c r="A440" s="6">
        <v>33420</v>
      </c>
      <c r="B440">
        <v>9.6900790000000008</v>
      </c>
      <c r="D440">
        <v>6.4</v>
      </c>
      <c r="E440">
        <v>10.5</v>
      </c>
      <c r="F440">
        <v>8.5028500000000005</v>
      </c>
      <c r="H440">
        <v>5.5</v>
      </c>
      <c r="I440">
        <v>7.9</v>
      </c>
      <c r="J440">
        <v>15.6</v>
      </c>
      <c r="L440">
        <v>6.9</v>
      </c>
      <c r="M440">
        <v>9.6</v>
      </c>
      <c r="N440">
        <v>8.8000000000000007</v>
      </c>
      <c r="Q440">
        <v>15</v>
      </c>
      <c r="T440">
        <v>8.4</v>
      </c>
      <c r="U440">
        <v>2.1</v>
      </c>
      <c r="V440">
        <v>2.5</v>
      </c>
      <c r="W440">
        <v>1.6</v>
      </c>
      <c r="Y440">
        <v>2.4</v>
      </c>
      <c r="Z440">
        <v>5.7</v>
      </c>
      <c r="AA440">
        <v>5.9</v>
      </c>
      <c r="AD440">
        <v>5.2</v>
      </c>
      <c r="AG440">
        <v>3.2</v>
      </c>
      <c r="AI440">
        <v>6.8</v>
      </c>
      <c r="AJ440">
        <v>7.7632779999999997</v>
      </c>
      <c r="AK440">
        <v>6.382034</v>
      </c>
    </row>
    <row r="441" spans="1:37" x14ac:dyDescent="0.2">
      <c r="A441" s="6">
        <v>33451</v>
      </c>
      <c r="B441">
        <v>9.7881959999999992</v>
      </c>
      <c r="D441">
        <v>6.4</v>
      </c>
      <c r="E441">
        <v>10.5</v>
      </c>
      <c r="F441">
        <v>8.6457029999999992</v>
      </c>
      <c r="H441">
        <v>5.6</v>
      </c>
      <c r="I441">
        <v>8</v>
      </c>
      <c r="J441">
        <v>15.8</v>
      </c>
      <c r="L441">
        <v>7.5</v>
      </c>
      <c r="M441">
        <v>9.6999999999999993</v>
      </c>
      <c r="N441">
        <v>9</v>
      </c>
      <c r="Q441">
        <v>15</v>
      </c>
      <c r="T441">
        <v>8.4</v>
      </c>
      <c r="U441">
        <v>2.1</v>
      </c>
      <c r="V441">
        <v>2.2999999999999998</v>
      </c>
      <c r="W441">
        <v>1.7</v>
      </c>
      <c r="Y441">
        <v>3.3</v>
      </c>
      <c r="Z441">
        <v>5.7</v>
      </c>
      <c r="AA441">
        <v>6.2</v>
      </c>
      <c r="AD441">
        <v>5.2</v>
      </c>
      <c r="AG441">
        <v>3.4</v>
      </c>
      <c r="AI441">
        <v>6.9</v>
      </c>
      <c r="AJ441">
        <v>7.8229470000000001</v>
      </c>
      <c r="AK441">
        <v>6.4370019999999997</v>
      </c>
    </row>
    <row r="442" spans="1:37" x14ac:dyDescent="0.2">
      <c r="A442" s="6">
        <v>33482</v>
      </c>
      <c r="B442">
        <v>10.03317</v>
      </c>
      <c r="D442">
        <v>6.4</v>
      </c>
      <c r="E442">
        <v>10.3</v>
      </c>
      <c r="F442">
        <v>8.4413889999999991</v>
      </c>
      <c r="H442">
        <v>5.7</v>
      </c>
      <c r="I442">
        <v>8.1</v>
      </c>
      <c r="J442">
        <v>15.9</v>
      </c>
      <c r="L442">
        <v>8</v>
      </c>
      <c r="M442">
        <v>9.8000000000000007</v>
      </c>
      <c r="N442">
        <v>9</v>
      </c>
      <c r="Q442">
        <v>15.1</v>
      </c>
      <c r="T442">
        <v>8.5</v>
      </c>
      <c r="U442">
        <v>2.1</v>
      </c>
      <c r="V442">
        <v>2.4</v>
      </c>
      <c r="W442">
        <v>1.7</v>
      </c>
      <c r="Y442">
        <v>2.8</v>
      </c>
      <c r="Z442">
        <v>5.7</v>
      </c>
      <c r="AA442">
        <v>5.9</v>
      </c>
      <c r="AD442">
        <v>5.2</v>
      </c>
      <c r="AG442">
        <v>3.5</v>
      </c>
      <c r="AI442">
        <v>6.9</v>
      </c>
      <c r="AJ442">
        <v>7.8426280000000004</v>
      </c>
      <c r="AK442">
        <v>6.4597600000000002</v>
      </c>
    </row>
    <row r="443" spans="1:37" x14ac:dyDescent="0.2">
      <c r="A443" s="6">
        <v>33512</v>
      </c>
      <c r="B443">
        <v>9.9872979999999991</v>
      </c>
      <c r="D443">
        <v>6.5</v>
      </c>
      <c r="E443">
        <v>10.3</v>
      </c>
      <c r="F443">
        <v>8.2060329999999997</v>
      </c>
      <c r="H443">
        <v>5.8</v>
      </c>
      <c r="I443">
        <v>8.1</v>
      </c>
      <c r="J443">
        <v>15.9</v>
      </c>
      <c r="L443">
        <v>8.3000000000000007</v>
      </c>
      <c r="M443">
        <v>9.9</v>
      </c>
      <c r="N443">
        <v>9</v>
      </c>
      <c r="Q443">
        <v>15.1</v>
      </c>
      <c r="T443">
        <v>8.5</v>
      </c>
      <c r="U443">
        <v>2</v>
      </c>
      <c r="V443">
        <v>2.5</v>
      </c>
      <c r="W443">
        <v>1.8</v>
      </c>
      <c r="Y443">
        <v>2.9</v>
      </c>
      <c r="Z443">
        <v>5.7</v>
      </c>
      <c r="AA443">
        <v>6.2</v>
      </c>
      <c r="AD443">
        <v>5.2</v>
      </c>
      <c r="AG443">
        <v>3.7</v>
      </c>
      <c r="AI443">
        <v>7</v>
      </c>
      <c r="AJ443">
        <v>7.9007740000000002</v>
      </c>
      <c r="AK443">
        <v>6.5003849999999996</v>
      </c>
    </row>
    <row r="444" spans="1:37" x14ac:dyDescent="0.2">
      <c r="A444" s="6">
        <v>33543</v>
      </c>
      <c r="B444">
        <v>10.19815</v>
      </c>
      <c r="D444">
        <v>6.6</v>
      </c>
      <c r="E444">
        <v>10.4</v>
      </c>
      <c r="F444">
        <v>7.6539419999999998</v>
      </c>
      <c r="H444">
        <v>5.9</v>
      </c>
      <c r="I444">
        <v>8.1999999999999993</v>
      </c>
      <c r="J444">
        <v>15.9</v>
      </c>
      <c r="L444">
        <v>8.6999999999999993</v>
      </c>
      <c r="M444">
        <v>10</v>
      </c>
      <c r="N444">
        <v>9.1</v>
      </c>
      <c r="Q444">
        <v>15.1</v>
      </c>
      <c r="T444">
        <v>8.6999999999999993</v>
      </c>
      <c r="U444">
        <v>2.1</v>
      </c>
      <c r="V444">
        <v>2.5</v>
      </c>
      <c r="W444">
        <v>1.8</v>
      </c>
      <c r="Y444">
        <v>2.9</v>
      </c>
      <c r="Z444">
        <v>5.6</v>
      </c>
      <c r="AA444">
        <v>6.5</v>
      </c>
      <c r="AD444">
        <v>5</v>
      </c>
      <c r="AG444">
        <v>3.8</v>
      </c>
      <c r="AI444">
        <v>7</v>
      </c>
      <c r="AJ444">
        <v>7.9541500000000003</v>
      </c>
      <c r="AK444">
        <v>6.5792539999999997</v>
      </c>
    </row>
    <row r="445" spans="1:37" x14ac:dyDescent="0.2">
      <c r="A445" s="6">
        <v>33573</v>
      </c>
      <c r="B445">
        <v>10.47358</v>
      </c>
      <c r="D445">
        <v>6.7</v>
      </c>
      <c r="E445">
        <v>10.3</v>
      </c>
      <c r="F445">
        <v>7.3354900000000001</v>
      </c>
      <c r="H445">
        <v>6</v>
      </c>
      <c r="I445">
        <v>8.1999999999999993</v>
      </c>
      <c r="J445">
        <v>15.9</v>
      </c>
      <c r="L445">
        <v>9.1999999999999993</v>
      </c>
      <c r="M445">
        <v>10.1</v>
      </c>
      <c r="N445">
        <v>9.1999999999999993</v>
      </c>
      <c r="Q445">
        <v>15.1</v>
      </c>
      <c r="T445">
        <v>8.6</v>
      </c>
      <c r="U445">
        <v>2.1</v>
      </c>
      <c r="V445">
        <v>2.4</v>
      </c>
      <c r="W445">
        <v>1.8</v>
      </c>
      <c r="Y445">
        <v>2.8</v>
      </c>
      <c r="Z445">
        <v>5.6</v>
      </c>
      <c r="AA445">
        <v>6.7</v>
      </c>
      <c r="AD445">
        <v>4.9000000000000004</v>
      </c>
      <c r="AG445">
        <v>4.0999999999999996</v>
      </c>
      <c r="AI445">
        <v>7.3</v>
      </c>
      <c r="AJ445">
        <v>7.9742879999999996</v>
      </c>
      <c r="AK445">
        <v>6.6813719999999996</v>
      </c>
    </row>
    <row r="446" spans="1:37" x14ac:dyDescent="0.2">
      <c r="A446" s="6">
        <v>33604</v>
      </c>
      <c r="B446">
        <v>10.347630000000001</v>
      </c>
      <c r="D446">
        <v>6.7</v>
      </c>
      <c r="E446">
        <v>10.4</v>
      </c>
      <c r="F446">
        <v>7.1650169999999997</v>
      </c>
      <c r="H446">
        <v>6</v>
      </c>
      <c r="I446">
        <v>8.1999999999999993</v>
      </c>
      <c r="J446">
        <v>16</v>
      </c>
      <c r="L446">
        <v>9.6</v>
      </c>
      <c r="M446">
        <v>10.199999999999999</v>
      </c>
      <c r="N446">
        <v>9.3000000000000007</v>
      </c>
      <c r="Q446">
        <v>15.1</v>
      </c>
      <c r="T446">
        <v>8.6</v>
      </c>
      <c r="U446">
        <v>2.1</v>
      </c>
      <c r="V446">
        <v>2.4</v>
      </c>
      <c r="W446">
        <v>1.8</v>
      </c>
      <c r="Y446">
        <v>2.8</v>
      </c>
      <c r="Z446">
        <v>5.6</v>
      </c>
      <c r="AA446">
        <v>6.5</v>
      </c>
      <c r="AD446">
        <v>4.8</v>
      </c>
      <c r="AG446">
        <v>4.3</v>
      </c>
      <c r="AI446">
        <v>7.3</v>
      </c>
      <c r="AJ446">
        <v>8.1345609999999997</v>
      </c>
      <c r="AK446">
        <v>6.7245850000000003</v>
      </c>
    </row>
    <row r="447" spans="1:37" x14ac:dyDescent="0.2">
      <c r="A447" s="6">
        <v>33635</v>
      </c>
      <c r="B447">
        <v>10.40541</v>
      </c>
      <c r="D447">
        <v>6.7</v>
      </c>
      <c r="E447">
        <v>10.5</v>
      </c>
      <c r="F447">
        <v>7.0638620000000003</v>
      </c>
      <c r="H447">
        <v>6.1</v>
      </c>
      <c r="I447">
        <v>8.3000000000000007</v>
      </c>
      <c r="J447">
        <v>16.100000000000001</v>
      </c>
      <c r="L447">
        <v>9.9</v>
      </c>
      <c r="M447">
        <v>10.3</v>
      </c>
      <c r="N447">
        <v>9.3000000000000007</v>
      </c>
      <c r="Q447">
        <v>15.2</v>
      </c>
      <c r="T447">
        <v>8.6999999999999993</v>
      </c>
      <c r="U447">
        <v>2</v>
      </c>
      <c r="V447">
        <v>2.4</v>
      </c>
      <c r="W447">
        <v>1.9</v>
      </c>
      <c r="Y447">
        <v>3.1</v>
      </c>
      <c r="Z447">
        <v>5.6</v>
      </c>
      <c r="AA447">
        <v>6.4</v>
      </c>
      <c r="AD447">
        <v>4.8</v>
      </c>
      <c r="AG447">
        <v>4.5999999999999996</v>
      </c>
      <c r="AI447">
        <v>7.4</v>
      </c>
      <c r="AJ447">
        <v>8.1439000000000004</v>
      </c>
      <c r="AK447">
        <v>6.7799310000000004</v>
      </c>
    </row>
    <row r="448" spans="1:37" x14ac:dyDescent="0.2">
      <c r="A448" s="6">
        <v>33664</v>
      </c>
      <c r="B448">
        <v>10.496779999999999</v>
      </c>
      <c r="D448">
        <v>6.8</v>
      </c>
      <c r="E448">
        <v>10.9</v>
      </c>
      <c r="F448">
        <v>6.6484480000000001</v>
      </c>
      <c r="H448">
        <v>6.2</v>
      </c>
      <c r="I448">
        <v>8.3000000000000007</v>
      </c>
      <c r="J448">
        <v>16.3</v>
      </c>
      <c r="L448">
        <v>10.1</v>
      </c>
      <c r="M448">
        <v>10.3</v>
      </c>
      <c r="N448">
        <v>9.3000000000000007</v>
      </c>
      <c r="Q448">
        <v>15.3</v>
      </c>
      <c r="T448">
        <v>8.6999999999999993</v>
      </c>
      <c r="U448">
        <v>2.1</v>
      </c>
      <c r="V448">
        <v>2.4</v>
      </c>
      <c r="W448">
        <v>2</v>
      </c>
      <c r="Y448">
        <v>2.7</v>
      </c>
      <c r="Z448">
        <v>5.6</v>
      </c>
      <c r="AA448">
        <v>6.3</v>
      </c>
      <c r="AD448">
        <v>4.8</v>
      </c>
      <c r="AG448">
        <v>4.8</v>
      </c>
      <c r="AI448">
        <v>7.4</v>
      </c>
      <c r="AJ448">
        <v>8.1949210000000008</v>
      </c>
      <c r="AK448">
        <v>6.8222820000000004</v>
      </c>
    </row>
    <row r="449" spans="1:37" x14ac:dyDescent="0.2">
      <c r="A449" s="6">
        <v>33695</v>
      </c>
      <c r="B449">
        <v>10.470980000000001</v>
      </c>
      <c r="D449">
        <v>6.9</v>
      </c>
      <c r="E449">
        <v>10.7</v>
      </c>
      <c r="F449">
        <v>6.363448</v>
      </c>
      <c r="H449">
        <v>6.3</v>
      </c>
      <c r="I449">
        <v>8.3000000000000007</v>
      </c>
      <c r="J449">
        <v>16.399999999999999</v>
      </c>
      <c r="L449">
        <v>10.5</v>
      </c>
      <c r="M449">
        <v>10.4</v>
      </c>
      <c r="N449">
        <v>9.8331820000000008</v>
      </c>
      <c r="Q449">
        <v>15.3</v>
      </c>
      <c r="T449">
        <v>8.6999999999999993</v>
      </c>
      <c r="U449">
        <v>2.1</v>
      </c>
      <c r="V449">
        <v>2.5</v>
      </c>
      <c r="W449">
        <v>2</v>
      </c>
      <c r="Y449">
        <v>2.7</v>
      </c>
      <c r="Z449">
        <v>5.6</v>
      </c>
      <c r="AA449">
        <v>6.5</v>
      </c>
      <c r="AD449">
        <v>4.9000000000000004</v>
      </c>
      <c r="AG449">
        <v>5</v>
      </c>
      <c r="AI449">
        <v>7.4</v>
      </c>
      <c r="AJ449">
        <v>8.2500999999999998</v>
      </c>
      <c r="AK449">
        <v>6.8642560000000001</v>
      </c>
    </row>
    <row r="450" spans="1:37" x14ac:dyDescent="0.2">
      <c r="A450" s="6">
        <v>33725</v>
      </c>
      <c r="B450">
        <v>10.61918</v>
      </c>
      <c r="D450">
        <v>7</v>
      </c>
      <c r="E450">
        <v>10.9</v>
      </c>
      <c r="F450">
        <v>6.3837489999999999</v>
      </c>
      <c r="H450">
        <v>6.4</v>
      </c>
      <c r="I450">
        <v>8.4</v>
      </c>
      <c r="J450">
        <v>16.5</v>
      </c>
      <c r="L450">
        <v>11</v>
      </c>
      <c r="M450">
        <v>10.5</v>
      </c>
      <c r="N450">
        <v>9.7853940000000001</v>
      </c>
      <c r="Q450">
        <v>15.2</v>
      </c>
      <c r="T450">
        <v>8.6</v>
      </c>
      <c r="U450">
        <v>2.1</v>
      </c>
      <c r="V450">
        <v>2.4</v>
      </c>
      <c r="W450">
        <v>2.1</v>
      </c>
      <c r="Y450">
        <v>2.9</v>
      </c>
      <c r="Z450">
        <v>5.6</v>
      </c>
      <c r="AA450">
        <v>6.5</v>
      </c>
      <c r="AD450">
        <v>4.9000000000000004</v>
      </c>
      <c r="AG450">
        <v>5.4</v>
      </c>
      <c r="AI450">
        <v>7.6</v>
      </c>
      <c r="AJ450">
        <v>8.2641410000000004</v>
      </c>
      <c r="AK450">
        <v>6.9849589999999999</v>
      </c>
    </row>
    <row r="451" spans="1:37" x14ac:dyDescent="0.2">
      <c r="A451" s="6">
        <v>33756</v>
      </c>
      <c r="B451">
        <v>10.81208</v>
      </c>
      <c r="D451">
        <v>7.1</v>
      </c>
      <c r="E451">
        <v>11.4</v>
      </c>
      <c r="F451">
        <v>6.4199630000000001</v>
      </c>
      <c r="H451">
        <v>6.5</v>
      </c>
      <c r="I451">
        <v>8.4</v>
      </c>
      <c r="J451">
        <v>16.7</v>
      </c>
      <c r="L451">
        <v>11.6</v>
      </c>
      <c r="M451">
        <v>10.6</v>
      </c>
      <c r="N451">
        <v>9.8878059999999994</v>
      </c>
      <c r="Q451">
        <v>15.2</v>
      </c>
      <c r="T451">
        <v>8.6999999999999993</v>
      </c>
      <c r="U451">
        <v>2.1</v>
      </c>
      <c r="V451">
        <v>2.4</v>
      </c>
      <c r="W451">
        <v>2</v>
      </c>
      <c r="Y451">
        <v>2.8</v>
      </c>
      <c r="Z451">
        <v>5.7</v>
      </c>
      <c r="AA451">
        <v>6.6</v>
      </c>
      <c r="AD451">
        <v>4.9000000000000004</v>
      </c>
      <c r="AG451">
        <v>5.4</v>
      </c>
      <c r="AI451">
        <v>7.8</v>
      </c>
      <c r="AJ451">
        <v>8.3599219999999992</v>
      </c>
      <c r="AK451">
        <v>7.1199539999999999</v>
      </c>
    </row>
    <row r="452" spans="1:37" x14ac:dyDescent="0.2">
      <c r="A452" s="6">
        <v>33786</v>
      </c>
      <c r="B452">
        <v>11.12781</v>
      </c>
      <c r="D452">
        <v>7.1</v>
      </c>
      <c r="E452">
        <v>11.3</v>
      </c>
      <c r="F452">
        <v>6.532381</v>
      </c>
      <c r="H452">
        <v>6.6</v>
      </c>
      <c r="I452">
        <v>8.5</v>
      </c>
      <c r="J452">
        <v>16.899999999999999</v>
      </c>
      <c r="L452">
        <v>12.2</v>
      </c>
      <c r="M452">
        <v>10.7</v>
      </c>
      <c r="N452">
        <v>9.9365100000000002</v>
      </c>
      <c r="Q452">
        <v>15.4</v>
      </c>
      <c r="T452">
        <v>8.9</v>
      </c>
      <c r="U452">
        <v>2.1</v>
      </c>
      <c r="V452">
        <v>2.4</v>
      </c>
      <c r="W452">
        <v>2.1</v>
      </c>
      <c r="Y452">
        <v>2.8</v>
      </c>
      <c r="Z452">
        <v>5.7</v>
      </c>
      <c r="AA452">
        <v>6.5</v>
      </c>
      <c r="AD452">
        <v>5</v>
      </c>
      <c r="AG452">
        <v>5.8</v>
      </c>
      <c r="AI452">
        <v>7.7</v>
      </c>
      <c r="AJ452">
        <v>8.4694369999999992</v>
      </c>
      <c r="AK452">
        <v>7.1008630000000004</v>
      </c>
    </row>
    <row r="453" spans="1:37" x14ac:dyDescent="0.2">
      <c r="A453" s="6">
        <v>33817</v>
      </c>
      <c r="B453">
        <v>10.72329</v>
      </c>
      <c r="D453">
        <v>7.1</v>
      </c>
      <c r="E453">
        <v>11.7</v>
      </c>
      <c r="F453">
        <v>6.5709900000000001</v>
      </c>
      <c r="H453">
        <v>6.8</v>
      </c>
      <c r="I453">
        <v>8.6999999999999993</v>
      </c>
      <c r="J453">
        <v>17.2</v>
      </c>
      <c r="L453">
        <v>12.6</v>
      </c>
      <c r="M453">
        <v>10.8</v>
      </c>
      <c r="N453">
        <v>9.9370560000000001</v>
      </c>
      <c r="Q453">
        <v>15.5</v>
      </c>
      <c r="T453">
        <v>9</v>
      </c>
      <c r="U453">
        <v>2.2000000000000002</v>
      </c>
      <c r="V453">
        <v>2.6</v>
      </c>
      <c r="W453">
        <v>2.1</v>
      </c>
      <c r="Y453">
        <v>2.6</v>
      </c>
      <c r="Z453">
        <v>5.8</v>
      </c>
      <c r="AA453">
        <v>6.6</v>
      </c>
      <c r="AD453">
        <v>5</v>
      </c>
      <c r="AG453">
        <v>6</v>
      </c>
      <c r="AI453">
        <v>7.6</v>
      </c>
      <c r="AJ453">
        <v>8.5864910000000005</v>
      </c>
      <c r="AK453">
        <v>7.1419329999999999</v>
      </c>
    </row>
    <row r="454" spans="1:37" x14ac:dyDescent="0.2">
      <c r="A454" s="6">
        <v>33848</v>
      </c>
      <c r="B454">
        <v>10.61706</v>
      </c>
      <c r="D454">
        <v>7.2</v>
      </c>
      <c r="E454">
        <v>11.6</v>
      </c>
      <c r="F454">
        <v>6.5498789999999998</v>
      </c>
      <c r="H454">
        <v>6.9</v>
      </c>
      <c r="I454">
        <v>8.8000000000000007</v>
      </c>
      <c r="J454">
        <v>17.5</v>
      </c>
      <c r="L454">
        <v>13</v>
      </c>
      <c r="M454">
        <v>10.9</v>
      </c>
      <c r="N454">
        <v>10.068680000000001</v>
      </c>
      <c r="Q454">
        <v>15.6</v>
      </c>
      <c r="T454">
        <v>9.1</v>
      </c>
      <c r="U454">
        <v>2.2000000000000002</v>
      </c>
      <c r="V454">
        <v>2.7</v>
      </c>
      <c r="W454">
        <v>2.2000000000000002</v>
      </c>
      <c r="Y454">
        <v>2.4</v>
      </c>
      <c r="Z454">
        <v>5.8</v>
      </c>
      <c r="AA454">
        <v>6.6</v>
      </c>
      <c r="AD454">
        <v>5.0999999999999996</v>
      </c>
      <c r="AG454">
        <v>6.1</v>
      </c>
      <c r="AI454">
        <v>7.6</v>
      </c>
      <c r="AJ454">
        <v>8.6988579999999995</v>
      </c>
      <c r="AK454">
        <v>7.1799390000000001</v>
      </c>
    </row>
    <row r="455" spans="1:37" x14ac:dyDescent="0.2">
      <c r="A455" s="6">
        <v>33878</v>
      </c>
      <c r="B455">
        <v>11.091430000000001</v>
      </c>
      <c r="D455">
        <v>7.3</v>
      </c>
      <c r="E455">
        <v>11.4</v>
      </c>
      <c r="F455">
        <v>6.608174</v>
      </c>
      <c r="H455">
        <v>7</v>
      </c>
      <c r="I455">
        <v>9</v>
      </c>
      <c r="J455">
        <v>18</v>
      </c>
      <c r="L455">
        <v>13.3</v>
      </c>
      <c r="M455">
        <v>10.9</v>
      </c>
      <c r="N455">
        <v>10.24126</v>
      </c>
      <c r="Q455">
        <v>15.6</v>
      </c>
      <c r="T455">
        <v>8.9</v>
      </c>
      <c r="U455">
        <v>2.2000000000000002</v>
      </c>
      <c r="V455">
        <v>2.6</v>
      </c>
      <c r="W455">
        <v>2.2000000000000002</v>
      </c>
      <c r="Y455">
        <v>2.6</v>
      </c>
      <c r="Z455">
        <v>5.9</v>
      </c>
      <c r="AA455">
        <v>6.7</v>
      </c>
      <c r="AD455">
        <v>5.0999999999999996</v>
      </c>
      <c r="AG455">
        <v>6.3</v>
      </c>
      <c r="AI455">
        <v>7.3</v>
      </c>
      <c r="AJ455">
        <v>8.8808070000000008</v>
      </c>
      <c r="AK455">
        <v>7.0721639999999999</v>
      </c>
    </row>
    <row r="456" spans="1:37" x14ac:dyDescent="0.2">
      <c r="A456" s="6">
        <v>33909</v>
      </c>
      <c r="B456">
        <v>11.13654</v>
      </c>
      <c r="D456">
        <v>7.5</v>
      </c>
      <c r="E456">
        <v>12.1</v>
      </c>
      <c r="F456">
        <v>6.6613730000000002</v>
      </c>
      <c r="H456">
        <v>7.1</v>
      </c>
      <c r="I456">
        <v>9.1</v>
      </c>
      <c r="J456">
        <v>18.399999999999999</v>
      </c>
      <c r="L456">
        <v>13.6</v>
      </c>
      <c r="M456">
        <v>11</v>
      </c>
      <c r="N456">
        <v>10.371119999999999</v>
      </c>
      <c r="Q456">
        <v>15.7</v>
      </c>
      <c r="T456">
        <v>8.9</v>
      </c>
      <c r="U456">
        <v>2.2999999999999998</v>
      </c>
      <c r="V456">
        <v>2.6</v>
      </c>
      <c r="W456">
        <v>2.2000000000000002</v>
      </c>
      <c r="Y456">
        <v>3.3</v>
      </c>
      <c r="Z456">
        <v>5.9</v>
      </c>
      <c r="AA456">
        <v>6.7</v>
      </c>
      <c r="AD456">
        <v>5.2</v>
      </c>
      <c r="AG456">
        <v>6.5</v>
      </c>
      <c r="AI456">
        <v>7.4</v>
      </c>
      <c r="AJ456">
        <v>8.9869199999999996</v>
      </c>
      <c r="AK456">
        <v>7.1925549999999996</v>
      </c>
    </row>
    <row r="457" spans="1:37" x14ac:dyDescent="0.2">
      <c r="A457" s="6">
        <v>33939</v>
      </c>
      <c r="B457">
        <v>11.217269999999999</v>
      </c>
      <c r="D457">
        <v>7.7</v>
      </c>
      <c r="E457">
        <v>11.7</v>
      </c>
      <c r="F457">
        <v>6.6982759999999999</v>
      </c>
      <c r="H457">
        <v>7.2</v>
      </c>
      <c r="I457">
        <v>9.3000000000000007</v>
      </c>
      <c r="J457">
        <v>18.8</v>
      </c>
      <c r="L457">
        <v>13.9</v>
      </c>
      <c r="M457">
        <v>11.1</v>
      </c>
      <c r="N457">
        <v>10.545769999999999</v>
      </c>
      <c r="Q457">
        <v>15.7</v>
      </c>
      <c r="T457">
        <v>8.9</v>
      </c>
      <c r="U457">
        <v>2.2999999999999998</v>
      </c>
      <c r="V457">
        <v>2.6</v>
      </c>
      <c r="W457">
        <v>2.2000000000000002</v>
      </c>
      <c r="Y457">
        <v>2.8</v>
      </c>
      <c r="Z457">
        <v>6</v>
      </c>
      <c r="AA457">
        <v>6.6</v>
      </c>
      <c r="AD457">
        <v>5.4</v>
      </c>
      <c r="AG457">
        <v>6.7</v>
      </c>
      <c r="AI457">
        <v>7.4</v>
      </c>
      <c r="AJ457">
        <v>9.1169360000000008</v>
      </c>
      <c r="AK457">
        <v>7.2189040000000002</v>
      </c>
    </row>
    <row r="458" spans="1:37" x14ac:dyDescent="0.2">
      <c r="A458" s="6">
        <v>33970</v>
      </c>
      <c r="B458">
        <v>10.834350000000001</v>
      </c>
      <c r="D458">
        <v>7.8</v>
      </c>
      <c r="E458">
        <v>11.2</v>
      </c>
      <c r="F458">
        <v>6.5942550000000004</v>
      </c>
      <c r="G458">
        <v>4.5</v>
      </c>
      <c r="H458">
        <v>7.3</v>
      </c>
      <c r="I458">
        <v>9.5</v>
      </c>
      <c r="J458">
        <v>19.2</v>
      </c>
      <c r="L458">
        <v>14.2</v>
      </c>
      <c r="M458">
        <v>11.2</v>
      </c>
      <c r="N458">
        <v>10.6839</v>
      </c>
      <c r="Q458">
        <v>15.8</v>
      </c>
      <c r="T458">
        <v>9</v>
      </c>
      <c r="U458">
        <v>2.2999999999999998</v>
      </c>
      <c r="V458">
        <v>2.8</v>
      </c>
      <c r="W458">
        <v>2.2000000000000002</v>
      </c>
      <c r="Y458">
        <v>3</v>
      </c>
      <c r="Z458">
        <v>6.1</v>
      </c>
      <c r="AA458">
        <v>6.6</v>
      </c>
      <c r="AD458">
        <v>5.5</v>
      </c>
      <c r="AG458">
        <v>7.5</v>
      </c>
      <c r="AI458">
        <v>7.3</v>
      </c>
      <c r="AJ458">
        <v>9.4</v>
      </c>
      <c r="AK458">
        <v>7.1577630000000001</v>
      </c>
    </row>
    <row r="459" spans="1:37" x14ac:dyDescent="0.2">
      <c r="A459" s="6">
        <v>34001</v>
      </c>
      <c r="B459">
        <v>11.014849999999999</v>
      </c>
      <c r="D459">
        <v>7.9</v>
      </c>
      <c r="E459">
        <v>11</v>
      </c>
      <c r="F459">
        <v>6.5767290000000003</v>
      </c>
      <c r="G459">
        <v>4.3</v>
      </c>
      <c r="H459">
        <v>7.4</v>
      </c>
      <c r="I459">
        <v>9.6</v>
      </c>
      <c r="J459">
        <v>19.5</v>
      </c>
      <c r="L459">
        <v>14.7</v>
      </c>
      <c r="M459">
        <v>11.3</v>
      </c>
      <c r="N459">
        <v>10.61849</v>
      </c>
      <c r="Q459">
        <v>15.9</v>
      </c>
      <c r="T459">
        <v>9.1</v>
      </c>
      <c r="U459">
        <v>2.2999999999999998</v>
      </c>
      <c r="V459">
        <v>2.9</v>
      </c>
      <c r="W459">
        <v>2.2000000000000002</v>
      </c>
      <c r="Y459">
        <v>3.5</v>
      </c>
      <c r="Z459">
        <v>6.2</v>
      </c>
      <c r="AA459">
        <v>6.6</v>
      </c>
      <c r="AD459">
        <v>5.7</v>
      </c>
      <c r="AG459">
        <v>7.6</v>
      </c>
      <c r="AI459">
        <v>7.1</v>
      </c>
      <c r="AJ459">
        <v>9.5</v>
      </c>
      <c r="AK459">
        <v>7.1376970000000002</v>
      </c>
    </row>
    <row r="460" spans="1:37" x14ac:dyDescent="0.2">
      <c r="A460" s="6">
        <v>34029</v>
      </c>
      <c r="B460">
        <v>10.858079999999999</v>
      </c>
      <c r="D460">
        <v>8.1</v>
      </c>
      <c r="E460">
        <v>11.2</v>
      </c>
      <c r="F460">
        <v>6.4969049999999999</v>
      </c>
      <c r="G460">
        <v>4.4000000000000004</v>
      </c>
      <c r="H460">
        <v>7.5</v>
      </c>
      <c r="I460">
        <v>9.6999999999999993</v>
      </c>
      <c r="J460">
        <v>20</v>
      </c>
      <c r="L460">
        <v>15.2</v>
      </c>
      <c r="M460">
        <v>11.4</v>
      </c>
      <c r="N460">
        <v>10.57991</v>
      </c>
      <c r="Q460">
        <v>15.8</v>
      </c>
      <c r="T460">
        <v>9.3000000000000007</v>
      </c>
      <c r="U460">
        <v>2.2999999999999998</v>
      </c>
      <c r="V460">
        <v>2.8</v>
      </c>
      <c r="W460">
        <v>2.2999999999999998</v>
      </c>
      <c r="Y460">
        <v>3.5</v>
      </c>
      <c r="Z460">
        <v>6.3</v>
      </c>
      <c r="AA460">
        <v>6.8</v>
      </c>
      <c r="AD460">
        <v>5.9</v>
      </c>
      <c r="AG460">
        <v>8</v>
      </c>
      <c r="AI460">
        <v>7</v>
      </c>
      <c r="AJ460">
        <v>9.6999999999999993</v>
      </c>
      <c r="AK460">
        <v>7.134055</v>
      </c>
    </row>
    <row r="461" spans="1:37" x14ac:dyDescent="0.2">
      <c r="A461" s="6">
        <v>34060</v>
      </c>
      <c r="B461">
        <v>10.766260000000001</v>
      </c>
      <c r="D461">
        <v>8.1999999999999993</v>
      </c>
      <c r="E461">
        <v>11.6</v>
      </c>
      <c r="F461">
        <v>6.3902960000000002</v>
      </c>
      <c r="G461">
        <v>4.4000000000000004</v>
      </c>
      <c r="H461">
        <v>7.5</v>
      </c>
      <c r="I461">
        <v>9.9</v>
      </c>
      <c r="J461">
        <v>20.2</v>
      </c>
      <c r="L461">
        <v>15.6</v>
      </c>
      <c r="M461">
        <v>11.6</v>
      </c>
      <c r="N461">
        <v>10.454190000000001</v>
      </c>
      <c r="Q461">
        <v>15.8</v>
      </c>
      <c r="T461">
        <v>9.6999999999999993</v>
      </c>
      <c r="U461">
        <v>2.2999999999999998</v>
      </c>
      <c r="V461">
        <v>3</v>
      </c>
      <c r="W461">
        <v>2.4</v>
      </c>
      <c r="Y461">
        <v>3</v>
      </c>
      <c r="Z461">
        <v>6.4</v>
      </c>
      <c r="AA461">
        <v>6.8</v>
      </c>
      <c r="AD461">
        <v>6.1</v>
      </c>
      <c r="AG461">
        <v>8.6</v>
      </c>
      <c r="AI461">
        <v>7.1</v>
      </c>
      <c r="AJ461">
        <v>9.9</v>
      </c>
      <c r="AK461">
        <v>7.1945480000000002</v>
      </c>
    </row>
    <row r="462" spans="1:37" x14ac:dyDescent="0.2">
      <c r="A462" s="6">
        <v>34090</v>
      </c>
      <c r="B462">
        <v>10.78655</v>
      </c>
      <c r="D462">
        <v>8.4</v>
      </c>
      <c r="E462">
        <v>11.6</v>
      </c>
      <c r="F462">
        <v>6.2429920000000001</v>
      </c>
      <c r="G462">
        <v>4.4000000000000004</v>
      </c>
      <c r="H462">
        <v>7.6</v>
      </c>
      <c r="I462">
        <v>9.9</v>
      </c>
      <c r="J462">
        <v>20.399999999999999</v>
      </c>
      <c r="L462">
        <v>16.100000000000001</v>
      </c>
      <c r="M462">
        <v>11.7</v>
      </c>
      <c r="N462">
        <v>10.384779999999999</v>
      </c>
      <c r="Q462">
        <v>15.8</v>
      </c>
      <c r="T462">
        <v>9.8000000000000007</v>
      </c>
      <c r="U462">
        <v>2.5</v>
      </c>
      <c r="V462">
        <v>3</v>
      </c>
      <c r="W462">
        <v>2.4</v>
      </c>
      <c r="Y462">
        <v>3.3</v>
      </c>
      <c r="Z462">
        <v>6.4</v>
      </c>
      <c r="AA462">
        <v>6.6</v>
      </c>
      <c r="AD462">
        <v>6.2</v>
      </c>
      <c r="AG462">
        <v>8.6999999999999993</v>
      </c>
      <c r="AI462">
        <v>7.1</v>
      </c>
      <c r="AJ462">
        <v>10</v>
      </c>
      <c r="AK462">
        <v>7.2527689999999998</v>
      </c>
    </row>
    <row r="463" spans="1:37" x14ac:dyDescent="0.2">
      <c r="A463" s="6">
        <v>34121</v>
      </c>
      <c r="B463">
        <v>10.99423</v>
      </c>
      <c r="D463">
        <v>8.5</v>
      </c>
      <c r="E463">
        <v>11.7</v>
      </c>
      <c r="F463">
        <v>6.2942609999999997</v>
      </c>
      <c r="G463">
        <v>4.4000000000000004</v>
      </c>
      <c r="H463">
        <v>7.7</v>
      </c>
      <c r="I463">
        <v>9.9</v>
      </c>
      <c r="J463">
        <v>20.9</v>
      </c>
      <c r="L463">
        <v>16.5</v>
      </c>
      <c r="M463">
        <v>11.8</v>
      </c>
      <c r="N463">
        <v>10.37194</v>
      </c>
      <c r="Q463">
        <v>15.7</v>
      </c>
      <c r="T463">
        <v>9.9</v>
      </c>
      <c r="U463">
        <v>2.5</v>
      </c>
      <c r="V463">
        <v>3</v>
      </c>
      <c r="W463">
        <v>2.5</v>
      </c>
      <c r="Y463">
        <v>3.2</v>
      </c>
      <c r="Z463">
        <v>6.5</v>
      </c>
      <c r="AA463">
        <v>6.6</v>
      </c>
      <c r="AD463">
        <v>6.3</v>
      </c>
      <c r="AG463">
        <v>9.8000000000000007</v>
      </c>
      <c r="AI463">
        <v>7</v>
      </c>
      <c r="AJ463">
        <v>10.199999999999999</v>
      </c>
      <c r="AK463">
        <v>7.2675470000000004</v>
      </c>
    </row>
    <row r="464" spans="1:37" x14ac:dyDescent="0.2">
      <c r="A464" s="6">
        <v>34151</v>
      </c>
      <c r="B464">
        <v>10.93708</v>
      </c>
      <c r="D464">
        <v>8.6999999999999993</v>
      </c>
      <c r="E464">
        <v>11.6</v>
      </c>
      <c r="F464">
        <v>6.4292800000000003</v>
      </c>
      <c r="G464">
        <v>4.5</v>
      </c>
      <c r="H464">
        <v>7.8</v>
      </c>
      <c r="I464">
        <v>9.6999999999999993</v>
      </c>
      <c r="J464">
        <v>21.3</v>
      </c>
      <c r="L464">
        <v>16.8</v>
      </c>
      <c r="M464">
        <v>11.9</v>
      </c>
      <c r="N464">
        <v>10.311489999999999</v>
      </c>
      <c r="Q464">
        <v>15.6</v>
      </c>
      <c r="T464">
        <v>9.9</v>
      </c>
      <c r="U464">
        <v>2.5</v>
      </c>
      <c r="V464">
        <v>3</v>
      </c>
      <c r="W464">
        <v>2.7</v>
      </c>
      <c r="Y464">
        <v>3.3</v>
      </c>
      <c r="Z464">
        <v>6.6</v>
      </c>
      <c r="AA464">
        <v>6.6</v>
      </c>
      <c r="AD464">
        <v>6.4</v>
      </c>
      <c r="AG464">
        <v>9.6999999999999993</v>
      </c>
      <c r="AI464">
        <v>6.9</v>
      </c>
      <c r="AJ464">
        <v>10.3</v>
      </c>
      <c r="AK464">
        <v>7.2216250000000004</v>
      </c>
    </row>
    <row r="465" spans="1:37" x14ac:dyDescent="0.2">
      <c r="A465" s="6">
        <v>34182</v>
      </c>
      <c r="B465">
        <v>10.98404</v>
      </c>
      <c r="D465">
        <v>8.9</v>
      </c>
      <c r="E465">
        <v>11.2</v>
      </c>
      <c r="F465">
        <v>6.482672</v>
      </c>
      <c r="G465">
        <v>4.2</v>
      </c>
      <c r="H465">
        <v>7.9</v>
      </c>
      <c r="I465">
        <v>9.5</v>
      </c>
      <c r="J465">
        <v>21.4</v>
      </c>
      <c r="L465">
        <v>17.100000000000001</v>
      </c>
      <c r="M465">
        <v>12</v>
      </c>
      <c r="N465">
        <v>10.24657</v>
      </c>
      <c r="Q465">
        <v>15.5</v>
      </c>
      <c r="T465">
        <v>10</v>
      </c>
      <c r="U465">
        <v>2.5</v>
      </c>
      <c r="V465">
        <v>2.9</v>
      </c>
      <c r="W465">
        <v>2.8</v>
      </c>
      <c r="Y465">
        <v>4</v>
      </c>
      <c r="Z465">
        <v>6.6</v>
      </c>
      <c r="AA465">
        <v>6.8</v>
      </c>
      <c r="AD465">
        <v>6.5</v>
      </c>
      <c r="AG465">
        <v>9.5</v>
      </c>
      <c r="AI465">
        <v>6.8</v>
      </c>
      <c r="AJ465">
        <v>10.4</v>
      </c>
      <c r="AK465">
        <v>7.1683479999999999</v>
      </c>
    </row>
    <row r="466" spans="1:37" x14ac:dyDescent="0.2">
      <c r="A466" s="6">
        <v>34213</v>
      </c>
      <c r="B466">
        <v>10.74207</v>
      </c>
      <c r="D466">
        <v>9</v>
      </c>
      <c r="E466">
        <v>11.5</v>
      </c>
      <c r="F466">
        <v>6.4314470000000004</v>
      </c>
      <c r="G466">
        <v>4</v>
      </c>
      <c r="H466">
        <v>8</v>
      </c>
      <c r="I466">
        <v>9.5</v>
      </c>
      <c r="J466">
        <v>21.5</v>
      </c>
      <c r="L466">
        <v>17.3</v>
      </c>
      <c r="M466">
        <v>12.2</v>
      </c>
      <c r="N466">
        <v>10.25075</v>
      </c>
      <c r="Q466">
        <v>15.5</v>
      </c>
      <c r="T466">
        <v>10</v>
      </c>
      <c r="U466">
        <v>2.6</v>
      </c>
      <c r="V466">
        <v>2.8</v>
      </c>
      <c r="W466">
        <v>2.9</v>
      </c>
      <c r="Y466">
        <v>3.7</v>
      </c>
      <c r="Z466">
        <v>6.7</v>
      </c>
      <c r="AA466">
        <v>6.8</v>
      </c>
      <c r="AD466">
        <v>6.6</v>
      </c>
      <c r="AG466">
        <v>9.6999999999999993</v>
      </c>
      <c r="AI466">
        <v>6.7</v>
      </c>
      <c r="AJ466">
        <v>10.5</v>
      </c>
      <c r="AK466">
        <v>7.2093600000000002</v>
      </c>
    </row>
    <row r="467" spans="1:37" x14ac:dyDescent="0.2">
      <c r="A467" s="6">
        <v>34243</v>
      </c>
      <c r="B467">
        <v>10.957560000000001</v>
      </c>
      <c r="D467">
        <v>9.1999999999999993</v>
      </c>
      <c r="E467">
        <v>11.3</v>
      </c>
      <c r="F467">
        <v>6.3745370000000001</v>
      </c>
      <c r="G467">
        <v>4.2</v>
      </c>
      <c r="H467">
        <v>8.1</v>
      </c>
      <c r="I467">
        <v>9.3000000000000007</v>
      </c>
      <c r="J467">
        <v>21.7</v>
      </c>
      <c r="L467">
        <v>17.5</v>
      </c>
      <c r="M467">
        <v>12.3</v>
      </c>
      <c r="N467">
        <v>10.230409999999999</v>
      </c>
      <c r="Q467">
        <v>15.4</v>
      </c>
      <c r="T467">
        <v>10.4</v>
      </c>
      <c r="U467">
        <v>2.7</v>
      </c>
      <c r="V467">
        <v>3</v>
      </c>
      <c r="W467">
        <v>2.9</v>
      </c>
      <c r="Y467">
        <v>3.4</v>
      </c>
      <c r="Z467">
        <v>6.7</v>
      </c>
      <c r="AA467">
        <v>6.7</v>
      </c>
      <c r="AD467">
        <v>6.7</v>
      </c>
      <c r="AG467">
        <v>9.8000000000000007</v>
      </c>
      <c r="AI467">
        <v>6.8</v>
      </c>
      <c r="AJ467">
        <v>10.6</v>
      </c>
      <c r="AK467">
        <v>7.2660799999999997</v>
      </c>
    </row>
    <row r="468" spans="1:37" x14ac:dyDescent="0.2">
      <c r="A468" s="6">
        <v>34274</v>
      </c>
      <c r="B468">
        <v>10.94914</v>
      </c>
      <c r="D468">
        <v>9.3000000000000007</v>
      </c>
      <c r="E468">
        <v>11.2</v>
      </c>
      <c r="F468">
        <v>6.9039489999999999</v>
      </c>
      <c r="G468">
        <v>4.0999999999999996</v>
      </c>
      <c r="H468">
        <v>8.1999999999999993</v>
      </c>
      <c r="I468">
        <v>9.1</v>
      </c>
      <c r="J468">
        <v>21.9</v>
      </c>
      <c r="L468">
        <v>17.5</v>
      </c>
      <c r="M468">
        <v>12.4</v>
      </c>
      <c r="N468">
        <v>10.25229</v>
      </c>
      <c r="Q468">
        <v>15.4</v>
      </c>
      <c r="T468">
        <v>10.4</v>
      </c>
      <c r="U468">
        <v>2.7</v>
      </c>
      <c r="V468">
        <v>2.8</v>
      </c>
      <c r="W468">
        <v>3</v>
      </c>
      <c r="Y468">
        <v>3.5</v>
      </c>
      <c r="Z468">
        <v>6.7</v>
      </c>
      <c r="AA468">
        <v>6.4</v>
      </c>
      <c r="AD468">
        <v>6.8</v>
      </c>
      <c r="AG468">
        <v>9.8000000000000007</v>
      </c>
      <c r="AI468">
        <v>6.6</v>
      </c>
      <c r="AJ468">
        <v>10.7</v>
      </c>
      <c r="AK468">
        <v>7.2365050000000002</v>
      </c>
    </row>
    <row r="469" spans="1:37" x14ac:dyDescent="0.2">
      <c r="A469" s="6">
        <v>34304</v>
      </c>
      <c r="B469">
        <v>10.756270000000001</v>
      </c>
      <c r="D469">
        <v>9.5</v>
      </c>
      <c r="E469">
        <v>11.4</v>
      </c>
      <c r="F469">
        <v>7.3245709999999997</v>
      </c>
      <c r="G469">
        <v>4.2</v>
      </c>
      <c r="H469">
        <v>8.3000000000000007</v>
      </c>
      <c r="I469">
        <v>8.8000000000000007</v>
      </c>
      <c r="J469">
        <v>22</v>
      </c>
      <c r="L469">
        <v>17.600000000000001</v>
      </c>
      <c r="M469">
        <v>12.4</v>
      </c>
      <c r="N469">
        <v>10.250909999999999</v>
      </c>
      <c r="Q469">
        <v>15.4</v>
      </c>
      <c r="T469">
        <v>10.5</v>
      </c>
      <c r="U469">
        <v>2.8</v>
      </c>
      <c r="V469">
        <v>2.7</v>
      </c>
      <c r="W469">
        <v>3</v>
      </c>
      <c r="Y469">
        <v>3.6</v>
      </c>
      <c r="Z469">
        <v>6.8</v>
      </c>
      <c r="AA469">
        <v>6</v>
      </c>
      <c r="AD469">
        <v>7</v>
      </c>
      <c r="AG469">
        <v>9.8000000000000007</v>
      </c>
      <c r="AI469">
        <v>6.5</v>
      </c>
      <c r="AJ469">
        <v>10.8</v>
      </c>
      <c r="AK469">
        <v>7.2518380000000002</v>
      </c>
    </row>
    <row r="470" spans="1:37" x14ac:dyDescent="0.2">
      <c r="A470" s="6">
        <v>34335</v>
      </c>
      <c r="B470">
        <v>10.5693</v>
      </c>
      <c r="D470">
        <v>9.6</v>
      </c>
      <c r="E470">
        <v>11.4</v>
      </c>
      <c r="F470">
        <v>7.5443530000000001</v>
      </c>
      <c r="G470">
        <v>4.0999999999999996</v>
      </c>
      <c r="H470">
        <v>8.4</v>
      </c>
      <c r="I470">
        <v>8.6</v>
      </c>
      <c r="J470">
        <v>22.2</v>
      </c>
      <c r="L470">
        <v>17.600000000000001</v>
      </c>
      <c r="M470">
        <v>12.5</v>
      </c>
      <c r="N470">
        <v>10.086539999999999</v>
      </c>
      <c r="Q470">
        <v>15.3</v>
      </c>
      <c r="T470">
        <v>10.4</v>
      </c>
      <c r="U470">
        <v>2.8</v>
      </c>
      <c r="V470">
        <v>2.7</v>
      </c>
      <c r="W470">
        <v>3.1</v>
      </c>
      <c r="Y470">
        <v>3.7</v>
      </c>
      <c r="Z470">
        <v>6.8</v>
      </c>
      <c r="AA470">
        <v>6</v>
      </c>
      <c r="AD470">
        <v>7.2</v>
      </c>
      <c r="AG470">
        <v>9.9</v>
      </c>
      <c r="AI470">
        <v>6.6</v>
      </c>
      <c r="AJ470">
        <v>10.8</v>
      </c>
      <c r="AK470">
        <v>7.2753449999999997</v>
      </c>
    </row>
    <row r="471" spans="1:37" x14ac:dyDescent="0.2">
      <c r="A471" s="6">
        <v>34366</v>
      </c>
      <c r="B471">
        <v>10.399240000000001</v>
      </c>
      <c r="D471">
        <v>9.6999999999999993</v>
      </c>
      <c r="E471">
        <v>11.1</v>
      </c>
      <c r="F471">
        <v>7.335223</v>
      </c>
      <c r="G471">
        <v>4.2</v>
      </c>
      <c r="H471">
        <v>8.5</v>
      </c>
      <c r="I471">
        <v>8.4</v>
      </c>
      <c r="J471">
        <v>22.3</v>
      </c>
      <c r="L471">
        <v>16.600000000000001</v>
      </c>
      <c r="M471">
        <v>12.5</v>
      </c>
      <c r="N471">
        <v>9.9458210000000005</v>
      </c>
      <c r="Q471">
        <v>15.1</v>
      </c>
      <c r="T471">
        <v>10.4</v>
      </c>
      <c r="U471">
        <v>2.9</v>
      </c>
      <c r="V471">
        <v>2.7</v>
      </c>
      <c r="W471">
        <v>3.2</v>
      </c>
      <c r="Y471">
        <v>3.6</v>
      </c>
      <c r="Z471">
        <v>6.8</v>
      </c>
      <c r="AA471">
        <v>6</v>
      </c>
      <c r="AD471">
        <v>7.3</v>
      </c>
      <c r="AG471">
        <v>9.8000000000000007</v>
      </c>
      <c r="AI471">
        <v>6.6</v>
      </c>
      <c r="AJ471">
        <v>10.9</v>
      </c>
      <c r="AK471">
        <v>7.2707420000000003</v>
      </c>
    </row>
    <row r="472" spans="1:37" x14ac:dyDescent="0.2">
      <c r="A472" s="6">
        <v>34394</v>
      </c>
      <c r="B472">
        <v>10.353540000000001</v>
      </c>
      <c r="D472">
        <v>9.6999999999999993</v>
      </c>
      <c r="E472">
        <v>10.6</v>
      </c>
      <c r="F472">
        <v>7.4745619999999997</v>
      </c>
      <c r="G472">
        <v>4.0999999999999996</v>
      </c>
      <c r="H472">
        <v>8.5</v>
      </c>
      <c r="I472">
        <v>8.1999999999999993</v>
      </c>
      <c r="J472">
        <v>22.2</v>
      </c>
      <c r="L472">
        <v>16.8</v>
      </c>
      <c r="M472">
        <v>12.5</v>
      </c>
      <c r="N472">
        <v>9.8133739999999996</v>
      </c>
      <c r="Q472">
        <v>15</v>
      </c>
      <c r="T472">
        <v>10.5</v>
      </c>
      <c r="U472">
        <v>2.9</v>
      </c>
      <c r="V472">
        <v>2.7</v>
      </c>
      <c r="W472">
        <v>3.3</v>
      </c>
      <c r="Y472">
        <v>3.5</v>
      </c>
      <c r="Z472">
        <v>6.9</v>
      </c>
      <c r="AA472">
        <v>6</v>
      </c>
      <c r="AD472">
        <v>7.4</v>
      </c>
      <c r="AG472">
        <v>9.5</v>
      </c>
      <c r="AI472">
        <v>6.5</v>
      </c>
      <c r="AJ472">
        <v>10.9</v>
      </c>
      <c r="AK472">
        <v>7.2199450000000001</v>
      </c>
    </row>
    <row r="473" spans="1:37" x14ac:dyDescent="0.2">
      <c r="A473" s="6">
        <v>34425</v>
      </c>
      <c r="B473">
        <v>10.06194</v>
      </c>
      <c r="D473">
        <v>9.8000000000000007</v>
      </c>
      <c r="E473">
        <v>10.9</v>
      </c>
      <c r="F473">
        <v>7.5841570000000003</v>
      </c>
      <c r="G473">
        <v>4.3</v>
      </c>
      <c r="H473">
        <v>8.6</v>
      </c>
      <c r="I473">
        <v>8</v>
      </c>
      <c r="J473">
        <v>22.2</v>
      </c>
      <c r="L473">
        <v>17</v>
      </c>
      <c r="M473">
        <v>12.5</v>
      </c>
      <c r="N473">
        <v>9.7490769999999998</v>
      </c>
      <c r="Q473">
        <v>14.8</v>
      </c>
      <c r="T473">
        <v>10.5</v>
      </c>
      <c r="U473">
        <v>2.8</v>
      </c>
      <c r="V473">
        <v>2.7</v>
      </c>
      <c r="W473">
        <v>3.4</v>
      </c>
      <c r="Y473">
        <v>3.6</v>
      </c>
      <c r="Z473">
        <v>6.9</v>
      </c>
      <c r="AA473">
        <v>6.1</v>
      </c>
      <c r="AD473">
        <v>7.5</v>
      </c>
      <c r="AG473">
        <v>9.3000000000000007</v>
      </c>
      <c r="AI473">
        <v>6.4</v>
      </c>
      <c r="AJ473">
        <v>10.9</v>
      </c>
      <c r="AK473">
        <v>7.1763199999999996</v>
      </c>
    </row>
    <row r="474" spans="1:37" x14ac:dyDescent="0.2">
      <c r="A474" s="6">
        <v>34455</v>
      </c>
      <c r="B474">
        <v>9.7667149999999996</v>
      </c>
      <c r="D474">
        <v>9.8000000000000007</v>
      </c>
      <c r="E474">
        <v>10.7</v>
      </c>
      <c r="F474">
        <v>7.6750480000000003</v>
      </c>
      <c r="G474">
        <v>4.2</v>
      </c>
      <c r="H474">
        <v>8.5</v>
      </c>
      <c r="I474">
        <v>7.8</v>
      </c>
      <c r="J474">
        <v>22.2</v>
      </c>
      <c r="L474">
        <v>17.100000000000001</v>
      </c>
      <c r="M474">
        <v>12.4</v>
      </c>
      <c r="N474">
        <v>9.7064570000000003</v>
      </c>
      <c r="Q474">
        <v>14.7</v>
      </c>
      <c r="T474">
        <v>10.6</v>
      </c>
      <c r="U474">
        <v>2.8</v>
      </c>
      <c r="V474">
        <v>2.5</v>
      </c>
      <c r="W474">
        <v>3.3</v>
      </c>
      <c r="Y474">
        <v>3.3</v>
      </c>
      <c r="Z474">
        <v>7</v>
      </c>
      <c r="AA474">
        <v>6.2</v>
      </c>
      <c r="AD474">
        <v>7.6</v>
      </c>
      <c r="AG474">
        <v>9.1999999999999993</v>
      </c>
      <c r="AI474">
        <v>6.1</v>
      </c>
      <c r="AJ474">
        <v>10.9</v>
      </c>
      <c r="AK474">
        <v>7.0101589999999998</v>
      </c>
    </row>
    <row r="475" spans="1:37" x14ac:dyDescent="0.2">
      <c r="A475" s="6">
        <v>34486</v>
      </c>
      <c r="B475">
        <v>9.8210510000000006</v>
      </c>
      <c r="D475">
        <v>9.8000000000000007</v>
      </c>
      <c r="E475">
        <v>10.3</v>
      </c>
      <c r="F475">
        <v>7.7280290000000003</v>
      </c>
      <c r="G475">
        <v>4.4000000000000004</v>
      </c>
      <c r="H475">
        <v>8.5</v>
      </c>
      <c r="I475">
        <v>7.7</v>
      </c>
      <c r="J475">
        <v>22.2</v>
      </c>
      <c r="L475">
        <v>17.100000000000001</v>
      </c>
      <c r="M475">
        <v>12.3</v>
      </c>
      <c r="N475">
        <v>9.5864989999999999</v>
      </c>
      <c r="Q475">
        <v>14.5</v>
      </c>
      <c r="T475">
        <v>10.6</v>
      </c>
      <c r="U475">
        <v>2.8</v>
      </c>
      <c r="V475">
        <v>2.4</v>
      </c>
      <c r="W475">
        <v>3.2</v>
      </c>
      <c r="Y475">
        <v>3.4</v>
      </c>
      <c r="Z475">
        <v>7.1</v>
      </c>
      <c r="AA475">
        <v>6.1</v>
      </c>
      <c r="AD475">
        <v>7.6</v>
      </c>
      <c r="AG475">
        <v>9.6</v>
      </c>
      <c r="AI475">
        <v>6.1</v>
      </c>
      <c r="AJ475">
        <v>10.9</v>
      </c>
      <c r="AK475">
        <v>6.9986100000000002</v>
      </c>
    </row>
    <row r="476" spans="1:37" x14ac:dyDescent="0.2">
      <c r="A476" s="6">
        <v>34516</v>
      </c>
      <c r="B476">
        <v>9.6282250000000005</v>
      </c>
      <c r="D476">
        <v>9.8000000000000007</v>
      </c>
      <c r="E476">
        <v>10.1</v>
      </c>
      <c r="F476">
        <v>7.7108590000000001</v>
      </c>
      <c r="G476">
        <v>4.2</v>
      </c>
      <c r="H476">
        <v>8.5</v>
      </c>
      <c r="I476">
        <v>7.6</v>
      </c>
      <c r="J476">
        <v>22.1</v>
      </c>
      <c r="L476">
        <v>16.899999999999999</v>
      </c>
      <c r="M476">
        <v>12.3</v>
      </c>
      <c r="N476">
        <v>9.5396129999999992</v>
      </c>
      <c r="Q476">
        <v>14.4</v>
      </c>
      <c r="T476">
        <v>10.4</v>
      </c>
      <c r="U476">
        <v>2.9</v>
      </c>
      <c r="V476">
        <v>2.4</v>
      </c>
      <c r="W476">
        <v>3.2</v>
      </c>
      <c r="Y476">
        <v>3.5</v>
      </c>
      <c r="Z476">
        <v>7.2</v>
      </c>
      <c r="AA476">
        <v>5.9</v>
      </c>
      <c r="AD476">
        <v>7.7</v>
      </c>
      <c r="AG476">
        <v>9.4</v>
      </c>
      <c r="AI476">
        <v>6.1</v>
      </c>
      <c r="AJ476">
        <v>10.9</v>
      </c>
      <c r="AK476">
        <v>6.9891690000000004</v>
      </c>
    </row>
    <row r="477" spans="1:37" x14ac:dyDescent="0.2">
      <c r="A477" s="6">
        <v>34547</v>
      </c>
      <c r="B477">
        <v>9.445055</v>
      </c>
      <c r="D477">
        <v>9.8000000000000007</v>
      </c>
      <c r="E477">
        <v>10.199999999999999</v>
      </c>
      <c r="F477">
        <v>7.8976160000000002</v>
      </c>
      <c r="G477">
        <v>4.5</v>
      </c>
      <c r="H477">
        <v>8.4</v>
      </c>
      <c r="I477">
        <v>7.5</v>
      </c>
      <c r="J477">
        <v>22</v>
      </c>
      <c r="L477">
        <v>16.5</v>
      </c>
      <c r="M477">
        <v>12.2</v>
      </c>
      <c r="N477">
        <v>9.3597850000000005</v>
      </c>
      <c r="Q477">
        <v>14.1</v>
      </c>
      <c r="T477">
        <v>10.4</v>
      </c>
      <c r="U477">
        <v>3</v>
      </c>
      <c r="V477">
        <v>2.4</v>
      </c>
      <c r="W477">
        <v>3.1</v>
      </c>
      <c r="Y477">
        <v>3.6</v>
      </c>
      <c r="Z477">
        <v>7.3</v>
      </c>
      <c r="AA477">
        <v>5.8</v>
      </c>
      <c r="AD477">
        <v>7.6</v>
      </c>
      <c r="AG477">
        <v>9.3000000000000007</v>
      </c>
      <c r="AI477">
        <v>6</v>
      </c>
      <c r="AJ477">
        <v>10.8</v>
      </c>
      <c r="AK477">
        <v>6.9513569999999998</v>
      </c>
    </row>
    <row r="478" spans="1:37" x14ac:dyDescent="0.2">
      <c r="A478" s="6">
        <v>34578</v>
      </c>
      <c r="B478">
        <v>9.35337</v>
      </c>
      <c r="D478">
        <v>9.8000000000000007</v>
      </c>
      <c r="E478">
        <v>10.1</v>
      </c>
      <c r="F478">
        <v>8.2278330000000004</v>
      </c>
      <c r="G478">
        <v>4.4000000000000004</v>
      </c>
      <c r="H478">
        <v>8.4</v>
      </c>
      <c r="I478">
        <v>7.4</v>
      </c>
      <c r="J478">
        <v>22</v>
      </c>
      <c r="L478">
        <v>16.2</v>
      </c>
      <c r="M478">
        <v>12.1</v>
      </c>
      <c r="N478">
        <v>9.2579879999999992</v>
      </c>
      <c r="Q478">
        <v>13.9</v>
      </c>
      <c r="T478">
        <v>10.4</v>
      </c>
      <c r="U478">
        <v>3</v>
      </c>
      <c r="V478">
        <v>2.5</v>
      </c>
      <c r="W478">
        <v>3.1</v>
      </c>
      <c r="Y478">
        <v>3.6</v>
      </c>
      <c r="Z478">
        <v>7.4</v>
      </c>
      <c r="AA478">
        <v>6</v>
      </c>
      <c r="AD478">
        <v>7.7</v>
      </c>
      <c r="AG478">
        <v>9</v>
      </c>
      <c r="AI478">
        <v>5.9</v>
      </c>
      <c r="AJ478">
        <v>10.8</v>
      </c>
      <c r="AK478">
        <v>6.8740100000000002</v>
      </c>
    </row>
    <row r="479" spans="1:37" x14ac:dyDescent="0.2">
      <c r="A479" s="6">
        <v>34608</v>
      </c>
      <c r="B479">
        <v>9.0926840000000002</v>
      </c>
      <c r="D479">
        <v>9.8000000000000007</v>
      </c>
      <c r="E479">
        <v>10</v>
      </c>
      <c r="F479">
        <v>8.482545</v>
      </c>
      <c r="G479">
        <v>4.4000000000000004</v>
      </c>
      <c r="H479">
        <v>8.3000000000000007</v>
      </c>
      <c r="I479">
        <v>7.3</v>
      </c>
      <c r="J479">
        <v>21.8</v>
      </c>
      <c r="L479">
        <v>15.9</v>
      </c>
      <c r="M479">
        <v>12.1</v>
      </c>
      <c r="N479">
        <v>9.0788010000000003</v>
      </c>
      <c r="Q479">
        <v>13.7</v>
      </c>
      <c r="T479">
        <v>11.1</v>
      </c>
      <c r="U479">
        <v>3</v>
      </c>
      <c r="V479">
        <v>2.2999999999999998</v>
      </c>
      <c r="W479">
        <v>3.1</v>
      </c>
      <c r="Y479">
        <v>3.9</v>
      </c>
      <c r="Z479">
        <v>7.5</v>
      </c>
      <c r="AA479">
        <v>5.9</v>
      </c>
      <c r="AD479">
        <v>7.8</v>
      </c>
      <c r="AG479">
        <v>9</v>
      </c>
      <c r="AI479">
        <v>5.8</v>
      </c>
      <c r="AJ479">
        <v>10.9</v>
      </c>
      <c r="AK479">
        <v>6.8487429999999998</v>
      </c>
    </row>
    <row r="480" spans="1:37" x14ac:dyDescent="0.2">
      <c r="A480" s="6">
        <v>34639</v>
      </c>
      <c r="B480">
        <v>9.1429270000000002</v>
      </c>
      <c r="D480">
        <v>9.6999999999999993</v>
      </c>
      <c r="E480">
        <v>9.6999999999999993</v>
      </c>
      <c r="F480">
        <v>8.3731419999999996</v>
      </c>
      <c r="G480">
        <v>4.3</v>
      </c>
      <c r="H480">
        <v>8.3000000000000007</v>
      </c>
      <c r="I480">
        <v>7.2</v>
      </c>
      <c r="J480">
        <v>21.8</v>
      </c>
      <c r="L480">
        <v>15.7</v>
      </c>
      <c r="M480">
        <v>12</v>
      </c>
      <c r="N480">
        <v>8.9637799999999999</v>
      </c>
      <c r="Q480">
        <v>13.5</v>
      </c>
      <c r="T480">
        <v>11.1</v>
      </c>
      <c r="U480">
        <v>2.9</v>
      </c>
      <c r="V480">
        <v>2.2000000000000002</v>
      </c>
      <c r="W480">
        <v>3</v>
      </c>
      <c r="Y480">
        <v>4.0999999999999996</v>
      </c>
      <c r="Z480">
        <v>7.7</v>
      </c>
      <c r="AA480">
        <v>6</v>
      </c>
      <c r="AD480">
        <v>7.8</v>
      </c>
      <c r="AG480">
        <v>9</v>
      </c>
      <c r="AI480">
        <v>5.6</v>
      </c>
      <c r="AJ480">
        <v>10.8</v>
      </c>
      <c r="AK480">
        <v>6.7127230000000004</v>
      </c>
    </row>
    <row r="481" spans="1:37" x14ac:dyDescent="0.2">
      <c r="A481" s="6">
        <v>34669</v>
      </c>
      <c r="B481">
        <v>8.9352269999999994</v>
      </c>
      <c r="D481">
        <v>9.6999999999999993</v>
      </c>
      <c r="E481">
        <v>9.6</v>
      </c>
      <c r="F481">
        <v>8.1146940000000001</v>
      </c>
      <c r="G481">
        <v>4.3</v>
      </c>
      <c r="H481">
        <v>8.1999999999999993</v>
      </c>
      <c r="I481">
        <v>7.1</v>
      </c>
      <c r="J481">
        <v>21.6</v>
      </c>
      <c r="L481">
        <v>15.5</v>
      </c>
      <c r="M481">
        <v>11.9</v>
      </c>
      <c r="N481">
        <v>8.8925990000000006</v>
      </c>
      <c r="Q481">
        <v>13.2</v>
      </c>
      <c r="T481">
        <v>11.2</v>
      </c>
      <c r="U481">
        <v>2.9</v>
      </c>
      <c r="V481">
        <v>2.2000000000000002</v>
      </c>
      <c r="W481">
        <v>2.9</v>
      </c>
      <c r="Y481">
        <v>4</v>
      </c>
      <c r="Z481">
        <v>7.8</v>
      </c>
      <c r="AA481">
        <v>6</v>
      </c>
      <c r="AD481">
        <v>7.8</v>
      </c>
      <c r="AG481">
        <v>9</v>
      </c>
      <c r="AI481">
        <v>5.5</v>
      </c>
      <c r="AJ481">
        <v>10.8</v>
      </c>
      <c r="AK481">
        <v>6.6439979999999998</v>
      </c>
    </row>
    <row r="482" spans="1:37" x14ac:dyDescent="0.2">
      <c r="A482" s="6">
        <v>34700</v>
      </c>
      <c r="B482">
        <v>8.8574310000000001</v>
      </c>
      <c r="D482">
        <v>9.6999999999999993</v>
      </c>
      <c r="E482">
        <v>9.6</v>
      </c>
      <c r="F482">
        <v>7.8038340000000002</v>
      </c>
      <c r="G482">
        <v>4.2</v>
      </c>
      <c r="H482">
        <v>8.1999999999999993</v>
      </c>
      <c r="I482">
        <v>7</v>
      </c>
      <c r="J482">
        <v>21.4</v>
      </c>
      <c r="L482">
        <v>15.3</v>
      </c>
      <c r="M482">
        <v>11.8</v>
      </c>
      <c r="N482">
        <v>8.8715759999999992</v>
      </c>
      <c r="Q482">
        <v>12.9</v>
      </c>
      <c r="T482">
        <v>11.2</v>
      </c>
      <c r="U482">
        <v>3</v>
      </c>
      <c r="V482">
        <v>2.1</v>
      </c>
      <c r="W482">
        <v>2.9</v>
      </c>
      <c r="Y482">
        <v>4.4000000000000004</v>
      </c>
      <c r="Z482">
        <v>8</v>
      </c>
      <c r="AA482">
        <v>6</v>
      </c>
      <c r="AD482">
        <v>7.9</v>
      </c>
      <c r="AG482">
        <v>9</v>
      </c>
      <c r="AI482">
        <v>5.6</v>
      </c>
      <c r="AJ482">
        <v>10.7</v>
      </c>
      <c r="AK482">
        <v>6.6923599999999999</v>
      </c>
    </row>
    <row r="483" spans="1:37" x14ac:dyDescent="0.2">
      <c r="A483" s="6">
        <v>34731</v>
      </c>
      <c r="B483">
        <v>8.8235340000000004</v>
      </c>
      <c r="D483">
        <v>9.6999999999999993</v>
      </c>
      <c r="E483">
        <v>9.6</v>
      </c>
      <c r="F483">
        <v>7.6685509999999999</v>
      </c>
      <c r="G483">
        <v>4.2</v>
      </c>
      <c r="H483">
        <v>8.1</v>
      </c>
      <c r="I483">
        <v>6.9</v>
      </c>
      <c r="J483">
        <v>21.2</v>
      </c>
      <c r="L483">
        <v>15.1</v>
      </c>
      <c r="M483">
        <v>11.8</v>
      </c>
      <c r="N483">
        <v>8.8655190000000008</v>
      </c>
      <c r="Q483">
        <v>12.7</v>
      </c>
      <c r="T483">
        <v>11.2</v>
      </c>
      <c r="U483">
        <v>3</v>
      </c>
      <c r="V483">
        <v>2.2000000000000002</v>
      </c>
      <c r="W483">
        <v>2.9</v>
      </c>
      <c r="Y483">
        <v>5.0999999999999996</v>
      </c>
      <c r="Z483">
        <v>8.1</v>
      </c>
      <c r="AA483">
        <v>6</v>
      </c>
      <c r="AD483">
        <v>8</v>
      </c>
      <c r="AG483">
        <v>8.8000000000000007</v>
      </c>
      <c r="AI483">
        <v>5.4</v>
      </c>
      <c r="AJ483">
        <v>10.7</v>
      </c>
      <c r="AK483">
        <v>6.6258710000000001</v>
      </c>
    </row>
    <row r="484" spans="1:37" x14ac:dyDescent="0.2">
      <c r="A484" s="6">
        <v>34759</v>
      </c>
      <c r="B484">
        <v>8.6169039999999999</v>
      </c>
      <c r="D484">
        <v>9.6</v>
      </c>
      <c r="E484">
        <v>9.6999999999999993</v>
      </c>
      <c r="F484">
        <v>7.3858319999999997</v>
      </c>
      <c r="G484">
        <v>4.2</v>
      </c>
      <c r="H484">
        <v>8.1</v>
      </c>
      <c r="I484">
        <v>6.8</v>
      </c>
      <c r="J484">
        <v>20.9</v>
      </c>
      <c r="L484">
        <v>14.9</v>
      </c>
      <c r="M484">
        <v>11.8</v>
      </c>
      <c r="N484">
        <v>8.8308949999999999</v>
      </c>
      <c r="Q484">
        <v>12.5</v>
      </c>
      <c r="T484">
        <v>11.3</v>
      </c>
      <c r="U484">
        <v>3.1</v>
      </c>
      <c r="V484">
        <v>2.1</v>
      </c>
      <c r="W484">
        <v>2.8</v>
      </c>
      <c r="Y484">
        <v>5.6</v>
      </c>
      <c r="Z484">
        <v>8.1999999999999993</v>
      </c>
      <c r="AA484">
        <v>5.8</v>
      </c>
      <c r="AD484">
        <v>8</v>
      </c>
      <c r="AG484">
        <v>8.6999999999999993</v>
      </c>
      <c r="AI484">
        <v>5.4</v>
      </c>
      <c r="AJ484">
        <v>10.6</v>
      </c>
      <c r="AK484">
        <v>6.6485519999999996</v>
      </c>
    </row>
    <row r="485" spans="1:37" x14ac:dyDescent="0.2">
      <c r="A485" s="6">
        <v>34790</v>
      </c>
      <c r="B485">
        <v>8.2666459999999997</v>
      </c>
      <c r="D485">
        <v>9.6</v>
      </c>
      <c r="E485">
        <v>9.5</v>
      </c>
      <c r="F485">
        <v>7.4639759999999997</v>
      </c>
      <c r="G485">
        <v>4.0999999999999996</v>
      </c>
      <c r="H485">
        <v>8.1</v>
      </c>
      <c r="I485">
        <v>6.8</v>
      </c>
      <c r="J485">
        <v>20.6</v>
      </c>
      <c r="L485">
        <v>14.8</v>
      </c>
      <c r="M485">
        <v>11.8</v>
      </c>
      <c r="N485">
        <v>8.7666059999999995</v>
      </c>
      <c r="Q485">
        <v>12.3</v>
      </c>
      <c r="T485">
        <v>11.1</v>
      </c>
      <c r="U485">
        <v>3.1</v>
      </c>
      <c r="V485">
        <v>2</v>
      </c>
      <c r="W485">
        <v>2.8</v>
      </c>
      <c r="Y485">
        <v>6.1</v>
      </c>
      <c r="Z485">
        <v>8.3000000000000007</v>
      </c>
      <c r="AA485">
        <v>5.7</v>
      </c>
      <c r="AD485">
        <v>8</v>
      </c>
      <c r="AG485">
        <v>8.8000000000000007</v>
      </c>
      <c r="AI485">
        <v>5.8</v>
      </c>
      <c r="AJ485">
        <v>10.6</v>
      </c>
      <c r="AK485">
        <v>6.7644950000000001</v>
      </c>
    </row>
    <row r="486" spans="1:37" x14ac:dyDescent="0.2">
      <c r="A486" s="6">
        <v>34820</v>
      </c>
      <c r="B486">
        <v>8.4744229999999998</v>
      </c>
      <c r="D486">
        <v>9.6</v>
      </c>
      <c r="E486">
        <v>9.5</v>
      </c>
      <c r="F486">
        <v>7.4158869999999997</v>
      </c>
      <c r="G486">
        <v>4.0999999999999996</v>
      </c>
      <c r="H486">
        <v>8.1</v>
      </c>
      <c r="I486">
        <v>6.8</v>
      </c>
      <c r="J486">
        <v>20.5</v>
      </c>
      <c r="L486">
        <v>14.8</v>
      </c>
      <c r="M486">
        <v>11.9</v>
      </c>
      <c r="N486">
        <v>8.6640160000000002</v>
      </c>
      <c r="Q486">
        <v>12.2</v>
      </c>
      <c r="T486">
        <v>11.1</v>
      </c>
      <c r="U486">
        <v>3</v>
      </c>
      <c r="V486">
        <v>2.1</v>
      </c>
      <c r="W486">
        <v>2.8</v>
      </c>
      <c r="Y486">
        <v>6.5</v>
      </c>
      <c r="Z486">
        <v>8.4</v>
      </c>
      <c r="AA486">
        <v>5.5</v>
      </c>
      <c r="AD486">
        <v>7.9</v>
      </c>
      <c r="AG486">
        <v>8.6</v>
      </c>
      <c r="AI486">
        <v>5.6</v>
      </c>
      <c r="AJ486">
        <v>10.6</v>
      </c>
      <c r="AK486">
        <v>6.6924469999999996</v>
      </c>
    </row>
    <row r="487" spans="1:37" x14ac:dyDescent="0.2">
      <c r="A487" s="6">
        <v>34851</v>
      </c>
      <c r="B487">
        <v>8.3542009999999998</v>
      </c>
      <c r="D487">
        <v>9.6</v>
      </c>
      <c r="E487">
        <v>9.5</v>
      </c>
      <c r="F487">
        <v>7.4036140000000001</v>
      </c>
      <c r="G487">
        <v>4.2</v>
      </c>
      <c r="H487">
        <v>8.1</v>
      </c>
      <c r="I487">
        <v>6.8</v>
      </c>
      <c r="J487">
        <v>20.6</v>
      </c>
      <c r="L487">
        <v>14.9</v>
      </c>
      <c r="M487">
        <v>11.9</v>
      </c>
      <c r="N487">
        <v>8.668533</v>
      </c>
      <c r="Q487">
        <v>12.2</v>
      </c>
      <c r="T487">
        <v>11.1</v>
      </c>
      <c r="U487">
        <v>3.1</v>
      </c>
      <c r="V487">
        <v>2</v>
      </c>
      <c r="W487">
        <v>2.8</v>
      </c>
      <c r="Y487">
        <v>6.7</v>
      </c>
      <c r="Z487">
        <v>8.4</v>
      </c>
      <c r="AA487">
        <v>5.4</v>
      </c>
      <c r="AD487">
        <v>7.8</v>
      </c>
      <c r="AG487">
        <v>8.6999999999999993</v>
      </c>
      <c r="AI487">
        <v>5.6</v>
      </c>
      <c r="AJ487">
        <v>10.6</v>
      </c>
      <c r="AK487">
        <v>6.7088679999999998</v>
      </c>
    </row>
    <row r="488" spans="1:37" x14ac:dyDescent="0.2">
      <c r="A488" s="6">
        <v>34881</v>
      </c>
      <c r="B488">
        <v>8.4248089999999998</v>
      </c>
      <c r="D488">
        <v>9.6</v>
      </c>
      <c r="E488">
        <v>9.6</v>
      </c>
      <c r="F488">
        <v>7.2314040000000004</v>
      </c>
      <c r="G488">
        <v>4.0999999999999996</v>
      </c>
      <c r="H488">
        <v>8.1999999999999993</v>
      </c>
      <c r="I488">
        <v>6.7</v>
      </c>
      <c r="J488">
        <v>20.7</v>
      </c>
      <c r="L488">
        <v>15</v>
      </c>
      <c r="M488">
        <v>11.9</v>
      </c>
      <c r="N488">
        <v>8.6241540000000008</v>
      </c>
      <c r="Q488">
        <v>12.1</v>
      </c>
      <c r="T488">
        <v>11.1</v>
      </c>
      <c r="U488">
        <v>3.1</v>
      </c>
      <c r="V488">
        <v>2</v>
      </c>
      <c r="W488">
        <v>2.8</v>
      </c>
      <c r="Y488">
        <v>6.8</v>
      </c>
      <c r="Z488">
        <v>8.4</v>
      </c>
      <c r="AA488">
        <v>5.3</v>
      </c>
      <c r="AD488">
        <v>7.8</v>
      </c>
      <c r="AG488">
        <v>8.6</v>
      </c>
      <c r="AI488">
        <v>5.7</v>
      </c>
      <c r="AJ488">
        <v>10.6</v>
      </c>
      <c r="AK488">
        <v>6.7555959999999997</v>
      </c>
    </row>
    <row r="489" spans="1:37" x14ac:dyDescent="0.2">
      <c r="A489" s="6">
        <v>34912</v>
      </c>
      <c r="B489">
        <v>8.3201239999999999</v>
      </c>
      <c r="D489">
        <v>9.6999999999999993</v>
      </c>
      <c r="E489">
        <v>9.5</v>
      </c>
      <c r="F489">
        <v>7.0519590000000001</v>
      </c>
      <c r="G489">
        <v>4</v>
      </c>
      <c r="H489">
        <v>8.3000000000000007</v>
      </c>
      <c r="I489">
        <v>6.7</v>
      </c>
      <c r="J489">
        <v>20.8</v>
      </c>
      <c r="L489">
        <v>15</v>
      </c>
      <c r="M489">
        <v>12</v>
      </c>
      <c r="N489">
        <v>8.6480270000000008</v>
      </c>
      <c r="Q489">
        <v>12.1</v>
      </c>
      <c r="T489">
        <v>11.2</v>
      </c>
      <c r="U489">
        <v>3.2</v>
      </c>
      <c r="V489">
        <v>2.1</v>
      </c>
      <c r="W489">
        <v>2.8</v>
      </c>
      <c r="Y489">
        <v>7.6</v>
      </c>
      <c r="Z489">
        <v>8.4</v>
      </c>
      <c r="AA489">
        <v>5.3</v>
      </c>
      <c r="AD489">
        <v>7.8</v>
      </c>
      <c r="AG489">
        <v>8.6999999999999993</v>
      </c>
      <c r="AI489">
        <v>5.7</v>
      </c>
      <c r="AJ489">
        <v>10.6</v>
      </c>
      <c r="AK489">
        <v>6.7783800000000003</v>
      </c>
    </row>
    <row r="490" spans="1:37" x14ac:dyDescent="0.2">
      <c r="A490" s="6">
        <v>34943</v>
      </c>
      <c r="B490">
        <v>8.3621259999999999</v>
      </c>
      <c r="D490">
        <v>9.6999999999999993</v>
      </c>
      <c r="E490">
        <v>9.1999999999999993</v>
      </c>
      <c r="F490">
        <v>6.9377370000000003</v>
      </c>
      <c r="G490">
        <v>3.8</v>
      </c>
      <c r="H490">
        <v>8.3000000000000007</v>
      </c>
      <c r="I490">
        <v>6.7</v>
      </c>
      <c r="J490">
        <v>20.9</v>
      </c>
      <c r="L490">
        <v>15</v>
      </c>
      <c r="M490">
        <v>12.1</v>
      </c>
      <c r="N490">
        <v>8.6112409999999997</v>
      </c>
      <c r="Q490">
        <v>12.1</v>
      </c>
      <c r="T490">
        <v>11.2</v>
      </c>
      <c r="U490">
        <v>3.2</v>
      </c>
      <c r="V490">
        <v>2.2000000000000002</v>
      </c>
      <c r="W490">
        <v>2.9</v>
      </c>
      <c r="Y490">
        <v>6.7</v>
      </c>
      <c r="Z490">
        <v>8.4</v>
      </c>
      <c r="AA490">
        <v>5.2</v>
      </c>
      <c r="AD490">
        <v>7.8</v>
      </c>
      <c r="AG490">
        <v>8.6999999999999993</v>
      </c>
      <c r="AI490">
        <v>5.6</v>
      </c>
      <c r="AJ490">
        <v>10.7</v>
      </c>
      <c r="AK490">
        <v>6.7629789999999996</v>
      </c>
    </row>
    <row r="491" spans="1:37" x14ac:dyDescent="0.2">
      <c r="A491" s="6">
        <v>34973</v>
      </c>
      <c r="B491">
        <v>8.5751369999999998</v>
      </c>
      <c r="D491">
        <v>9.8000000000000007</v>
      </c>
      <c r="E491">
        <v>9.3000000000000007</v>
      </c>
      <c r="F491">
        <v>6.8951099999999999</v>
      </c>
      <c r="G491">
        <v>4</v>
      </c>
      <c r="H491">
        <v>8.4</v>
      </c>
      <c r="I491">
        <v>6.6</v>
      </c>
      <c r="J491">
        <v>20.7</v>
      </c>
      <c r="L491">
        <v>15.1</v>
      </c>
      <c r="M491">
        <v>12.1</v>
      </c>
      <c r="N491">
        <v>8.5521890000000003</v>
      </c>
      <c r="Q491">
        <v>12.1</v>
      </c>
      <c r="T491">
        <v>11.1</v>
      </c>
      <c r="U491">
        <v>3.2</v>
      </c>
      <c r="V491">
        <v>2.2000000000000002</v>
      </c>
      <c r="W491">
        <v>2.9</v>
      </c>
      <c r="Y491">
        <v>6.6</v>
      </c>
      <c r="Z491">
        <v>8.4</v>
      </c>
      <c r="AA491">
        <v>5.0999999999999996</v>
      </c>
      <c r="AD491">
        <v>8</v>
      </c>
      <c r="AG491">
        <v>8.9</v>
      </c>
      <c r="AI491">
        <v>5.5</v>
      </c>
      <c r="AJ491">
        <v>10.7</v>
      </c>
      <c r="AK491">
        <v>6.7196160000000003</v>
      </c>
    </row>
    <row r="492" spans="1:37" x14ac:dyDescent="0.2">
      <c r="A492" s="6">
        <v>35004</v>
      </c>
      <c r="B492">
        <v>8.4518149999999999</v>
      </c>
      <c r="D492">
        <v>9.8000000000000007</v>
      </c>
      <c r="E492">
        <v>9.1999999999999993</v>
      </c>
      <c r="F492">
        <v>7.0984800000000003</v>
      </c>
      <c r="G492">
        <v>3.6</v>
      </c>
      <c r="H492">
        <v>8.4</v>
      </c>
      <c r="I492">
        <v>6.7</v>
      </c>
      <c r="J492">
        <v>20.7</v>
      </c>
      <c r="L492">
        <v>15.2</v>
      </c>
      <c r="M492">
        <v>12.2</v>
      </c>
      <c r="N492">
        <v>8.3038900000000009</v>
      </c>
      <c r="Q492">
        <v>12.1</v>
      </c>
      <c r="T492">
        <v>11.1</v>
      </c>
      <c r="U492">
        <v>3.4</v>
      </c>
      <c r="V492">
        <v>2</v>
      </c>
      <c r="W492">
        <v>2.9</v>
      </c>
      <c r="Y492">
        <v>6.4</v>
      </c>
      <c r="Z492">
        <v>8.3000000000000007</v>
      </c>
      <c r="AA492">
        <v>5</v>
      </c>
      <c r="AD492">
        <v>8</v>
      </c>
      <c r="AG492">
        <v>9</v>
      </c>
      <c r="AI492">
        <v>5.6</v>
      </c>
      <c r="AJ492">
        <v>10.7</v>
      </c>
      <c r="AK492">
        <v>6.7727170000000001</v>
      </c>
    </row>
    <row r="493" spans="1:37" x14ac:dyDescent="0.2">
      <c r="A493" s="6">
        <v>35034</v>
      </c>
      <c r="B493">
        <v>8.1440640000000002</v>
      </c>
      <c r="D493">
        <v>9.8000000000000007</v>
      </c>
      <c r="E493">
        <v>9.4</v>
      </c>
      <c r="F493">
        <v>7.5181060000000004</v>
      </c>
      <c r="G493">
        <v>3.6</v>
      </c>
      <c r="H493">
        <v>8.5</v>
      </c>
      <c r="I493">
        <v>6.6</v>
      </c>
      <c r="J493">
        <v>20.5</v>
      </c>
      <c r="L493">
        <v>15.3</v>
      </c>
      <c r="M493">
        <v>12.2</v>
      </c>
      <c r="N493">
        <v>8.3789350000000002</v>
      </c>
      <c r="Q493">
        <v>12.1</v>
      </c>
      <c r="T493">
        <v>11.1</v>
      </c>
      <c r="U493">
        <v>3.4</v>
      </c>
      <c r="V493">
        <v>1.9</v>
      </c>
      <c r="W493">
        <v>2.9</v>
      </c>
      <c r="Y493">
        <v>6.6</v>
      </c>
      <c r="Z493">
        <v>8.3000000000000007</v>
      </c>
      <c r="AA493">
        <v>5.0999999999999996</v>
      </c>
      <c r="AD493">
        <v>8</v>
      </c>
      <c r="AG493">
        <v>9</v>
      </c>
      <c r="AI493">
        <v>5.6</v>
      </c>
      <c r="AJ493">
        <v>10.7</v>
      </c>
      <c r="AK493">
        <v>6.804411</v>
      </c>
    </row>
    <row r="494" spans="1:37" x14ac:dyDescent="0.2">
      <c r="A494" s="6">
        <v>35065</v>
      </c>
      <c r="B494">
        <v>8.4544700000000006</v>
      </c>
      <c r="D494">
        <v>9.9</v>
      </c>
      <c r="E494">
        <v>9.4</v>
      </c>
      <c r="F494">
        <v>7.4855340000000004</v>
      </c>
      <c r="G494">
        <v>3.9</v>
      </c>
      <c r="H494">
        <v>8.5</v>
      </c>
      <c r="I494">
        <v>6.6</v>
      </c>
      <c r="J494">
        <v>20.399999999999999</v>
      </c>
      <c r="L494">
        <v>15.2</v>
      </c>
      <c r="M494">
        <v>12.3</v>
      </c>
      <c r="N494">
        <v>8.3173200000000005</v>
      </c>
      <c r="P494">
        <v>10.3</v>
      </c>
      <c r="Q494">
        <v>12.1</v>
      </c>
      <c r="T494">
        <v>11</v>
      </c>
      <c r="U494">
        <v>3.5</v>
      </c>
      <c r="V494">
        <v>1.9</v>
      </c>
      <c r="W494">
        <v>3</v>
      </c>
      <c r="Y494">
        <v>6.2</v>
      </c>
      <c r="Z494">
        <v>8.1999999999999993</v>
      </c>
      <c r="AA494">
        <v>4.8</v>
      </c>
      <c r="AD494">
        <v>8</v>
      </c>
      <c r="AF494">
        <v>7.2</v>
      </c>
      <c r="AG494">
        <v>8.6999999999999993</v>
      </c>
      <c r="AI494">
        <v>5.6</v>
      </c>
      <c r="AJ494">
        <v>10.7</v>
      </c>
      <c r="AK494">
        <v>6.8335369999999998</v>
      </c>
    </row>
    <row r="495" spans="1:37" x14ac:dyDescent="0.2">
      <c r="A495" s="6">
        <v>35096</v>
      </c>
      <c r="B495">
        <v>8.3267779999999991</v>
      </c>
      <c r="D495">
        <v>9.9</v>
      </c>
      <c r="E495">
        <v>9.5</v>
      </c>
      <c r="F495">
        <v>6.8612580000000003</v>
      </c>
      <c r="G495">
        <v>3.4</v>
      </c>
      <c r="H495">
        <v>8.6</v>
      </c>
      <c r="I495">
        <v>6.7</v>
      </c>
      <c r="J495">
        <v>20.3</v>
      </c>
      <c r="L495">
        <v>15.1</v>
      </c>
      <c r="M495">
        <v>12.3</v>
      </c>
      <c r="N495">
        <v>8.2342010000000005</v>
      </c>
      <c r="P495">
        <v>10.1</v>
      </c>
      <c r="Q495">
        <v>12</v>
      </c>
      <c r="T495">
        <v>11</v>
      </c>
      <c r="U495">
        <v>3.4</v>
      </c>
      <c r="V495">
        <v>1.9</v>
      </c>
      <c r="W495">
        <v>3</v>
      </c>
      <c r="Y495">
        <v>6.1</v>
      </c>
      <c r="Z495">
        <v>8.1</v>
      </c>
      <c r="AA495">
        <v>5</v>
      </c>
      <c r="AD495">
        <v>8</v>
      </c>
      <c r="AF495">
        <v>7.1</v>
      </c>
      <c r="AG495">
        <v>9.1999999999999993</v>
      </c>
      <c r="AI495">
        <v>5.5</v>
      </c>
      <c r="AJ495">
        <v>10.8</v>
      </c>
      <c r="AK495">
        <v>6.7565540000000004</v>
      </c>
    </row>
    <row r="496" spans="1:37" x14ac:dyDescent="0.2">
      <c r="A496" s="6">
        <v>35125</v>
      </c>
      <c r="B496">
        <v>8.4209750000000003</v>
      </c>
      <c r="D496">
        <v>9.8000000000000007</v>
      </c>
      <c r="E496">
        <v>9.6</v>
      </c>
      <c r="F496">
        <v>6.3372549999999999</v>
      </c>
      <c r="G496">
        <v>3.6</v>
      </c>
      <c r="H496">
        <v>8.6</v>
      </c>
      <c r="I496">
        <v>6.7</v>
      </c>
      <c r="J496">
        <v>20.3</v>
      </c>
      <c r="L496">
        <v>13.9</v>
      </c>
      <c r="M496">
        <v>12.3</v>
      </c>
      <c r="N496">
        <v>8.294613</v>
      </c>
      <c r="P496">
        <v>10</v>
      </c>
      <c r="Q496">
        <v>11.9</v>
      </c>
      <c r="T496">
        <v>11</v>
      </c>
      <c r="U496">
        <v>3.2</v>
      </c>
      <c r="V496">
        <v>2</v>
      </c>
      <c r="W496">
        <v>3.1</v>
      </c>
      <c r="Y496">
        <v>5.8</v>
      </c>
      <c r="Z496">
        <v>8</v>
      </c>
      <c r="AA496">
        <v>5</v>
      </c>
      <c r="AD496">
        <v>8.1</v>
      </c>
      <c r="AF496">
        <v>7</v>
      </c>
      <c r="AG496">
        <v>9.1</v>
      </c>
      <c r="AI496">
        <v>5.5</v>
      </c>
      <c r="AJ496">
        <v>10.8</v>
      </c>
      <c r="AK496">
        <v>6.736599</v>
      </c>
    </row>
    <row r="497" spans="1:37" x14ac:dyDescent="0.2">
      <c r="A497" s="6">
        <v>35156</v>
      </c>
      <c r="B497">
        <v>8.5782469999999993</v>
      </c>
      <c r="D497">
        <v>9.8000000000000007</v>
      </c>
      <c r="E497">
        <v>9.3000000000000007</v>
      </c>
      <c r="F497">
        <v>6.2369380000000003</v>
      </c>
      <c r="G497">
        <v>4.0999999999999996</v>
      </c>
      <c r="H497">
        <v>8.6999999999999993</v>
      </c>
      <c r="I497">
        <v>6.7</v>
      </c>
      <c r="J497">
        <v>20.100000000000001</v>
      </c>
      <c r="L497">
        <v>14.1</v>
      </c>
      <c r="M497">
        <v>12.3</v>
      </c>
      <c r="N497">
        <v>8.2797499999999999</v>
      </c>
      <c r="P497">
        <v>10</v>
      </c>
      <c r="Q497">
        <v>11.9</v>
      </c>
      <c r="T497">
        <v>11.3</v>
      </c>
      <c r="U497">
        <v>3.4</v>
      </c>
      <c r="V497">
        <v>2</v>
      </c>
      <c r="W497">
        <v>3.1</v>
      </c>
      <c r="Y497">
        <v>5.8</v>
      </c>
      <c r="Z497">
        <v>7.9</v>
      </c>
      <c r="AA497">
        <v>5</v>
      </c>
      <c r="AD497">
        <v>8.1999999999999993</v>
      </c>
      <c r="AF497">
        <v>7</v>
      </c>
      <c r="AG497">
        <v>9.4</v>
      </c>
      <c r="AI497">
        <v>5.6</v>
      </c>
      <c r="AJ497">
        <v>10.8</v>
      </c>
      <c r="AK497">
        <v>6.808738</v>
      </c>
    </row>
    <row r="498" spans="1:37" x14ac:dyDescent="0.2">
      <c r="A498" s="6">
        <v>35186</v>
      </c>
      <c r="B498">
        <v>8.4142080000000004</v>
      </c>
      <c r="D498">
        <v>9.6999999999999993</v>
      </c>
      <c r="E498">
        <v>9.1999999999999993</v>
      </c>
      <c r="F498">
        <v>6.2960060000000002</v>
      </c>
      <c r="G498">
        <v>3.8</v>
      </c>
      <c r="H498">
        <v>8.8000000000000007</v>
      </c>
      <c r="I498">
        <v>6.5</v>
      </c>
      <c r="J498">
        <v>20.100000000000001</v>
      </c>
      <c r="L498">
        <v>14.4</v>
      </c>
      <c r="M498">
        <v>12.4</v>
      </c>
      <c r="N498">
        <v>8.2548700000000004</v>
      </c>
      <c r="P498">
        <v>10</v>
      </c>
      <c r="Q498">
        <v>11.8</v>
      </c>
      <c r="T498">
        <v>11.3</v>
      </c>
      <c r="U498">
        <v>3.4</v>
      </c>
      <c r="V498">
        <v>2</v>
      </c>
      <c r="W498">
        <v>3.1</v>
      </c>
      <c r="Y498">
        <v>5.4</v>
      </c>
      <c r="Z498">
        <v>7.8</v>
      </c>
      <c r="AA498">
        <v>4.8</v>
      </c>
      <c r="AD498">
        <v>8.1999999999999993</v>
      </c>
      <c r="AF498">
        <v>7</v>
      </c>
      <c r="AG498">
        <v>9.5</v>
      </c>
      <c r="AI498">
        <v>5.6</v>
      </c>
      <c r="AJ498">
        <v>10.8</v>
      </c>
      <c r="AK498">
        <v>6.8287779999999998</v>
      </c>
    </row>
    <row r="499" spans="1:37" x14ac:dyDescent="0.2">
      <c r="A499" s="6">
        <v>35217</v>
      </c>
      <c r="B499">
        <v>8.2553830000000001</v>
      </c>
      <c r="D499">
        <v>9.5</v>
      </c>
      <c r="E499">
        <v>9.8000000000000007</v>
      </c>
      <c r="F499">
        <v>6.5497129999999997</v>
      </c>
      <c r="G499">
        <v>3.8</v>
      </c>
      <c r="H499">
        <v>8.8000000000000007</v>
      </c>
      <c r="I499">
        <v>6.4</v>
      </c>
      <c r="J499">
        <v>20.2</v>
      </c>
      <c r="L499">
        <v>14.7</v>
      </c>
      <c r="M499">
        <v>12.4</v>
      </c>
      <c r="N499">
        <v>8.172542</v>
      </c>
      <c r="P499">
        <v>10</v>
      </c>
      <c r="Q499">
        <v>11.8</v>
      </c>
      <c r="T499">
        <v>11.3</v>
      </c>
      <c r="U499">
        <v>3.4</v>
      </c>
      <c r="V499">
        <v>2.1</v>
      </c>
      <c r="W499">
        <v>3</v>
      </c>
      <c r="Y499">
        <v>5.6</v>
      </c>
      <c r="Z499">
        <v>7.7</v>
      </c>
      <c r="AA499">
        <v>4.7</v>
      </c>
      <c r="AD499">
        <v>8.1</v>
      </c>
      <c r="AF499">
        <v>6.9</v>
      </c>
      <c r="AG499">
        <v>9.6</v>
      </c>
      <c r="AI499">
        <v>5.3</v>
      </c>
      <c r="AJ499">
        <v>10.8</v>
      </c>
      <c r="AK499">
        <v>6.7402939999999996</v>
      </c>
    </row>
    <row r="500" spans="1:37" x14ac:dyDescent="0.2">
      <c r="A500" s="6">
        <v>35247</v>
      </c>
      <c r="B500">
        <v>8.5668930000000003</v>
      </c>
      <c r="D500">
        <v>9.5</v>
      </c>
      <c r="E500">
        <v>9.6999999999999993</v>
      </c>
      <c r="F500">
        <v>6.4580599999999997</v>
      </c>
      <c r="G500">
        <v>4</v>
      </c>
      <c r="H500">
        <v>8.9</v>
      </c>
      <c r="I500">
        <v>6.5</v>
      </c>
      <c r="J500">
        <v>20.100000000000001</v>
      </c>
      <c r="L500">
        <v>14.9</v>
      </c>
      <c r="M500">
        <v>12.4</v>
      </c>
      <c r="N500">
        <v>8.0611730000000001</v>
      </c>
      <c r="P500">
        <v>9.9</v>
      </c>
      <c r="Q500">
        <v>11.7</v>
      </c>
      <c r="T500">
        <v>11.1</v>
      </c>
      <c r="U500">
        <v>3.4</v>
      </c>
      <c r="V500">
        <v>2</v>
      </c>
      <c r="W500">
        <v>2.9</v>
      </c>
      <c r="Y500">
        <v>5.4</v>
      </c>
      <c r="Z500">
        <v>7.6</v>
      </c>
      <c r="AA500">
        <v>4.7</v>
      </c>
      <c r="AD500">
        <v>8</v>
      </c>
      <c r="AF500">
        <v>6.8</v>
      </c>
      <c r="AG500">
        <v>9.5</v>
      </c>
      <c r="AI500">
        <v>5.5</v>
      </c>
      <c r="AJ500">
        <v>10.8</v>
      </c>
      <c r="AK500">
        <v>6.7844899999999999</v>
      </c>
    </row>
    <row r="501" spans="1:37" x14ac:dyDescent="0.2">
      <c r="A501" s="6">
        <v>35278</v>
      </c>
      <c r="B501">
        <v>8.7196060000000006</v>
      </c>
      <c r="D501">
        <v>9.4</v>
      </c>
      <c r="E501">
        <v>9.4</v>
      </c>
      <c r="F501">
        <v>6.2699160000000003</v>
      </c>
      <c r="G501">
        <v>3.9</v>
      </c>
      <c r="H501">
        <v>9</v>
      </c>
      <c r="I501">
        <v>6.3</v>
      </c>
      <c r="J501">
        <v>19.8</v>
      </c>
      <c r="L501">
        <v>14.9</v>
      </c>
      <c r="M501">
        <v>12.4</v>
      </c>
      <c r="N501">
        <v>8.0614869999999996</v>
      </c>
      <c r="P501">
        <v>9.8000000000000007</v>
      </c>
      <c r="Q501">
        <v>11.7</v>
      </c>
      <c r="T501">
        <v>11.1</v>
      </c>
      <c r="U501">
        <v>3.3</v>
      </c>
      <c r="V501">
        <v>2.1</v>
      </c>
      <c r="W501">
        <v>2.8</v>
      </c>
      <c r="Y501">
        <v>5.3</v>
      </c>
      <c r="Z501">
        <v>7.5</v>
      </c>
      <c r="AA501">
        <v>4.8</v>
      </c>
      <c r="AD501">
        <v>7.9</v>
      </c>
      <c r="AF501">
        <v>6.7</v>
      </c>
      <c r="AG501">
        <v>9.9</v>
      </c>
      <c r="AI501">
        <v>5.0999999999999996</v>
      </c>
      <c r="AJ501">
        <v>10.8</v>
      </c>
      <c r="AK501">
        <v>6.6353289999999996</v>
      </c>
    </row>
    <row r="502" spans="1:37" x14ac:dyDescent="0.2">
      <c r="A502" s="6">
        <v>35309</v>
      </c>
      <c r="B502">
        <v>8.5756449999999997</v>
      </c>
      <c r="D502">
        <v>9.4</v>
      </c>
      <c r="E502">
        <v>9.9</v>
      </c>
      <c r="F502">
        <v>5.9619730000000004</v>
      </c>
      <c r="G502">
        <v>3.9</v>
      </c>
      <c r="H502">
        <v>9.1</v>
      </c>
      <c r="I502">
        <v>6</v>
      </c>
      <c r="J502">
        <v>19.7</v>
      </c>
      <c r="L502">
        <v>14.8</v>
      </c>
      <c r="M502">
        <v>12.5</v>
      </c>
      <c r="N502">
        <v>8.0520150000000008</v>
      </c>
      <c r="P502">
        <v>9.6999999999999993</v>
      </c>
      <c r="Q502">
        <v>11.5</v>
      </c>
      <c r="T502">
        <v>11.1</v>
      </c>
      <c r="U502">
        <v>3.3</v>
      </c>
      <c r="V502">
        <v>2</v>
      </c>
      <c r="W502">
        <v>2.8</v>
      </c>
      <c r="Y502">
        <v>5.4</v>
      </c>
      <c r="Z502">
        <v>7.4</v>
      </c>
      <c r="AA502">
        <v>4.7</v>
      </c>
      <c r="AD502">
        <v>7.9</v>
      </c>
      <c r="AF502">
        <v>6.8</v>
      </c>
      <c r="AG502">
        <v>9.8000000000000007</v>
      </c>
      <c r="AI502">
        <v>5.2</v>
      </c>
      <c r="AJ502">
        <v>10.8</v>
      </c>
      <c r="AK502">
        <v>6.6889719999999997</v>
      </c>
    </row>
    <row r="503" spans="1:37" x14ac:dyDescent="0.2">
      <c r="A503" s="6">
        <v>35339</v>
      </c>
      <c r="B503">
        <v>8.7594340000000006</v>
      </c>
      <c r="D503">
        <v>9.3000000000000007</v>
      </c>
      <c r="E503">
        <v>9.9</v>
      </c>
      <c r="F503">
        <v>5.9629529999999997</v>
      </c>
      <c r="G503">
        <v>4.0999999999999996</v>
      </c>
      <c r="H503">
        <v>9.1999999999999993</v>
      </c>
      <c r="I503">
        <v>5.9</v>
      </c>
      <c r="J503">
        <v>19.5</v>
      </c>
      <c r="L503">
        <v>14.6</v>
      </c>
      <c r="M503">
        <v>12.5</v>
      </c>
      <c r="N503">
        <v>7.9546349999999997</v>
      </c>
      <c r="P503">
        <v>9.5</v>
      </c>
      <c r="Q503">
        <v>11.3</v>
      </c>
      <c r="T503">
        <v>11.2</v>
      </c>
      <c r="U503">
        <v>3.4</v>
      </c>
      <c r="V503">
        <v>2.1</v>
      </c>
      <c r="W503">
        <v>2.8</v>
      </c>
      <c r="Y503">
        <v>5</v>
      </c>
      <c r="Z503">
        <v>7.3</v>
      </c>
      <c r="AA503">
        <v>4.5999999999999996</v>
      </c>
      <c r="AD503">
        <v>7.9</v>
      </c>
      <c r="AF503">
        <v>6.8</v>
      </c>
      <c r="AG503">
        <v>9.8000000000000007</v>
      </c>
      <c r="AI503">
        <v>5.2</v>
      </c>
      <c r="AJ503">
        <v>10.8</v>
      </c>
      <c r="AK503">
        <v>6.7259679999999999</v>
      </c>
    </row>
    <row r="504" spans="1:37" x14ac:dyDescent="0.2">
      <c r="A504" s="6">
        <v>35370</v>
      </c>
      <c r="B504">
        <v>8.4702870000000008</v>
      </c>
      <c r="D504">
        <v>9.1999999999999993</v>
      </c>
      <c r="E504">
        <v>9.9</v>
      </c>
      <c r="F504">
        <v>5.8715789999999997</v>
      </c>
      <c r="G504">
        <v>4</v>
      </c>
      <c r="H504">
        <v>9.3000000000000007</v>
      </c>
      <c r="I504">
        <v>5.8</v>
      </c>
      <c r="J504">
        <v>19.3</v>
      </c>
      <c r="L504">
        <v>14.4</v>
      </c>
      <c r="M504">
        <v>12.5</v>
      </c>
      <c r="N504">
        <v>7.8416940000000004</v>
      </c>
      <c r="P504">
        <v>9.4</v>
      </c>
      <c r="Q504">
        <v>11.1</v>
      </c>
      <c r="T504">
        <v>11.2</v>
      </c>
      <c r="U504">
        <v>3.3</v>
      </c>
      <c r="V504">
        <v>2.2000000000000002</v>
      </c>
      <c r="W504">
        <v>2.8</v>
      </c>
      <c r="Y504">
        <v>5.0999999999999996</v>
      </c>
      <c r="Z504">
        <v>7.2</v>
      </c>
      <c r="AA504">
        <v>4.5999999999999996</v>
      </c>
      <c r="AD504">
        <v>7.8</v>
      </c>
      <c r="AF504">
        <v>6.8</v>
      </c>
      <c r="AG504">
        <v>9.9</v>
      </c>
      <c r="AI504">
        <v>5.4</v>
      </c>
      <c r="AJ504">
        <v>10.8</v>
      </c>
      <c r="AK504">
        <v>6.7661259999999999</v>
      </c>
    </row>
    <row r="505" spans="1:37" x14ac:dyDescent="0.2">
      <c r="A505" s="6">
        <v>35400</v>
      </c>
      <c r="B505">
        <v>8.6307349999999996</v>
      </c>
      <c r="D505">
        <v>9.1999999999999993</v>
      </c>
      <c r="E505">
        <v>9.6999999999999993</v>
      </c>
      <c r="F505">
        <v>5.925605</v>
      </c>
      <c r="G505">
        <v>4.2</v>
      </c>
      <c r="H505">
        <v>9.4</v>
      </c>
      <c r="I505">
        <v>5.7</v>
      </c>
      <c r="J505">
        <v>19.100000000000001</v>
      </c>
      <c r="L505">
        <v>13.6</v>
      </c>
      <c r="M505">
        <v>12.5</v>
      </c>
      <c r="N505">
        <v>7.6703929999999998</v>
      </c>
      <c r="P505">
        <v>9.4</v>
      </c>
      <c r="Q505">
        <v>11</v>
      </c>
      <c r="T505">
        <v>11.2</v>
      </c>
      <c r="U505">
        <v>3.4</v>
      </c>
      <c r="V505">
        <v>2.2999999999999998</v>
      </c>
      <c r="W505">
        <v>2.8</v>
      </c>
      <c r="Y505">
        <v>4.4000000000000004</v>
      </c>
      <c r="Z505">
        <v>7.1</v>
      </c>
      <c r="AA505">
        <v>4.5999999999999996</v>
      </c>
      <c r="AD505">
        <v>7.8</v>
      </c>
      <c r="AF505">
        <v>6.8</v>
      </c>
      <c r="AG505">
        <v>10.1</v>
      </c>
      <c r="AI505">
        <v>5.4</v>
      </c>
      <c r="AJ505">
        <v>10.8</v>
      </c>
      <c r="AK505">
        <v>6.7790330000000001</v>
      </c>
    </row>
    <row r="506" spans="1:37" x14ac:dyDescent="0.2">
      <c r="A506" s="6">
        <v>35431</v>
      </c>
      <c r="B506">
        <v>8.5664449999999999</v>
      </c>
      <c r="D506">
        <v>9.1</v>
      </c>
      <c r="E506">
        <v>9.5</v>
      </c>
      <c r="F506">
        <v>5.9073419999999999</v>
      </c>
      <c r="G506">
        <v>4.2</v>
      </c>
      <c r="H506">
        <v>9.5</v>
      </c>
      <c r="I506">
        <v>5.6</v>
      </c>
      <c r="J506">
        <v>18.8</v>
      </c>
      <c r="K506">
        <v>10.199999999999999</v>
      </c>
      <c r="L506">
        <v>13.5</v>
      </c>
      <c r="M506">
        <v>12.5</v>
      </c>
      <c r="N506">
        <v>7.4899889999999996</v>
      </c>
      <c r="P506">
        <v>9.1</v>
      </c>
      <c r="Q506">
        <v>10.8</v>
      </c>
      <c r="T506">
        <v>11.2</v>
      </c>
      <c r="U506">
        <v>3.3</v>
      </c>
      <c r="V506">
        <v>2.4</v>
      </c>
      <c r="W506">
        <v>2.7</v>
      </c>
      <c r="Y506">
        <v>4.3</v>
      </c>
      <c r="Z506">
        <v>7</v>
      </c>
      <c r="AA506">
        <v>4.5999999999999996</v>
      </c>
      <c r="AC506">
        <v>11.8</v>
      </c>
      <c r="AD506">
        <v>7.9</v>
      </c>
      <c r="AF506">
        <v>6.8</v>
      </c>
      <c r="AG506">
        <v>10</v>
      </c>
      <c r="AI506">
        <v>5.3</v>
      </c>
      <c r="AJ506">
        <v>10.8</v>
      </c>
      <c r="AK506">
        <v>6.7202469999999996</v>
      </c>
    </row>
    <row r="507" spans="1:37" x14ac:dyDescent="0.2">
      <c r="A507" s="6">
        <v>35462</v>
      </c>
      <c r="B507">
        <v>8.7026319999999995</v>
      </c>
      <c r="D507">
        <v>9.1</v>
      </c>
      <c r="E507">
        <v>9.5</v>
      </c>
      <c r="F507">
        <v>6.1230140000000004</v>
      </c>
      <c r="G507">
        <v>4.0999999999999996</v>
      </c>
      <c r="H507">
        <v>9.5</v>
      </c>
      <c r="I507">
        <v>5.5</v>
      </c>
      <c r="J507">
        <v>18.7</v>
      </c>
      <c r="K507">
        <v>10.199999999999999</v>
      </c>
      <c r="L507">
        <v>13.4</v>
      </c>
      <c r="M507">
        <v>12.5</v>
      </c>
      <c r="N507">
        <v>7.3233610000000002</v>
      </c>
      <c r="P507">
        <v>9.1999999999999993</v>
      </c>
      <c r="Q507">
        <v>10.6</v>
      </c>
      <c r="T507">
        <v>11.3</v>
      </c>
      <c r="U507">
        <v>3.4</v>
      </c>
      <c r="V507">
        <v>2.6</v>
      </c>
      <c r="W507">
        <v>2.6</v>
      </c>
      <c r="Y507">
        <v>3.8</v>
      </c>
      <c r="Z507">
        <v>6.9</v>
      </c>
      <c r="AA507">
        <v>4</v>
      </c>
      <c r="AC507">
        <v>11.5</v>
      </c>
      <c r="AD507">
        <v>7.9</v>
      </c>
      <c r="AF507">
        <v>6.7</v>
      </c>
      <c r="AG507">
        <v>10.4</v>
      </c>
      <c r="AI507">
        <v>5.2</v>
      </c>
      <c r="AJ507">
        <v>10.9</v>
      </c>
      <c r="AK507">
        <v>6.7058049999999998</v>
      </c>
    </row>
    <row r="508" spans="1:37" x14ac:dyDescent="0.2">
      <c r="A508" s="6">
        <v>35490</v>
      </c>
      <c r="B508">
        <v>8.5921959999999995</v>
      </c>
      <c r="D508">
        <v>9.1</v>
      </c>
      <c r="E508">
        <v>9.3000000000000007</v>
      </c>
      <c r="F508">
        <v>6.2133919999999998</v>
      </c>
      <c r="G508">
        <v>4.0999999999999996</v>
      </c>
      <c r="H508">
        <v>9.6</v>
      </c>
      <c r="I508">
        <v>5.3</v>
      </c>
      <c r="J508">
        <v>18.600000000000001</v>
      </c>
      <c r="K508">
        <v>10.199999999999999</v>
      </c>
      <c r="L508">
        <v>13.3</v>
      </c>
      <c r="M508">
        <v>12.5</v>
      </c>
      <c r="N508">
        <v>7.2052949999999996</v>
      </c>
      <c r="P508">
        <v>9.1</v>
      </c>
      <c r="Q508">
        <v>10.5</v>
      </c>
      <c r="T508">
        <v>11.3</v>
      </c>
      <c r="U508">
        <v>3.3</v>
      </c>
      <c r="V508">
        <v>3</v>
      </c>
      <c r="W508">
        <v>2.6</v>
      </c>
      <c r="Y508">
        <v>4.0999999999999996</v>
      </c>
      <c r="Z508">
        <v>6.8</v>
      </c>
      <c r="AA508">
        <v>4</v>
      </c>
      <c r="AC508">
        <v>11.3</v>
      </c>
      <c r="AD508">
        <v>7.7</v>
      </c>
      <c r="AF508">
        <v>6.7</v>
      </c>
      <c r="AG508">
        <v>10.4</v>
      </c>
      <c r="AI508">
        <v>5.2</v>
      </c>
      <c r="AJ508">
        <v>10.8</v>
      </c>
      <c r="AK508">
        <v>6.6325940000000001</v>
      </c>
    </row>
    <row r="509" spans="1:37" x14ac:dyDescent="0.2">
      <c r="A509" s="6">
        <v>35521</v>
      </c>
      <c r="B509">
        <v>8.5678859999999997</v>
      </c>
      <c r="D509">
        <v>9.1</v>
      </c>
      <c r="E509">
        <v>9.4</v>
      </c>
      <c r="F509">
        <v>6.3149740000000003</v>
      </c>
      <c r="G509">
        <v>4.5</v>
      </c>
      <c r="H509">
        <v>9.6999999999999993</v>
      </c>
      <c r="I509">
        <v>5.2</v>
      </c>
      <c r="J509">
        <v>18.600000000000001</v>
      </c>
      <c r="K509">
        <v>9.6999999999999993</v>
      </c>
      <c r="L509">
        <v>13.2</v>
      </c>
      <c r="M509">
        <v>12.4</v>
      </c>
      <c r="N509">
        <v>7.1848029999999996</v>
      </c>
      <c r="P509">
        <v>9.1</v>
      </c>
      <c r="Q509">
        <v>10.4</v>
      </c>
      <c r="T509">
        <v>11.4</v>
      </c>
      <c r="U509">
        <v>3.2</v>
      </c>
      <c r="V509">
        <v>2.7</v>
      </c>
      <c r="W509">
        <v>2.5</v>
      </c>
      <c r="Y509">
        <v>4</v>
      </c>
      <c r="Z509">
        <v>6.7</v>
      </c>
      <c r="AA509">
        <v>4.0999999999999996</v>
      </c>
      <c r="AC509">
        <v>11.1</v>
      </c>
      <c r="AD509">
        <v>7.5</v>
      </c>
      <c r="AF509">
        <v>6.7</v>
      </c>
      <c r="AG509">
        <v>10.199999999999999</v>
      </c>
      <c r="AI509">
        <v>5.0999999999999996</v>
      </c>
      <c r="AJ509">
        <v>10.9</v>
      </c>
      <c r="AK509">
        <v>6.6038579999999998</v>
      </c>
    </row>
    <row r="510" spans="1:37" x14ac:dyDescent="0.2">
      <c r="A510" s="6">
        <v>35551</v>
      </c>
      <c r="B510">
        <v>8.5473879999999998</v>
      </c>
      <c r="D510">
        <v>9.1</v>
      </c>
      <c r="E510">
        <v>9.4</v>
      </c>
      <c r="F510">
        <v>6.3189109999999999</v>
      </c>
      <c r="G510">
        <v>4.5999999999999996</v>
      </c>
      <c r="H510">
        <v>9.6999999999999993</v>
      </c>
      <c r="I510">
        <v>5.3</v>
      </c>
      <c r="J510">
        <v>18.7</v>
      </c>
      <c r="K510">
        <v>9.6999999999999993</v>
      </c>
      <c r="L510">
        <v>13</v>
      </c>
      <c r="M510">
        <v>12.4</v>
      </c>
      <c r="N510">
        <v>7.179729</v>
      </c>
      <c r="P510">
        <v>9</v>
      </c>
      <c r="Q510">
        <v>10.199999999999999</v>
      </c>
      <c r="T510">
        <v>11.4</v>
      </c>
      <c r="U510">
        <v>3.4</v>
      </c>
      <c r="V510">
        <v>2.6</v>
      </c>
      <c r="W510">
        <v>2.6</v>
      </c>
      <c r="Y510">
        <v>4</v>
      </c>
      <c r="Z510">
        <v>6.6</v>
      </c>
      <c r="AA510">
        <v>4.2</v>
      </c>
      <c r="AC510">
        <v>10.9</v>
      </c>
      <c r="AD510">
        <v>7.4</v>
      </c>
      <c r="AF510">
        <v>6.8</v>
      </c>
      <c r="AG510">
        <v>10.199999999999999</v>
      </c>
      <c r="AI510">
        <v>4.9000000000000004</v>
      </c>
      <c r="AJ510">
        <v>10.8</v>
      </c>
      <c r="AK510">
        <v>6.5686159999999996</v>
      </c>
    </row>
    <row r="511" spans="1:37" x14ac:dyDescent="0.2">
      <c r="A511" s="6">
        <v>35582</v>
      </c>
      <c r="B511">
        <v>8.3317040000000002</v>
      </c>
      <c r="D511">
        <v>9.1999999999999993</v>
      </c>
      <c r="E511">
        <v>9.1</v>
      </c>
      <c r="F511">
        <v>6.2333590000000001</v>
      </c>
      <c r="G511">
        <v>4.8</v>
      </c>
      <c r="H511">
        <v>9.6999999999999993</v>
      </c>
      <c r="I511">
        <v>5.2</v>
      </c>
      <c r="J511">
        <v>18.8</v>
      </c>
      <c r="K511">
        <v>9.6999999999999993</v>
      </c>
      <c r="L511">
        <v>12.7</v>
      </c>
      <c r="M511">
        <v>12.4</v>
      </c>
      <c r="N511">
        <v>7.2904410000000004</v>
      </c>
      <c r="P511">
        <v>9</v>
      </c>
      <c r="Q511">
        <v>10</v>
      </c>
      <c r="T511">
        <v>11.4</v>
      </c>
      <c r="U511">
        <v>3.4</v>
      </c>
      <c r="V511">
        <v>2.4</v>
      </c>
      <c r="W511">
        <v>2.7</v>
      </c>
      <c r="Y511">
        <v>3.6</v>
      </c>
      <c r="Z511">
        <v>6.5</v>
      </c>
      <c r="AA511">
        <v>4.0999999999999996</v>
      </c>
      <c r="AC511">
        <v>10.9</v>
      </c>
      <c r="AD511">
        <v>7.4</v>
      </c>
      <c r="AF511">
        <v>6.9</v>
      </c>
      <c r="AG511">
        <v>10.5</v>
      </c>
      <c r="AI511">
        <v>5</v>
      </c>
      <c r="AJ511">
        <v>10.8</v>
      </c>
      <c r="AK511">
        <v>6.5940380000000003</v>
      </c>
    </row>
    <row r="512" spans="1:37" x14ac:dyDescent="0.2">
      <c r="A512" s="6">
        <v>35612</v>
      </c>
      <c r="B512">
        <v>8.5888170000000006</v>
      </c>
      <c r="D512">
        <v>9.3000000000000007</v>
      </c>
      <c r="E512">
        <v>8.9</v>
      </c>
      <c r="F512">
        <v>6.1411249999999997</v>
      </c>
      <c r="G512">
        <v>4.9000000000000004</v>
      </c>
      <c r="H512">
        <v>9.6999999999999993</v>
      </c>
      <c r="I512">
        <v>5.2</v>
      </c>
      <c r="J512">
        <v>18.600000000000001</v>
      </c>
      <c r="K512">
        <v>9.5</v>
      </c>
      <c r="L512">
        <v>12.5</v>
      </c>
      <c r="M512">
        <v>12.4</v>
      </c>
      <c r="N512">
        <v>7.087726</v>
      </c>
      <c r="P512">
        <v>9</v>
      </c>
      <c r="Q512">
        <v>9.8000000000000007</v>
      </c>
      <c r="T512">
        <v>11</v>
      </c>
      <c r="U512">
        <v>3.4</v>
      </c>
      <c r="V512">
        <v>2.4</v>
      </c>
      <c r="W512">
        <v>2.7</v>
      </c>
      <c r="Y512">
        <v>4</v>
      </c>
      <c r="Z512">
        <v>6.4</v>
      </c>
      <c r="AA512">
        <v>4</v>
      </c>
      <c r="AC512">
        <v>10.8</v>
      </c>
      <c r="AD512">
        <v>7.6</v>
      </c>
      <c r="AF512">
        <v>7</v>
      </c>
      <c r="AG512">
        <v>10.1</v>
      </c>
      <c r="AI512">
        <v>4.9000000000000004</v>
      </c>
      <c r="AJ512">
        <v>10.7</v>
      </c>
      <c r="AK512">
        <v>6.4977590000000003</v>
      </c>
    </row>
    <row r="513" spans="1:37" x14ac:dyDescent="0.2">
      <c r="A513" s="6">
        <v>35643</v>
      </c>
      <c r="B513">
        <v>8.4650499999999997</v>
      </c>
      <c r="D513">
        <v>9.3000000000000007</v>
      </c>
      <c r="E513">
        <v>8.9</v>
      </c>
      <c r="F513">
        <v>6.2093040000000004</v>
      </c>
      <c r="G513">
        <v>4.9000000000000004</v>
      </c>
      <c r="H513">
        <v>9.6999999999999993</v>
      </c>
      <c r="I513">
        <v>5.2</v>
      </c>
      <c r="J513">
        <v>18.3</v>
      </c>
      <c r="K513">
        <v>9.5</v>
      </c>
      <c r="L513">
        <v>12.3</v>
      </c>
      <c r="M513">
        <v>12.3</v>
      </c>
      <c r="N513">
        <v>6.8400509999999999</v>
      </c>
      <c r="P513">
        <v>9</v>
      </c>
      <c r="Q513">
        <v>9.6</v>
      </c>
      <c r="T513">
        <v>11</v>
      </c>
      <c r="U513">
        <v>3.4</v>
      </c>
      <c r="V513">
        <v>2.4</v>
      </c>
      <c r="W513">
        <v>2.7</v>
      </c>
      <c r="Y513">
        <v>3.6</v>
      </c>
      <c r="Z513">
        <v>6.3</v>
      </c>
      <c r="AA513">
        <v>3.8</v>
      </c>
      <c r="AC513">
        <v>10.7</v>
      </c>
      <c r="AD513">
        <v>7.6</v>
      </c>
      <c r="AF513">
        <v>7.1</v>
      </c>
      <c r="AG513">
        <v>9.6</v>
      </c>
      <c r="AI513">
        <v>4.8</v>
      </c>
      <c r="AJ513">
        <v>10.7</v>
      </c>
      <c r="AK513">
        <v>6.4554679999999998</v>
      </c>
    </row>
    <row r="514" spans="1:37" x14ac:dyDescent="0.2">
      <c r="A514" s="6">
        <v>35674</v>
      </c>
      <c r="B514">
        <v>8.0674100000000006</v>
      </c>
      <c r="D514">
        <v>9.3000000000000007</v>
      </c>
      <c r="E514">
        <v>8.8000000000000007</v>
      </c>
      <c r="F514">
        <v>6.168361</v>
      </c>
      <c r="G514">
        <v>5</v>
      </c>
      <c r="H514">
        <v>9.6999999999999993</v>
      </c>
      <c r="I514">
        <v>5.0999999999999996</v>
      </c>
      <c r="J514">
        <v>18.3</v>
      </c>
      <c r="K514">
        <v>9.5</v>
      </c>
      <c r="L514">
        <v>12.2</v>
      </c>
      <c r="M514">
        <v>12.3</v>
      </c>
      <c r="N514">
        <v>6.6948829999999999</v>
      </c>
      <c r="P514">
        <v>9</v>
      </c>
      <c r="Q514">
        <v>9.4</v>
      </c>
      <c r="T514">
        <v>11</v>
      </c>
      <c r="U514">
        <v>3.5</v>
      </c>
      <c r="V514">
        <v>2.5</v>
      </c>
      <c r="W514">
        <v>2.8</v>
      </c>
      <c r="Y514">
        <v>3.4</v>
      </c>
      <c r="Z514">
        <v>6.2</v>
      </c>
      <c r="AA514">
        <v>3.7</v>
      </c>
      <c r="AC514">
        <v>10.5</v>
      </c>
      <c r="AD514">
        <v>7.5</v>
      </c>
      <c r="AF514">
        <v>7.1</v>
      </c>
      <c r="AG514">
        <v>9.5</v>
      </c>
      <c r="AI514">
        <v>4.9000000000000004</v>
      </c>
      <c r="AJ514">
        <v>10.7</v>
      </c>
      <c r="AK514">
        <v>6.4670269999999999</v>
      </c>
    </row>
    <row r="515" spans="1:37" x14ac:dyDescent="0.2">
      <c r="A515" s="6">
        <v>35704</v>
      </c>
      <c r="B515">
        <v>8.0330359999999992</v>
      </c>
      <c r="D515">
        <v>9.3000000000000007</v>
      </c>
      <c r="E515">
        <v>8.9</v>
      </c>
      <c r="F515">
        <v>6.0520509999999996</v>
      </c>
      <c r="G515">
        <v>5.0999999999999996</v>
      </c>
      <c r="H515">
        <v>9.6999999999999993</v>
      </c>
      <c r="I515">
        <v>5.0999999999999996</v>
      </c>
      <c r="J515">
        <v>18</v>
      </c>
      <c r="K515">
        <v>9.1999999999999993</v>
      </c>
      <c r="L515">
        <v>12.1</v>
      </c>
      <c r="M515">
        <v>12.2</v>
      </c>
      <c r="N515">
        <v>6.6183009999999998</v>
      </c>
      <c r="P515">
        <v>9</v>
      </c>
      <c r="Q515">
        <v>9.1999999999999993</v>
      </c>
      <c r="T515">
        <v>11.3</v>
      </c>
      <c r="U515">
        <v>3.5</v>
      </c>
      <c r="V515">
        <v>2.4</v>
      </c>
      <c r="W515">
        <v>2.8</v>
      </c>
      <c r="Y515">
        <v>3.3</v>
      </c>
      <c r="Z515">
        <v>6.1</v>
      </c>
      <c r="AA515">
        <v>3.5</v>
      </c>
      <c r="AC515">
        <v>10.4</v>
      </c>
      <c r="AD515">
        <v>7.4</v>
      </c>
      <c r="AF515">
        <v>7.1</v>
      </c>
      <c r="AG515">
        <v>9.4</v>
      </c>
      <c r="AI515">
        <v>4.7</v>
      </c>
      <c r="AJ515">
        <v>10.7</v>
      </c>
      <c r="AK515">
        <v>6.42685</v>
      </c>
    </row>
    <row r="516" spans="1:37" x14ac:dyDescent="0.2">
      <c r="A516" s="6">
        <v>35735</v>
      </c>
      <c r="B516">
        <v>7.9864649999999999</v>
      </c>
      <c r="D516">
        <v>9.3000000000000007</v>
      </c>
      <c r="E516">
        <v>8.9</v>
      </c>
      <c r="F516">
        <v>5.8229790000000001</v>
      </c>
      <c r="G516">
        <v>5.4</v>
      </c>
      <c r="H516">
        <v>9.6999999999999993</v>
      </c>
      <c r="I516">
        <v>5.0999999999999996</v>
      </c>
      <c r="J516">
        <v>17.8</v>
      </c>
      <c r="K516">
        <v>9.1999999999999993</v>
      </c>
      <c r="L516">
        <v>12</v>
      </c>
      <c r="M516">
        <v>12.2</v>
      </c>
      <c r="N516">
        <v>6.5409480000000002</v>
      </c>
      <c r="P516">
        <v>9.1</v>
      </c>
      <c r="Q516">
        <v>9</v>
      </c>
      <c r="T516">
        <v>11.3</v>
      </c>
      <c r="U516">
        <v>3.5</v>
      </c>
      <c r="V516">
        <v>2.9</v>
      </c>
      <c r="W516">
        <v>2.8</v>
      </c>
      <c r="Y516">
        <v>3.4</v>
      </c>
      <c r="Z516">
        <v>5.9</v>
      </c>
      <c r="AA516">
        <v>3.5</v>
      </c>
      <c r="AC516">
        <v>10.199999999999999</v>
      </c>
      <c r="AD516">
        <v>7.2</v>
      </c>
      <c r="AF516">
        <v>7.1</v>
      </c>
      <c r="AG516">
        <v>9.1999999999999993</v>
      </c>
      <c r="AI516">
        <v>4.5999999999999996</v>
      </c>
      <c r="AJ516">
        <v>10.6</v>
      </c>
      <c r="AK516">
        <v>6.3755870000000003</v>
      </c>
    </row>
    <row r="517" spans="1:37" x14ac:dyDescent="0.2">
      <c r="A517" s="6">
        <v>35765</v>
      </c>
      <c r="B517">
        <v>7.9104710000000003</v>
      </c>
      <c r="D517">
        <v>9.4</v>
      </c>
      <c r="E517">
        <v>8.5</v>
      </c>
      <c r="F517">
        <v>5.721406</v>
      </c>
      <c r="G517">
        <v>5.7</v>
      </c>
      <c r="H517">
        <v>9.6999999999999993</v>
      </c>
      <c r="I517">
        <v>5.0999999999999996</v>
      </c>
      <c r="J517">
        <v>17.600000000000001</v>
      </c>
      <c r="K517">
        <v>9.1999999999999993</v>
      </c>
      <c r="L517">
        <v>11.9</v>
      </c>
      <c r="M517">
        <v>12.1</v>
      </c>
      <c r="N517">
        <v>6.4007769999999997</v>
      </c>
      <c r="P517">
        <v>9.1</v>
      </c>
      <c r="Q517">
        <v>8.8000000000000007</v>
      </c>
      <c r="T517">
        <v>11.3</v>
      </c>
      <c r="U517">
        <v>3.5</v>
      </c>
      <c r="V517">
        <v>3.1</v>
      </c>
      <c r="W517">
        <v>2.9</v>
      </c>
      <c r="Y517">
        <v>3.1</v>
      </c>
      <c r="Z517">
        <v>5.8</v>
      </c>
      <c r="AA517">
        <v>3.4</v>
      </c>
      <c r="AC517">
        <v>10.1</v>
      </c>
      <c r="AD517">
        <v>7</v>
      </c>
      <c r="AF517">
        <v>7.2</v>
      </c>
      <c r="AG517">
        <v>8.8000000000000007</v>
      </c>
      <c r="AI517">
        <v>4.7</v>
      </c>
      <c r="AJ517">
        <v>10.6</v>
      </c>
      <c r="AK517">
        <v>6.3840849999999998</v>
      </c>
    </row>
    <row r="518" spans="1:37" x14ac:dyDescent="0.2">
      <c r="A518" s="6">
        <v>35796</v>
      </c>
      <c r="B518">
        <v>7.8652049999999996</v>
      </c>
      <c r="D518">
        <v>9.4</v>
      </c>
      <c r="E518">
        <v>8.8000000000000007</v>
      </c>
      <c r="F518">
        <v>5.5579859999999996</v>
      </c>
      <c r="G518">
        <v>5.6</v>
      </c>
      <c r="H518">
        <v>9.6999999999999993</v>
      </c>
      <c r="I518">
        <v>5.0999999999999996</v>
      </c>
      <c r="J518">
        <v>17.100000000000001</v>
      </c>
      <c r="K518">
        <v>9.1999999999999993</v>
      </c>
      <c r="L518">
        <v>11.8</v>
      </c>
      <c r="M518">
        <v>12.1</v>
      </c>
      <c r="N518">
        <v>6.377402</v>
      </c>
      <c r="P518">
        <v>9.1</v>
      </c>
      <c r="Q518">
        <v>8.6</v>
      </c>
      <c r="T518">
        <v>11.1</v>
      </c>
      <c r="U518">
        <v>3.6</v>
      </c>
      <c r="V518">
        <v>4.0999999999999996</v>
      </c>
      <c r="W518">
        <v>2.8</v>
      </c>
      <c r="Y518">
        <v>3.5</v>
      </c>
      <c r="Z518">
        <v>5.7</v>
      </c>
      <c r="AA518">
        <v>3.3</v>
      </c>
      <c r="AC518">
        <v>10</v>
      </c>
      <c r="AD518">
        <v>7.1</v>
      </c>
      <c r="AE518">
        <v>12.1</v>
      </c>
      <c r="AF518">
        <v>7.3</v>
      </c>
      <c r="AG518">
        <v>8.8000000000000007</v>
      </c>
      <c r="AI518">
        <v>4.5999999999999996</v>
      </c>
      <c r="AJ518">
        <v>10.5</v>
      </c>
      <c r="AK518">
        <v>6.3630769999999997</v>
      </c>
    </row>
    <row r="519" spans="1:37" x14ac:dyDescent="0.2">
      <c r="A519" s="6">
        <v>35827</v>
      </c>
      <c r="B519">
        <v>7.7723870000000002</v>
      </c>
      <c r="D519">
        <v>9.4</v>
      </c>
      <c r="E519">
        <v>8.6</v>
      </c>
      <c r="F519">
        <v>5.5435990000000004</v>
      </c>
      <c r="G519">
        <v>5.7</v>
      </c>
      <c r="H519">
        <v>9.6999999999999993</v>
      </c>
      <c r="I519">
        <v>4.9000000000000004</v>
      </c>
      <c r="J519">
        <v>16.7</v>
      </c>
      <c r="K519">
        <v>9.1999999999999993</v>
      </c>
      <c r="L519">
        <v>11.7</v>
      </c>
      <c r="M519">
        <v>12</v>
      </c>
      <c r="N519">
        <v>6.3647369999999999</v>
      </c>
      <c r="P519">
        <v>9.1</v>
      </c>
      <c r="Q519">
        <v>8.3000000000000007</v>
      </c>
      <c r="T519">
        <v>11.1</v>
      </c>
      <c r="U519">
        <v>3.6</v>
      </c>
      <c r="V519">
        <v>5</v>
      </c>
      <c r="W519">
        <v>2.8</v>
      </c>
      <c r="Y519">
        <v>3.4</v>
      </c>
      <c r="Z519">
        <v>5.6</v>
      </c>
      <c r="AA519">
        <v>3.2</v>
      </c>
      <c r="AC519">
        <v>9.9</v>
      </c>
      <c r="AD519">
        <v>6.8</v>
      </c>
      <c r="AE519">
        <v>12.2</v>
      </c>
      <c r="AF519">
        <v>7.3</v>
      </c>
      <c r="AG519">
        <v>8.8000000000000007</v>
      </c>
      <c r="AI519">
        <v>4.5999999999999996</v>
      </c>
      <c r="AJ519">
        <v>10.5</v>
      </c>
      <c r="AK519">
        <v>6.338794</v>
      </c>
    </row>
    <row r="520" spans="1:37" x14ac:dyDescent="0.2">
      <c r="A520" s="6">
        <v>35855</v>
      </c>
      <c r="B520">
        <v>7.8833510000000002</v>
      </c>
      <c r="D520">
        <v>9.5</v>
      </c>
      <c r="E520">
        <v>8.4</v>
      </c>
      <c r="F520">
        <v>5.500902</v>
      </c>
      <c r="G520">
        <v>6</v>
      </c>
      <c r="H520">
        <v>9.6</v>
      </c>
      <c r="I520">
        <v>4.9000000000000004</v>
      </c>
      <c r="J520">
        <v>16.7</v>
      </c>
      <c r="K520">
        <v>9.1999999999999993</v>
      </c>
      <c r="L520">
        <v>11.7</v>
      </c>
      <c r="M520">
        <v>12</v>
      </c>
      <c r="N520">
        <v>6.3112110000000001</v>
      </c>
      <c r="P520">
        <v>9.1</v>
      </c>
      <c r="Q520">
        <v>8.1</v>
      </c>
      <c r="T520">
        <v>11.1</v>
      </c>
      <c r="U520">
        <v>3.8</v>
      </c>
      <c r="V520">
        <v>5.8</v>
      </c>
      <c r="W520">
        <v>2.8</v>
      </c>
      <c r="Y520">
        <v>3.3</v>
      </c>
      <c r="Z520">
        <v>5.5</v>
      </c>
      <c r="AA520">
        <v>3.3</v>
      </c>
      <c r="AC520">
        <v>9.8000000000000007</v>
      </c>
      <c r="AD520">
        <v>6.5</v>
      </c>
      <c r="AE520">
        <v>12.2</v>
      </c>
      <c r="AF520">
        <v>7.4</v>
      </c>
      <c r="AG520">
        <v>8.4</v>
      </c>
      <c r="AI520">
        <v>4.7</v>
      </c>
      <c r="AJ520">
        <v>10.5</v>
      </c>
      <c r="AK520">
        <v>6.3941970000000001</v>
      </c>
    </row>
    <row r="521" spans="1:37" x14ac:dyDescent="0.2">
      <c r="A521" s="6">
        <v>35886</v>
      </c>
      <c r="B521">
        <v>7.6034249999999997</v>
      </c>
      <c r="D521">
        <v>9.5</v>
      </c>
      <c r="E521">
        <v>8.3000000000000007</v>
      </c>
      <c r="F521">
        <v>5.6064749999999997</v>
      </c>
      <c r="G521">
        <v>5.9</v>
      </c>
      <c r="H521">
        <v>9.6</v>
      </c>
      <c r="I521">
        <v>4.9000000000000004</v>
      </c>
      <c r="J521">
        <v>16.600000000000001</v>
      </c>
      <c r="K521">
        <v>9.1</v>
      </c>
      <c r="L521">
        <v>11.7</v>
      </c>
      <c r="M521">
        <v>12</v>
      </c>
      <c r="N521">
        <v>6.270022</v>
      </c>
      <c r="O521">
        <v>10.9</v>
      </c>
      <c r="P521">
        <v>9</v>
      </c>
      <c r="Q521">
        <v>7.9</v>
      </c>
      <c r="T521">
        <v>11.5</v>
      </c>
      <c r="U521">
        <v>4</v>
      </c>
      <c r="V521">
        <v>6.5</v>
      </c>
      <c r="W521">
        <v>2.8</v>
      </c>
      <c r="X521">
        <v>14.3</v>
      </c>
      <c r="Y521">
        <v>3.1</v>
      </c>
      <c r="Z521">
        <v>5.4</v>
      </c>
      <c r="AA521">
        <v>3.4</v>
      </c>
      <c r="AB521">
        <v>6.4379249999999999</v>
      </c>
      <c r="AC521">
        <v>9.8000000000000007</v>
      </c>
      <c r="AD521">
        <v>6.3</v>
      </c>
      <c r="AE521">
        <v>12.2</v>
      </c>
      <c r="AF521">
        <v>7.4</v>
      </c>
      <c r="AG521">
        <v>8.6999999999999993</v>
      </c>
      <c r="AI521">
        <v>4.3</v>
      </c>
      <c r="AJ521">
        <v>10.8</v>
      </c>
      <c r="AK521">
        <v>6.3080879999999997</v>
      </c>
    </row>
    <row r="522" spans="1:37" x14ac:dyDescent="0.2">
      <c r="A522" s="6">
        <v>35916</v>
      </c>
      <c r="B522">
        <v>7.76478</v>
      </c>
      <c r="D522">
        <v>9.4</v>
      </c>
      <c r="E522">
        <v>8.3000000000000007</v>
      </c>
      <c r="F522">
        <v>5.8354949999999999</v>
      </c>
      <c r="G522">
        <v>5.9</v>
      </c>
      <c r="H522">
        <v>9.5</v>
      </c>
      <c r="I522">
        <v>4.9000000000000004</v>
      </c>
      <c r="J522">
        <v>16.600000000000001</v>
      </c>
      <c r="K522">
        <v>9.1</v>
      </c>
      <c r="L522">
        <v>11.7</v>
      </c>
      <c r="M522">
        <v>12.1</v>
      </c>
      <c r="N522">
        <v>6.2837759999999996</v>
      </c>
      <c r="O522">
        <v>11</v>
      </c>
      <c r="P522">
        <v>8.9</v>
      </c>
      <c r="Q522">
        <v>7.8</v>
      </c>
      <c r="T522">
        <v>11.5</v>
      </c>
      <c r="U522">
        <v>4.0999999999999996</v>
      </c>
      <c r="V522">
        <v>7.1</v>
      </c>
      <c r="W522">
        <v>2.8</v>
      </c>
      <c r="X522">
        <v>14.4</v>
      </c>
      <c r="Y522">
        <v>3.3</v>
      </c>
      <c r="Z522">
        <v>5.3</v>
      </c>
      <c r="AA522">
        <v>3.3</v>
      </c>
      <c r="AB522">
        <v>6.4570179999999997</v>
      </c>
      <c r="AC522">
        <v>9.9</v>
      </c>
      <c r="AD522">
        <v>6</v>
      </c>
      <c r="AE522">
        <v>12.3</v>
      </c>
      <c r="AF522">
        <v>7.4</v>
      </c>
      <c r="AG522">
        <v>8.9</v>
      </c>
      <c r="AI522">
        <v>4.4000000000000004</v>
      </c>
      <c r="AJ522">
        <v>10.7</v>
      </c>
      <c r="AK522">
        <v>6.34429</v>
      </c>
    </row>
    <row r="523" spans="1:37" x14ac:dyDescent="0.2">
      <c r="A523" s="6">
        <v>35947</v>
      </c>
      <c r="B523">
        <v>7.8326950000000002</v>
      </c>
      <c r="D523">
        <v>9.4</v>
      </c>
      <c r="E523">
        <v>8.4</v>
      </c>
      <c r="F523">
        <v>5.9956759999999996</v>
      </c>
      <c r="G523">
        <v>6.4</v>
      </c>
      <c r="H523">
        <v>9.4</v>
      </c>
      <c r="I523">
        <v>4.8</v>
      </c>
      <c r="J523">
        <v>16.8</v>
      </c>
      <c r="K523">
        <v>9.1</v>
      </c>
      <c r="L523">
        <v>11.6</v>
      </c>
      <c r="M523">
        <v>12.1</v>
      </c>
      <c r="N523">
        <v>6.3008749999999996</v>
      </c>
      <c r="O523">
        <v>10.9</v>
      </c>
      <c r="P523">
        <v>8.8000000000000007</v>
      </c>
      <c r="Q523">
        <v>7.6</v>
      </c>
      <c r="T523">
        <v>11.5</v>
      </c>
      <c r="U523">
        <v>4.0999999999999996</v>
      </c>
      <c r="V523">
        <v>7.5</v>
      </c>
      <c r="W523">
        <v>2.7</v>
      </c>
      <c r="X523">
        <v>14.4</v>
      </c>
      <c r="Y523">
        <v>3.3</v>
      </c>
      <c r="Z523">
        <v>5.2</v>
      </c>
      <c r="AA523">
        <v>3.3</v>
      </c>
      <c r="AB523">
        <v>6.4571529999999999</v>
      </c>
      <c r="AC523">
        <v>10</v>
      </c>
      <c r="AD523">
        <v>6.1</v>
      </c>
      <c r="AE523">
        <v>12.5</v>
      </c>
      <c r="AF523">
        <v>7.4</v>
      </c>
      <c r="AG523">
        <v>8.1999999999999993</v>
      </c>
      <c r="AI523">
        <v>4.5</v>
      </c>
      <c r="AJ523">
        <v>10.7</v>
      </c>
      <c r="AK523">
        <v>6.396363</v>
      </c>
    </row>
    <row r="524" spans="1:37" x14ac:dyDescent="0.2">
      <c r="A524" s="6">
        <v>35977</v>
      </c>
      <c r="B524">
        <v>7.974342</v>
      </c>
      <c r="D524">
        <v>9.3000000000000007</v>
      </c>
      <c r="E524">
        <v>8.3000000000000007</v>
      </c>
      <c r="F524">
        <v>6.2664850000000003</v>
      </c>
      <c r="G524">
        <v>6.6</v>
      </c>
      <c r="H524">
        <v>9.4</v>
      </c>
      <c r="I524">
        <v>4.9000000000000004</v>
      </c>
      <c r="J524">
        <v>16.600000000000001</v>
      </c>
      <c r="K524">
        <v>9.1</v>
      </c>
      <c r="L524">
        <v>11.5</v>
      </c>
      <c r="M524">
        <v>12.1</v>
      </c>
      <c r="N524">
        <v>6.311979</v>
      </c>
      <c r="O524">
        <v>11</v>
      </c>
      <c r="P524">
        <v>8.6999999999999993</v>
      </c>
      <c r="Q524">
        <v>7.5</v>
      </c>
      <c r="T524">
        <v>11.3</v>
      </c>
      <c r="U524">
        <v>4.0999999999999996</v>
      </c>
      <c r="V524">
        <v>8.1999999999999993</v>
      </c>
      <c r="W524">
        <v>2.7</v>
      </c>
      <c r="X524">
        <v>14.3</v>
      </c>
      <c r="Y524">
        <v>3.3</v>
      </c>
      <c r="Z524">
        <v>5.0999999999999996</v>
      </c>
      <c r="AA524">
        <v>3.2</v>
      </c>
      <c r="AB524">
        <v>6.4813140000000002</v>
      </c>
      <c r="AC524">
        <v>10.1</v>
      </c>
      <c r="AD524">
        <v>6.1</v>
      </c>
      <c r="AE524">
        <v>12.9</v>
      </c>
      <c r="AF524">
        <v>7.4</v>
      </c>
      <c r="AG524">
        <v>8.3000000000000007</v>
      </c>
      <c r="AI524">
        <v>4.5</v>
      </c>
      <c r="AJ524">
        <v>10.6</v>
      </c>
      <c r="AK524">
        <v>6.3815350000000004</v>
      </c>
    </row>
    <row r="525" spans="1:37" x14ac:dyDescent="0.2">
      <c r="A525" s="6">
        <v>36008</v>
      </c>
      <c r="B525">
        <v>7.7552950000000003</v>
      </c>
      <c r="D525">
        <v>9.4</v>
      </c>
      <c r="E525">
        <v>8.1</v>
      </c>
      <c r="F525">
        <v>6.3174580000000002</v>
      </c>
      <c r="G525">
        <v>6.6</v>
      </c>
      <c r="H525">
        <v>9.3000000000000007</v>
      </c>
      <c r="I525">
        <v>4.9000000000000004</v>
      </c>
      <c r="J525">
        <v>16.399999999999999</v>
      </c>
      <c r="K525">
        <v>9.1</v>
      </c>
      <c r="L525">
        <v>11.3</v>
      </c>
      <c r="M525">
        <v>12.1</v>
      </c>
      <c r="N525">
        <v>6.240113</v>
      </c>
      <c r="O525">
        <v>11.2</v>
      </c>
      <c r="P525">
        <v>8.6</v>
      </c>
      <c r="Q525">
        <v>7.3</v>
      </c>
      <c r="T525">
        <v>11.3</v>
      </c>
      <c r="U525">
        <v>4.4000000000000004</v>
      </c>
      <c r="V525">
        <v>8</v>
      </c>
      <c r="W525">
        <v>2.6</v>
      </c>
      <c r="X525">
        <v>14.1</v>
      </c>
      <c r="Y525">
        <v>3.1</v>
      </c>
      <c r="Z525">
        <v>5</v>
      </c>
      <c r="AA525">
        <v>3</v>
      </c>
      <c r="AB525">
        <v>6.5039889999999998</v>
      </c>
      <c r="AC525">
        <v>10.199999999999999</v>
      </c>
      <c r="AD525">
        <v>5.9</v>
      </c>
      <c r="AE525">
        <v>13</v>
      </c>
      <c r="AF525">
        <v>7.4</v>
      </c>
      <c r="AG525">
        <v>8.1</v>
      </c>
      <c r="AI525">
        <v>4.5</v>
      </c>
      <c r="AJ525">
        <v>10.6</v>
      </c>
      <c r="AK525">
        <v>6.3858800000000002</v>
      </c>
    </row>
    <row r="526" spans="1:37" x14ac:dyDescent="0.2">
      <c r="A526" s="6">
        <v>36039</v>
      </c>
      <c r="B526">
        <v>7.6335100000000002</v>
      </c>
      <c r="D526">
        <v>9.4</v>
      </c>
      <c r="E526">
        <v>8.1999999999999993</v>
      </c>
      <c r="F526">
        <v>6.6852939999999998</v>
      </c>
      <c r="G526">
        <v>6.9</v>
      </c>
      <c r="H526">
        <v>9.1999999999999993</v>
      </c>
      <c r="I526">
        <v>4.8</v>
      </c>
      <c r="J526">
        <v>16.3</v>
      </c>
      <c r="K526">
        <v>9.1</v>
      </c>
      <c r="L526">
        <v>11</v>
      </c>
      <c r="M526">
        <v>12.1</v>
      </c>
      <c r="N526">
        <v>6.2171960000000004</v>
      </c>
      <c r="O526">
        <v>11.1</v>
      </c>
      <c r="P526">
        <v>8.4</v>
      </c>
      <c r="Q526">
        <v>7.1</v>
      </c>
      <c r="T526">
        <v>11.3</v>
      </c>
      <c r="U526">
        <v>4.3</v>
      </c>
      <c r="V526">
        <v>8.1999999999999993</v>
      </c>
      <c r="W526">
        <v>2.6</v>
      </c>
      <c r="X526">
        <v>13.9</v>
      </c>
      <c r="Y526">
        <v>3.2</v>
      </c>
      <c r="Z526">
        <v>4.9000000000000004</v>
      </c>
      <c r="AA526">
        <v>2.8</v>
      </c>
      <c r="AB526">
        <v>6.5571919999999997</v>
      </c>
      <c r="AC526">
        <v>10.4</v>
      </c>
      <c r="AD526">
        <v>5.7</v>
      </c>
      <c r="AE526">
        <v>13.2</v>
      </c>
      <c r="AF526">
        <v>7.4</v>
      </c>
      <c r="AG526">
        <v>7.6</v>
      </c>
      <c r="AI526">
        <v>4.5999999999999996</v>
      </c>
      <c r="AJ526">
        <v>10.5</v>
      </c>
      <c r="AK526">
        <v>6.3966900000000004</v>
      </c>
    </row>
    <row r="527" spans="1:37" x14ac:dyDescent="0.2">
      <c r="A527" s="6">
        <v>36069</v>
      </c>
      <c r="B527">
        <v>7.3134940000000004</v>
      </c>
      <c r="D527">
        <v>9.1999999999999993</v>
      </c>
      <c r="E527">
        <v>8</v>
      </c>
      <c r="F527">
        <v>7.3421519999999996</v>
      </c>
      <c r="G527">
        <v>7.4</v>
      </c>
      <c r="H527">
        <v>9.1</v>
      </c>
      <c r="I527">
        <v>4.8</v>
      </c>
      <c r="J527">
        <v>16</v>
      </c>
      <c r="K527">
        <v>9.3000000000000007</v>
      </c>
      <c r="L527">
        <v>10.9</v>
      </c>
      <c r="M527">
        <v>12</v>
      </c>
      <c r="N527">
        <v>6.1576950000000004</v>
      </c>
      <c r="O527">
        <v>11.1</v>
      </c>
      <c r="P527">
        <v>8.3000000000000007</v>
      </c>
      <c r="Q527">
        <v>7</v>
      </c>
      <c r="T527">
        <v>11.5</v>
      </c>
      <c r="U527">
        <v>4.3</v>
      </c>
      <c r="V527">
        <v>8.1</v>
      </c>
      <c r="W527">
        <v>2.6</v>
      </c>
      <c r="X527">
        <v>13.8</v>
      </c>
      <c r="Y527">
        <v>3.1</v>
      </c>
      <c r="Z527">
        <v>4.8</v>
      </c>
      <c r="AA527">
        <v>2.7</v>
      </c>
      <c r="AB527">
        <v>6.6349840000000002</v>
      </c>
      <c r="AC527">
        <v>10.6</v>
      </c>
      <c r="AD527">
        <v>5.6</v>
      </c>
      <c r="AE527">
        <v>13.2</v>
      </c>
      <c r="AF527">
        <v>7.4</v>
      </c>
      <c r="AG527">
        <v>7.4</v>
      </c>
      <c r="AI527">
        <v>4.5</v>
      </c>
      <c r="AJ527">
        <v>10.5</v>
      </c>
      <c r="AK527">
        <v>6.3753929999999999</v>
      </c>
    </row>
    <row r="528" spans="1:37" x14ac:dyDescent="0.2">
      <c r="A528" s="6">
        <v>36100</v>
      </c>
      <c r="B528">
        <v>7.6269539999999996</v>
      </c>
      <c r="D528">
        <v>9.1</v>
      </c>
      <c r="E528">
        <v>8</v>
      </c>
      <c r="F528">
        <v>7.9588530000000004</v>
      </c>
      <c r="G528">
        <v>7.3</v>
      </c>
      <c r="H528">
        <v>9.1</v>
      </c>
      <c r="I528">
        <v>4.8</v>
      </c>
      <c r="J528">
        <v>15.7</v>
      </c>
      <c r="K528">
        <v>9.3000000000000007</v>
      </c>
      <c r="L528">
        <v>10.8</v>
      </c>
      <c r="M528">
        <v>12</v>
      </c>
      <c r="N528">
        <v>6.1431129999999996</v>
      </c>
      <c r="O528">
        <v>11.4</v>
      </c>
      <c r="P528">
        <v>8.1</v>
      </c>
      <c r="Q528">
        <v>6.8</v>
      </c>
      <c r="T528">
        <v>11.4</v>
      </c>
      <c r="U528">
        <v>4.5</v>
      </c>
      <c r="V528">
        <v>7.9</v>
      </c>
      <c r="W528">
        <v>2.5</v>
      </c>
      <c r="X528">
        <v>13.7</v>
      </c>
      <c r="Y528">
        <v>3</v>
      </c>
      <c r="Z528">
        <v>4.7</v>
      </c>
      <c r="AA528">
        <v>2.9</v>
      </c>
      <c r="AB528">
        <v>6.7362640000000003</v>
      </c>
      <c r="AC528">
        <v>10.8</v>
      </c>
      <c r="AD528">
        <v>5.8</v>
      </c>
      <c r="AE528">
        <v>13.3</v>
      </c>
      <c r="AF528">
        <v>7.4</v>
      </c>
      <c r="AG528">
        <v>7.6</v>
      </c>
      <c r="AI528">
        <v>4.4000000000000004</v>
      </c>
      <c r="AJ528">
        <v>10.4</v>
      </c>
      <c r="AK528">
        <v>6.3489019999999998</v>
      </c>
    </row>
    <row r="529" spans="1:37" x14ac:dyDescent="0.2">
      <c r="A529" s="6">
        <v>36130</v>
      </c>
      <c r="B529">
        <v>7.1835870000000002</v>
      </c>
      <c r="D529">
        <v>9.1</v>
      </c>
      <c r="E529">
        <v>8.1</v>
      </c>
      <c r="F529">
        <v>8.32864</v>
      </c>
      <c r="G529">
        <v>7.3</v>
      </c>
      <c r="H529">
        <v>9</v>
      </c>
      <c r="I529">
        <v>4.9000000000000004</v>
      </c>
      <c r="J529">
        <v>15.4</v>
      </c>
      <c r="K529">
        <v>9.3000000000000007</v>
      </c>
      <c r="L529">
        <v>10.8</v>
      </c>
      <c r="M529">
        <v>12</v>
      </c>
      <c r="N529">
        <v>6.2180249999999999</v>
      </c>
      <c r="O529">
        <v>11.4</v>
      </c>
      <c r="P529">
        <v>7.8</v>
      </c>
      <c r="Q529">
        <v>6.6</v>
      </c>
      <c r="T529">
        <v>11.4</v>
      </c>
      <c r="U529">
        <v>4.4000000000000004</v>
      </c>
      <c r="V529">
        <v>7.9</v>
      </c>
      <c r="W529">
        <v>2.4</v>
      </c>
      <c r="X529">
        <v>13.7</v>
      </c>
      <c r="Y529">
        <v>3.1</v>
      </c>
      <c r="Z529">
        <v>4.5999999999999996</v>
      </c>
      <c r="AA529">
        <v>2.8</v>
      </c>
      <c r="AB529">
        <v>6.7779610000000003</v>
      </c>
      <c r="AC529">
        <v>11</v>
      </c>
      <c r="AD529">
        <v>5.7</v>
      </c>
      <c r="AE529">
        <v>13.6</v>
      </c>
      <c r="AF529">
        <v>7.4</v>
      </c>
      <c r="AG529">
        <v>7.4</v>
      </c>
      <c r="AI529">
        <v>4.4000000000000004</v>
      </c>
      <c r="AJ529">
        <v>10.3</v>
      </c>
      <c r="AK529">
        <v>6.3108510000000004</v>
      </c>
    </row>
    <row r="530" spans="1:37" x14ac:dyDescent="0.2">
      <c r="A530" s="6">
        <v>36161</v>
      </c>
      <c r="B530">
        <v>7.1189270000000002</v>
      </c>
      <c r="D530">
        <v>8.9</v>
      </c>
      <c r="E530">
        <v>7.9</v>
      </c>
      <c r="F530">
        <v>8.3915900000000008</v>
      </c>
      <c r="G530">
        <v>7.8</v>
      </c>
      <c r="H530">
        <v>8.9</v>
      </c>
      <c r="I530">
        <v>5</v>
      </c>
      <c r="J530">
        <v>14.8</v>
      </c>
      <c r="K530">
        <v>10.1</v>
      </c>
      <c r="L530">
        <v>10.7</v>
      </c>
      <c r="M530">
        <v>12</v>
      </c>
      <c r="N530">
        <v>6.2272290000000003</v>
      </c>
      <c r="O530">
        <v>11.4</v>
      </c>
      <c r="P530">
        <v>7.2</v>
      </c>
      <c r="Q530">
        <v>6.5</v>
      </c>
      <c r="T530">
        <v>11.1</v>
      </c>
      <c r="U530">
        <v>4.5</v>
      </c>
      <c r="V530">
        <v>7.6</v>
      </c>
      <c r="W530">
        <v>2.4</v>
      </c>
      <c r="X530">
        <v>13.7</v>
      </c>
      <c r="Y530">
        <v>2.6</v>
      </c>
      <c r="Z530">
        <v>4.5999999999999996</v>
      </c>
      <c r="AA530">
        <v>2.7</v>
      </c>
      <c r="AB530">
        <v>6.9538630000000001</v>
      </c>
      <c r="AC530">
        <v>11.5</v>
      </c>
      <c r="AD530">
        <v>5.6</v>
      </c>
      <c r="AE530">
        <v>14.2</v>
      </c>
      <c r="AF530">
        <v>7.3</v>
      </c>
      <c r="AG530">
        <v>7.3</v>
      </c>
      <c r="AI530">
        <v>4.3</v>
      </c>
      <c r="AJ530">
        <v>10.199999999999999</v>
      </c>
      <c r="AK530">
        <v>6.2628909999999998</v>
      </c>
    </row>
    <row r="531" spans="1:37" x14ac:dyDescent="0.2">
      <c r="A531" s="6">
        <v>36192</v>
      </c>
      <c r="B531">
        <v>7.1150840000000004</v>
      </c>
      <c r="D531">
        <v>9</v>
      </c>
      <c r="E531">
        <v>7.9</v>
      </c>
      <c r="F531">
        <v>8.8364440000000002</v>
      </c>
      <c r="G531">
        <v>8.1999999999999993</v>
      </c>
      <c r="H531">
        <v>8.8000000000000007</v>
      </c>
      <c r="I531">
        <v>5</v>
      </c>
      <c r="J531">
        <v>14.3</v>
      </c>
      <c r="K531">
        <v>10.1</v>
      </c>
      <c r="L531">
        <v>10.6</v>
      </c>
      <c r="M531">
        <v>12</v>
      </c>
      <c r="N531">
        <v>6.1760339999999996</v>
      </c>
      <c r="O531">
        <v>11.4</v>
      </c>
      <c r="P531">
        <v>7.2</v>
      </c>
      <c r="Q531">
        <v>6.3</v>
      </c>
      <c r="T531">
        <v>11.1</v>
      </c>
      <c r="U531">
        <v>4.5999999999999996</v>
      </c>
      <c r="V531">
        <v>7.4</v>
      </c>
      <c r="W531">
        <v>2.4</v>
      </c>
      <c r="X531">
        <v>13.8</v>
      </c>
      <c r="Y531">
        <v>3.1</v>
      </c>
      <c r="Z531">
        <v>4.5</v>
      </c>
      <c r="AA531">
        <v>2.7</v>
      </c>
      <c r="AB531">
        <v>7.0294109999999996</v>
      </c>
      <c r="AC531">
        <v>12</v>
      </c>
      <c r="AD531">
        <v>5.7</v>
      </c>
      <c r="AE531">
        <v>14.8</v>
      </c>
      <c r="AF531">
        <v>7.2</v>
      </c>
      <c r="AG531">
        <v>7</v>
      </c>
      <c r="AI531">
        <v>4.4000000000000004</v>
      </c>
      <c r="AJ531">
        <v>10.1</v>
      </c>
      <c r="AK531">
        <v>6.3109149999999996</v>
      </c>
    </row>
    <row r="532" spans="1:37" x14ac:dyDescent="0.2">
      <c r="A532" s="6">
        <v>36220</v>
      </c>
      <c r="B532">
        <v>7.0126710000000001</v>
      </c>
      <c r="D532">
        <v>9</v>
      </c>
      <c r="E532">
        <v>7.9</v>
      </c>
      <c r="F532">
        <v>9.3312030000000004</v>
      </c>
      <c r="G532">
        <v>8.5</v>
      </c>
      <c r="H532">
        <v>8.8000000000000007</v>
      </c>
      <c r="I532">
        <v>5</v>
      </c>
      <c r="J532">
        <v>13.9</v>
      </c>
      <c r="K532">
        <v>10.1</v>
      </c>
      <c r="L532">
        <v>10.5</v>
      </c>
      <c r="M532">
        <v>11.8</v>
      </c>
      <c r="N532">
        <v>6.1542849999999998</v>
      </c>
      <c r="O532">
        <v>11.4</v>
      </c>
      <c r="P532">
        <v>7.1</v>
      </c>
      <c r="Q532">
        <v>6.2</v>
      </c>
      <c r="T532">
        <v>11.1</v>
      </c>
      <c r="U532">
        <v>4.7</v>
      </c>
      <c r="V532">
        <v>7.2</v>
      </c>
      <c r="W532">
        <v>2.4</v>
      </c>
      <c r="X532">
        <v>13.8</v>
      </c>
      <c r="Y532">
        <v>2.7</v>
      </c>
      <c r="Z532">
        <v>4.4000000000000004</v>
      </c>
      <c r="AA532">
        <v>2.9</v>
      </c>
      <c r="AB532">
        <v>7.1072259999999998</v>
      </c>
      <c r="AC532">
        <v>12.3</v>
      </c>
      <c r="AD532">
        <v>5.7</v>
      </c>
      <c r="AE532">
        <v>15.4</v>
      </c>
      <c r="AF532">
        <v>7.2</v>
      </c>
      <c r="AG532">
        <v>7</v>
      </c>
      <c r="AI532">
        <v>4.2</v>
      </c>
      <c r="AJ532">
        <v>10.1</v>
      </c>
      <c r="AK532">
        <v>6.2154740000000004</v>
      </c>
    </row>
    <row r="533" spans="1:37" x14ac:dyDescent="0.2">
      <c r="A533" s="6">
        <v>36251</v>
      </c>
      <c r="B533">
        <v>6.9793580000000004</v>
      </c>
      <c r="D533">
        <v>9</v>
      </c>
      <c r="E533">
        <v>8.1999999999999993</v>
      </c>
      <c r="F533">
        <v>10.046480000000001</v>
      </c>
      <c r="G533">
        <v>8.5</v>
      </c>
      <c r="H533">
        <v>8.6999999999999993</v>
      </c>
      <c r="I533">
        <v>5</v>
      </c>
      <c r="J533">
        <v>13.6</v>
      </c>
      <c r="K533">
        <v>11.1</v>
      </c>
      <c r="L533">
        <v>10.4</v>
      </c>
      <c r="M533">
        <v>11.7</v>
      </c>
      <c r="N533">
        <v>6.1087509999999998</v>
      </c>
      <c r="O533">
        <v>12.1</v>
      </c>
      <c r="P533">
        <v>7</v>
      </c>
      <c r="Q533">
        <v>6.2</v>
      </c>
      <c r="T533">
        <v>11.1</v>
      </c>
      <c r="U533">
        <v>4.7</v>
      </c>
      <c r="V533">
        <v>7</v>
      </c>
      <c r="W533">
        <v>2.4</v>
      </c>
      <c r="X533">
        <v>13.8</v>
      </c>
      <c r="Y533">
        <v>2.8</v>
      </c>
      <c r="Z533">
        <v>4.4000000000000004</v>
      </c>
      <c r="AA533">
        <v>2.9</v>
      </c>
      <c r="AB533">
        <v>7.1194610000000003</v>
      </c>
      <c r="AC533">
        <v>12.7</v>
      </c>
      <c r="AD533">
        <v>5.9</v>
      </c>
      <c r="AE533">
        <v>15.7</v>
      </c>
      <c r="AF533">
        <v>7.5</v>
      </c>
      <c r="AG533">
        <v>6.9</v>
      </c>
      <c r="AI533">
        <v>4.3</v>
      </c>
      <c r="AJ533">
        <v>10</v>
      </c>
      <c r="AK533">
        <v>6.2728250000000001</v>
      </c>
    </row>
    <row r="534" spans="1:37" x14ac:dyDescent="0.2">
      <c r="A534" s="6">
        <v>36281</v>
      </c>
      <c r="B534">
        <v>7.0250779999999997</v>
      </c>
      <c r="D534">
        <v>9</v>
      </c>
      <c r="E534">
        <v>7.9</v>
      </c>
      <c r="F534">
        <v>10.641299999999999</v>
      </c>
      <c r="G534">
        <v>8.8000000000000007</v>
      </c>
      <c r="H534">
        <v>8.6</v>
      </c>
      <c r="I534">
        <v>5</v>
      </c>
      <c r="J534">
        <v>13.5</v>
      </c>
      <c r="K534">
        <v>11.1</v>
      </c>
      <c r="L534">
        <v>10.3</v>
      </c>
      <c r="M534">
        <v>11.5</v>
      </c>
      <c r="N534">
        <v>6.0447629999999997</v>
      </c>
      <c r="O534">
        <v>12</v>
      </c>
      <c r="P534">
        <v>6.9</v>
      </c>
      <c r="Q534">
        <v>6.2</v>
      </c>
      <c r="T534">
        <v>11.1</v>
      </c>
      <c r="U534">
        <v>4.7</v>
      </c>
      <c r="V534">
        <v>6.8</v>
      </c>
      <c r="W534">
        <v>2.4</v>
      </c>
      <c r="X534">
        <v>13.8</v>
      </c>
      <c r="Y534">
        <v>2.6</v>
      </c>
      <c r="Z534">
        <v>4.3</v>
      </c>
      <c r="AA534">
        <v>2.9</v>
      </c>
      <c r="AB534">
        <v>7.1286779999999998</v>
      </c>
      <c r="AC534">
        <v>12.9</v>
      </c>
      <c r="AD534">
        <v>5.9</v>
      </c>
      <c r="AE534">
        <v>16.100000000000001</v>
      </c>
      <c r="AF534">
        <v>7.5</v>
      </c>
      <c r="AG534">
        <v>6.7</v>
      </c>
      <c r="AI534">
        <v>4.2</v>
      </c>
      <c r="AJ534">
        <v>9.9</v>
      </c>
      <c r="AK534">
        <v>6.1555330000000001</v>
      </c>
    </row>
    <row r="535" spans="1:37" x14ac:dyDescent="0.2">
      <c r="A535" s="6">
        <v>36312</v>
      </c>
      <c r="B535">
        <v>6.6536210000000002</v>
      </c>
      <c r="D535">
        <v>8.6999999999999993</v>
      </c>
      <c r="E535">
        <v>7.6</v>
      </c>
      <c r="F535">
        <v>10.726520000000001</v>
      </c>
      <c r="G535">
        <v>8.4</v>
      </c>
      <c r="H535">
        <v>8.6</v>
      </c>
      <c r="I535">
        <v>4.9000000000000004</v>
      </c>
      <c r="J535">
        <v>13.5</v>
      </c>
      <c r="K535">
        <v>11.1</v>
      </c>
      <c r="L535">
        <v>10.3</v>
      </c>
      <c r="M535">
        <v>11.4</v>
      </c>
      <c r="N535">
        <v>5.9748640000000002</v>
      </c>
      <c r="O535">
        <v>12</v>
      </c>
      <c r="P535">
        <v>6.9</v>
      </c>
      <c r="Q535">
        <v>5.9</v>
      </c>
      <c r="T535">
        <v>11</v>
      </c>
      <c r="U535">
        <v>4.8</v>
      </c>
      <c r="V535">
        <v>7.1</v>
      </c>
      <c r="W535">
        <v>2.4</v>
      </c>
      <c r="X535">
        <v>13.9</v>
      </c>
      <c r="Y535">
        <v>2.7</v>
      </c>
      <c r="Z535">
        <v>4.3</v>
      </c>
      <c r="AA535">
        <v>2.8</v>
      </c>
      <c r="AB535">
        <v>7.1317130000000004</v>
      </c>
      <c r="AC535">
        <v>13.2</v>
      </c>
      <c r="AD535">
        <v>5.8</v>
      </c>
      <c r="AE535">
        <v>16.5</v>
      </c>
      <c r="AF535">
        <v>7.6</v>
      </c>
      <c r="AG535">
        <v>6.7</v>
      </c>
      <c r="AI535">
        <v>4.3</v>
      </c>
      <c r="AJ535">
        <v>9.9</v>
      </c>
      <c r="AK535">
        <v>6.1824909999999997</v>
      </c>
    </row>
    <row r="536" spans="1:37" x14ac:dyDescent="0.2">
      <c r="A536" s="6">
        <v>36342</v>
      </c>
      <c r="B536">
        <v>6.6751469999999999</v>
      </c>
      <c r="D536">
        <v>8.3000000000000007</v>
      </c>
      <c r="E536">
        <v>7.6</v>
      </c>
      <c r="F536">
        <v>10.92301</v>
      </c>
      <c r="G536">
        <v>8.6</v>
      </c>
      <c r="H536">
        <v>8.5</v>
      </c>
      <c r="I536">
        <v>5</v>
      </c>
      <c r="J536">
        <v>13.5</v>
      </c>
      <c r="K536">
        <v>11.8</v>
      </c>
      <c r="L536">
        <v>10.199999999999999</v>
      </c>
      <c r="M536">
        <v>11.3</v>
      </c>
      <c r="N536">
        <v>5.9040059999999999</v>
      </c>
      <c r="O536">
        <v>12</v>
      </c>
      <c r="P536">
        <v>6.8</v>
      </c>
      <c r="Q536">
        <v>5.7</v>
      </c>
      <c r="T536">
        <v>11</v>
      </c>
      <c r="U536">
        <v>4.8</v>
      </c>
      <c r="V536">
        <v>7</v>
      </c>
      <c r="W536">
        <v>2.4</v>
      </c>
      <c r="X536">
        <v>14</v>
      </c>
      <c r="Y536">
        <v>2.2999999999999998</v>
      </c>
      <c r="Z536">
        <v>4.2</v>
      </c>
      <c r="AA536">
        <v>2.9</v>
      </c>
      <c r="AB536">
        <v>7.2020770000000001</v>
      </c>
      <c r="AC536">
        <v>13.5</v>
      </c>
      <c r="AD536">
        <v>5.6</v>
      </c>
      <c r="AE536">
        <v>16.7</v>
      </c>
      <c r="AF536">
        <v>7.6</v>
      </c>
      <c r="AG536">
        <v>6.6</v>
      </c>
      <c r="AI536">
        <v>4.3</v>
      </c>
      <c r="AJ536">
        <v>9.8000000000000007</v>
      </c>
      <c r="AK536">
        <v>6.1857449999999998</v>
      </c>
    </row>
    <row r="537" spans="1:37" x14ac:dyDescent="0.2">
      <c r="A537" s="6">
        <v>36373</v>
      </c>
      <c r="B537">
        <v>6.9058529999999996</v>
      </c>
      <c r="D537">
        <v>8.1999999999999993</v>
      </c>
      <c r="E537">
        <v>7.4</v>
      </c>
      <c r="F537">
        <v>10.94434</v>
      </c>
      <c r="G537">
        <v>9.1999999999999993</v>
      </c>
      <c r="H537">
        <v>8.5</v>
      </c>
      <c r="I537">
        <v>5.3</v>
      </c>
      <c r="J537">
        <v>13.5</v>
      </c>
      <c r="K537">
        <v>11.8</v>
      </c>
      <c r="L537">
        <v>10.1</v>
      </c>
      <c r="M537">
        <v>11.1</v>
      </c>
      <c r="N537">
        <v>5.8863859999999999</v>
      </c>
      <c r="O537">
        <v>12.1</v>
      </c>
      <c r="P537">
        <v>6.7</v>
      </c>
      <c r="Q537">
        <v>5.5</v>
      </c>
      <c r="T537">
        <v>10.9</v>
      </c>
      <c r="U537">
        <v>4.7</v>
      </c>
      <c r="V537">
        <v>6.5</v>
      </c>
      <c r="W537">
        <v>2.4</v>
      </c>
      <c r="X537">
        <v>14.1</v>
      </c>
      <c r="Y537">
        <v>2.5</v>
      </c>
      <c r="Z537">
        <v>4.2</v>
      </c>
      <c r="AA537">
        <v>3.1</v>
      </c>
      <c r="AB537">
        <v>7.1766379999999996</v>
      </c>
      <c r="AC537">
        <v>13.8</v>
      </c>
      <c r="AD537">
        <v>5.4</v>
      </c>
      <c r="AE537">
        <v>17.100000000000001</v>
      </c>
      <c r="AF537">
        <v>7.6</v>
      </c>
      <c r="AG537">
        <v>6.7</v>
      </c>
      <c r="AI537">
        <v>4.2</v>
      </c>
      <c r="AJ537">
        <v>9.6999999999999993</v>
      </c>
      <c r="AK537">
        <v>6.079529</v>
      </c>
    </row>
    <row r="538" spans="1:37" x14ac:dyDescent="0.2">
      <c r="A538" s="6">
        <v>36404</v>
      </c>
      <c r="B538">
        <v>7.0414209999999997</v>
      </c>
      <c r="D538">
        <v>7.9</v>
      </c>
      <c r="E538">
        <v>7.5</v>
      </c>
      <c r="F538">
        <v>10.960100000000001</v>
      </c>
      <c r="G538">
        <v>9.1999999999999993</v>
      </c>
      <c r="H538">
        <v>8.4</v>
      </c>
      <c r="I538">
        <v>5.2</v>
      </c>
      <c r="J538">
        <v>13.4</v>
      </c>
      <c r="K538">
        <v>11.8</v>
      </c>
      <c r="L538">
        <v>10</v>
      </c>
      <c r="M538">
        <v>11</v>
      </c>
      <c r="N538">
        <v>5.8377299999999996</v>
      </c>
      <c r="O538">
        <v>12</v>
      </c>
      <c r="P538">
        <v>6.7</v>
      </c>
      <c r="Q538">
        <v>5.5</v>
      </c>
      <c r="T538">
        <v>10.9</v>
      </c>
      <c r="U538">
        <v>4.5999999999999996</v>
      </c>
      <c r="V538">
        <v>5.7</v>
      </c>
      <c r="W538">
        <v>2.4</v>
      </c>
      <c r="X538">
        <v>14.3</v>
      </c>
      <c r="Y538">
        <v>2.2999999999999998</v>
      </c>
      <c r="Z538">
        <v>4.0999999999999996</v>
      </c>
      <c r="AA538">
        <v>3.4</v>
      </c>
      <c r="AB538">
        <v>7.196123</v>
      </c>
      <c r="AC538">
        <v>14.2</v>
      </c>
      <c r="AD538">
        <v>5.4</v>
      </c>
      <c r="AE538">
        <v>17.3</v>
      </c>
      <c r="AF538">
        <v>7.6</v>
      </c>
      <c r="AG538">
        <v>6.6</v>
      </c>
      <c r="AI538">
        <v>4.2</v>
      </c>
      <c r="AJ538">
        <v>9.6</v>
      </c>
      <c r="AK538">
        <v>6.0594020000000004</v>
      </c>
    </row>
    <row r="539" spans="1:37" x14ac:dyDescent="0.2">
      <c r="A539" s="6">
        <v>36434</v>
      </c>
      <c r="B539">
        <v>6.7762219999999997</v>
      </c>
      <c r="D539">
        <v>7.8</v>
      </c>
      <c r="E539">
        <v>7.2</v>
      </c>
      <c r="F539">
        <v>10.598699999999999</v>
      </c>
      <c r="G539">
        <v>9</v>
      </c>
      <c r="H539">
        <v>8.4</v>
      </c>
      <c r="I539">
        <v>5.3</v>
      </c>
      <c r="J539">
        <v>13.2</v>
      </c>
      <c r="K539">
        <v>12.4</v>
      </c>
      <c r="L539">
        <v>10.1</v>
      </c>
      <c r="M539">
        <v>10.8</v>
      </c>
      <c r="N539">
        <v>5.8463960000000004</v>
      </c>
      <c r="O539">
        <v>12.3</v>
      </c>
      <c r="P539">
        <v>6.7</v>
      </c>
      <c r="Q539">
        <v>5.7</v>
      </c>
      <c r="T539">
        <v>10.7</v>
      </c>
      <c r="U539">
        <v>4.5999999999999996</v>
      </c>
      <c r="V539">
        <v>5.5</v>
      </c>
      <c r="W539">
        <v>2.4</v>
      </c>
      <c r="X539">
        <v>14.4</v>
      </c>
      <c r="Y539">
        <v>2.4</v>
      </c>
      <c r="Z539">
        <v>4.0999999999999996</v>
      </c>
      <c r="AA539">
        <v>3.4</v>
      </c>
      <c r="AB539">
        <v>7.2209070000000004</v>
      </c>
      <c r="AC539">
        <v>14.5</v>
      </c>
      <c r="AD539">
        <v>5.0999999999999996</v>
      </c>
      <c r="AE539">
        <v>17.7</v>
      </c>
      <c r="AF539">
        <v>7.5</v>
      </c>
      <c r="AG539">
        <v>6.4</v>
      </c>
      <c r="AI539">
        <v>4.0999999999999996</v>
      </c>
      <c r="AJ539">
        <v>9.6</v>
      </c>
      <c r="AK539">
        <v>5.9778799999999999</v>
      </c>
    </row>
    <row r="540" spans="1:37" x14ac:dyDescent="0.2">
      <c r="A540" s="6">
        <v>36465</v>
      </c>
      <c r="B540">
        <v>6.4395790000000002</v>
      </c>
      <c r="D540">
        <v>7.7</v>
      </c>
      <c r="E540">
        <v>6.9</v>
      </c>
      <c r="F540">
        <v>10.164289999999999</v>
      </c>
      <c r="G540">
        <v>9.1</v>
      </c>
      <c r="H540">
        <v>8.3000000000000007</v>
      </c>
      <c r="I540">
        <v>5.3</v>
      </c>
      <c r="J540">
        <v>13.1</v>
      </c>
      <c r="K540">
        <v>12.4</v>
      </c>
      <c r="L540">
        <v>10.1</v>
      </c>
      <c r="M540">
        <v>10.7</v>
      </c>
      <c r="N540">
        <v>5.8062750000000003</v>
      </c>
      <c r="O540">
        <v>12.4</v>
      </c>
      <c r="P540">
        <v>6.7</v>
      </c>
      <c r="Q540">
        <v>5.6</v>
      </c>
      <c r="T540">
        <v>10.7</v>
      </c>
      <c r="U540">
        <v>4.5999999999999996</v>
      </c>
      <c r="V540">
        <v>5.2</v>
      </c>
      <c r="W540">
        <v>2.4</v>
      </c>
      <c r="X540">
        <v>14.5</v>
      </c>
      <c r="Y540">
        <v>2.2999999999999998</v>
      </c>
      <c r="Z540">
        <v>4</v>
      </c>
      <c r="AA540">
        <v>3.4</v>
      </c>
      <c r="AB540">
        <v>7.2427950000000001</v>
      </c>
      <c r="AC540">
        <v>14.8</v>
      </c>
      <c r="AD540">
        <v>5.2</v>
      </c>
      <c r="AE540">
        <v>18.100000000000001</v>
      </c>
      <c r="AF540">
        <v>7.4</v>
      </c>
      <c r="AG540">
        <v>6.3</v>
      </c>
      <c r="AI540">
        <v>4.0999999999999996</v>
      </c>
      <c r="AJ540">
        <v>9.5</v>
      </c>
      <c r="AK540">
        <v>5.9034469999999999</v>
      </c>
    </row>
    <row r="541" spans="1:37" x14ac:dyDescent="0.2">
      <c r="A541" s="6">
        <v>36495</v>
      </c>
      <c r="B541">
        <v>6.68445</v>
      </c>
      <c r="D541">
        <v>7.6</v>
      </c>
      <c r="E541">
        <v>6.8</v>
      </c>
      <c r="F541">
        <v>9.6162310000000009</v>
      </c>
      <c r="G541">
        <v>9.1</v>
      </c>
      <c r="H541">
        <v>8.1999999999999993</v>
      </c>
      <c r="I541">
        <v>5.3</v>
      </c>
      <c r="J541">
        <v>12.9</v>
      </c>
      <c r="K541">
        <v>12.4</v>
      </c>
      <c r="L541">
        <v>10.1</v>
      </c>
      <c r="M541">
        <v>10.5</v>
      </c>
      <c r="N541">
        <v>5.8664170000000002</v>
      </c>
      <c r="O541">
        <v>12.3</v>
      </c>
      <c r="P541">
        <v>6.6</v>
      </c>
      <c r="Q541">
        <v>5.5</v>
      </c>
      <c r="T541">
        <v>10.6</v>
      </c>
      <c r="U541">
        <v>4.7</v>
      </c>
      <c r="V541">
        <v>5.2</v>
      </c>
      <c r="W541">
        <v>2.4</v>
      </c>
      <c r="X541">
        <v>14.4</v>
      </c>
      <c r="Y541">
        <v>2.4</v>
      </c>
      <c r="Z541">
        <v>4</v>
      </c>
      <c r="AA541">
        <v>3.4</v>
      </c>
      <c r="AB541">
        <v>7.2253429999999996</v>
      </c>
      <c r="AC541">
        <v>15.1</v>
      </c>
      <c r="AD541">
        <v>5.3</v>
      </c>
      <c r="AE541">
        <v>18.3</v>
      </c>
      <c r="AF541">
        <v>7.1</v>
      </c>
      <c r="AG541">
        <v>6.3</v>
      </c>
      <c r="AI541">
        <v>4</v>
      </c>
      <c r="AJ541">
        <v>9.4</v>
      </c>
      <c r="AK541">
        <v>5.8697509999999999</v>
      </c>
    </row>
    <row r="542" spans="1:37" x14ac:dyDescent="0.2">
      <c r="A542" s="6">
        <v>36526</v>
      </c>
      <c r="B542">
        <v>6.7678149999999997</v>
      </c>
      <c r="D542">
        <v>7.3</v>
      </c>
      <c r="E542">
        <v>6.8</v>
      </c>
      <c r="F542">
        <v>9.1915379999999995</v>
      </c>
      <c r="G542">
        <v>9.1</v>
      </c>
      <c r="H542">
        <v>8.1999999999999993</v>
      </c>
      <c r="I542">
        <v>5</v>
      </c>
      <c r="J542">
        <v>12.8</v>
      </c>
      <c r="K542">
        <v>14</v>
      </c>
      <c r="L542">
        <v>10.1</v>
      </c>
      <c r="M542">
        <v>10.4</v>
      </c>
      <c r="N542">
        <v>5.810689</v>
      </c>
      <c r="O542">
        <v>11.5</v>
      </c>
      <c r="P542">
        <v>6.6</v>
      </c>
      <c r="Q542">
        <v>5</v>
      </c>
      <c r="T542">
        <v>10.6</v>
      </c>
      <c r="U542">
        <v>4.7</v>
      </c>
      <c r="V542">
        <v>5</v>
      </c>
      <c r="W542">
        <v>2.2999999999999998</v>
      </c>
      <c r="X542">
        <v>14.4</v>
      </c>
      <c r="Y542">
        <v>2.2999999999999998</v>
      </c>
      <c r="Z542">
        <v>3.9</v>
      </c>
      <c r="AA542">
        <v>3.4</v>
      </c>
      <c r="AB542">
        <v>7.2422899999999997</v>
      </c>
      <c r="AC542">
        <v>15.5</v>
      </c>
      <c r="AD542">
        <v>5.5</v>
      </c>
      <c r="AE542">
        <v>18.3</v>
      </c>
      <c r="AF542">
        <v>6.8</v>
      </c>
      <c r="AG542">
        <v>6.2</v>
      </c>
      <c r="AI542">
        <v>4</v>
      </c>
      <c r="AJ542">
        <v>9.4</v>
      </c>
      <c r="AK542">
        <v>5.8437799999999998</v>
      </c>
    </row>
    <row r="543" spans="1:37" x14ac:dyDescent="0.2">
      <c r="A543" s="6">
        <v>36557</v>
      </c>
      <c r="B543">
        <v>6.6191690000000003</v>
      </c>
      <c r="D543">
        <v>7.1</v>
      </c>
      <c r="E543">
        <v>6.9</v>
      </c>
      <c r="F543">
        <v>9.036486</v>
      </c>
      <c r="G543">
        <v>9.4</v>
      </c>
      <c r="H543">
        <v>8.1</v>
      </c>
      <c r="I543">
        <v>4.5999999999999996</v>
      </c>
      <c r="J543">
        <v>12.4</v>
      </c>
      <c r="K543">
        <v>14.9</v>
      </c>
      <c r="L543">
        <v>10.199999999999999</v>
      </c>
      <c r="M543">
        <v>10.199999999999999</v>
      </c>
      <c r="N543">
        <v>5.79277</v>
      </c>
      <c r="O543">
        <v>11.6</v>
      </c>
      <c r="P543">
        <v>6.6</v>
      </c>
      <c r="Q543">
        <v>4.9000000000000004</v>
      </c>
      <c r="T543">
        <v>10.6</v>
      </c>
      <c r="U543">
        <v>4.9000000000000004</v>
      </c>
      <c r="V543">
        <v>4.8</v>
      </c>
      <c r="W543">
        <v>2.2999999999999998</v>
      </c>
      <c r="X543">
        <v>14.3</v>
      </c>
      <c r="Y543">
        <v>2.1</v>
      </c>
      <c r="Z543">
        <v>3.9</v>
      </c>
      <c r="AA543">
        <v>3.4</v>
      </c>
      <c r="AB543">
        <v>7.2648809999999999</v>
      </c>
      <c r="AC543">
        <v>15.8</v>
      </c>
      <c r="AD543">
        <v>5.3</v>
      </c>
      <c r="AE543">
        <v>18.5</v>
      </c>
      <c r="AF543">
        <v>6.8</v>
      </c>
      <c r="AG543">
        <v>6.1</v>
      </c>
      <c r="AI543">
        <v>4.0999999999999996</v>
      </c>
      <c r="AJ543">
        <v>9.3000000000000007</v>
      </c>
      <c r="AK543">
        <v>5.8918949999999999</v>
      </c>
    </row>
    <row r="544" spans="1:37" x14ac:dyDescent="0.2">
      <c r="A544" s="6">
        <v>36586</v>
      </c>
      <c r="B544">
        <v>6.5651409999999997</v>
      </c>
      <c r="D544">
        <v>6.9</v>
      </c>
      <c r="E544">
        <v>6.9</v>
      </c>
      <c r="F544">
        <v>9.2566939999999995</v>
      </c>
      <c r="G544">
        <v>9.1999999999999993</v>
      </c>
      <c r="H544">
        <v>8.1</v>
      </c>
      <c r="I544">
        <v>4.4000000000000004</v>
      </c>
      <c r="J544">
        <v>12.2</v>
      </c>
      <c r="K544">
        <v>14.2</v>
      </c>
      <c r="L544">
        <v>10.199999999999999</v>
      </c>
      <c r="M544">
        <v>10.1</v>
      </c>
      <c r="N544">
        <v>5.6948160000000003</v>
      </c>
      <c r="O544">
        <v>11.6</v>
      </c>
      <c r="P544">
        <v>6.5</v>
      </c>
      <c r="Q544">
        <v>4.8</v>
      </c>
      <c r="T544">
        <v>10.5</v>
      </c>
      <c r="U544">
        <v>4.9000000000000004</v>
      </c>
      <c r="V544">
        <v>4.5999999999999996</v>
      </c>
      <c r="W544">
        <v>2.2999999999999998</v>
      </c>
      <c r="X544">
        <v>14.3</v>
      </c>
      <c r="Y544">
        <v>2.2000000000000002</v>
      </c>
      <c r="Z544">
        <v>3.8</v>
      </c>
      <c r="AA544">
        <v>3.3</v>
      </c>
      <c r="AB544">
        <v>7.2938169999999998</v>
      </c>
      <c r="AC544">
        <v>16.100000000000001</v>
      </c>
      <c r="AD544">
        <v>5.0999999999999996</v>
      </c>
      <c r="AE544">
        <v>18.7</v>
      </c>
      <c r="AF544">
        <v>6.8</v>
      </c>
      <c r="AG544">
        <v>5.9</v>
      </c>
      <c r="AI544">
        <v>4</v>
      </c>
      <c r="AJ544">
        <v>9.1999999999999993</v>
      </c>
      <c r="AK544">
        <v>5.831664</v>
      </c>
    </row>
    <row r="545" spans="1:37" x14ac:dyDescent="0.2">
      <c r="A545" s="6">
        <v>36617</v>
      </c>
      <c r="B545">
        <v>6.3764349999999999</v>
      </c>
      <c r="D545">
        <v>6.9</v>
      </c>
      <c r="E545">
        <v>6.7</v>
      </c>
      <c r="F545">
        <v>9.2420910000000003</v>
      </c>
      <c r="G545">
        <v>9</v>
      </c>
      <c r="H545">
        <v>8</v>
      </c>
      <c r="I545">
        <v>4.4000000000000004</v>
      </c>
      <c r="J545">
        <v>12</v>
      </c>
      <c r="K545">
        <v>14.5</v>
      </c>
      <c r="L545">
        <v>10</v>
      </c>
      <c r="M545">
        <v>9.9</v>
      </c>
      <c r="N545">
        <v>5.6385009999999998</v>
      </c>
      <c r="O545">
        <v>11.5</v>
      </c>
      <c r="P545">
        <v>6.5</v>
      </c>
      <c r="Q545">
        <v>4.9000000000000004</v>
      </c>
      <c r="T545">
        <v>10.3</v>
      </c>
      <c r="U545">
        <v>4.8</v>
      </c>
      <c r="V545">
        <v>4.5</v>
      </c>
      <c r="W545">
        <v>2.2999999999999998</v>
      </c>
      <c r="X545">
        <v>14.3</v>
      </c>
      <c r="Y545">
        <v>2.792068</v>
      </c>
      <c r="Z545">
        <v>3.8</v>
      </c>
      <c r="AA545">
        <v>3.2</v>
      </c>
      <c r="AB545">
        <v>7.2667169999999999</v>
      </c>
      <c r="AC545">
        <v>16.2</v>
      </c>
      <c r="AD545">
        <v>5.0999999999999996</v>
      </c>
      <c r="AE545">
        <v>18.899999999999999</v>
      </c>
      <c r="AF545">
        <v>7.1</v>
      </c>
      <c r="AG545">
        <v>5.9</v>
      </c>
      <c r="AI545">
        <v>3.8</v>
      </c>
      <c r="AJ545">
        <v>9.1</v>
      </c>
      <c r="AK545">
        <v>5.6922040000000003</v>
      </c>
    </row>
    <row r="546" spans="1:37" x14ac:dyDescent="0.2">
      <c r="A546" s="6">
        <v>36647</v>
      </c>
      <c r="B546">
        <v>6.4145620000000001</v>
      </c>
      <c r="D546">
        <v>6.8</v>
      </c>
      <c r="E546">
        <v>6.6</v>
      </c>
      <c r="F546">
        <v>9.3952519999999993</v>
      </c>
      <c r="G546">
        <v>9</v>
      </c>
      <c r="H546">
        <v>8</v>
      </c>
      <c r="I546">
        <v>4.5</v>
      </c>
      <c r="J546">
        <v>11.9</v>
      </c>
      <c r="K546">
        <v>13.9</v>
      </c>
      <c r="L546">
        <v>9.8000000000000007</v>
      </c>
      <c r="M546">
        <v>9.6999999999999993</v>
      </c>
      <c r="N546">
        <v>5.5005350000000002</v>
      </c>
      <c r="O546">
        <v>11.5</v>
      </c>
      <c r="P546">
        <v>6.4</v>
      </c>
      <c r="Q546">
        <v>4.7</v>
      </c>
      <c r="T546">
        <v>10.3</v>
      </c>
      <c r="U546">
        <v>4.5999999999999996</v>
      </c>
      <c r="V546">
        <v>4.3</v>
      </c>
      <c r="W546">
        <v>2.2999999999999998</v>
      </c>
      <c r="X546">
        <v>14.4</v>
      </c>
      <c r="Y546">
        <v>2.7226469999999998</v>
      </c>
      <c r="Z546">
        <v>3.7</v>
      </c>
      <c r="AA546">
        <v>3</v>
      </c>
      <c r="AB546">
        <v>7.2515650000000003</v>
      </c>
      <c r="AC546">
        <v>16.3</v>
      </c>
      <c r="AD546">
        <v>5.0999999999999996</v>
      </c>
      <c r="AE546">
        <v>19.2</v>
      </c>
      <c r="AF546">
        <v>7.2</v>
      </c>
      <c r="AG546">
        <v>5.6</v>
      </c>
      <c r="AI546">
        <v>4</v>
      </c>
      <c r="AJ546">
        <v>9</v>
      </c>
      <c r="AK546">
        <v>5.7135800000000003</v>
      </c>
    </row>
    <row r="547" spans="1:37" x14ac:dyDescent="0.2">
      <c r="A547" s="6">
        <v>36678</v>
      </c>
      <c r="B547">
        <v>6.1152509999999998</v>
      </c>
      <c r="D547">
        <v>6.7</v>
      </c>
      <c r="E547">
        <v>6.7</v>
      </c>
      <c r="F547">
        <v>9.9615829999999992</v>
      </c>
      <c r="G547">
        <v>8.5</v>
      </c>
      <c r="H547">
        <v>8</v>
      </c>
      <c r="I547">
        <v>4.4000000000000004</v>
      </c>
      <c r="J547">
        <v>11.9</v>
      </c>
      <c r="K547">
        <v>14</v>
      </c>
      <c r="L547">
        <v>9.6</v>
      </c>
      <c r="M547">
        <v>9.5</v>
      </c>
      <c r="N547">
        <v>5.3352250000000003</v>
      </c>
      <c r="O547">
        <v>11.4</v>
      </c>
      <c r="P547">
        <v>6.3</v>
      </c>
      <c r="Q547">
        <v>4.5999999999999996</v>
      </c>
      <c r="T547">
        <v>10.199999999999999</v>
      </c>
      <c r="U547">
        <v>4.7</v>
      </c>
      <c r="V547">
        <v>4.2</v>
      </c>
      <c r="W547">
        <v>2.2999999999999998</v>
      </c>
      <c r="X547">
        <v>14.4</v>
      </c>
      <c r="Y547">
        <v>2.72309</v>
      </c>
      <c r="Z547">
        <v>3.7</v>
      </c>
      <c r="AA547">
        <v>3</v>
      </c>
      <c r="AB547">
        <v>7.2837440000000004</v>
      </c>
      <c r="AC547">
        <v>16.100000000000001</v>
      </c>
      <c r="AD547">
        <v>5</v>
      </c>
      <c r="AE547">
        <v>19.399999999999999</v>
      </c>
      <c r="AF547">
        <v>7.2</v>
      </c>
      <c r="AG547">
        <v>5.8</v>
      </c>
      <c r="AI547">
        <v>4</v>
      </c>
      <c r="AJ547">
        <v>8.9</v>
      </c>
      <c r="AK547">
        <v>5.658093</v>
      </c>
    </row>
    <row r="548" spans="1:37" x14ac:dyDescent="0.2">
      <c r="A548" s="6">
        <v>36708</v>
      </c>
      <c r="B548">
        <v>5.9540439999999997</v>
      </c>
      <c r="D548">
        <v>6.8</v>
      </c>
      <c r="E548">
        <v>6.8</v>
      </c>
      <c r="F548">
        <v>10.232290000000001</v>
      </c>
      <c r="G548">
        <v>8.6999999999999993</v>
      </c>
      <c r="H548">
        <v>7.9</v>
      </c>
      <c r="I548">
        <v>4.2</v>
      </c>
      <c r="J548">
        <v>11.9</v>
      </c>
      <c r="K548">
        <v>13.9</v>
      </c>
      <c r="L548">
        <v>9.6</v>
      </c>
      <c r="M548">
        <v>9.4</v>
      </c>
      <c r="N548">
        <v>5.255471</v>
      </c>
      <c r="O548">
        <v>11.3</v>
      </c>
      <c r="P548">
        <v>6.2</v>
      </c>
      <c r="Q548">
        <v>4.5</v>
      </c>
      <c r="T548">
        <v>10</v>
      </c>
      <c r="U548">
        <v>4.7</v>
      </c>
      <c r="V548">
        <v>4.0999999999999996</v>
      </c>
      <c r="W548">
        <v>2.2000000000000002</v>
      </c>
      <c r="X548">
        <v>14.3</v>
      </c>
      <c r="Y548">
        <v>2.4574569999999998</v>
      </c>
      <c r="Z548">
        <v>3.6</v>
      </c>
      <c r="AA548">
        <v>3.1</v>
      </c>
      <c r="AB548">
        <v>7.3258400000000004</v>
      </c>
      <c r="AC548">
        <v>16</v>
      </c>
      <c r="AD548">
        <v>5.0999999999999996</v>
      </c>
      <c r="AE548">
        <v>19.7</v>
      </c>
      <c r="AF548">
        <v>7</v>
      </c>
      <c r="AG548">
        <v>5.6</v>
      </c>
      <c r="AI548">
        <v>4</v>
      </c>
      <c r="AJ548">
        <v>8.8000000000000007</v>
      </c>
      <c r="AK548">
        <v>5.652501</v>
      </c>
    </row>
    <row r="549" spans="1:37" x14ac:dyDescent="0.2">
      <c r="A549" s="6">
        <v>36739</v>
      </c>
      <c r="B549">
        <v>6.0512329999999999</v>
      </c>
      <c r="D549">
        <v>7</v>
      </c>
      <c r="E549">
        <v>7</v>
      </c>
      <c r="F549">
        <v>10.506460000000001</v>
      </c>
      <c r="G549">
        <v>8.6</v>
      </c>
      <c r="H549">
        <v>7.9</v>
      </c>
      <c r="I549">
        <v>4.0999999999999996</v>
      </c>
      <c r="J549">
        <v>11.8</v>
      </c>
      <c r="K549">
        <v>14.3</v>
      </c>
      <c r="L549">
        <v>9.6</v>
      </c>
      <c r="M549">
        <v>9.3000000000000007</v>
      </c>
      <c r="N549">
        <v>5.3185440000000002</v>
      </c>
      <c r="O549">
        <v>11.2</v>
      </c>
      <c r="P549">
        <v>6.1</v>
      </c>
      <c r="Q549">
        <v>4.4000000000000004</v>
      </c>
      <c r="T549">
        <v>10</v>
      </c>
      <c r="U549">
        <v>4.5999999999999996</v>
      </c>
      <c r="V549">
        <v>4.2</v>
      </c>
      <c r="W549">
        <v>2.2999999999999998</v>
      </c>
      <c r="X549">
        <v>14.4</v>
      </c>
      <c r="Y549">
        <v>2.7291599999999998</v>
      </c>
      <c r="Z549">
        <v>3.6</v>
      </c>
      <c r="AA549">
        <v>3.3</v>
      </c>
      <c r="AB549">
        <v>7.3593570000000001</v>
      </c>
      <c r="AC549">
        <v>15.9</v>
      </c>
      <c r="AD549">
        <v>5.0999999999999996</v>
      </c>
      <c r="AE549">
        <v>18.600000000000001</v>
      </c>
      <c r="AF549">
        <v>6.8</v>
      </c>
      <c r="AG549">
        <v>5.5</v>
      </c>
      <c r="AI549">
        <v>4.0999999999999996</v>
      </c>
      <c r="AJ549">
        <v>8.8000000000000007</v>
      </c>
      <c r="AK549">
        <v>5.6803999999999997</v>
      </c>
    </row>
    <row r="550" spans="1:37" x14ac:dyDescent="0.2">
      <c r="A550" s="6">
        <v>36770</v>
      </c>
      <c r="B550">
        <v>5.9631959999999999</v>
      </c>
      <c r="D550">
        <v>6.9</v>
      </c>
      <c r="E550">
        <v>6.9</v>
      </c>
      <c r="F550">
        <v>10.1235</v>
      </c>
      <c r="G550">
        <v>8.3000000000000007</v>
      </c>
      <c r="H550">
        <v>7.9</v>
      </c>
      <c r="I550">
        <v>4</v>
      </c>
      <c r="J550">
        <v>11.7</v>
      </c>
      <c r="K550">
        <v>14.2</v>
      </c>
      <c r="L550">
        <v>9.6</v>
      </c>
      <c r="M550">
        <v>9.1</v>
      </c>
      <c r="N550">
        <v>5.3985159999999999</v>
      </c>
      <c r="O550">
        <v>11.2</v>
      </c>
      <c r="P550">
        <v>6</v>
      </c>
      <c r="Q550">
        <v>4.2</v>
      </c>
      <c r="T550">
        <v>9.9</v>
      </c>
      <c r="U550">
        <v>4.7</v>
      </c>
      <c r="V550">
        <v>4.5</v>
      </c>
      <c r="W550">
        <v>2.2000000000000002</v>
      </c>
      <c r="X550">
        <v>14.4</v>
      </c>
      <c r="Y550">
        <v>2.6192579999999999</v>
      </c>
      <c r="Z550">
        <v>3.5</v>
      </c>
      <c r="AA550">
        <v>3.3</v>
      </c>
      <c r="AB550">
        <v>7.4229630000000002</v>
      </c>
      <c r="AC550">
        <v>16</v>
      </c>
      <c r="AD550">
        <v>5.0999999999999996</v>
      </c>
      <c r="AE550">
        <v>18.600000000000001</v>
      </c>
      <c r="AF550">
        <v>6.6</v>
      </c>
      <c r="AG550">
        <v>5.2</v>
      </c>
      <c r="AI550">
        <v>3.9</v>
      </c>
      <c r="AJ550">
        <v>8.6999999999999993</v>
      </c>
      <c r="AK550">
        <v>5.6074960000000003</v>
      </c>
    </row>
    <row r="551" spans="1:37" x14ac:dyDescent="0.2">
      <c r="A551" s="6">
        <v>36800</v>
      </c>
      <c r="B551">
        <v>6.0095869999999998</v>
      </c>
      <c r="D551">
        <v>6.8</v>
      </c>
      <c r="E551">
        <v>7</v>
      </c>
      <c r="F551">
        <v>10.18262</v>
      </c>
      <c r="G551">
        <v>8.5</v>
      </c>
      <c r="H551">
        <v>7.8</v>
      </c>
      <c r="I551">
        <v>4</v>
      </c>
      <c r="J551">
        <v>11.7</v>
      </c>
      <c r="K551">
        <v>14.1</v>
      </c>
      <c r="L551">
        <v>9.5</v>
      </c>
      <c r="M551">
        <v>9</v>
      </c>
      <c r="N551">
        <v>5.2991070000000002</v>
      </c>
      <c r="O551">
        <v>10.6</v>
      </c>
      <c r="P551">
        <v>6</v>
      </c>
      <c r="Q551">
        <v>4</v>
      </c>
      <c r="T551">
        <v>9.6</v>
      </c>
      <c r="U551">
        <v>4.7</v>
      </c>
      <c r="V551">
        <v>4.0999999999999996</v>
      </c>
      <c r="W551">
        <v>2.1</v>
      </c>
      <c r="X551">
        <v>14.5</v>
      </c>
      <c r="Y551">
        <v>2.4877009999999999</v>
      </c>
      <c r="Z551">
        <v>3.4</v>
      </c>
      <c r="AA551">
        <v>3.2</v>
      </c>
      <c r="AB551">
        <v>7.351934</v>
      </c>
      <c r="AC551">
        <v>16.2</v>
      </c>
      <c r="AD551">
        <v>5</v>
      </c>
      <c r="AE551">
        <v>18.8</v>
      </c>
      <c r="AF551">
        <v>6.3</v>
      </c>
      <c r="AG551">
        <v>5.2</v>
      </c>
      <c r="AI551">
        <v>3.9</v>
      </c>
      <c r="AJ551">
        <v>8.6</v>
      </c>
      <c r="AK551">
        <v>5.535183</v>
      </c>
    </row>
    <row r="552" spans="1:37" x14ac:dyDescent="0.2">
      <c r="A552" s="6">
        <v>36831</v>
      </c>
      <c r="B552">
        <v>6.2612170000000003</v>
      </c>
      <c r="D552">
        <v>6.7</v>
      </c>
      <c r="E552">
        <v>6.9</v>
      </c>
      <c r="F552">
        <v>9.7295940000000005</v>
      </c>
      <c r="G552">
        <v>8.5</v>
      </c>
      <c r="H552">
        <v>7.8</v>
      </c>
      <c r="I552">
        <v>4.0999999999999996</v>
      </c>
      <c r="J552">
        <v>11.5</v>
      </c>
      <c r="K552">
        <v>14.4</v>
      </c>
      <c r="L552">
        <v>9.4</v>
      </c>
      <c r="M552">
        <v>8.9</v>
      </c>
      <c r="N552">
        <v>5.2274370000000001</v>
      </c>
      <c r="O552">
        <v>10.7</v>
      </c>
      <c r="P552">
        <v>5.9</v>
      </c>
      <c r="Q552">
        <v>3.9</v>
      </c>
      <c r="T552">
        <v>9.6</v>
      </c>
      <c r="U552">
        <v>4.7</v>
      </c>
      <c r="V552">
        <v>4.2</v>
      </c>
      <c r="W552">
        <v>2</v>
      </c>
      <c r="X552">
        <v>14.5</v>
      </c>
      <c r="Y552">
        <v>2.3592789999999999</v>
      </c>
      <c r="Z552">
        <v>3.4</v>
      </c>
      <c r="AA552">
        <v>3.3</v>
      </c>
      <c r="AB552">
        <v>7.3193029999999997</v>
      </c>
      <c r="AC552">
        <v>16.5</v>
      </c>
      <c r="AD552">
        <v>4.8</v>
      </c>
      <c r="AE552">
        <v>19</v>
      </c>
      <c r="AF552">
        <v>6.2</v>
      </c>
      <c r="AG552">
        <v>5.2</v>
      </c>
      <c r="AI552">
        <v>3.9</v>
      </c>
      <c r="AJ552">
        <v>8.5</v>
      </c>
      <c r="AK552">
        <v>5.5551180000000002</v>
      </c>
    </row>
    <row r="553" spans="1:37" x14ac:dyDescent="0.2">
      <c r="A553" s="6">
        <v>36861</v>
      </c>
      <c r="B553">
        <v>6.2438750000000001</v>
      </c>
      <c r="D553">
        <v>6.4</v>
      </c>
      <c r="E553">
        <v>6.8</v>
      </c>
      <c r="F553">
        <v>9.8350609999999996</v>
      </c>
      <c r="G553">
        <v>8.1999999999999993</v>
      </c>
      <c r="H553">
        <v>7.7</v>
      </c>
      <c r="I553">
        <v>4.0999999999999996</v>
      </c>
      <c r="J553">
        <v>11.2</v>
      </c>
      <c r="K553">
        <v>14.3</v>
      </c>
      <c r="L553">
        <v>9.3000000000000007</v>
      </c>
      <c r="M553">
        <v>8.8000000000000007</v>
      </c>
      <c r="N553">
        <v>5.1625189999999996</v>
      </c>
      <c r="O553">
        <v>10.6</v>
      </c>
      <c r="P553">
        <v>5.8</v>
      </c>
      <c r="Q553">
        <v>4</v>
      </c>
      <c r="T553">
        <v>9.6</v>
      </c>
      <c r="U553">
        <v>4.8</v>
      </c>
      <c r="V553">
        <v>4.3</v>
      </c>
      <c r="W553">
        <v>2</v>
      </c>
      <c r="X553">
        <v>14.3</v>
      </c>
      <c r="Y553">
        <v>2.5472410000000001</v>
      </c>
      <c r="Z553">
        <v>3.3</v>
      </c>
      <c r="AA553">
        <v>3.4</v>
      </c>
      <c r="AB553">
        <v>7.3308400000000002</v>
      </c>
      <c r="AC553">
        <v>16.8</v>
      </c>
      <c r="AD553">
        <v>4.8</v>
      </c>
      <c r="AE553">
        <v>19.100000000000001</v>
      </c>
      <c r="AF553">
        <v>6.2</v>
      </c>
      <c r="AG553">
        <v>4.9000000000000004</v>
      </c>
      <c r="AI553">
        <v>3.9</v>
      </c>
      <c r="AJ553">
        <v>8.4</v>
      </c>
      <c r="AK553">
        <v>5.5282629999999999</v>
      </c>
    </row>
    <row r="554" spans="1:37" x14ac:dyDescent="0.2">
      <c r="A554" s="6">
        <v>36892</v>
      </c>
      <c r="B554">
        <v>6.1398339999999996</v>
      </c>
      <c r="D554">
        <v>6.1</v>
      </c>
      <c r="E554">
        <v>6.9</v>
      </c>
      <c r="F554">
        <v>9.8324259999999999</v>
      </c>
      <c r="G554">
        <v>8.3000000000000007</v>
      </c>
      <c r="H554">
        <v>7.7</v>
      </c>
      <c r="I554">
        <v>4.3</v>
      </c>
      <c r="J554">
        <v>10.8</v>
      </c>
      <c r="K554">
        <v>14.4</v>
      </c>
      <c r="L554">
        <v>9.4</v>
      </c>
      <c r="M554">
        <v>8.6999999999999993</v>
      </c>
      <c r="N554">
        <v>5.2042890000000002</v>
      </c>
      <c r="O554">
        <v>10.5</v>
      </c>
      <c r="P554">
        <v>5.7</v>
      </c>
      <c r="Q554">
        <v>4</v>
      </c>
      <c r="T554">
        <v>9.4</v>
      </c>
      <c r="U554">
        <v>4.8</v>
      </c>
      <c r="V554">
        <v>4.4000000000000004</v>
      </c>
      <c r="W554">
        <v>1.9</v>
      </c>
      <c r="X554">
        <v>14.1</v>
      </c>
      <c r="Y554">
        <v>2.544988</v>
      </c>
      <c r="Z554">
        <v>3.2</v>
      </c>
      <c r="AA554">
        <v>3.4</v>
      </c>
      <c r="AB554">
        <v>7.262435</v>
      </c>
      <c r="AC554">
        <v>17.100000000000001</v>
      </c>
      <c r="AD554">
        <v>4.9000000000000004</v>
      </c>
      <c r="AE554">
        <v>19.399999999999999</v>
      </c>
      <c r="AF554">
        <v>6.1</v>
      </c>
      <c r="AG554">
        <v>6</v>
      </c>
      <c r="AI554">
        <v>4.2</v>
      </c>
      <c r="AJ554">
        <v>8.3000000000000007</v>
      </c>
      <c r="AK554">
        <v>5.6214630000000003</v>
      </c>
    </row>
    <row r="555" spans="1:37" x14ac:dyDescent="0.2">
      <c r="A555" s="6">
        <v>36923</v>
      </c>
      <c r="B555">
        <v>6.5018900000000004</v>
      </c>
      <c r="D555">
        <v>6</v>
      </c>
      <c r="E555">
        <v>7</v>
      </c>
      <c r="F555">
        <v>9.9618009999999995</v>
      </c>
      <c r="G555">
        <v>8.3000000000000007</v>
      </c>
      <c r="H555">
        <v>7.7</v>
      </c>
      <c r="I555">
        <v>4.4000000000000004</v>
      </c>
      <c r="J555">
        <v>10.7</v>
      </c>
      <c r="K555">
        <v>13.9</v>
      </c>
      <c r="L555">
        <v>9.4</v>
      </c>
      <c r="M555">
        <v>8.6999999999999993</v>
      </c>
      <c r="N555">
        <v>5.089594</v>
      </c>
      <c r="O555">
        <v>10.5</v>
      </c>
      <c r="P555">
        <v>5.7</v>
      </c>
      <c r="Q555">
        <v>4</v>
      </c>
      <c r="T555">
        <v>9.4</v>
      </c>
      <c r="U555">
        <v>4.7</v>
      </c>
      <c r="V555">
        <v>4.7</v>
      </c>
      <c r="W555">
        <v>1.8</v>
      </c>
      <c r="X555">
        <v>13.8</v>
      </c>
      <c r="Y555">
        <v>3.2090510000000001</v>
      </c>
      <c r="Z555">
        <v>3.2</v>
      </c>
      <c r="AA555">
        <v>3.4</v>
      </c>
      <c r="AB555">
        <v>7.2342399999999998</v>
      </c>
      <c r="AC555">
        <v>17.399999999999999</v>
      </c>
      <c r="AD555">
        <v>5.0999999999999996</v>
      </c>
      <c r="AE555">
        <v>19.3</v>
      </c>
      <c r="AF555">
        <v>6</v>
      </c>
      <c r="AG555">
        <v>5.9</v>
      </c>
      <c r="AI555">
        <v>4.2</v>
      </c>
      <c r="AJ555">
        <v>8.3000000000000007</v>
      </c>
      <c r="AK555">
        <v>5.616663</v>
      </c>
    </row>
    <row r="556" spans="1:37" x14ac:dyDescent="0.2">
      <c r="A556" s="6">
        <v>36951</v>
      </c>
      <c r="B556">
        <v>6.45878</v>
      </c>
      <c r="D556">
        <v>6.1</v>
      </c>
      <c r="E556">
        <v>7.1</v>
      </c>
      <c r="F556">
        <v>10.03955</v>
      </c>
      <c r="G556">
        <v>8.1</v>
      </c>
      <c r="H556">
        <v>7.6</v>
      </c>
      <c r="I556">
        <v>4.4000000000000004</v>
      </c>
      <c r="J556">
        <v>10.5</v>
      </c>
      <c r="K556">
        <v>14</v>
      </c>
      <c r="L556">
        <v>9</v>
      </c>
      <c r="M556">
        <v>8.6999999999999993</v>
      </c>
      <c r="N556">
        <v>5.0103669999999996</v>
      </c>
      <c r="O556">
        <v>10.5</v>
      </c>
      <c r="P556">
        <v>5.6</v>
      </c>
      <c r="Q556">
        <v>3.9</v>
      </c>
      <c r="T556">
        <v>9.3000000000000007</v>
      </c>
      <c r="U556">
        <v>4.8</v>
      </c>
      <c r="V556">
        <v>4.5999999999999996</v>
      </c>
      <c r="W556">
        <v>1.9</v>
      </c>
      <c r="X556">
        <v>13.5</v>
      </c>
      <c r="Y556">
        <v>2.663894</v>
      </c>
      <c r="Z556">
        <v>3.2</v>
      </c>
      <c r="AA556">
        <v>3.2</v>
      </c>
      <c r="AB556">
        <v>7.1790159999999998</v>
      </c>
      <c r="AC556">
        <v>17.7</v>
      </c>
      <c r="AD556">
        <v>5.0999999999999996</v>
      </c>
      <c r="AE556">
        <v>19.399999999999999</v>
      </c>
      <c r="AF556">
        <v>6.1</v>
      </c>
      <c r="AG556">
        <v>5.8</v>
      </c>
      <c r="AI556">
        <v>4.3</v>
      </c>
      <c r="AJ556">
        <v>8.3000000000000007</v>
      </c>
      <c r="AK556">
        <v>5.6236540000000002</v>
      </c>
    </row>
    <row r="557" spans="1:37" x14ac:dyDescent="0.2">
      <c r="A557" s="6">
        <v>36982</v>
      </c>
      <c r="B557">
        <v>6.7826269999999997</v>
      </c>
      <c r="D557">
        <v>6.5</v>
      </c>
      <c r="E557">
        <v>7.1</v>
      </c>
      <c r="F557">
        <v>10.14889</v>
      </c>
      <c r="G557">
        <v>8.1</v>
      </c>
      <c r="H557">
        <v>7.6</v>
      </c>
      <c r="I557">
        <v>4.3</v>
      </c>
      <c r="J557">
        <v>10.4</v>
      </c>
      <c r="K557">
        <v>14.2</v>
      </c>
      <c r="L557">
        <v>9.1999999999999993</v>
      </c>
      <c r="M557">
        <v>8.6999999999999993</v>
      </c>
      <c r="N557">
        <v>4.9109949999999998</v>
      </c>
      <c r="O557">
        <v>10.7</v>
      </c>
      <c r="P557">
        <v>5.6</v>
      </c>
      <c r="Q557">
        <v>3.9</v>
      </c>
      <c r="T557">
        <v>9.1999999999999993</v>
      </c>
      <c r="U557">
        <v>4.8</v>
      </c>
      <c r="V557">
        <v>4.0999999999999996</v>
      </c>
      <c r="W557">
        <v>1.9</v>
      </c>
      <c r="X557">
        <v>13.2</v>
      </c>
      <c r="Y557">
        <v>2.7034720000000001</v>
      </c>
      <c r="Z557">
        <v>3.1</v>
      </c>
      <c r="AA557">
        <v>3.2</v>
      </c>
      <c r="AB557">
        <v>7.2550949999999998</v>
      </c>
      <c r="AC557">
        <v>18.100000000000001</v>
      </c>
      <c r="AD557">
        <v>5.2</v>
      </c>
      <c r="AE557">
        <v>19.600000000000001</v>
      </c>
      <c r="AF557">
        <v>6</v>
      </c>
      <c r="AG557">
        <v>5.7</v>
      </c>
      <c r="AI557">
        <v>4.4000000000000004</v>
      </c>
      <c r="AJ557">
        <v>8.3000000000000007</v>
      </c>
      <c r="AK557">
        <v>5.6639200000000001</v>
      </c>
    </row>
    <row r="558" spans="1:37" x14ac:dyDescent="0.2">
      <c r="A558" s="6">
        <v>37012</v>
      </c>
      <c r="B558">
        <v>6.8932919999999998</v>
      </c>
      <c r="D558">
        <v>6.6</v>
      </c>
      <c r="E558">
        <v>7</v>
      </c>
      <c r="F558">
        <v>9.8840819999999994</v>
      </c>
      <c r="G558">
        <v>8.1</v>
      </c>
      <c r="H558">
        <v>7.7</v>
      </c>
      <c r="I558">
        <v>4.3</v>
      </c>
      <c r="J558">
        <v>10.6</v>
      </c>
      <c r="K558">
        <v>13.6</v>
      </c>
      <c r="L558">
        <v>9.1</v>
      </c>
      <c r="M558">
        <v>8.6999999999999993</v>
      </c>
      <c r="N558">
        <v>5.030761</v>
      </c>
      <c r="O558">
        <v>10.7</v>
      </c>
      <c r="P558">
        <v>5.6</v>
      </c>
      <c r="Q558">
        <v>4</v>
      </c>
      <c r="T558">
        <v>9.1</v>
      </c>
      <c r="U558">
        <v>4.9000000000000004</v>
      </c>
      <c r="V558">
        <v>3.9</v>
      </c>
      <c r="W558">
        <v>1.8</v>
      </c>
      <c r="X558">
        <v>13.1</v>
      </c>
      <c r="Y558">
        <v>2.7801420000000001</v>
      </c>
      <c r="Z558">
        <v>3.1</v>
      </c>
      <c r="AA558">
        <v>3.2</v>
      </c>
      <c r="AB558">
        <v>7.2382080000000002</v>
      </c>
      <c r="AC558">
        <v>18.399999999999999</v>
      </c>
      <c r="AD558">
        <v>5.2</v>
      </c>
      <c r="AE558">
        <v>19.5</v>
      </c>
      <c r="AF558">
        <v>5.9</v>
      </c>
      <c r="AG558">
        <v>5.7</v>
      </c>
      <c r="AI558">
        <v>4.3</v>
      </c>
      <c r="AJ558">
        <v>8.3000000000000007</v>
      </c>
      <c r="AK558">
        <v>5.6884969999999999</v>
      </c>
    </row>
    <row r="559" spans="1:37" x14ac:dyDescent="0.2">
      <c r="A559" s="6">
        <v>37043</v>
      </c>
      <c r="B559">
        <v>6.9329929999999997</v>
      </c>
      <c r="D559">
        <v>6.4</v>
      </c>
      <c r="E559">
        <v>7.2</v>
      </c>
      <c r="F559">
        <v>9.7866370000000007</v>
      </c>
      <c r="G559">
        <v>8.1</v>
      </c>
      <c r="H559">
        <v>7.7</v>
      </c>
      <c r="I559">
        <v>4.4000000000000004</v>
      </c>
      <c r="J559">
        <v>10.5</v>
      </c>
      <c r="K559">
        <v>12.9</v>
      </c>
      <c r="L559">
        <v>9</v>
      </c>
      <c r="M559">
        <v>8.8000000000000007</v>
      </c>
      <c r="N559">
        <v>5.0462819999999997</v>
      </c>
      <c r="O559">
        <v>10.7</v>
      </c>
      <c r="P559">
        <v>5.6</v>
      </c>
      <c r="Q559">
        <v>4.0999999999999996</v>
      </c>
      <c r="T559">
        <v>9.1</v>
      </c>
      <c r="U559">
        <v>5</v>
      </c>
      <c r="V559">
        <v>3.8</v>
      </c>
      <c r="W559">
        <v>1.9</v>
      </c>
      <c r="X559">
        <v>13</v>
      </c>
      <c r="Y559">
        <v>2.737625</v>
      </c>
      <c r="Z559">
        <v>3.1</v>
      </c>
      <c r="AA559">
        <v>3.4</v>
      </c>
      <c r="AB559">
        <v>7.2764290000000003</v>
      </c>
      <c r="AC559">
        <v>18.5</v>
      </c>
      <c r="AD559">
        <v>5.2</v>
      </c>
      <c r="AE559">
        <v>19.5</v>
      </c>
      <c r="AF559">
        <v>5.9</v>
      </c>
      <c r="AG559">
        <v>5.7</v>
      </c>
      <c r="AI559">
        <v>4.5</v>
      </c>
      <c r="AJ559">
        <v>8.3000000000000007</v>
      </c>
      <c r="AK559">
        <v>5.7816669999999997</v>
      </c>
    </row>
    <row r="560" spans="1:37" x14ac:dyDescent="0.2">
      <c r="A560" s="6">
        <v>37073</v>
      </c>
      <c r="B560">
        <v>6.8799099999999997</v>
      </c>
      <c r="D560">
        <v>6.1</v>
      </c>
      <c r="E560">
        <v>7.1</v>
      </c>
      <c r="F560">
        <v>9.6363050000000001</v>
      </c>
      <c r="G560">
        <v>8.1999999999999993</v>
      </c>
      <c r="H560">
        <v>7.8</v>
      </c>
      <c r="I560">
        <v>4.5</v>
      </c>
      <c r="J560">
        <v>10.5</v>
      </c>
      <c r="K560">
        <v>13.1</v>
      </c>
      <c r="L560">
        <v>8.8000000000000007</v>
      </c>
      <c r="M560">
        <v>8.8000000000000007</v>
      </c>
      <c r="N560">
        <v>5.0775990000000002</v>
      </c>
      <c r="O560">
        <v>10.7</v>
      </c>
      <c r="P560">
        <v>5.6</v>
      </c>
      <c r="Q560">
        <v>4.3</v>
      </c>
      <c r="T560">
        <v>9.1</v>
      </c>
      <c r="U560">
        <v>5</v>
      </c>
      <c r="V560">
        <v>3.8</v>
      </c>
      <c r="W560">
        <v>1.9</v>
      </c>
      <c r="X560">
        <v>13.1</v>
      </c>
      <c r="Y560">
        <v>2.82023</v>
      </c>
      <c r="Z560">
        <v>3.1</v>
      </c>
      <c r="AA560">
        <v>3.4</v>
      </c>
      <c r="AB560">
        <v>7.1873839999999998</v>
      </c>
      <c r="AC560">
        <v>18.399999999999999</v>
      </c>
      <c r="AD560">
        <v>5.2</v>
      </c>
      <c r="AE560">
        <v>19.399999999999999</v>
      </c>
      <c r="AF560">
        <v>5.9</v>
      </c>
      <c r="AG560">
        <v>5.9</v>
      </c>
      <c r="AI560">
        <v>4.5999999999999996</v>
      </c>
      <c r="AJ560">
        <v>8.3000000000000007</v>
      </c>
      <c r="AK560">
        <v>5.8232229999999996</v>
      </c>
    </row>
    <row r="561" spans="1:37" x14ac:dyDescent="0.2">
      <c r="A561" s="6">
        <v>37104</v>
      </c>
      <c r="B561">
        <v>6.8807200000000002</v>
      </c>
      <c r="D561">
        <v>6.2</v>
      </c>
      <c r="E561">
        <v>7.2</v>
      </c>
      <c r="F561">
        <v>10.092739999999999</v>
      </c>
      <c r="G561">
        <v>8.1999999999999993</v>
      </c>
      <c r="H561">
        <v>7.8</v>
      </c>
      <c r="I561">
        <v>4.7</v>
      </c>
      <c r="J561">
        <v>10.6</v>
      </c>
      <c r="K561">
        <v>12.6</v>
      </c>
      <c r="L561">
        <v>8.9</v>
      </c>
      <c r="M561">
        <v>8.8000000000000007</v>
      </c>
      <c r="N561">
        <v>5.0931839999999999</v>
      </c>
      <c r="O561">
        <v>10.6</v>
      </c>
      <c r="P561">
        <v>5.5</v>
      </c>
      <c r="Q561">
        <v>4.4000000000000004</v>
      </c>
      <c r="T561">
        <v>9</v>
      </c>
      <c r="U561">
        <v>5.0999999999999996</v>
      </c>
      <c r="V561">
        <v>3.8</v>
      </c>
      <c r="W561">
        <v>1.9</v>
      </c>
      <c r="X561">
        <v>13.1</v>
      </c>
      <c r="Y561">
        <v>2.3071799999999998</v>
      </c>
      <c r="Z561">
        <v>3.1</v>
      </c>
      <c r="AA561">
        <v>3.4</v>
      </c>
      <c r="AB561">
        <v>7.1781579999999998</v>
      </c>
      <c r="AC561">
        <v>18.399999999999999</v>
      </c>
      <c r="AD561">
        <v>5.2</v>
      </c>
      <c r="AE561">
        <v>19.5</v>
      </c>
      <c r="AF561">
        <v>6</v>
      </c>
      <c r="AG561">
        <v>5.8</v>
      </c>
      <c r="AI561">
        <v>4.9000000000000004</v>
      </c>
      <c r="AJ561">
        <v>8.3000000000000007</v>
      </c>
      <c r="AK561">
        <v>5.9765280000000001</v>
      </c>
    </row>
    <row r="562" spans="1:37" x14ac:dyDescent="0.2">
      <c r="A562" s="6">
        <v>37135</v>
      </c>
      <c r="B562">
        <v>6.8411679999999997</v>
      </c>
      <c r="D562">
        <v>6.6</v>
      </c>
      <c r="E562">
        <v>7.2</v>
      </c>
      <c r="F562">
        <v>9.9677939999999996</v>
      </c>
      <c r="G562">
        <v>8.3000000000000007</v>
      </c>
      <c r="H562">
        <v>7.9</v>
      </c>
      <c r="I562">
        <v>4.7</v>
      </c>
      <c r="J562">
        <v>10.5</v>
      </c>
      <c r="K562">
        <v>12.7</v>
      </c>
      <c r="L562">
        <v>9.5</v>
      </c>
      <c r="M562">
        <v>8.8000000000000007</v>
      </c>
      <c r="N562">
        <v>5.0901889999999996</v>
      </c>
      <c r="O562">
        <v>10.6</v>
      </c>
      <c r="P562">
        <v>5.5</v>
      </c>
      <c r="Q562">
        <v>4.4000000000000004</v>
      </c>
      <c r="T562">
        <v>9</v>
      </c>
      <c r="U562">
        <v>5.3</v>
      </c>
      <c r="V562">
        <v>3.7</v>
      </c>
      <c r="W562">
        <v>1.9</v>
      </c>
      <c r="X562">
        <v>13.2</v>
      </c>
      <c r="Y562">
        <v>2.5037829999999999</v>
      </c>
      <c r="Z562">
        <v>3.1</v>
      </c>
      <c r="AA562">
        <v>3.6</v>
      </c>
      <c r="AB562">
        <v>7.1652740000000001</v>
      </c>
      <c r="AC562">
        <v>18.600000000000001</v>
      </c>
      <c r="AD562">
        <v>5.0999999999999996</v>
      </c>
      <c r="AE562">
        <v>19.5</v>
      </c>
      <c r="AF562">
        <v>6.3</v>
      </c>
      <c r="AG562">
        <v>5.8</v>
      </c>
      <c r="AI562">
        <v>5</v>
      </c>
      <c r="AJ562">
        <v>8.3000000000000007</v>
      </c>
      <c r="AK562">
        <v>6.041633</v>
      </c>
    </row>
    <row r="563" spans="1:37" x14ac:dyDescent="0.2">
      <c r="A563" s="6">
        <v>37165</v>
      </c>
      <c r="B563">
        <v>7.1932980000000004</v>
      </c>
      <c r="D563">
        <v>7.3</v>
      </c>
      <c r="E563">
        <v>7.3</v>
      </c>
      <c r="F563">
        <v>9.7835940000000008</v>
      </c>
      <c r="G563">
        <v>7.8</v>
      </c>
      <c r="H563">
        <v>8</v>
      </c>
      <c r="I563">
        <v>4.7</v>
      </c>
      <c r="J563">
        <v>10.5</v>
      </c>
      <c r="K563">
        <v>11.6</v>
      </c>
      <c r="L563">
        <v>9</v>
      </c>
      <c r="M563">
        <v>8.8000000000000007</v>
      </c>
      <c r="N563">
        <v>5.1064100000000003</v>
      </c>
      <c r="O563">
        <v>10.9</v>
      </c>
      <c r="P563">
        <v>5.5</v>
      </c>
      <c r="Q563">
        <v>4.4000000000000004</v>
      </c>
      <c r="T563">
        <v>8.9</v>
      </c>
      <c r="U563">
        <v>5.3</v>
      </c>
      <c r="V563">
        <v>3.6</v>
      </c>
      <c r="W563">
        <v>2</v>
      </c>
      <c r="X563">
        <v>14.1</v>
      </c>
      <c r="Y563">
        <v>2.8632689999999998</v>
      </c>
      <c r="Z563">
        <v>3.1</v>
      </c>
      <c r="AA563">
        <v>3.7</v>
      </c>
      <c r="AB563">
        <v>7.1516260000000003</v>
      </c>
      <c r="AC563">
        <v>18.8</v>
      </c>
      <c r="AD563">
        <v>5.0999999999999996</v>
      </c>
      <c r="AE563">
        <v>19.600000000000001</v>
      </c>
      <c r="AF563">
        <v>6.5</v>
      </c>
      <c r="AG563">
        <v>6.2</v>
      </c>
      <c r="AI563">
        <v>5.3</v>
      </c>
      <c r="AJ563">
        <v>8.3000000000000007</v>
      </c>
      <c r="AK563">
        <v>6.209803</v>
      </c>
    </row>
    <row r="564" spans="1:37" x14ac:dyDescent="0.2">
      <c r="A564" s="6">
        <v>37196</v>
      </c>
      <c r="B564">
        <v>6.8835750000000004</v>
      </c>
      <c r="D564">
        <v>7.4</v>
      </c>
      <c r="E564">
        <v>7.5</v>
      </c>
      <c r="F564">
        <v>9.4701170000000001</v>
      </c>
      <c r="G564">
        <v>7.9</v>
      </c>
      <c r="H564">
        <v>8</v>
      </c>
      <c r="I564">
        <v>4.7</v>
      </c>
      <c r="J564">
        <v>10.6</v>
      </c>
      <c r="K564">
        <v>11.9</v>
      </c>
      <c r="L564">
        <v>9.4</v>
      </c>
      <c r="M564">
        <v>8.8000000000000007</v>
      </c>
      <c r="N564">
        <v>5.1825099999999997</v>
      </c>
      <c r="O564">
        <v>10.9</v>
      </c>
      <c r="P564">
        <v>5.5</v>
      </c>
      <c r="Q564">
        <v>4.4000000000000004</v>
      </c>
      <c r="T564">
        <v>8.9</v>
      </c>
      <c r="U564">
        <v>5.4</v>
      </c>
      <c r="V564">
        <v>3.7</v>
      </c>
      <c r="W564">
        <v>2</v>
      </c>
      <c r="X564">
        <v>14</v>
      </c>
      <c r="Y564">
        <v>2.9964219999999999</v>
      </c>
      <c r="Z564">
        <v>3.1</v>
      </c>
      <c r="AA564">
        <v>3.6</v>
      </c>
      <c r="AB564">
        <v>7.1184580000000004</v>
      </c>
      <c r="AC564">
        <v>19.100000000000001</v>
      </c>
      <c r="AD564">
        <v>5.0999999999999996</v>
      </c>
      <c r="AE564">
        <v>19.5</v>
      </c>
      <c r="AF564">
        <v>6.8</v>
      </c>
      <c r="AG564">
        <v>5.8</v>
      </c>
      <c r="AI564">
        <v>5.5</v>
      </c>
      <c r="AJ564">
        <v>8.4</v>
      </c>
      <c r="AK564">
        <v>6.3320590000000001</v>
      </c>
    </row>
    <row r="565" spans="1:37" x14ac:dyDescent="0.2">
      <c r="A565" s="6">
        <v>37226</v>
      </c>
      <c r="B565">
        <v>6.8613609999999996</v>
      </c>
      <c r="D565">
        <v>7.5</v>
      </c>
      <c r="E565">
        <v>8.1</v>
      </c>
      <c r="F565">
        <v>9.6467220000000005</v>
      </c>
      <c r="G565">
        <v>8</v>
      </c>
      <c r="H565">
        <v>8.1</v>
      </c>
      <c r="I565">
        <v>4.7</v>
      </c>
      <c r="J565">
        <v>10.7</v>
      </c>
      <c r="K565">
        <v>11.5</v>
      </c>
      <c r="L565">
        <v>8.9</v>
      </c>
      <c r="M565">
        <v>8.8000000000000007</v>
      </c>
      <c r="N565">
        <v>5.1837150000000003</v>
      </c>
      <c r="O565">
        <v>10.8</v>
      </c>
      <c r="P565">
        <v>5.5</v>
      </c>
      <c r="Q565">
        <v>4.4000000000000004</v>
      </c>
      <c r="T565">
        <v>8.8000000000000007</v>
      </c>
      <c r="U565">
        <v>5.4</v>
      </c>
      <c r="V565">
        <v>3.6</v>
      </c>
      <c r="W565">
        <v>2</v>
      </c>
      <c r="X565">
        <v>13.5</v>
      </c>
      <c r="Y565">
        <v>3.0861649999999998</v>
      </c>
      <c r="Z565">
        <v>3.2</v>
      </c>
      <c r="AA565">
        <v>3.6</v>
      </c>
      <c r="AB565">
        <v>7.0880390000000002</v>
      </c>
      <c r="AC565">
        <v>19.2</v>
      </c>
      <c r="AD565">
        <v>5.0999999999999996</v>
      </c>
      <c r="AE565">
        <v>19.3</v>
      </c>
      <c r="AF565">
        <v>6.8</v>
      </c>
      <c r="AG565">
        <v>5.9</v>
      </c>
      <c r="AI565">
        <v>5.7</v>
      </c>
      <c r="AJ565">
        <v>8.4</v>
      </c>
      <c r="AK565">
        <v>6.4459770000000001</v>
      </c>
    </row>
    <row r="566" spans="1:37" x14ac:dyDescent="0.2">
      <c r="A566" s="6">
        <v>37257</v>
      </c>
      <c r="B566">
        <v>6.9136420000000003</v>
      </c>
      <c r="D566">
        <v>7.4</v>
      </c>
      <c r="E566">
        <v>8</v>
      </c>
      <c r="F566">
        <v>9.9004300000000001</v>
      </c>
      <c r="G566">
        <v>7.4</v>
      </c>
      <c r="H566">
        <v>8.1</v>
      </c>
      <c r="I566">
        <v>4.5999999999999996</v>
      </c>
      <c r="J566">
        <v>11.1</v>
      </c>
      <c r="K566">
        <v>11.6</v>
      </c>
      <c r="L566">
        <v>9.4</v>
      </c>
      <c r="M566">
        <v>8.8000000000000007</v>
      </c>
      <c r="N566">
        <v>5.1475229999999996</v>
      </c>
      <c r="O566">
        <v>10.7</v>
      </c>
      <c r="P566">
        <v>5.5</v>
      </c>
      <c r="Q566">
        <v>4.4000000000000004</v>
      </c>
      <c r="T566">
        <v>8.6</v>
      </c>
      <c r="U566">
        <v>5.2</v>
      </c>
      <c r="V566">
        <v>3.6</v>
      </c>
      <c r="W566">
        <v>2.1</v>
      </c>
      <c r="X566">
        <v>12.7</v>
      </c>
      <c r="Y566">
        <v>3.3601290000000001</v>
      </c>
      <c r="Z566">
        <v>3.2</v>
      </c>
      <c r="AA566">
        <v>3.6</v>
      </c>
      <c r="AB566">
        <v>7.080171</v>
      </c>
      <c r="AC566">
        <v>19.399999999999999</v>
      </c>
      <c r="AD566">
        <v>5.3</v>
      </c>
      <c r="AE566">
        <v>19.100000000000001</v>
      </c>
      <c r="AF566">
        <v>6.7</v>
      </c>
      <c r="AG566">
        <v>5.8</v>
      </c>
      <c r="AI566">
        <v>5.7</v>
      </c>
      <c r="AJ566">
        <v>8.4</v>
      </c>
      <c r="AK566">
        <v>6.3752700000000004</v>
      </c>
    </row>
    <row r="567" spans="1:37" x14ac:dyDescent="0.2">
      <c r="A567" s="6">
        <v>37288</v>
      </c>
      <c r="B567">
        <v>6.536505</v>
      </c>
      <c r="D567">
        <v>7.3</v>
      </c>
      <c r="E567">
        <v>8</v>
      </c>
      <c r="F567">
        <v>10.02922</v>
      </c>
      <c r="G567">
        <v>7.5</v>
      </c>
      <c r="H567">
        <v>8.1999999999999993</v>
      </c>
      <c r="I567">
        <v>4.4000000000000004</v>
      </c>
      <c r="J567">
        <v>11.5</v>
      </c>
      <c r="K567">
        <v>11.6</v>
      </c>
      <c r="L567">
        <v>9</v>
      </c>
      <c r="M567">
        <v>8.8000000000000007</v>
      </c>
      <c r="N567">
        <v>5.1688679999999998</v>
      </c>
      <c r="O567">
        <v>10.7</v>
      </c>
      <c r="P567">
        <v>5.5</v>
      </c>
      <c r="Q567">
        <v>4.5</v>
      </c>
      <c r="T567">
        <v>8.5</v>
      </c>
      <c r="U567">
        <v>5.3</v>
      </c>
      <c r="V567">
        <v>3.5</v>
      </c>
      <c r="W567">
        <v>2.1</v>
      </c>
      <c r="X567">
        <v>12.4</v>
      </c>
      <c r="Y567">
        <v>3.0352899999999998</v>
      </c>
      <c r="Z567">
        <v>3.3</v>
      </c>
      <c r="AA567">
        <v>3.8</v>
      </c>
      <c r="AB567">
        <v>7.051857</v>
      </c>
      <c r="AC567">
        <v>19.399999999999999</v>
      </c>
      <c r="AD567">
        <v>5.3</v>
      </c>
      <c r="AE567">
        <v>19</v>
      </c>
      <c r="AF567">
        <v>6.6</v>
      </c>
      <c r="AG567">
        <v>5.8</v>
      </c>
      <c r="AI567">
        <v>5.7</v>
      </c>
      <c r="AJ567">
        <v>8.5</v>
      </c>
      <c r="AK567">
        <v>6.3910929999999997</v>
      </c>
    </row>
    <row r="568" spans="1:37" x14ac:dyDescent="0.2">
      <c r="A568" s="6">
        <v>37316</v>
      </c>
      <c r="B568">
        <v>6.4304639999999997</v>
      </c>
      <c r="D568">
        <v>7.3</v>
      </c>
      <c r="E568">
        <v>7.9</v>
      </c>
      <c r="F568">
        <v>9.9086069999999999</v>
      </c>
      <c r="G568">
        <v>7.4</v>
      </c>
      <c r="H568">
        <v>8.1999999999999993</v>
      </c>
      <c r="I568">
        <v>4.3</v>
      </c>
      <c r="J568">
        <v>11.2</v>
      </c>
      <c r="K568">
        <v>11.2</v>
      </c>
      <c r="L568">
        <v>8.9</v>
      </c>
      <c r="M568">
        <v>8.6999999999999993</v>
      </c>
      <c r="N568">
        <v>5.1817909999999996</v>
      </c>
      <c r="O568">
        <v>10.7</v>
      </c>
      <c r="P568">
        <v>5.5</v>
      </c>
      <c r="Q568">
        <v>4.7</v>
      </c>
      <c r="T568">
        <v>8.5</v>
      </c>
      <c r="U568">
        <v>5.3</v>
      </c>
      <c r="V568">
        <v>3.4</v>
      </c>
      <c r="W568">
        <v>2.2000000000000002</v>
      </c>
      <c r="X568">
        <v>12.8</v>
      </c>
      <c r="Y568">
        <v>3.022208</v>
      </c>
      <c r="Z568">
        <v>3.4</v>
      </c>
      <c r="AA568">
        <v>3.7</v>
      </c>
      <c r="AB568">
        <v>7.0202369999999998</v>
      </c>
      <c r="AC568">
        <v>19.600000000000001</v>
      </c>
      <c r="AD568">
        <v>5.5</v>
      </c>
      <c r="AE568">
        <v>18.899999999999999</v>
      </c>
      <c r="AF568">
        <v>6.4</v>
      </c>
      <c r="AG568">
        <v>5.8</v>
      </c>
      <c r="AI568">
        <v>5.7</v>
      </c>
      <c r="AJ568">
        <v>8.5</v>
      </c>
      <c r="AK568">
        <v>6.413843</v>
      </c>
    </row>
    <row r="569" spans="1:37" x14ac:dyDescent="0.2">
      <c r="A569" s="6">
        <v>37347</v>
      </c>
      <c r="B569">
        <v>6.3461590000000001</v>
      </c>
      <c r="D569">
        <v>7.3</v>
      </c>
      <c r="E569">
        <v>7.7</v>
      </c>
      <c r="F569">
        <v>9.7823670000000007</v>
      </c>
      <c r="G569">
        <v>7</v>
      </c>
      <c r="H569">
        <v>8.3000000000000007</v>
      </c>
      <c r="I569">
        <v>4.3</v>
      </c>
      <c r="J569">
        <v>11.2</v>
      </c>
      <c r="K569">
        <v>10.7</v>
      </c>
      <c r="L569">
        <v>9.1999999999999993</v>
      </c>
      <c r="M569">
        <v>8.6999999999999993</v>
      </c>
      <c r="N569">
        <v>5.2405999999999997</v>
      </c>
      <c r="O569">
        <v>10.3</v>
      </c>
      <c r="P569">
        <v>5.5</v>
      </c>
      <c r="Q569">
        <v>4.5999999999999996</v>
      </c>
      <c r="T569">
        <v>8.9</v>
      </c>
      <c r="U569">
        <v>5.3</v>
      </c>
      <c r="V569">
        <v>3.4</v>
      </c>
      <c r="W569">
        <v>2.2999999999999998</v>
      </c>
      <c r="X569">
        <v>13.6</v>
      </c>
      <c r="Y569">
        <v>3.0523600000000002</v>
      </c>
      <c r="Z569">
        <v>3.4</v>
      </c>
      <c r="AA569">
        <v>3.8</v>
      </c>
      <c r="AB569">
        <v>6.897284</v>
      </c>
      <c r="AC569">
        <v>19.899999999999999</v>
      </c>
      <c r="AD569">
        <v>5.6</v>
      </c>
      <c r="AE569">
        <v>18.899999999999999</v>
      </c>
      <c r="AF569">
        <v>6.3</v>
      </c>
      <c r="AG569">
        <v>6</v>
      </c>
      <c r="AI569">
        <v>5.9</v>
      </c>
      <c r="AJ569">
        <v>8.6</v>
      </c>
      <c r="AK569">
        <v>6.5208349999999999</v>
      </c>
    </row>
    <row r="570" spans="1:37" x14ac:dyDescent="0.2">
      <c r="A570" s="6">
        <v>37377</v>
      </c>
      <c r="B570">
        <v>6.3728860000000003</v>
      </c>
      <c r="D570">
        <v>7.3</v>
      </c>
      <c r="E570">
        <v>7.8</v>
      </c>
      <c r="F570">
        <v>9.7827450000000002</v>
      </c>
      <c r="G570">
        <v>7.2</v>
      </c>
      <c r="H570">
        <v>8.4</v>
      </c>
      <c r="I570">
        <v>4.4000000000000004</v>
      </c>
      <c r="J570">
        <v>11.2</v>
      </c>
      <c r="K570">
        <v>10.5</v>
      </c>
      <c r="L570">
        <v>9.5</v>
      </c>
      <c r="M570">
        <v>8.6</v>
      </c>
      <c r="N570">
        <v>5.1592539999999998</v>
      </c>
      <c r="O570">
        <v>10.3</v>
      </c>
      <c r="P570">
        <v>5.5</v>
      </c>
      <c r="Q570">
        <v>4.7</v>
      </c>
      <c r="T570">
        <v>8.8000000000000007</v>
      </c>
      <c r="U570">
        <v>5.4</v>
      </c>
      <c r="V570">
        <v>3.3</v>
      </c>
      <c r="W570">
        <v>2.5</v>
      </c>
      <c r="X570">
        <v>13.8</v>
      </c>
      <c r="Y570">
        <v>3.1289370000000001</v>
      </c>
      <c r="Z570">
        <v>3.5</v>
      </c>
      <c r="AA570">
        <v>3.7</v>
      </c>
      <c r="AB570">
        <v>6.9252770000000003</v>
      </c>
      <c r="AC570">
        <v>19.8</v>
      </c>
      <c r="AD570">
        <v>5.9</v>
      </c>
      <c r="AE570">
        <v>19</v>
      </c>
      <c r="AF570">
        <v>6.3</v>
      </c>
      <c r="AG570">
        <v>5.8</v>
      </c>
      <c r="AI570">
        <v>5.8</v>
      </c>
      <c r="AJ570">
        <v>8.6</v>
      </c>
      <c r="AK570">
        <v>6.481338</v>
      </c>
    </row>
    <row r="571" spans="1:37" x14ac:dyDescent="0.2">
      <c r="A571" s="6">
        <v>37408</v>
      </c>
      <c r="B571">
        <v>6.4958830000000001</v>
      </c>
      <c r="D571">
        <v>7.3</v>
      </c>
      <c r="E571">
        <v>7.6</v>
      </c>
      <c r="F571">
        <v>9.5627110000000002</v>
      </c>
      <c r="G571">
        <v>7.3</v>
      </c>
      <c r="H571">
        <v>8.5</v>
      </c>
      <c r="I571">
        <v>4.5</v>
      </c>
      <c r="J571">
        <v>11.4</v>
      </c>
      <c r="K571">
        <v>11.2</v>
      </c>
      <c r="L571">
        <v>8.6999999999999993</v>
      </c>
      <c r="M571">
        <v>8.6</v>
      </c>
      <c r="N571">
        <v>5.1872809999999996</v>
      </c>
      <c r="O571">
        <v>10.3</v>
      </c>
      <c r="P571">
        <v>5.6</v>
      </c>
      <c r="Q571">
        <v>4.5999999999999996</v>
      </c>
      <c r="T571">
        <v>8.8000000000000007</v>
      </c>
      <c r="U571">
        <v>5.5</v>
      </c>
      <c r="V571">
        <v>3.1</v>
      </c>
      <c r="W571">
        <v>2.5</v>
      </c>
      <c r="X571">
        <v>13.2</v>
      </c>
      <c r="Y571">
        <v>3.0393780000000001</v>
      </c>
      <c r="Z571">
        <v>3.6</v>
      </c>
      <c r="AA571">
        <v>3.5</v>
      </c>
      <c r="AB571">
        <v>6.8734070000000003</v>
      </c>
      <c r="AC571">
        <v>20.2</v>
      </c>
      <c r="AD571">
        <v>6.1</v>
      </c>
      <c r="AE571">
        <v>18.899999999999999</v>
      </c>
      <c r="AF571">
        <v>6.1</v>
      </c>
      <c r="AG571">
        <v>5.6</v>
      </c>
      <c r="AI571">
        <v>5.8</v>
      </c>
      <c r="AJ571">
        <v>8.6</v>
      </c>
      <c r="AK571">
        <v>6.50122</v>
      </c>
    </row>
    <row r="572" spans="1:37" x14ac:dyDescent="0.2">
      <c r="A572" s="6">
        <v>37438</v>
      </c>
      <c r="B572">
        <v>6.1797579999999996</v>
      </c>
      <c r="D572">
        <v>7.5</v>
      </c>
      <c r="E572">
        <v>7.6</v>
      </c>
      <c r="F572">
        <v>9.6613229999999994</v>
      </c>
      <c r="G572">
        <v>7.1</v>
      </c>
      <c r="H572">
        <v>8.6</v>
      </c>
      <c r="I572">
        <v>4.8</v>
      </c>
      <c r="J572">
        <v>11.7</v>
      </c>
      <c r="K572">
        <v>11.4</v>
      </c>
      <c r="L572">
        <v>9.1</v>
      </c>
      <c r="M572">
        <v>8.6</v>
      </c>
      <c r="N572">
        <v>5.2193969999999998</v>
      </c>
      <c r="O572">
        <v>10.3</v>
      </c>
      <c r="P572">
        <v>5.6</v>
      </c>
      <c r="Q572">
        <v>4.4000000000000004</v>
      </c>
      <c r="T572">
        <v>8.6</v>
      </c>
      <c r="U572">
        <v>5.4</v>
      </c>
      <c r="V572">
        <v>3.1</v>
      </c>
      <c r="W572">
        <v>2.6</v>
      </c>
      <c r="X572">
        <v>11.8</v>
      </c>
      <c r="Y572">
        <v>2.9074949999999999</v>
      </c>
      <c r="Z572">
        <v>3.7</v>
      </c>
      <c r="AA572">
        <v>3.4</v>
      </c>
      <c r="AB572">
        <v>6.898358</v>
      </c>
      <c r="AC572">
        <v>20.399999999999999</v>
      </c>
      <c r="AD572">
        <v>6.3</v>
      </c>
      <c r="AE572">
        <v>18.8</v>
      </c>
      <c r="AF572">
        <v>6.1</v>
      </c>
      <c r="AG572">
        <v>6.1</v>
      </c>
      <c r="AI572">
        <v>5.8</v>
      </c>
      <c r="AJ572">
        <v>8.6</v>
      </c>
      <c r="AK572">
        <v>6.4811439999999996</v>
      </c>
    </row>
    <row r="573" spans="1:37" x14ac:dyDescent="0.2">
      <c r="A573" s="6">
        <v>37469</v>
      </c>
      <c r="B573">
        <v>6.348516</v>
      </c>
      <c r="D573">
        <v>7.4</v>
      </c>
      <c r="E573">
        <v>7.4</v>
      </c>
      <c r="F573">
        <v>9.86585</v>
      </c>
      <c r="G573">
        <v>7.3</v>
      </c>
      <c r="H573">
        <v>8.6999999999999993</v>
      </c>
      <c r="I573">
        <v>5</v>
      </c>
      <c r="J573">
        <v>11.8</v>
      </c>
      <c r="K573">
        <v>11.2</v>
      </c>
      <c r="L573">
        <v>9.1999999999999993</v>
      </c>
      <c r="M573">
        <v>8.6</v>
      </c>
      <c r="N573">
        <v>5.3084090000000002</v>
      </c>
      <c r="O573">
        <v>10.199999999999999</v>
      </c>
      <c r="P573">
        <v>5.6</v>
      </c>
      <c r="Q573">
        <v>4.4000000000000004</v>
      </c>
      <c r="T573">
        <v>8.6</v>
      </c>
      <c r="U573">
        <v>5.5</v>
      </c>
      <c r="V573">
        <v>3.3</v>
      </c>
      <c r="W573">
        <v>2.7</v>
      </c>
      <c r="X573">
        <v>11.3</v>
      </c>
      <c r="Y573">
        <v>2.7774079999999999</v>
      </c>
      <c r="Z573">
        <v>3.8</v>
      </c>
      <c r="AA573">
        <v>3.6</v>
      </c>
      <c r="AB573">
        <v>6.8770170000000004</v>
      </c>
      <c r="AC573">
        <v>20.5</v>
      </c>
      <c r="AD573">
        <v>6.2</v>
      </c>
      <c r="AE573">
        <v>18.8</v>
      </c>
      <c r="AF573">
        <v>6.3</v>
      </c>
      <c r="AG573">
        <v>5.9</v>
      </c>
      <c r="AI573">
        <v>5.7</v>
      </c>
      <c r="AJ573">
        <v>8.6999999999999993</v>
      </c>
      <c r="AK573">
        <v>6.4859109999999998</v>
      </c>
    </row>
    <row r="574" spans="1:37" x14ac:dyDescent="0.2">
      <c r="A574" s="6">
        <v>37500</v>
      </c>
      <c r="B574">
        <v>6.3114710000000001</v>
      </c>
      <c r="D574">
        <v>7.6</v>
      </c>
      <c r="E574">
        <v>7.5</v>
      </c>
      <c r="F574">
        <v>10.081480000000001</v>
      </c>
      <c r="G574">
        <v>7.1</v>
      </c>
      <c r="H574">
        <v>8.9</v>
      </c>
      <c r="I574">
        <v>5</v>
      </c>
      <c r="J574">
        <v>11.7</v>
      </c>
      <c r="K574">
        <v>11.3</v>
      </c>
      <c r="L574">
        <v>9</v>
      </c>
      <c r="M574">
        <v>8.6</v>
      </c>
      <c r="N574">
        <v>5.2273589999999999</v>
      </c>
      <c r="O574">
        <v>10.199999999999999</v>
      </c>
      <c r="P574">
        <v>5.7</v>
      </c>
      <c r="Q574">
        <v>4.7</v>
      </c>
      <c r="T574">
        <v>8.6</v>
      </c>
      <c r="U574">
        <v>5.4</v>
      </c>
      <c r="V574">
        <v>3</v>
      </c>
      <c r="W574">
        <v>2.8</v>
      </c>
      <c r="X574">
        <v>11.5</v>
      </c>
      <c r="Y574">
        <v>2.8863439999999998</v>
      </c>
      <c r="Z574">
        <v>3.9</v>
      </c>
      <c r="AA574">
        <v>3.7</v>
      </c>
      <c r="AB574">
        <v>6.828964</v>
      </c>
      <c r="AC574">
        <v>20.5</v>
      </c>
      <c r="AD574">
        <v>6.5</v>
      </c>
      <c r="AE574">
        <v>18.7</v>
      </c>
      <c r="AF574">
        <v>6.3</v>
      </c>
      <c r="AG574">
        <v>6.2</v>
      </c>
      <c r="AI574">
        <v>5.7</v>
      </c>
      <c r="AJ574">
        <v>8.6999999999999993</v>
      </c>
      <c r="AK574">
        <v>6.4640490000000002</v>
      </c>
    </row>
    <row r="575" spans="1:37" x14ac:dyDescent="0.2">
      <c r="A575" s="6">
        <v>37530</v>
      </c>
      <c r="B575">
        <v>6.1282220000000001</v>
      </c>
      <c r="D575">
        <v>7.8</v>
      </c>
      <c r="E575">
        <v>7.6</v>
      </c>
      <c r="F575">
        <v>9.9423530000000007</v>
      </c>
      <c r="G575">
        <v>7.2</v>
      </c>
      <c r="H575">
        <v>9</v>
      </c>
      <c r="I575">
        <v>4.9000000000000004</v>
      </c>
      <c r="J575">
        <v>11.6</v>
      </c>
      <c r="K575">
        <v>11.8</v>
      </c>
      <c r="L575">
        <v>9.1999999999999993</v>
      </c>
      <c r="M575">
        <v>8.6</v>
      </c>
      <c r="N575">
        <v>5.1760849999999996</v>
      </c>
      <c r="O575">
        <v>10</v>
      </c>
      <c r="P575">
        <v>5.7</v>
      </c>
      <c r="Q575">
        <v>5.0999999999999996</v>
      </c>
      <c r="T575">
        <v>8.5</v>
      </c>
      <c r="U575">
        <v>5.4</v>
      </c>
      <c r="V575">
        <v>3.1</v>
      </c>
      <c r="W575">
        <v>2.9</v>
      </c>
      <c r="X575">
        <v>12.2</v>
      </c>
      <c r="Y575">
        <v>2.7949459999999999</v>
      </c>
      <c r="Z575">
        <v>4</v>
      </c>
      <c r="AA575">
        <v>3.8</v>
      </c>
      <c r="AB575">
        <v>6.7771059999999999</v>
      </c>
      <c r="AC575">
        <v>20.399999999999999</v>
      </c>
      <c r="AD575">
        <v>6.9</v>
      </c>
      <c r="AE575">
        <v>18.7</v>
      </c>
      <c r="AF575">
        <v>6.2</v>
      </c>
      <c r="AG575">
        <v>6</v>
      </c>
      <c r="AI575">
        <v>5.7</v>
      </c>
      <c r="AJ575">
        <v>8.8000000000000007</v>
      </c>
      <c r="AK575">
        <v>6.4816640000000003</v>
      </c>
    </row>
    <row r="576" spans="1:37" x14ac:dyDescent="0.2">
      <c r="A576" s="6">
        <v>37561</v>
      </c>
      <c r="B576">
        <v>6.1618060000000003</v>
      </c>
      <c r="D576">
        <v>8</v>
      </c>
      <c r="E576">
        <v>7.4</v>
      </c>
      <c r="F576">
        <v>9.5357769999999995</v>
      </c>
      <c r="G576">
        <v>7.5</v>
      </c>
      <c r="H576">
        <v>9.1</v>
      </c>
      <c r="I576">
        <v>4.8</v>
      </c>
      <c r="J576">
        <v>11.6</v>
      </c>
      <c r="K576">
        <v>11.5</v>
      </c>
      <c r="L576">
        <v>8.8000000000000007</v>
      </c>
      <c r="M576">
        <v>8.6</v>
      </c>
      <c r="N576">
        <v>5.1163480000000003</v>
      </c>
      <c r="O576">
        <v>10</v>
      </c>
      <c r="P576">
        <v>5.7</v>
      </c>
      <c r="Q576">
        <v>5.4</v>
      </c>
      <c r="T576">
        <v>8.5</v>
      </c>
      <c r="U576">
        <v>5.2</v>
      </c>
      <c r="V576">
        <v>3.1</v>
      </c>
      <c r="W576">
        <v>3</v>
      </c>
      <c r="X576">
        <v>12.5</v>
      </c>
      <c r="Y576">
        <v>3.0007700000000002</v>
      </c>
      <c r="Z576">
        <v>4.0999999999999996</v>
      </c>
      <c r="AA576">
        <v>3.8</v>
      </c>
      <c r="AB576">
        <v>6.6963109999999997</v>
      </c>
      <c r="AC576">
        <v>20.3</v>
      </c>
      <c r="AD576">
        <v>7.1</v>
      </c>
      <c r="AE576">
        <v>18.600000000000001</v>
      </c>
      <c r="AF576">
        <v>6.4</v>
      </c>
      <c r="AG576">
        <v>6.2</v>
      </c>
      <c r="AI576">
        <v>5.9</v>
      </c>
      <c r="AJ576">
        <v>8.8000000000000007</v>
      </c>
      <c r="AK576">
        <v>6.5189019999999998</v>
      </c>
    </row>
    <row r="577" spans="1:37" x14ac:dyDescent="0.2">
      <c r="A577" s="6">
        <v>37591</v>
      </c>
      <c r="B577">
        <v>6.1822010000000001</v>
      </c>
      <c r="D577">
        <v>8.1</v>
      </c>
      <c r="E577">
        <v>7.5</v>
      </c>
      <c r="F577">
        <v>9.3755450000000007</v>
      </c>
      <c r="G577">
        <v>7.3</v>
      </c>
      <c r="H577">
        <v>9.1999999999999993</v>
      </c>
      <c r="I577">
        <v>4.7</v>
      </c>
      <c r="J577">
        <v>11.6</v>
      </c>
      <c r="K577">
        <v>11.9</v>
      </c>
      <c r="L577">
        <v>9</v>
      </c>
      <c r="M577">
        <v>8.5</v>
      </c>
      <c r="N577">
        <v>5.0080819999999999</v>
      </c>
      <c r="O577">
        <v>10</v>
      </c>
      <c r="P577">
        <v>5.7</v>
      </c>
      <c r="Q577">
        <v>5.3</v>
      </c>
      <c r="T577">
        <v>8.4</v>
      </c>
      <c r="U577">
        <v>5.4</v>
      </c>
      <c r="V577">
        <v>3.1</v>
      </c>
      <c r="W577">
        <v>3</v>
      </c>
      <c r="X577">
        <v>12.2</v>
      </c>
      <c r="Y577">
        <v>2.7291249999999998</v>
      </c>
      <c r="Z577">
        <v>4.2</v>
      </c>
      <c r="AA577">
        <v>3.8</v>
      </c>
      <c r="AB577">
        <v>6.7407190000000003</v>
      </c>
      <c r="AC577">
        <v>20.100000000000001</v>
      </c>
      <c r="AD577">
        <v>7.2</v>
      </c>
      <c r="AE577">
        <v>18.5</v>
      </c>
      <c r="AF577">
        <v>6.4</v>
      </c>
      <c r="AG577">
        <v>6.3</v>
      </c>
      <c r="AI577">
        <v>6</v>
      </c>
      <c r="AJ577">
        <v>8.8000000000000007</v>
      </c>
      <c r="AK577">
        <v>6.5803859999999998</v>
      </c>
    </row>
    <row r="578" spans="1:37" x14ac:dyDescent="0.2">
      <c r="A578" s="6">
        <v>37622</v>
      </c>
      <c r="B578">
        <v>6.0813069999999998</v>
      </c>
      <c r="D578">
        <v>8.1</v>
      </c>
      <c r="E578">
        <v>7.5</v>
      </c>
      <c r="F578">
        <v>9.5645190000000007</v>
      </c>
      <c r="G578">
        <v>7.2</v>
      </c>
      <c r="H578">
        <v>9.4</v>
      </c>
      <c r="I578">
        <v>4.8</v>
      </c>
      <c r="J578">
        <v>11.7</v>
      </c>
      <c r="K578">
        <v>11.4</v>
      </c>
      <c r="L578">
        <v>9.1</v>
      </c>
      <c r="M578">
        <v>8.3000000000000007</v>
      </c>
      <c r="N578">
        <v>5.1279279999999998</v>
      </c>
      <c r="O578">
        <v>9.8000000000000007</v>
      </c>
      <c r="P578">
        <v>5.7</v>
      </c>
      <c r="Q578">
        <v>5</v>
      </c>
      <c r="R578">
        <v>3.7</v>
      </c>
      <c r="T578">
        <v>8.8000000000000007</v>
      </c>
      <c r="U578">
        <v>5.4</v>
      </c>
      <c r="V578">
        <v>3.3</v>
      </c>
      <c r="W578">
        <v>3.2</v>
      </c>
      <c r="X578">
        <v>11.5</v>
      </c>
      <c r="Y578">
        <v>2.8900190000000001</v>
      </c>
      <c r="Z578">
        <v>4.3</v>
      </c>
      <c r="AA578">
        <v>3.9</v>
      </c>
      <c r="AB578">
        <v>6.741727</v>
      </c>
      <c r="AC578">
        <v>19.899999999999999</v>
      </c>
      <c r="AD578">
        <v>7.2</v>
      </c>
      <c r="AE578">
        <v>18.2</v>
      </c>
      <c r="AF578">
        <v>6.5</v>
      </c>
      <c r="AG578">
        <v>6.4</v>
      </c>
      <c r="AI578">
        <v>5.8</v>
      </c>
      <c r="AJ578">
        <v>9</v>
      </c>
      <c r="AK578">
        <v>6.57599</v>
      </c>
    </row>
    <row r="579" spans="1:37" x14ac:dyDescent="0.2">
      <c r="A579" s="6">
        <v>37653</v>
      </c>
      <c r="B579">
        <v>5.9551790000000002</v>
      </c>
      <c r="D579">
        <v>8.1</v>
      </c>
      <c r="E579">
        <v>7.5</v>
      </c>
      <c r="F579">
        <v>9.5880489999999998</v>
      </c>
      <c r="G579">
        <v>7.3</v>
      </c>
      <c r="H579">
        <v>9.5</v>
      </c>
      <c r="I579">
        <v>5</v>
      </c>
      <c r="J579">
        <v>11.7</v>
      </c>
      <c r="K579">
        <v>11.2</v>
      </c>
      <c r="L579">
        <v>8.6</v>
      </c>
      <c r="M579">
        <v>8.3000000000000007</v>
      </c>
      <c r="N579">
        <v>5.1665010000000002</v>
      </c>
      <c r="O579">
        <v>9.6999999999999993</v>
      </c>
      <c r="P579">
        <v>5.7</v>
      </c>
      <c r="Q579">
        <v>4.8</v>
      </c>
      <c r="R579">
        <v>3.6</v>
      </c>
      <c r="T579">
        <v>8.6999999999999993</v>
      </c>
      <c r="U579">
        <v>5.2</v>
      </c>
      <c r="V579">
        <v>3.3</v>
      </c>
      <c r="W579">
        <v>3.3</v>
      </c>
      <c r="X579">
        <v>11.2</v>
      </c>
      <c r="Y579">
        <v>2.9803799999999998</v>
      </c>
      <c r="Z579">
        <v>4.3</v>
      </c>
      <c r="AA579">
        <v>4</v>
      </c>
      <c r="AB579">
        <v>6.6992669999999999</v>
      </c>
      <c r="AC579">
        <v>19.8</v>
      </c>
      <c r="AD579">
        <v>7.3</v>
      </c>
      <c r="AE579">
        <v>18</v>
      </c>
      <c r="AF579">
        <v>6.7</v>
      </c>
      <c r="AG579">
        <v>6</v>
      </c>
      <c r="AI579">
        <v>5.9</v>
      </c>
      <c r="AJ579">
        <v>9</v>
      </c>
      <c r="AK579">
        <v>6.5761729999999998</v>
      </c>
    </row>
    <row r="580" spans="1:37" x14ac:dyDescent="0.2">
      <c r="A580" s="6">
        <v>37681</v>
      </c>
      <c r="B580">
        <v>6.1313899999999997</v>
      </c>
      <c r="D580">
        <v>8.1</v>
      </c>
      <c r="E580">
        <v>7.4</v>
      </c>
      <c r="F580">
        <v>9.7832889999999999</v>
      </c>
      <c r="G580">
        <v>7.6</v>
      </c>
      <c r="H580">
        <v>9.6</v>
      </c>
      <c r="I580">
        <v>5.2</v>
      </c>
      <c r="J580">
        <v>11.6</v>
      </c>
      <c r="K580">
        <v>11.1</v>
      </c>
      <c r="L580">
        <v>9.1999999999999993</v>
      </c>
      <c r="M580">
        <v>8.3000000000000007</v>
      </c>
      <c r="N580">
        <v>5.1163090000000002</v>
      </c>
      <c r="O580">
        <v>9.6999999999999993</v>
      </c>
      <c r="P580">
        <v>5.7</v>
      </c>
      <c r="Q580">
        <v>4.7</v>
      </c>
      <c r="R580">
        <v>3.5</v>
      </c>
      <c r="T580">
        <v>8.6999999999999993</v>
      </c>
      <c r="U580">
        <v>5.4</v>
      </c>
      <c r="V580">
        <v>3.4</v>
      </c>
      <c r="W580">
        <v>3.4</v>
      </c>
      <c r="X580">
        <v>11.2</v>
      </c>
      <c r="Y580">
        <v>3.1239080000000001</v>
      </c>
      <c r="Z580">
        <v>4.5</v>
      </c>
      <c r="AA580">
        <v>4</v>
      </c>
      <c r="AB580">
        <v>6.6147340000000003</v>
      </c>
      <c r="AC580">
        <v>19.600000000000001</v>
      </c>
      <c r="AD580">
        <v>7.3</v>
      </c>
      <c r="AE580">
        <v>17.8</v>
      </c>
      <c r="AF580">
        <v>6.8</v>
      </c>
      <c r="AG580">
        <v>6.3</v>
      </c>
      <c r="AI580">
        <v>5.9</v>
      </c>
      <c r="AJ580">
        <v>9</v>
      </c>
      <c r="AK580">
        <v>6.6080810000000003</v>
      </c>
    </row>
    <row r="581" spans="1:37" x14ac:dyDescent="0.2">
      <c r="A581" s="6">
        <v>37712</v>
      </c>
      <c r="B581">
        <v>6.0304789999999997</v>
      </c>
      <c r="D581">
        <v>8.1</v>
      </c>
      <c r="E581">
        <v>7.6</v>
      </c>
      <c r="F581">
        <v>9.5998739999999998</v>
      </c>
      <c r="G581">
        <v>7.5</v>
      </c>
      <c r="H581">
        <v>9.6999999999999993</v>
      </c>
      <c r="I581">
        <v>5.4</v>
      </c>
      <c r="J581">
        <v>11.4</v>
      </c>
      <c r="K581">
        <v>10.8</v>
      </c>
      <c r="L581">
        <v>9.4</v>
      </c>
      <c r="M581">
        <v>8.4</v>
      </c>
      <c r="N581">
        <v>5.0047689999999996</v>
      </c>
      <c r="O581">
        <v>9.6999999999999993</v>
      </c>
      <c r="P581">
        <v>5.8</v>
      </c>
      <c r="Q581">
        <v>4.8</v>
      </c>
      <c r="R581">
        <v>3.4</v>
      </c>
      <c r="T581">
        <v>8.4</v>
      </c>
      <c r="U581">
        <v>5.5</v>
      </c>
      <c r="V581">
        <v>3.4</v>
      </c>
      <c r="W581">
        <v>3.5</v>
      </c>
      <c r="X581">
        <v>11.4</v>
      </c>
      <c r="Y581">
        <v>3.0914999999999999</v>
      </c>
      <c r="Z581">
        <v>4.5999999999999996</v>
      </c>
      <c r="AA581">
        <v>4.2</v>
      </c>
      <c r="AB581">
        <v>6.5451360000000003</v>
      </c>
      <c r="AC581">
        <v>19.5</v>
      </c>
      <c r="AD581">
        <v>7.4</v>
      </c>
      <c r="AE581">
        <v>17.399999999999999</v>
      </c>
      <c r="AF581">
        <v>6.8</v>
      </c>
      <c r="AG581">
        <v>6.3</v>
      </c>
      <c r="AI581">
        <v>6</v>
      </c>
      <c r="AJ581">
        <v>9</v>
      </c>
      <c r="AK581">
        <v>6.6774990000000001</v>
      </c>
    </row>
    <row r="582" spans="1:37" x14ac:dyDescent="0.2">
      <c r="A582" s="6">
        <v>37742</v>
      </c>
      <c r="B582">
        <v>6.0694419999999996</v>
      </c>
      <c r="D582">
        <v>8.1</v>
      </c>
      <c r="E582">
        <v>7.8</v>
      </c>
      <c r="F582">
        <v>9.57653</v>
      </c>
      <c r="G582">
        <v>7.8</v>
      </c>
      <c r="H582">
        <v>9.6999999999999993</v>
      </c>
      <c r="I582">
        <v>5.6</v>
      </c>
      <c r="J582">
        <v>11.3</v>
      </c>
      <c r="K582">
        <v>11.1</v>
      </c>
      <c r="L582">
        <v>9.1</v>
      </c>
      <c r="M582">
        <v>8.4</v>
      </c>
      <c r="N582">
        <v>4.9397409999999997</v>
      </c>
      <c r="O582">
        <v>9.6999999999999993</v>
      </c>
      <c r="P582">
        <v>5.8</v>
      </c>
      <c r="Q582">
        <v>4.7</v>
      </c>
      <c r="R582">
        <v>3.4</v>
      </c>
      <c r="T582">
        <v>8.5</v>
      </c>
      <c r="U582">
        <v>5.4</v>
      </c>
      <c r="V582">
        <v>3.6</v>
      </c>
      <c r="W582">
        <v>3.6</v>
      </c>
      <c r="X582">
        <v>11.7</v>
      </c>
      <c r="Y582">
        <v>3.1919520000000001</v>
      </c>
      <c r="Z582">
        <v>4.7</v>
      </c>
      <c r="AA582">
        <v>4.2</v>
      </c>
      <c r="AB582">
        <v>6.5100569999999998</v>
      </c>
      <c r="AC582">
        <v>19.5</v>
      </c>
      <c r="AD582">
        <v>7.5</v>
      </c>
      <c r="AE582">
        <v>17.3</v>
      </c>
      <c r="AF582">
        <v>6.8</v>
      </c>
      <c r="AG582">
        <v>6.3</v>
      </c>
      <c r="AI582">
        <v>6.1</v>
      </c>
      <c r="AJ582">
        <v>9</v>
      </c>
      <c r="AK582">
        <v>6.7174339999999999</v>
      </c>
    </row>
    <row r="583" spans="1:37" x14ac:dyDescent="0.2">
      <c r="A583" s="6">
        <v>37773</v>
      </c>
      <c r="B583">
        <v>6.0548599999999997</v>
      </c>
      <c r="D583">
        <v>8.1</v>
      </c>
      <c r="E583">
        <v>7.6</v>
      </c>
      <c r="F583">
        <v>9.4509939999999997</v>
      </c>
      <c r="G583">
        <v>7.8</v>
      </c>
      <c r="H583">
        <v>9.8000000000000007</v>
      </c>
      <c r="I583">
        <v>5.6</v>
      </c>
      <c r="J583">
        <v>11.5</v>
      </c>
      <c r="K583">
        <v>11</v>
      </c>
      <c r="L583">
        <v>9.4</v>
      </c>
      <c r="M583">
        <v>8.5</v>
      </c>
      <c r="N583">
        <v>5.0641299999999996</v>
      </c>
      <c r="O583">
        <v>9.6999999999999993</v>
      </c>
      <c r="P583">
        <v>5.7</v>
      </c>
      <c r="Q583">
        <v>4.9000000000000004</v>
      </c>
      <c r="R583">
        <v>3.4</v>
      </c>
      <c r="T583">
        <v>8.5</v>
      </c>
      <c r="U583">
        <v>5.4</v>
      </c>
      <c r="V583">
        <v>3.6</v>
      </c>
      <c r="W583">
        <v>3.7</v>
      </c>
      <c r="X583">
        <v>12.2</v>
      </c>
      <c r="Y583">
        <v>3.2674289999999999</v>
      </c>
      <c r="Z583">
        <v>4.8</v>
      </c>
      <c r="AA583">
        <v>4.3</v>
      </c>
      <c r="AB583">
        <v>6.4445160000000001</v>
      </c>
      <c r="AC583">
        <v>19.7</v>
      </c>
      <c r="AD583">
        <v>7.5</v>
      </c>
      <c r="AE583">
        <v>17.3</v>
      </c>
      <c r="AF583">
        <v>6.8</v>
      </c>
      <c r="AG583">
        <v>6.4</v>
      </c>
      <c r="AI583">
        <v>6.3</v>
      </c>
      <c r="AJ583">
        <v>9.1</v>
      </c>
      <c r="AK583">
        <v>6.7950980000000003</v>
      </c>
    </row>
    <row r="584" spans="1:37" x14ac:dyDescent="0.2">
      <c r="A584" s="6">
        <v>37803</v>
      </c>
      <c r="B584">
        <v>6.128107</v>
      </c>
      <c r="D584">
        <v>8.1</v>
      </c>
      <c r="E584">
        <v>7.7</v>
      </c>
      <c r="F584">
        <v>9.6338880000000007</v>
      </c>
      <c r="G584">
        <v>7.8</v>
      </c>
      <c r="H584">
        <v>9.8000000000000007</v>
      </c>
      <c r="I584">
        <v>5.4</v>
      </c>
      <c r="J584">
        <v>11.6</v>
      </c>
      <c r="K584">
        <v>10.5</v>
      </c>
      <c r="L584">
        <v>9</v>
      </c>
      <c r="M584">
        <v>8.5</v>
      </c>
      <c r="N584">
        <v>5.0577880000000004</v>
      </c>
      <c r="O584">
        <v>9.6999999999999993</v>
      </c>
      <c r="P584">
        <v>5.7</v>
      </c>
      <c r="Q584">
        <v>5</v>
      </c>
      <c r="R584">
        <v>3.5</v>
      </c>
      <c r="T584">
        <v>8.4</v>
      </c>
      <c r="U584">
        <v>5.2</v>
      </c>
      <c r="V584">
        <v>3.7</v>
      </c>
      <c r="W584">
        <v>3.8</v>
      </c>
      <c r="X584">
        <v>12.5</v>
      </c>
      <c r="Y584">
        <v>3.576365</v>
      </c>
      <c r="Z584">
        <v>4.9000000000000004</v>
      </c>
      <c r="AA584">
        <v>4.3</v>
      </c>
      <c r="AB584">
        <v>6.4006299999999996</v>
      </c>
      <c r="AC584">
        <v>19.899999999999999</v>
      </c>
      <c r="AD584">
        <v>7.4</v>
      </c>
      <c r="AE584">
        <v>17.399999999999999</v>
      </c>
      <c r="AF584">
        <v>6.8</v>
      </c>
      <c r="AG584">
        <v>6.5</v>
      </c>
      <c r="AI584">
        <v>6.2</v>
      </c>
      <c r="AJ584">
        <v>9.1</v>
      </c>
      <c r="AK584">
        <v>6.699859</v>
      </c>
    </row>
    <row r="585" spans="1:37" x14ac:dyDescent="0.2">
      <c r="A585" s="6">
        <v>37834</v>
      </c>
      <c r="B585">
        <v>5.8169969999999998</v>
      </c>
      <c r="D585">
        <v>8.1</v>
      </c>
      <c r="E585">
        <v>7.8</v>
      </c>
      <c r="F585">
        <v>9.711843</v>
      </c>
      <c r="G585">
        <v>7.9</v>
      </c>
      <c r="H585">
        <v>9.8000000000000007</v>
      </c>
      <c r="I585">
        <v>5.4</v>
      </c>
      <c r="J585">
        <v>11.5</v>
      </c>
      <c r="K585">
        <v>10.1</v>
      </c>
      <c r="L585">
        <v>8.6999999999999993</v>
      </c>
      <c r="M585">
        <v>8.4</v>
      </c>
      <c r="N585">
        <v>5.0485879999999996</v>
      </c>
      <c r="O585">
        <v>9.6999999999999993</v>
      </c>
      <c r="P585">
        <v>5.7</v>
      </c>
      <c r="Q585">
        <v>5</v>
      </c>
      <c r="R585">
        <v>3.5</v>
      </c>
      <c r="T585">
        <v>8.4</v>
      </c>
      <c r="U585">
        <v>5.0999999999999996</v>
      </c>
      <c r="V585">
        <v>3.7</v>
      </c>
      <c r="W585">
        <v>3.9</v>
      </c>
      <c r="X585">
        <v>12.5</v>
      </c>
      <c r="Y585">
        <v>3.6646920000000001</v>
      </c>
      <c r="Z585">
        <v>5</v>
      </c>
      <c r="AA585">
        <v>4.4000000000000004</v>
      </c>
      <c r="AB585">
        <v>6.2953460000000003</v>
      </c>
      <c r="AC585">
        <v>20</v>
      </c>
      <c r="AD585">
        <v>7.4</v>
      </c>
      <c r="AE585">
        <v>17.600000000000001</v>
      </c>
      <c r="AF585">
        <v>6.8</v>
      </c>
      <c r="AG585">
        <v>6.9</v>
      </c>
      <c r="AI585">
        <v>6.1</v>
      </c>
      <c r="AJ585">
        <v>9.1</v>
      </c>
      <c r="AK585">
        <v>6.6460290000000004</v>
      </c>
    </row>
    <row r="586" spans="1:37" x14ac:dyDescent="0.2">
      <c r="A586" s="6">
        <v>37865</v>
      </c>
      <c r="B586">
        <v>5.774591</v>
      </c>
      <c r="D586">
        <v>8.1999999999999993</v>
      </c>
      <c r="E586">
        <v>7.8</v>
      </c>
      <c r="F586">
        <v>9.5161809999999996</v>
      </c>
      <c r="G586">
        <v>8.1999999999999993</v>
      </c>
      <c r="H586">
        <v>9.8000000000000007</v>
      </c>
      <c r="I586">
        <v>5.5</v>
      </c>
      <c r="J586">
        <v>11.5</v>
      </c>
      <c r="K586">
        <v>9.1</v>
      </c>
      <c r="L586">
        <v>9</v>
      </c>
      <c r="M586">
        <v>8.6</v>
      </c>
      <c r="N586">
        <v>4.9502090000000001</v>
      </c>
      <c r="O586">
        <v>9.6999999999999993</v>
      </c>
      <c r="P586">
        <v>5.7</v>
      </c>
      <c r="Q586">
        <v>5</v>
      </c>
      <c r="R586">
        <v>3.4</v>
      </c>
      <c r="T586">
        <v>8.4</v>
      </c>
      <c r="U586">
        <v>5.2</v>
      </c>
      <c r="V586">
        <v>3.7</v>
      </c>
      <c r="W586">
        <v>4.0999999999999996</v>
      </c>
      <c r="X586">
        <v>12.1</v>
      </c>
      <c r="Y586">
        <v>3.8164009999999999</v>
      </c>
      <c r="Z586">
        <v>5.0999999999999996</v>
      </c>
      <c r="AA586">
        <v>4.4000000000000004</v>
      </c>
      <c r="AB586">
        <v>6.302657</v>
      </c>
      <c r="AC586">
        <v>19.899999999999999</v>
      </c>
      <c r="AD586">
        <v>7.4</v>
      </c>
      <c r="AE586">
        <v>17.5</v>
      </c>
      <c r="AF586">
        <v>6.8</v>
      </c>
      <c r="AG586">
        <v>6.5</v>
      </c>
      <c r="AI586">
        <v>6.1</v>
      </c>
      <c r="AJ586">
        <v>9.1</v>
      </c>
      <c r="AK586">
        <v>6.6733260000000003</v>
      </c>
    </row>
    <row r="587" spans="1:37" x14ac:dyDescent="0.2">
      <c r="A587" s="6">
        <v>37895</v>
      </c>
      <c r="B587">
        <v>5.7834380000000003</v>
      </c>
      <c r="D587">
        <v>8.3000000000000007</v>
      </c>
      <c r="E587">
        <v>7.6</v>
      </c>
      <c r="F587">
        <v>9.3381089999999993</v>
      </c>
      <c r="G587">
        <v>7.9</v>
      </c>
      <c r="H587">
        <v>9.8000000000000007</v>
      </c>
      <c r="I587">
        <v>5.7</v>
      </c>
      <c r="J587">
        <v>11.4</v>
      </c>
      <c r="K587">
        <v>9.3000000000000007</v>
      </c>
      <c r="L587">
        <v>9</v>
      </c>
      <c r="M587">
        <v>8.6999999999999993</v>
      </c>
      <c r="N587">
        <v>4.91045</v>
      </c>
      <c r="O587">
        <v>9.9</v>
      </c>
      <c r="P587">
        <v>5.7</v>
      </c>
      <c r="Q587">
        <v>4.7</v>
      </c>
      <c r="R587">
        <v>3.4</v>
      </c>
      <c r="T587">
        <v>8.1999999999999993</v>
      </c>
      <c r="U587">
        <v>5.0999999999999996</v>
      </c>
      <c r="V587">
        <v>3.7</v>
      </c>
      <c r="W587">
        <v>4.3</v>
      </c>
      <c r="X587">
        <v>11.4</v>
      </c>
      <c r="Y587">
        <v>3.7697310000000002</v>
      </c>
      <c r="Z587">
        <v>5.2</v>
      </c>
      <c r="AA587">
        <v>4.3</v>
      </c>
      <c r="AB587">
        <v>6.2846310000000001</v>
      </c>
      <c r="AC587">
        <v>19.8</v>
      </c>
      <c r="AD587">
        <v>7.6</v>
      </c>
      <c r="AE587">
        <v>17.600000000000001</v>
      </c>
      <c r="AF587">
        <v>6.6</v>
      </c>
      <c r="AG587">
        <v>6.9</v>
      </c>
      <c r="AI587">
        <v>6</v>
      </c>
      <c r="AJ587">
        <v>9.1</v>
      </c>
      <c r="AK587">
        <v>6.5789660000000003</v>
      </c>
    </row>
    <row r="588" spans="1:37" x14ac:dyDescent="0.2">
      <c r="A588" s="6">
        <v>37926</v>
      </c>
      <c r="B588">
        <v>5.6608580000000002</v>
      </c>
      <c r="D588">
        <v>8.3000000000000007</v>
      </c>
      <c r="E588">
        <v>7.4</v>
      </c>
      <c r="F588">
        <v>9.2853399999999997</v>
      </c>
      <c r="G588">
        <v>8.1</v>
      </c>
      <c r="H588">
        <v>9.8000000000000007</v>
      </c>
      <c r="I588">
        <v>5.8</v>
      </c>
      <c r="J588">
        <v>11.3</v>
      </c>
      <c r="K588">
        <v>9.4</v>
      </c>
      <c r="L588">
        <v>8.9</v>
      </c>
      <c r="M588">
        <v>8.8000000000000007</v>
      </c>
      <c r="N588">
        <v>4.8961670000000002</v>
      </c>
      <c r="O588">
        <v>9.9</v>
      </c>
      <c r="P588">
        <v>5.7</v>
      </c>
      <c r="Q588">
        <v>4.7</v>
      </c>
      <c r="R588">
        <v>3.4</v>
      </c>
      <c r="T588">
        <v>8.1999999999999993</v>
      </c>
      <c r="U588">
        <v>5.0999999999999996</v>
      </c>
      <c r="V588">
        <v>3.9</v>
      </c>
      <c r="W588">
        <v>4.3</v>
      </c>
      <c r="X588">
        <v>10.9</v>
      </c>
      <c r="Y588">
        <v>4.0353250000000003</v>
      </c>
      <c r="Z588">
        <v>5.2</v>
      </c>
      <c r="AA588">
        <v>4.3</v>
      </c>
      <c r="AB588">
        <v>6.258826</v>
      </c>
      <c r="AC588">
        <v>19.7</v>
      </c>
      <c r="AD588">
        <v>7.5</v>
      </c>
      <c r="AE588">
        <v>17.899999999999999</v>
      </c>
      <c r="AF588">
        <v>6.5</v>
      </c>
      <c r="AG588">
        <v>7.3</v>
      </c>
      <c r="AI588">
        <v>5.8</v>
      </c>
      <c r="AJ588">
        <v>9.1</v>
      </c>
      <c r="AK588">
        <v>6.531085</v>
      </c>
    </row>
    <row r="589" spans="1:37" x14ac:dyDescent="0.2">
      <c r="A589" s="6">
        <v>37956</v>
      </c>
      <c r="B589">
        <v>5.6814049999999998</v>
      </c>
      <c r="D589">
        <v>8.5</v>
      </c>
      <c r="E589">
        <v>7.3</v>
      </c>
      <c r="F589">
        <v>9.2511220000000005</v>
      </c>
      <c r="G589">
        <v>8.4</v>
      </c>
      <c r="H589">
        <v>9.8000000000000007</v>
      </c>
      <c r="I589">
        <v>5.8</v>
      </c>
      <c r="J589">
        <v>11.4</v>
      </c>
      <c r="K589">
        <v>10.4</v>
      </c>
      <c r="L589">
        <v>9</v>
      </c>
      <c r="M589">
        <v>8.9</v>
      </c>
      <c r="N589">
        <v>4.8309230000000003</v>
      </c>
      <c r="O589">
        <v>9.9</v>
      </c>
      <c r="P589">
        <v>5.7</v>
      </c>
      <c r="Q589">
        <v>4.8</v>
      </c>
      <c r="R589">
        <v>3.4</v>
      </c>
      <c r="T589">
        <v>8.1999999999999993</v>
      </c>
      <c r="U589">
        <v>4.9000000000000004</v>
      </c>
      <c r="V589">
        <v>3.7</v>
      </c>
      <c r="W589">
        <v>4.4000000000000004</v>
      </c>
      <c r="X589">
        <v>11</v>
      </c>
      <c r="Y589">
        <v>3.4025460000000001</v>
      </c>
      <c r="Z589">
        <v>5.4</v>
      </c>
      <c r="AA589">
        <v>4.4000000000000004</v>
      </c>
      <c r="AB589">
        <v>6.1703809999999999</v>
      </c>
      <c r="AC589">
        <v>19.8</v>
      </c>
      <c r="AD589">
        <v>7.3</v>
      </c>
      <c r="AE589">
        <v>18.399999999999999</v>
      </c>
      <c r="AF589">
        <v>6.5</v>
      </c>
      <c r="AG589">
        <v>7</v>
      </c>
      <c r="AI589">
        <v>5.7</v>
      </c>
      <c r="AJ589">
        <v>9.1</v>
      </c>
      <c r="AK589">
        <v>6.4233650000000004</v>
      </c>
    </row>
    <row r="590" spans="1:37" x14ac:dyDescent="0.2">
      <c r="A590" s="6">
        <v>37987</v>
      </c>
      <c r="B590">
        <v>5.5310649999999999</v>
      </c>
      <c r="D590">
        <v>8.6999999999999993</v>
      </c>
      <c r="E590">
        <v>7.3</v>
      </c>
      <c r="F590">
        <v>9.1792420000000003</v>
      </c>
      <c r="G590">
        <v>8.3000000000000007</v>
      </c>
      <c r="H590">
        <v>9.8000000000000007</v>
      </c>
      <c r="I590">
        <v>5.8</v>
      </c>
      <c r="J590">
        <v>11.3</v>
      </c>
      <c r="K590">
        <v>10.6</v>
      </c>
      <c r="L590">
        <v>9</v>
      </c>
      <c r="M590">
        <v>8.8000000000000007</v>
      </c>
      <c r="N590">
        <v>4.8072030000000003</v>
      </c>
      <c r="O590">
        <v>11.3</v>
      </c>
      <c r="P590">
        <v>5.9</v>
      </c>
      <c r="Q590">
        <v>5.0999999999999996</v>
      </c>
      <c r="R590">
        <v>3.4</v>
      </c>
      <c r="T590">
        <v>8.3000000000000007</v>
      </c>
      <c r="U590">
        <v>4.9000000000000004</v>
      </c>
      <c r="V590">
        <v>3.5</v>
      </c>
      <c r="W590">
        <v>4.5999999999999996</v>
      </c>
      <c r="X590">
        <v>11.6</v>
      </c>
      <c r="Y590">
        <v>3.7777959999999999</v>
      </c>
      <c r="Z590">
        <v>5.4</v>
      </c>
      <c r="AA590">
        <v>4.2</v>
      </c>
      <c r="AB590">
        <v>6.090401</v>
      </c>
      <c r="AC590">
        <v>20</v>
      </c>
      <c r="AD590">
        <v>7.2</v>
      </c>
      <c r="AE590">
        <v>18.7</v>
      </c>
      <c r="AF590">
        <v>6.5</v>
      </c>
      <c r="AG590">
        <v>7</v>
      </c>
      <c r="AI590">
        <v>5.7</v>
      </c>
      <c r="AJ590">
        <v>9.1999999999999993</v>
      </c>
      <c r="AK590">
        <v>6.4352530000000003</v>
      </c>
    </row>
    <row r="591" spans="1:37" x14ac:dyDescent="0.2">
      <c r="A591" s="6">
        <v>38018</v>
      </c>
      <c r="B591">
        <v>5.6434629999999997</v>
      </c>
      <c r="D591">
        <v>8.6</v>
      </c>
      <c r="E591">
        <v>7.3</v>
      </c>
      <c r="F591">
        <v>9.5410009999999996</v>
      </c>
      <c r="G591">
        <v>8.6</v>
      </c>
      <c r="H591">
        <v>10.1</v>
      </c>
      <c r="I591">
        <v>5.7</v>
      </c>
      <c r="J591">
        <v>11.2</v>
      </c>
      <c r="K591">
        <v>10</v>
      </c>
      <c r="L591">
        <v>8.6999999999999993</v>
      </c>
      <c r="M591">
        <v>8.8000000000000007</v>
      </c>
      <c r="N591">
        <v>4.7975029999999999</v>
      </c>
      <c r="O591">
        <v>10.8</v>
      </c>
      <c r="P591">
        <v>6</v>
      </c>
      <c r="Q591">
        <v>5.2</v>
      </c>
      <c r="R591">
        <v>3.4</v>
      </c>
      <c r="T591">
        <v>8.1</v>
      </c>
      <c r="U591">
        <v>5</v>
      </c>
      <c r="V591">
        <v>3.6</v>
      </c>
      <c r="W591">
        <v>4.7</v>
      </c>
      <c r="X591">
        <v>11.9</v>
      </c>
      <c r="Y591">
        <v>4.0438390000000002</v>
      </c>
      <c r="Z591">
        <v>5.4</v>
      </c>
      <c r="AA591">
        <v>4.2</v>
      </c>
      <c r="AB591">
        <v>6.0818289999999999</v>
      </c>
      <c r="AC591">
        <v>19.899999999999999</v>
      </c>
      <c r="AD591">
        <v>7.3</v>
      </c>
      <c r="AE591">
        <v>19</v>
      </c>
      <c r="AF591">
        <v>6.5</v>
      </c>
      <c r="AG591">
        <v>7.6</v>
      </c>
      <c r="AI591">
        <v>5.6</v>
      </c>
      <c r="AJ591">
        <v>9.1999999999999993</v>
      </c>
      <c r="AK591">
        <v>6.405138</v>
      </c>
    </row>
    <row r="592" spans="1:37" x14ac:dyDescent="0.2">
      <c r="A592" s="6">
        <v>38047</v>
      </c>
      <c r="B592">
        <v>5.4377719999999998</v>
      </c>
      <c r="D592">
        <v>8.3000000000000007</v>
      </c>
      <c r="E592">
        <v>7.3</v>
      </c>
      <c r="F592">
        <v>10.09008</v>
      </c>
      <c r="G592">
        <v>8.4</v>
      </c>
      <c r="H592">
        <v>10.3</v>
      </c>
      <c r="I592">
        <v>5.5</v>
      </c>
      <c r="J592">
        <v>11.1</v>
      </c>
      <c r="K592">
        <v>9.6999999999999993</v>
      </c>
      <c r="L592">
        <v>8.9</v>
      </c>
      <c r="M592">
        <v>8.8000000000000007</v>
      </c>
      <c r="N592">
        <v>4.8095359999999996</v>
      </c>
      <c r="O592">
        <v>10.9</v>
      </c>
      <c r="P592">
        <v>6</v>
      </c>
      <c r="Q592">
        <v>5.0999999999999996</v>
      </c>
      <c r="R592">
        <v>3.5</v>
      </c>
      <c r="T592">
        <v>8.1999999999999993</v>
      </c>
      <c r="U592">
        <v>4.8</v>
      </c>
      <c r="V592">
        <v>3.6</v>
      </c>
      <c r="W592">
        <v>4.9000000000000004</v>
      </c>
      <c r="X592">
        <v>11.8</v>
      </c>
      <c r="Y592">
        <v>3.921735</v>
      </c>
      <c r="Z592">
        <v>5.5</v>
      </c>
      <c r="AA592">
        <v>4.0999999999999996</v>
      </c>
      <c r="AB592">
        <v>6.0239440000000002</v>
      </c>
      <c r="AC592">
        <v>19.8</v>
      </c>
      <c r="AD592">
        <v>7.3</v>
      </c>
      <c r="AE592">
        <v>19</v>
      </c>
      <c r="AF592">
        <v>6.5</v>
      </c>
      <c r="AG592">
        <v>7.4</v>
      </c>
      <c r="AI592">
        <v>5.8</v>
      </c>
      <c r="AJ592">
        <v>9.3000000000000007</v>
      </c>
      <c r="AK592">
        <v>6.4847590000000004</v>
      </c>
    </row>
    <row r="593" spans="1:37" x14ac:dyDescent="0.2">
      <c r="A593" s="6">
        <v>38078</v>
      </c>
      <c r="B593">
        <v>5.5081600000000002</v>
      </c>
      <c r="D593">
        <v>7.7</v>
      </c>
      <c r="E593">
        <v>7.2</v>
      </c>
      <c r="F593">
        <v>10.483090000000001</v>
      </c>
      <c r="G593">
        <v>8.4</v>
      </c>
      <c r="H593">
        <v>10.3</v>
      </c>
      <c r="I593">
        <v>5.5</v>
      </c>
      <c r="J593">
        <v>11.2</v>
      </c>
      <c r="K593">
        <v>9.6</v>
      </c>
      <c r="L593">
        <v>9.5</v>
      </c>
      <c r="M593">
        <v>8.8000000000000007</v>
      </c>
      <c r="N593">
        <v>4.7980130000000001</v>
      </c>
      <c r="O593">
        <v>10.7</v>
      </c>
      <c r="P593">
        <v>5.9</v>
      </c>
      <c r="Q593">
        <v>4.8</v>
      </c>
      <c r="R593">
        <v>3.5</v>
      </c>
      <c r="T593">
        <v>8.1</v>
      </c>
      <c r="U593">
        <v>4.8</v>
      </c>
      <c r="V593">
        <v>3.6</v>
      </c>
      <c r="W593">
        <v>5</v>
      </c>
      <c r="X593">
        <v>11.5</v>
      </c>
      <c r="Y593">
        <v>3.9876469999999999</v>
      </c>
      <c r="Z593">
        <v>5.7</v>
      </c>
      <c r="AA593">
        <v>4.2</v>
      </c>
      <c r="AB593">
        <v>6.01389</v>
      </c>
      <c r="AC593">
        <v>19.5</v>
      </c>
      <c r="AD593">
        <v>7.4</v>
      </c>
      <c r="AE593">
        <v>19.100000000000001</v>
      </c>
      <c r="AF593">
        <v>6.4</v>
      </c>
      <c r="AG593">
        <v>7.1</v>
      </c>
      <c r="AI593">
        <v>5.6</v>
      </c>
      <c r="AJ593">
        <v>9.3000000000000007</v>
      </c>
      <c r="AK593">
        <v>6.3881189999999997</v>
      </c>
    </row>
    <row r="594" spans="1:37" x14ac:dyDescent="0.2">
      <c r="A594" s="6">
        <v>38108</v>
      </c>
      <c r="B594">
        <v>5.3370490000000004</v>
      </c>
      <c r="D594">
        <v>7.6</v>
      </c>
      <c r="E594">
        <v>7.1</v>
      </c>
      <c r="F594">
        <v>10.37616</v>
      </c>
      <c r="G594">
        <v>8.4</v>
      </c>
      <c r="H594">
        <v>10.3</v>
      </c>
      <c r="I594">
        <v>5.4</v>
      </c>
      <c r="J594">
        <v>11.2</v>
      </c>
      <c r="K594">
        <v>9.9</v>
      </c>
      <c r="L594">
        <v>9.5</v>
      </c>
      <c r="M594">
        <v>8.8000000000000007</v>
      </c>
      <c r="N594">
        <v>4.8051839999999997</v>
      </c>
      <c r="O594">
        <v>10.6</v>
      </c>
      <c r="P594">
        <v>5.9</v>
      </c>
      <c r="Q594">
        <v>4.7</v>
      </c>
      <c r="R594">
        <v>3.5</v>
      </c>
      <c r="T594">
        <v>8.1999999999999993</v>
      </c>
      <c r="U594">
        <v>4.7</v>
      </c>
      <c r="V594">
        <v>3.7</v>
      </c>
      <c r="W594">
        <v>5</v>
      </c>
      <c r="X594">
        <v>11.4</v>
      </c>
      <c r="Y594">
        <v>3.884007</v>
      </c>
      <c r="Z594">
        <v>5.8</v>
      </c>
      <c r="AA594">
        <v>4.2</v>
      </c>
      <c r="AB594">
        <v>5.9479509999999998</v>
      </c>
      <c r="AC594">
        <v>19.3</v>
      </c>
      <c r="AD594">
        <v>7.7</v>
      </c>
      <c r="AE594">
        <v>18.8</v>
      </c>
      <c r="AF594">
        <v>6.4</v>
      </c>
      <c r="AG594">
        <v>7.6</v>
      </c>
      <c r="AI594">
        <v>5.6</v>
      </c>
      <c r="AJ594">
        <v>9.3000000000000007</v>
      </c>
      <c r="AK594">
        <v>6.3782209999999999</v>
      </c>
    </row>
    <row r="595" spans="1:37" x14ac:dyDescent="0.2">
      <c r="A595" s="6">
        <v>38139</v>
      </c>
      <c r="B595">
        <v>5.4634660000000004</v>
      </c>
      <c r="D595">
        <v>8</v>
      </c>
      <c r="E595">
        <v>7.2</v>
      </c>
      <c r="F595">
        <v>10.29059</v>
      </c>
      <c r="G595">
        <v>8.3000000000000007</v>
      </c>
      <c r="H595">
        <v>10.3</v>
      </c>
      <c r="I595">
        <v>5.5</v>
      </c>
      <c r="J595">
        <v>11.2</v>
      </c>
      <c r="K595">
        <v>9.6999999999999993</v>
      </c>
      <c r="L595">
        <v>8.6</v>
      </c>
      <c r="M595">
        <v>8.8000000000000007</v>
      </c>
      <c r="N595">
        <v>4.7614900000000002</v>
      </c>
      <c r="O595">
        <v>10.4</v>
      </c>
      <c r="P595">
        <v>5.9</v>
      </c>
      <c r="Q595">
        <v>4.5</v>
      </c>
      <c r="R595">
        <v>3.5</v>
      </c>
      <c r="T595">
        <v>7.9</v>
      </c>
      <c r="U595">
        <v>4.7</v>
      </c>
      <c r="V595">
        <v>3.5</v>
      </c>
      <c r="W595">
        <v>5</v>
      </c>
      <c r="X595">
        <v>11.3</v>
      </c>
      <c r="Y595">
        <v>3.9583750000000002</v>
      </c>
      <c r="Z595">
        <v>5.8</v>
      </c>
      <c r="AA595">
        <v>4.3</v>
      </c>
      <c r="AB595">
        <v>5.8872099999999996</v>
      </c>
      <c r="AC595">
        <v>19.2</v>
      </c>
      <c r="AD595">
        <v>7.9</v>
      </c>
      <c r="AE595">
        <v>18.5</v>
      </c>
      <c r="AF595">
        <v>6.2</v>
      </c>
      <c r="AG595">
        <v>7.4</v>
      </c>
      <c r="AI595">
        <v>5.6</v>
      </c>
      <c r="AJ595">
        <v>9.1999999999999993</v>
      </c>
      <c r="AK595">
        <v>6.3856529999999996</v>
      </c>
    </row>
    <row r="596" spans="1:37" x14ac:dyDescent="0.2">
      <c r="A596" s="6">
        <v>38169</v>
      </c>
      <c r="B596">
        <v>5.5506039999999999</v>
      </c>
      <c r="D596">
        <v>8.6</v>
      </c>
      <c r="E596">
        <v>7.1</v>
      </c>
      <c r="F596">
        <v>10.40067</v>
      </c>
      <c r="G596">
        <v>8.1</v>
      </c>
      <c r="H596">
        <v>10.3</v>
      </c>
      <c r="I596">
        <v>5.6</v>
      </c>
      <c r="J596">
        <v>11</v>
      </c>
      <c r="K596">
        <v>10</v>
      </c>
      <c r="L596">
        <v>8.9</v>
      </c>
      <c r="M596">
        <v>8.8000000000000007</v>
      </c>
      <c r="N596">
        <v>4.7008830000000001</v>
      </c>
      <c r="O596">
        <v>10.6</v>
      </c>
      <c r="P596">
        <v>5.9</v>
      </c>
      <c r="Q596">
        <v>4.5</v>
      </c>
      <c r="R596">
        <v>3.5</v>
      </c>
      <c r="T596">
        <v>7.9</v>
      </c>
      <c r="U596">
        <v>4.9000000000000004</v>
      </c>
      <c r="V596">
        <v>3.7</v>
      </c>
      <c r="W596">
        <v>5</v>
      </c>
      <c r="X596">
        <v>11.6</v>
      </c>
      <c r="Y596">
        <v>3.7950590000000002</v>
      </c>
      <c r="Z596">
        <v>5.7</v>
      </c>
      <c r="AA596">
        <v>4.3</v>
      </c>
      <c r="AB596">
        <v>5.7989699999999997</v>
      </c>
      <c r="AC596">
        <v>19</v>
      </c>
      <c r="AD596">
        <v>7.8</v>
      </c>
      <c r="AE596">
        <v>18.2</v>
      </c>
      <c r="AF596">
        <v>6.1</v>
      </c>
      <c r="AG596">
        <v>7.2</v>
      </c>
      <c r="AI596">
        <v>5.5</v>
      </c>
      <c r="AJ596">
        <v>9.1999999999999993</v>
      </c>
      <c r="AK596">
        <v>6.3572689999999996</v>
      </c>
    </row>
    <row r="597" spans="1:37" x14ac:dyDescent="0.2">
      <c r="A597" s="6">
        <v>38200</v>
      </c>
      <c r="B597">
        <v>5.5158110000000002</v>
      </c>
      <c r="D597">
        <v>9</v>
      </c>
      <c r="E597">
        <v>7</v>
      </c>
      <c r="F597">
        <v>10.3912</v>
      </c>
      <c r="G597">
        <v>8.1999999999999993</v>
      </c>
      <c r="H597">
        <v>10.4</v>
      </c>
      <c r="I597">
        <v>5.6</v>
      </c>
      <c r="J597">
        <v>11</v>
      </c>
      <c r="K597">
        <v>10.4</v>
      </c>
      <c r="L597">
        <v>9</v>
      </c>
      <c r="M597">
        <v>8.8000000000000007</v>
      </c>
      <c r="N597">
        <v>4.6837090000000003</v>
      </c>
      <c r="O597">
        <v>10.5</v>
      </c>
      <c r="P597">
        <v>6.1</v>
      </c>
      <c r="Q597">
        <v>4.4000000000000004</v>
      </c>
      <c r="R597">
        <v>3.4</v>
      </c>
      <c r="T597">
        <v>7.7</v>
      </c>
      <c r="U597">
        <v>4.8</v>
      </c>
      <c r="V597">
        <v>3.8</v>
      </c>
      <c r="W597">
        <v>5.0999999999999996</v>
      </c>
      <c r="X597">
        <v>11.8</v>
      </c>
      <c r="Y597">
        <v>3.997989</v>
      </c>
      <c r="Z597">
        <v>5.6</v>
      </c>
      <c r="AA597">
        <v>4.4000000000000004</v>
      </c>
      <c r="AB597">
        <v>5.7641249999999999</v>
      </c>
      <c r="AC597">
        <v>18.899999999999999</v>
      </c>
      <c r="AD597">
        <v>8.1</v>
      </c>
      <c r="AE597">
        <v>18</v>
      </c>
      <c r="AF597">
        <v>6.2</v>
      </c>
      <c r="AG597">
        <v>7.3</v>
      </c>
      <c r="AI597">
        <v>5.4</v>
      </c>
      <c r="AJ597">
        <v>9.1999999999999993</v>
      </c>
      <c r="AK597">
        <v>6.2925610000000001</v>
      </c>
    </row>
    <row r="598" spans="1:37" x14ac:dyDescent="0.2">
      <c r="A598" s="6">
        <v>38231</v>
      </c>
      <c r="B598">
        <v>5.3696529999999996</v>
      </c>
      <c r="D598">
        <v>9</v>
      </c>
      <c r="E598">
        <v>6.9</v>
      </c>
      <c r="F598">
        <v>10.41574</v>
      </c>
      <c r="G598">
        <v>8.3000000000000007</v>
      </c>
      <c r="H598">
        <v>10.4</v>
      </c>
      <c r="I598">
        <v>5.6</v>
      </c>
      <c r="J598">
        <v>10.9</v>
      </c>
      <c r="K598">
        <v>10.199999999999999</v>
      </c>
      <c r="L598">
        <v>8</v>
      </c>
      <c r="M598">
        <v>8.8000000000000007</v>
      </c>
      <c r="N598">
        <v>4.6646089999999996</v>
      </c>
      <c r="O598">
        <v>10.199999999999999</v>
      </c>
      <c r="P598">
        <v>6</v>
      </c>
      <c r="Q598">
        <v>4.5999999999999996</v>
      </c>
      <c r="R598">
        <v>3.3</v>
      </c>
      <c r="T598">
        <v>8</v>
      </c>
      <c r="U598">
        <v>4.5999999999999996</v>
      </c>
      <c r="V598">
        <v>3.7</v>
      </c>
      <c r="W598">
        <v>5.0999999999999996</v>
      </c>
      <c r="X598">
        <v>12</v>
      </c>
      <c r="Y598">
        <v>3.8437800000000002</v>
      </c>
      <c r="Z598">
        <v>5.7</v>
      </c>
      <c r="AA598">
        <v>4.4000000000000004</v>
      </c>
      <c r="AB598">
        <v>5.7457409999999998</v>
      </c>
      <c r="AC598">
        <v>18.7</v>
      </c>
      <c r="AD598">
        <v>8.1</v>
      </c>
      <c r="AE598">
        <v>17.899999999999999</v>
      </c>
      <c r="AF598">
        <v>6.2</v>
      </c>
      <c r="AG598">
        <v>7.8</v>
      </c>
      <c r="AI598">
        <v>5.4</v>
      </c>
      <c r="AJ598">
        <v>9.3000000000000007</v>
      </c>
      <c r="AK598">
        <v>6.2670810000000001</v>
      </c>
    </row>
    <row r="599" spans="1:37" x14ac:dyDescent="0.2">
      <c r="A599" s="6">
        <v>38261</v>
      </c>
      <c r="B599">
        <v>5.1228559999999996</v>
      </c>
      <c r="D599">
        <v>8.6</v>
      </c>
      <c r="E599">
        <v>7.1</v>
      </c>
      <c r="F599">
        <v>10.01174</v>
      </c>
      <c r="G599">
        <v>8.6</v>
      </c>
      <c r="H599">
        <v>10.5</v>
      </c>
      <c r="I599">
        <v>5.4</v>
      </c>
      <c r="J599">
        <v>10.7</v>
      </c>
      <c r="K599">
        <v>10.3</v>
      </c>
      <c r="L599">
        <v>8.6</v>
      </c>
      <c r="M599">
        <v>8.9</v>
      </c>
      <c r="N599">
        <v>4.6842610000000002</v>
      </c>
      <c r="O599">
        <v>10.3</v>
      </c>
      <c r="P599">
        <v>6.2</v>
      </c>
      <c r="Q599">
        <v>4.7</v>
      </c>
      <c r="R599">
        <v>3.3</v>
      </c>
      <c r="T599">
        <v>8</v>
      </c>
      <c r="U599">
        <v>4.5999999999999996</v>
      </c>
      <c r="V599">
        <v>3.7</v>
      </c>
      <c r="W599">
        <v>5</v>
      </c>
      <c r="X599">
        <v>12.2</v>
      </c>
      <c r="Y599">
        <v>3.9000059999999999</v>
      </c>
      <c r="Z599">
        <v>5.7</v>
      </c>
      <c r="AA599">
        <v>4.4000000000000004</v>
      </c>
      <c r="AB599">
        <v>5.7618989999999997</v>
      </c>
      <c r="AC599">
        <v>18.600000000000001</v>
      </c>
      <c r="AD599">
        <v>8.1</v>
      </c>
      <c r="AE599">
        <v>17.8</v>
      </c>
      <c r="AF599">
        <v>6.3</v>
      </c>
      <c r="AG599">
        <v>7.1</v>
      </c>
      <c r="AI599">
        <v>5.5</v>
      </c>
      <c r="AJ599">
        <v>9.3000000000000007</v>
      </c>
      <c r="AK599">
        <v>6.3183720000000001</v>
      </c>
    </row>
    <row r="600" spans="1:37" x14ac:dyDescent="0.2">
      <c r="A600" s="6">
        <v>38292</v>
      </c>
      <c r="B600">
        <v>5.1615690000000001</v>
      </c>
      <c r="D600">
        <v>8.3000000000000007</v>
      </c>
      <c r="E600">
        <v>7.2</v>
      </c>
      <c r="F600">
        <v>9.7468339999999998</v>
      </c>
      <c r="G600">
        <v>8.3000000000000007</v>
      </c>
      <c r="H600">
        <v>10.6</v>
      </c>
      <c r="I600">
        <v>5.3</v>
      </c>
      <c r="J600">
        <v>10.6</v>
      </c>
      <c r="K600">
        <v>9.5</v>
      </c>
      <c r="L600">
        <v>8.6999999999999993</v>
      </c>
      <c r="M600">
        <v>8.9</v>
      </c>
      <c r="N600">
        <v>4.7288990000000002</v>
      </c>
      <c r="O600">
        <v>10.4</v>
      </c>
      <c r="P600">
        <v>6.3</v>
      </c>
      <c r="Q600">
        <v>4.7</v>
      </c>
      <c r="R600">
        <v>3.2</v>
      </c>
      <c r="T600">
        <v>8.1</v>
      </c>
      <c r="U600">
        <v>4.5</v>
      </c>
      <c r="V600">
        <v>3.7</v>
      </c>
      <c r="W600">
        <v>5</v>
      </c>
      <c r="X600">
        <v>12.1</v>
      </c>
      <c r="Y600">
        <v>3.8685269999999998</v>
      </c>
      <c r="Z600">
        <v>5.7</v>
      </c>
      <c r="AA600">
        <v>4.4000000000000004</v>
      </c>
      <c r="AB600">
        <v>5.7646730000000002</v>
      </c>
      <c r="AC600">
        <v>18.399999999999999</v>
      </c>
      <c r="AD600">
        <v>8.1</v>
      </c>
      <c r="AE600">
        <v>17.7</v>
      </c>
      <c r="AF600">
        <v>6.2</v>
      </c>
      <c r="AG600">
        <v>7.5</v>
      </c>
      <c r="AI600">
        <v>5.4</v>
      </c>
      <c r="AJ600">
        <v>9.3000000000000007</v>
      </c>
      <c r="AK600">
        <v>6.2899909999999997</v>
      </c>
    </row>
    <row r="601" spans="1:37" x14ac:dyDescent="0.2">
      <c r="A601" s="6">
        <v>38322</v>
      </c>
      <c r="B601">
        <v>5.0687530000000001</v>
      </c>
      <c r="D601">
        <v>8.1999999999999993</v>
      </c>
      <c r="E601">
        <v>7.1</v>
      </c>
      <c r="F601">
        <v>9.4727680000000003</v>
      </c>
      <c r="G601">
        <v>7.8</v>
      </c>
      <c r="H601">
        <v>10.7</v>
      </c>
      <c r="I601">
        <v>5.3</v>
      </c>
      <c r="J601">
        <v>10.3</v>
      </c>
      <c r="K601">
        <v>9.5</v>
      </c>
      <c r="L601">
        <v>8.4</v>
      </c>
      <c r="M601">
        <v>8.9</v>
      </c>
      <c r="N601">
        <v>4.7271890000000001</v>
      </c>
      <c r="O601">
        <v>10.3</v>
      </c>
      <c r="P601">
        <v>6.6</v>
      </c>
      <c r="Q601">
        <v>4.5999999999999996</v>
      </c>
      <c r="R601">
        <v>3.1</v>
      </c>
      <c r="T601">
        <v>7.8</v>
      </c>
      <c r="U601">
        <v>4.5</v>
      </c>
      <c r="V601">
        <v>3.8</v>
      </c>
      <c r="W601">
        <v>4.9000000000000004</v>
      </c>
      <c r="X601">
        <v>11.8</v>
      </c>
      <c r="Y601">
        <v>4.0345630000000003</v>
      </c>
      <c r="Z601">
        <v>5.9</v>
      </c>
      <c r="AA601">
        <v>4.4000000000000004</v>
      </c>
      <c r="AB601">
        <v>5.791588</v>
      </c>
      <c r="AC601">
        <v>18.3</v>
      </c>
      <c r="AD601">
        <v>8.3000000000000007</v>
      </c>
      <c r="AE601">
        <v>17.600000000000001</v>
      </c>
      <c r="AF601">
        <v>6.4</v>
      </c>
      <c r="AG601">
        <v>7.5</v>
      </c>
      <c r="AI601">
        <v>5.4</v>
      </c>
      <c r="AJ601">
        <v>9.1999999999999993</v>
      </c>
      <c r="AK601">
        <v>6.2683220000000004</v>
      </c>
    </row>
    <row r="602" spans="1:37" x14ac:dyDescent="0.2">
      <c r="A602" s="6">
        <v>38353</v>
      </c>
      <c r="B602">
        <v>5.0737800000000002</v>
      </c>
      <c r="D602">
        <v>8.3000000000000007</v>
      </c>
      <c r="E602">
        <v>7</v>
      </c>
      <c r="F602">
        <v>9.5227179999999993</v>
      </c>
      <c r="G602">
        <v>8.1999999999999993</v>
      </c>
      <c r="H602">
        <v>10.7</v>
      </c>
      <c r="I602">
        <v>5.3</v>
      </c>
      <c r="J602">
        <v>10.1</v>
      </c>
      <c r="K602">
        <v>9.1999999999999993</v>
      </c>
      <c r="L602">
        <v>9.3000000000000007</v>
      </c>
      <c r="M602">
        <v>8.6999999999999993</v>
      </c>
      <c r="N602">
        <v>4.7837509999999996</v>
      </c>
      <c r="O602">
        <v>10.199999999999999</v>
      </c>
      <c r="P602">
        <v>6.8</v>
      </c>
      <c r="Q602">
        <v>4.4000000000000004</v>
      </c>
      <c r="R602">
        <v>3.1</v>
      </c>
      <c r="T602">
        <v>7.8</v>
      </c>
      <c r="U602">
        <v>4.5</v>
      </c>
      <c r="V602">
        <v>3.8</v>
      </c>
      <c r="W602">
        <v>4.8</v>
      </c>
      <c r="X602">
        <v>11.3</v>
      </c>
      <c r="Y602">
        <v>3.9578869999999999</v>
      </c>
      <c r="Z602">
        <v>5.9</v>
      </c>
      <c r="AA602">
        <v>4.5</v>
      </c>
      <c r="AB602">
        <v>5.8008129999999998</v>
      </c>
      <c r="AC602">
        <v>18.100000000000001</v>
      </c>
      <c r="AD602">
        <v>8.3000000000000007</v>
      </c>
      <c r="AE602">
        <v>17.3</v>
      </c>
      <c r="AF602">
        <v>6.4</v>
      </c>
      <c r="AG602">
        <v>7</v>
      </c>
      <c r="AH602">
        <v>9.3000000000000007</v>
      </c>
      <c r="AI602">
        <v>5.3</v>
      </c>
      <c r="AJ602">
        <v>9.1999999999999993</v>
      </c>
      <c r="AK602">
        <v>6.2113209999999999</v>
      </c>
    </row>
    <row r="603" spans="1:37" x14ac:dyDescent="0.2">
      <c r="A603" s="6">
        <v>38384</v>
      </c>
      <c r="B603">
        <v>5.0850030000000004</v>
      </c>
      <c r="D603">
        <v>8.5</v>
      </c>
      <c r="E603">
        <v>7</v>
      </c>
      <c r="F603">
        <v>9.378107</v>
      </c>
      <c r="G603">
        <v>8.1999999999999993</v>
      </c>
      <c r="H603">
        <v>10.9</v>
      </c>
      <c r="I603">
        <v>5.2</v>
      </c>
      <c r="J603">
        <v>9.9</v>
      </c>
      <c r="K603">
        <v>9.3000000000000007</v>
      </c>
      <c r="L603">
        <v>8.9</v>
      </c>
      <c r="M603">
        <v>8.6999999999999993</v>
      </c>
      <c r="N603">
        <v>4.6893219999999998</v>
      </c>
      <c r="O603">
        <v>10.1</v>
      </c>
      <c r="P603">
        <v>7</v>
      </c>
      <c r="Q603">
        <v>4.3</v>
      </c>
      <c r="R603">
        <v>3</v>
      </c>
      <c r="T603">
        <v>8</v>
      </c>
      <c r="U603">
        <v>4.5999999999999996</v>
      </c>
      <c r="V603">
        <v>3.7</v>
      </c>
      <c r="W603">
        <v>4.8</v>
      </c>
      <c r="X603">
        <v>11</v>
      </c>
      <c r="Y603">
        <v>3.6383079999999999</v>
      </c>
      <c r="Z603">
        <v>6</v>
      </c>
      <c r="AA603">
        <v>4.4000000000000004</v>
      </c>
      <c r="AB603">
        <v>5.7460979999999999</v>
      </c>
      <c r="AC603">
        <v>18.2</v>
      </c>
      <c r="AD603">
        <v>8.4</v>
      </c>
      <c r="AE603">
        <v>17.100000000000001</v>
      </c>
      <c r="AF603">
        <v>6.5</v>
      </c>
      <c r="AG603">
        <v>7.8</v>
      </c>
      <c r="AH603">
        <v>9.1</v>
      </c>
      <c r="AI603">
        <v>5.4</v>
      </c>
      <c r="AJ603">
        <v>9.1999999999999993</v>
      </c>
      <c r="AK603">
        <v>6.3162310000000002</v>
      </c>
    </row>
    <row r="604" spans="1:37" x14ac:dyDescent="0.2">
      <c r="A604" s="6">
        <v>38412</v>
      </c>
      <c r="B604">
        <v>5.1632899999999999</v>
      </c>
      <c r="D604">
        <v>8.6</v>
      </c>
      <c r="E604">
        <v>6.9</v>
      </c>
      <c r="F604">
        <v>9.5067260000000005</v>
      </c>
      <c r="G604">
        <v>7.9</v>
      </c>
      <c r="H604">
        <v>10.9</v>
      </c>
      <c r="I604">
        <v>5.2</v>
      </c>
      <c r="J604">
        <v>9.6999999999999993</v>
      </c>
      <c r="K604">
        <v>8.6</v>
      </c>
      <c r="L604">
        <v>7.9</v>
      </c>
      <c r="M604">
        <v>8.6999999999999993</v>
      </c>
      <c r="N604">
        <v>4.7043379999999999</v>
      </c>
      <c r="O604">
        <v>10.199999999999999</v>
      </c>
      <c r="P604">
        <v>7.1</v>
      </c>
      <c r="Q604">
        <v>4.5999999999999996</v>
      </c>
      <c r="R604">
        <v>2.9</v>
      </c>
      <c r="T604">
        <v>7.9</v>
      </c>
      <c r="U604">
        <v>4.5</v>
      </c>
      <c r="V604">
        <v>3.7</v>
      </c>
      <c r="W604">
        <v>4.7</v>
      </c>
      <c r="X604">
        <v>10.7</v>
      </c>
      <c r="Y604">
        <v>3.744135</v>
      </c>
      <c r="Z604">
        <v>6</v>
      </c>
      <c r="AA604">
        <v>4.5999999999999996</v>
      </c>
      <c r="AB604">
        <v>5.7986810000000002</v>
      </c>
      <c r="AC604">
        <v>18.3</v>
      </c>
      <c r="AD604">
        <v>8.5</v>
      </c>
      <c r="AE604">
        <v>17</v>
      </c>
      <c r="AF604">
        <v>6.4</v>
      </c>
      <c r="AG604">
        <v>7.3</v>
      </c>
      <c r="AH604">
        <v>9.3000000000000007</v>
      </c>
      <c r="AI604">
        <v>5.2</v>
      </c>
      <c r="AJ604">
        <v>9.1999999999999993</v>
      </c>
      <c r="AK604">
        <v>6.221724</v>
      </c>
    </row>
    <row r="605" spans="1:37" x14ac:dyDescent="0.2">
      <c r="A605" s="6">
        <v>38443</v>
      </c>
      <c r="B605">
        <v>5.1230250000000002</v>
      </c>
      <c r="D605">
        <v>8.4</v>
      </c>
      <c r="E605">
        <v>6.7</v>
      </c>
      <c r="F605">
        <v>9.3904720000000008</v>
      </c>
      <c r="G605">
        <v>8.1</v>
      </c>
      <c r="H605">
        <v>11.2</v>
      </c>
      <c r="I605">
        <v>5.2</v>
      </c>
      <c r="J605">
        <v>9.6999999999999993</v>
      </c>
      <c r="K605">
        <v>8.3000000000000007</v>
      </c>
      <c r="L605">
        <v>8.9</v>
      </c>
      <c r="M605">
        <v>8.8000000000000007</v>
      </c>
      <c r="N605">
        <v>4.7513909999999999</v>
      </c>
      <c r="O605">
        <v>10.1</v>
      </c>
      <c r="P605">
        <v>7.3</v>
      </c>
      <c r="Q605">
        <v>4.8</v>
      </c>
      <c r="R605">
        <v>2.9</v>
      </c>
      <c r="T605">
        <v>7.9</v>
      </c>
      <c r="U605">
        <v>4.5</v>
      </c>
      <c r="V605">
        <v>3.7</v>
      </c>
      <c r="W605">
        <v>4.7</v>
      </c>
      <c r="X605">
        <v>10.199999999999999</v>
      </c>
      <c r="Y605">
        <v>3.8058830000000001</v>
      </c>
      <c r="Z605">
        <v>6</v>
      </c>
      <c r="AA605">
        <v>4.5999999999999996</v>
      </c>
      <c r="AB605">
        <v>5.782845</v>
      </c>
      <c r="AC605">
        <v>18.399999999999999</v>
      </c>
      <c r="AD605">
        <v>8.6999999999999993</v>
      </c>
      <c r="AE605">
        <v>16.7</v>
      </c>
      <c r="AF605">
        <v>6.1</v>
      </c>
      <c r="AG605">
        <v>7.6</v>
      </c>
      <c r="AH605">
        <v>9.5</v>
      </c>
      <c r="AI605">
        <v>5.2</v>
      </c>
      <c r="AJ605">
        <v>9.3000000000000007</v>
      </c>
      <c r="AK605">
        <v>6.2246610000000002</v>
      </c>
    </row>
    <row r="606" spans="1:37" x14ac:dyDescent="0.2">
      <c r="A606" s="6">
        <v>38473</v>
      </c>
      <c r="B606">
        <v>5.1000719999999999</v>
      </c>
      <c r="D606">
        <v>8.6</v>
      </c>
      <c r="E606">
        <v>7</v>
      </c>
      <c r="F606">
        <v>9.5941480000000006</v>
      </c>
      <c r="G606">
        <v>8</v>
      </c>
      <c r="H606">
        <v>11.2</v>
      </c>
      <c r="I606">
        <v>5</v>
      </c>
      <c r="J606">
        <v>9.4</v>
      </c>
      <c r="K606">
        <v>8</v>
      </c>
      <c r="L606">
        <v>8.1</v>
      </c>
      <c r="M606">
        <v>8.9</v>
      </c>
      <c r="N606">
        <v>4.753558</v>
      </c>
      <c r="O606">
        <v>10</v>
      </c>
      <c r="P606">
        <v>7.2</v>
      </c>
      <c r="Q606">
        <v>4.9000000000000004</v>
      </c>
      <c r="R606">
        <v>2.9</v>
      </c>
      <c r="T606">
        <v>7.6</v>
      </c>
      <c r="U606">
        <v>4.5</v>
      </c>
      <c r="V606">
        <v>3.7</v>
      </c>
      <c r="W606">
        <v>4.7</v>
      </c>
      <c r="X606">
        <v>10</v>
      </c>
      <c r="Y606">
        <v>3.6871420000000001</v>
      </c>
      <c r="Z606">
        <v>6</v>
      </c>
      <c r="AA606">
        <v>4.5999999999999996</v>
      </c>
      <c r="AB606">
        <v>5.7552289999999999</v>
      </c>
      <c r="AC606">
        <v>18.399999999999999</v>
      </c>
      <c r="AD606">
        <v>8.6</v>
      </c>
      <c r="AE606">
        <v>16.600000000000001</v>
      </c>
      <c r="AF606">
        <v>6</v>
      </c>
      <c r="AG606">
        <v>7.9</v>
      </c>
      <c r="AH606">
        <v>9.6999999999999993</v>
      </c>
      <c r="AI606">
        <v>5.0999999999999996</v>
      </c>
      <c r="AJ606">
        <v>9.1999999999999993</v>
      </c>
      <c r="AK606">
        <v>6.2165369999999998</v>
      </c>
    </row>
    <row r="607" spans="1:37" x14ac:dyDescent="0.2">
      <c r="A607" s="6">
        <v>38504</v>
      </c>
      <c r="B607">
        <v>4.9501720000000002</v>
      </c>
      <c r="D607">
        <v>8.5</v>
      </c>
      <c r="E607">
        <v>6.8</v>
      </c>
      <c r="F607">
        <v>9.4134239999999991</v>
      </c>
      <c r="G607">
        <v>7.9</v>
      </c>
      <c r="H607">
        <v>11.2</v>
      </c>
      <c r="I607">
        <v>5</v>
      </c>
      <c r="J607">
        <v>9.1</v>
      </c>
      <c r="K607">
        <v>7.9</v>
      </c>
      <c r="L607">
        <v>8.3000000000000007</v>
      </c>
      <c r="M607">
        <v>8.9</v>
      </c>
      <c r="N607">
        <v>4.7017850000000001</v>
      </c>
      <c r="O607">
        <v>10</v>
      </c>
      <c r="P607">
        <v>7.1</v>
      </c>
      <c r="Q607">
        <v>4.9000000000000004</v>
      </c>
      <c r="R607">
        <v>2.9</v>
      </c>
      <c r="T607">
        <v>7.9</v>
      </c>
      <c r="U607">
        <v>4.3</v>
      </c>
      <c r="V607">
        <v>3.8</v>
      </c>
      <c r="W607">
        <v>4.5999999999999996</v>
      </c>
      <c r="X607">
        <v>10.1</v>
      </c>
      <c r="Y607">
        <v>3.8505039999999999</v>
      </c>
      <c r="Z607">
        <v>5.9</v>
      </c>
      <c r="AA607">
        <v>4.5999999999999996</v>
      </c>
      <c r="AB607">
        <v>5.8142040000000001</v>
      </c>
      <c r="AC607">
        <v>18.399999999999999</v>
      </c>
      <c r="AD607">
        <v>8.8000000000000007</v>
      </c>
      <c r="AE607">
        <v>16.3</v>
      </c>
      <c r="AF607">
        <v>6</v>
      </c>
      <c r="AG607">
        <v>8.1999999999999993</v>
      </c>
      <c r="AH607">
        <v>9.6</v>
      </c>
      <c r="AI607">
        <v>5</v>
      </c>
      <c r="AJ607">
        <v>9.1999999999999993</v>
      </c>
      <c r="AK607">
        <v>6.1497450000000002</v>
      </c>
    </row>
    <row r="608" spans="1:37" x14ac:dyDescent="0.2">
      <c r="A608" s="6">
        <v>38534</v>
      </c>
      <c r="B608">
        <v>4.9719670000000002</v>
      </c>
      <c r="D608">
        <v>8.5</v>
      </c>
      <c r="E608">
        <v>6.7</v>
      </c>
      <c r="F608">
        <v>9.3531230000000001</v>
      </c>
      <c r="G608">
        <v>7.8</v>
      </c>
      <c r="H608">
        <v>11.2</v>
      </c>
      <c r="I608">
        <v>5</v>
      </c>
      <c r="J608">
        <v>8.8000000000000007</v>
      </c>
      <c r="K608">
        <v>7.7</v>
      </c>
      <c r="L608">
        <v>8.4</v>
      </c>
      <c r="M608">
        <v>8.9</v>
      </c>
      <c r="N608">
        <v>4.6833220000000004</v>
      </c>
      <c r="O608">
        <v>10.1</v>
      </c>
      <c r="P608">
        <v>7.2</v>
      </c>
      <c r="Q608">
        <v>4.8</v>
      </c>
      <c r="R608">
        <v>2.9</v>
      </c>
      <c r="T608">
        <v>7.6</v>
      </c>
      <c r="U608">
        <v>4.4000000000000004</v>
      </c>
      <c r="V608">
        <v>3.8</v>
      </c>
      <c r="W608">
        <v>4.5</v>
      </c>
      <c r="X608">
        <v>10.1</v>
      </c>
      <c r="Y608">
        <v>3.7434970000000001</v>
      </c>
      <c r="Z608">
        <v>5.9</v>
      </c>
      <c r="AA608">
        <v>4.7</v>
      </c>
      <c r="AB608">
        <v>5.7779759999999998</v>
      </c>
      <c r="AC608">
        <v>18.2</v>
      </c>
      <c r="AD608">
        <v>9</v>
      </c>
      <c r="AE608">
        <v>16.100000000000001</v>
      </c>
      <c r="AF608">
        <v>6.3</v>
      </c>
      <c r="AG608">
        <v>8.1</v>
      </c>
      <c r="AH608">
        <v>9.5</v>
      </c>
      <c r="AI608">
        <v>5</v>
      </c>
      <c r="AJ608">
        <v>9.1</v>
      </c>
      <c r="AK608">
        <v>6.1127039999999999</v>
      </c>
    </row>
    <row r="609" spans="1:37" x14ac:dyDescent="0.2">
      <c r="A609" s="6">
        <v>38565</v>
      </c>
      <c r="B609">
        <v>4.900029</v>
      </c>
      <c r="D609">
        <v>8.5</v>
      </c>
      <c r="E609">
        <v>6.7</v>
      </c>
      <c r="F609">
        <v>9.2496150000000004</v>
      </c>
      <c r="G609">
        <v>7.8</v>
      </c>
      <c r="H609">
        <v>11.2</v>
      </c>
      <c r="I609">
        <v>4.7</v>
      </c>
      <c r="J609">
        <v>8.6</v>
      </c>
      <c r="K609">
        <v>7.6</v>
      </c>
      <c r="L609">
        <v>8.1</v>
      </c>
      <c r="M609">
        <v>8.9</v>
      </c>
      <c r="N609">
        <v>4.7321220000000004</v>
      </c>
      <c r="O609">
        <v>10</v>
      </c>
      <c r="P609">
        <v>7.2</v>
      </c>
      <c r="Q609">
        <v>4.7</v>
      </c>
      <c r="R609">
        <v>2.9</v>
      </c>
      <c r="T609">
        <v>7.6</v>
      </c>
      <c r="U609">
        <v>4.3</v>
      </c>
      <c r="V609">
        <v>3.7</v>
      </c>
      <c r="W609">
        <v>4.5</v>
      </c>
      <c r="X609">
        <v>10</v>
      </c>
      <c r="Y609">
        <v>3.423651</v>
      </c>
      <c r="Z609">
        <v>5.8</v>
      </c>
      <c r="AA609">
        <v>4.5999999999999996</v>
      </c>
      <c r="AB609">
        <v>5.9051530000000003</v>
      </c>
      <c r="AC609">
        <v>18</v>
      </c>
      <c r="AD609">
        <v>9</v>
      </c>
      <c r="AE609">
        <v>16</v>
      </c>
      <c r="AF609">
        <v>6.5</v>
      </c>
      <c r="AG609">
        <v>7.8</v>
      </c>
      <c r="AH609">
        <v>9.4</v>
      </c>
      <c r="AI609">
        <v>4.9000000000000004</v>
      </c>
      <c r="AJ609">
        <v>9</v>
      </c>
      <c r="AK609">
        <v>6.0712010000000003</v>
      </c>
    </row>
    <row r="610" spans="1:37" x14ac:dyDescent="0.2">
      <c r="A610" s="6">
        <v>38596</v>
      </c>
      <c r="B610">
        <v>5.0010810000000001</v>
      </c>
      <c r="D610">
        <v>8.5</v>
      </c>
      <c r="E610">
        <v>6.7</v>
      </c>
      <c r="F610">
        <v>9.1251309999999997</v>
      </c>
      <c r="G610">
        <v>7.8</v>
      </c>
      <c r="H610">
        <v>11.1</v>
      </c>
      <c r="I610">
        <v>4.5</v>
      </c>
      <c r="J610">
        <v>8.5</v>
      </c>
      <c r="K610">
        <v>7.8</v>
      </c>
      <c r="L610">
        <v>7.9</v>
      </c>
      <c r="M610">
        <v>9</v>
      </c>
      <c r="N610">
        <v>4.9318239999999998</v>
      </c>
      <c r="O610">
        <v>10.1</v>
      </c>
      <c r="P610">
        <v>7.2</v>
      </c>
      <c r="Q610">
        <v>4.5999999999999996</v>
      </c>
      <c r="R610">
        <v>3</v>
      </c>
      <c r="T610">
        <v>7.8</v>
      </c>
      <c r="U610">
        <v>4.2</v>
      </c>
      <c r="V610">
        <v>4</v>
      </c>
      <c r="W610">
        <v>4.5999999999999996</v>
      </c>
      <c r="X610">
        <v>9.9</v>
      </c>
      <c r="Y610">
        <v>3.4704220000000001</v>
      </c>
      <c r="Z610">
        <v>5.8</v>
      </c>
      <c r="AA610">
        <v>4.5</v>
      </c>
      <c r="AB610">
        <v>6.0137210000000003</v>
      </c>
      <c r="AC610">
        <v>17.8</v>
      </c>
      <c r="AD610">
        <v>9.1</v>
      </c>
      <c r="AE610">
        <v>16.100000000000001</v>
      </c>
      <c r="AF610">
        <v>6.9</v>
      </c>
      <c r="AG610">
        <v>7.4</v>
      </c>
      <c r="AH610">
        <v>9.6</v>
      </c>
      <c r="AI610">
        <v>5</v>
      </c>
      <c r="AJ610">
        <v>9</v>
      </c>
      <c r="AK610">
        <v>6.1332180000000003</v>
      </c>
    </row>
    <row r="611" spans="1:37" x14ac:dyDescent="0.2">
      <c r="A611" s="6">
        <v>38626</v>
      </c>
      <c r="B611">
        <v>5.0156910000000003</v>
      </c>
      <c r="D611">
        <v>8.4</v>
      </c>
      <c r="E611">
        <v>6.7</v>
      </c>
      <c r="F611">
        <v>9.017989</v>
      </c>
      <c r="G611">
        <v>7.9</v>
      </c>
      <c r="H611">
        <v>11</v>
      </c>
      <c r="I611">
        <v>4.3</v>
      </c>
      <c r="J611">
        <v>8.6</v>
      </c>
      <c r="K611">
        <v>7.6</v>
      </c>
      <c r="L611">
        <v>7.8</v>
      </c>
      <c r="M611">
        <v>9</v>
      </c>
      <c r="N611">
        <v>5.0550459999999999</v>
      </c>
      <c r="O611">
        <v>10</v>
      </c>
      <c r="P611">
        <v>7.2</v>
      </c>
      <c r="Q611">
        <v>4.5</v>
      </c>
      <c r="R611">
        <v>3.1</v>
      </c>
      <c r="T611">
        <v>7.8</v>
      </c>
      <c r="U611">
        <v>4.4000000000000004</v>
      </c>
      <c r="V611">
        <v>3.9</v>
      </c>
      <c r="W611">
        <v>4.5999999999999996</v>
      </c>
      <c r="X611">
        <v>9.4</v>
      </c>
      <c r="Y611">
        <v>3.4102899999999998</v>
      </c>
      <c r="Z611">
        <v>5.8</v>
      </c>
      <c r="AA611">
        <v>4.5</v>
      </c>
      <c r="AB611">
        <v>6.0996160000000001</v>
      </c>
      <c r="AC611">
        <v>17.5</v>
      </c>
      <c r="AD611">
        <v>9.1</v>
      </c>
      <c r="AE611">
        <v>16</v>
      </c>
      <c r="AF611">
        <v>7.1</v>
      </c>
      <c r="AG611">
        <v>8</v>
      </c>
      <c r="AH611">
        <v>9.6999999999999993</v>
      </c>
      <c r="AI611">
        <v>5</v>
      </c>
      <c r="AJ611">
        <v>9</v>
      </c>
      <c r="AK611">
        <v>6.1443750000000001</v>
      </c>
    </row>
    <row r="612" spans="1:37" x14ac:dyDescent="0.2">
      <c r="A612" s="6">
        <v>38657</v>
      </c>
      <c r="B612">
        <v>4.9372069999999999</v>
      </c>
      <c r="D612">
        <v>8.4</v>
      </c>
      <c r="E612">
        <v>6.4</v>
      </c>
      <c r="F612">
        <v>8.7241949999999999</v>
      </c>
      <c r="G612">
        <v>7.8</v>
      </c>
      <c r="H612">
        <v>10.8</v>
      </c>
      <c r="I612">
        <v>4.0999999999999996</v>
      </c>
      <c r="J612">
        <v>8.6999999999999993</v>
      </c>
      <c r="K612">
        <v>7.2</v>
      </c>
      <c r="L612">
        <v>8.5</v>
      </c>
      <c r="M612">
        <v>9.1</v>
      </c>
      <c r="N612">
        <v>5.1464699999999999</v>
      </c>
      <c r="O612">
        <v>9.6</v>
      </c>
      <c r="P612">
        <v>7.4</v>
      </c>
      <c r="Q612">
        <v>4.5</v>
      </c>
      <c r="R612">
        <v>3.1</v>
      </c>
      <c r="T612">
        <v>7.6</v>
      </c>
      <c r="U612">
        <v>4.5</v>
      </c>
      <c r="V612">
        <v>3.6</v>
      </c>
      <c r="W612">
        <v>4.5999999999999996</v>
      </c>
      <c r="X612">
        <v>8.9</v>
      </c>
      <c r="Y612">
        <v>3.2010209999999999</v>
      </c>
      <c r="Z612">
        <v>5.7</v>
      </c>
      <c r="AA612">
        <v>4.4000000000000004</v>
      </c>
      <c r="AB612">
        <v>6.2163370000000002</v>
      </c>
      <c r="AC612">
        <v>17.100000000000001</v>
      </c>
      <c r="AD612">
        <v>9</v>
      </c>
      <c r="AE612">
        <v>15.7</v>
      </c>
      <c r="AF612">
        <v>7.2</v>
      </c>
      <c r="AG612">
        <v>7.2</v>
      </c>
      <c r="AH612">
        <v>9.6999999999999993</v>
      </c>
      <c r="AI612">
        <v>5</v>
      </c>
      <c r="AJ612">
        <v>9</v>
      </c>
      <c r="AK612">
        <v>6.16059</v>
      </c>
    </row>
    <row r="613" spans="1:37" x14ac:dyDescent="0.2">
      <c r="A613" s="6">
        <v>38687</v>
      </c>
      <c r="B613">
        <v>5.0702299999999996</v>
      </c>
      <c r="D613">
        <v>8.5</v>
      </c>
      <c r="E613">
        <v>6.6</v>
      </c>
      <c r="F613">
        <v>8.4701979999999999</v>
      </c>
      <c r="G613">
        <v>7.9</v>
      </c>
      <c r="H613">
        <v>10.7</v>
      </c>
      <c r="I613">
        <v>4.0999999999999996</v>
      </c>
      <c r="J613">
        <v>8.8000000000000007</v>
      </c>
      <c r="K613">
        <v>6.8</v>
      </c>
      <c r="L613">
        <v>8.4</v>
      </c>
      <c r="M613">
        <v>9.1</v>
      </c>
      <c r="N613">
        <v>5.086849</v>
      </c>
      <c r="O613">
        <v>9.6</v>
      </c>
      <c r="P613">
        <v>7.5</v>
      </c>
      <c r="Q613">
        <v>4.5999999999999996</v>
      </c>
      <c r="R613">
        <v>3.1</v>
      </c>
      <c r="T613">
        <v>7.6</v>
      </c>
      <c r="U613">
        <v>4.4000000000000004</v>
      </c>
      <c r="V613">
        <v>3.5</v>
      </c>
      <c r="W613">
        <v>4.7</v>
      </c>
      <c r="X613">
        <v>8.5</v>
      </c>
      <c r="Y613">
        <v>3.2070859999999999</v>
      </c>
      <c r="Z613">
        <v>5.7</v>
      </c>
      <c r="AA613">
        <v>4.3</v>
      </c>
      <c r="AB613">
        <v>6.2702369999999998</v>
      </c>
      <c r="AC613">
        <v>16.600000000000001</v>
      </c>
      <c r="AD613">
        <v>8.8000000000000007</v>
      </c>
      <c r="AE613">
        <v>15.4</v>
      </c>
      <c r="AF613">
        <v>7</v>
      </c>
      <c r="AG613">
        <v>7.7</v>
      </c>
      <c r="AH613">
        <v>9.6999999999999993</v>
      </c>
      <c r="AI613">
        <v>4.9000000000000004</v>
      </c>
      <c r="AJ613">
        <v>8.9</v>
      </c>
      <c r="AK613">
        <v>6.0477829999999999</v>
      </c>
    </row>
    <row r="614" spans="1:37" x14ac:dyDescent="0.2">
      <c r="A614" s="6">
        <v>38718</v>
      </c>
      <c r="B614">
        <v>5.1627429999999999</v>
      </c>
      <c r="D614">
        <v>8.5</v>
      </c>
      <c r="E614">
        <v>6.6</v>
      </c>
      <c r="F614">
        <v>8.4340530000000005</v>
      </c>
      <c r="G614">
        <v>8</v>
      </c>
      <c r="H614">
        <v>10.6</v>
      </c>
      <c r="I614">
        <v>4.0999999999999996</v>
      </c>
      <c r="J614">
        <v>8.8000000000000007</v>
      </c>
      <c r="K614">
        <v>6.6</v>
      </c>
      <c r="L614">
        <v>8.3000000000000007</v>
      </c>
      <c r="M614">
        <v>9.1</v>
      </c>
      <c r="N614">
        <v>5.181305</v>
      </c>
      <c r="O614">
        <v>9.5</v>
      </c>
      <c r="P614">
        <v>7.7</v>
      </c>
      <c r="Q614">
        <v>4.7</v>
      </c>
      <c r="R614">
        <v>3.1</v>
      </c>
      <c r="T614">
        <v>7.4</v>
      </c>
      <c r="U614">
        <v>4.4000000000000004</v>
      </c>
      <c r="V614">
        <v>3.4</v>
      </c>
      <c r="W614">
        <v>4.5</v>
      </c>
      <c r="X614">
        <v>8.4</v>
      </c>
      <c r="Y614">
        <v>3.32409</v>
      </c>
      <c r="Z614">
        <v>5.5</v>
      </c>
      <c r="AA614">
        <v>4</v>
      </c>
      <c r="AB614">
        <v>6.4177179999999998</v>
      </c>
      <c r="AC614">
        <v>16</v>
      </c>
      <c r="AD614">
        <v>8.6999999999999993</v>
      </c>
      <c r="AE614">
        <v>15</v>
      </c>
      <c r="AF614">
        <v>6.7</v>
      </c>
      <c r="AG614">
        <v>7.9</v>
      </c>
      <c r="AH614">
        <v>9.6</v>
      </c>
      <c r="AI614">
        <v>4.7</v>
      </c>
      <c r="AJ614">
        <v>8.8000000000000007</v>
      </c>
      <c r="AK614">
        <v>5.97471</v>
      </c>
    </row>
    <row r="615" spans="1:37" x14ac:dyDescent="0.2">
      <c r="A615" s="6">
        <v>38749</v>
      </c>
      <c r="B615">
        <v>5.1054029999999999</v>
      </c>
      <c r="D615">
        <v>8.6</v>
      </c>
      <c r="E615">
        <v>6.4</v>
      </c>
      <c r="F615">
        <v>8.6012649999999997</v>
      </c>
      <c r="G615">
        <v>7.4</v>
      </c>
      <c r="H615">
        <v>10.5</v>
      </c>
      <c r="I615">
        <v>4.2</v>
      </c>
      <c r="J615">
        <v>8.6999999999999993</v>
      </c>
      <c r="K615">
        <v>6.2</v>
      </c>
      <c r="L615">
        <v>8</v>
      </c>
      <c r="M615">
        <v>9.1</v>
      </c>
      <c r="N615">
        <v>5.2340419999999996</v>
      </c>
      <c r="O615">
        <v>9.6</v>
      </c>
      <c r="P615">
        <v>7.6</v>
      </c>
      <c r="Q615">
        <v>4.7</v>
      </c>
      <c r="R615">
        <v>3.1</v>
      </c>
      <c r="T615">
        <v>7.4</v>
      </c>
      <c r="U615">
        <v>4.0999999999999996</v>
      </c>
      <c r="V615">
        <v>3.6</v>
      </c>
      <c r="W615">
        <v>4.5</v>
      </c>
      <c r="X615">
        <v>8.1999999999999993</v>
      </c>
      <c r="Y615">
        <v>3.5998700000000001</v>
      </c>
      <c r="Z615">
        <v>5.5</v>
      </c>
      <c r="AA615">
        <v>3.9</v>
      </c>
      <c r="AB615">
        <v>6.746937</v>
      </c>
      <c r="AC615">
        <v>15.4</v>
      </c>
      <c r="AD615">
        <v>8.6999999999999993</v>
      </c>
      <c r="AE615">
        <v>14.6</v>
      </c>
      <c r="AF615">
        <v>6.5</v>
      </c>
      <c r="AG615">
        <v>7.1</v>
      </c>
      <c r="AH615">
        <v>9.6</v>
      </c>
      <c r="AI615">
        <v>4.8</v>
      </c>
      <c r="AJ615">
        <v>8.8000000000000007</v>
      </c>
      <c r="AK615">
        <v>5.9319829999999998</v>
      </c>
    </row>
    <row r="616" spans="1:37" x14ac:dyDescent="0.2">
      <c r="A616" s="6">
        <v>38777</v>
      </c>
      <c r="B616">
        <v>4.8675850000000001</v>
      </c>
      <c r="D616">
        <v>8.6</v>
      </c>
      <c r="E616">
        <v>6.4</v>
      </c>
      <c r="F616">
        <v>8.6622559999999993</v>
      </c>
      <c r="G616">
        <v>7.7</v>
      </c>
      <c r="H616">
        <v>10.4</v>
      </c>
      <c r="I616">
        <v>4.2</v>
      </c>
      <c r="J616">
        <v>8.6999999999999993</v>
      </c>
      <c r="K616">
        <v>6.3</v>
      </c>
      <c r="L616">
        <v>7.7</v>
      </c>
      <c r="M616">
        <v>9.1</v>
      </c>
      <c r="N616">
        <v>5.3160020000000001</v>
      </c>
      <c r="O616">
        <v>9.3000000000000007</v>
      </c>
      <c r="P616">
        <v>7.5</v>
      </c>
      <c r="Q616">
        <v>4.7</v>
      </c>
      <c r="R616">
        <v>3.2</v>
      </c>
      <c r="T616">
        <v>7.2</v>
      </c>
      <c r="U616">
        <v>4.0999999999999996</v>
      </c>
      <c r="V616">
        <v>3.5</v>
      </c>
      <c r="W616">
        <v>4.7</v>
      </c>
      <c r="X616">
        <v>7.8</v>
      </c>
      <c r="Y616">
        <v>3.5645020000000001</v>
      </c>
      <c r="Z616">
        <v>5.3</v>
      </c>
      <c r="AA616">
        <v>3.8</v>
      </c>
      <c r="AB616">
        <v>7.0289549999999998</v>
      </c>
      <c r="AC616">
        <v>15.1</v>
      </c>
      <c r="AD616">
        <v>8.6999999999999993</v>
      </c>
      <c r="AE616">
        <v>14.3</v>
      </c>
      <c r="AF616">
        <v>6.4</v>
      </c>
      <c r="AG616">
        <v>7.4</v>
      </c>
      <c r="AH616">
        <v>9.3000000000000007</v>
      </c>
      <c r="AI616">
        <v>4.7</v>
      </c>
      <c r="AJ616">
        <v>8.6999999999999993</v>
      </c>
      <c r="AK616">
        <v>5.8828199999999997</v>
      </c>
    </row>
    <row r="617" spans="1:37" x14ac:dyDescent="0.2">
      <c r="A617" s="6">
        <v>38808</v>
      </c>
      <c r="B617">
        <v>4.9670699999999997</v>
      </c>
      <c r="D617">
        <v>8.6999999999999993</v>
      </c>
      <c r="E617">
        <v>6.3</v>
      </c>
      <c r="F617">
        <v>8.5413230000000002</v>
      </c>
      <c r="G617">
        <v>7.4</v>
      </c>
      <c r="H617">
        <v>10.3</v>
      </c>
      <c r="I617">
        <v>4.2</v>
      </c>
      <c r="J617">
        <v>8.6</v>
      </c>
      <c r="K617">
        <v>6</v>
      </c>
      <c r="L617">
        <v>7.7</v>
      </c>
      <c r="M617">
        <v>9</v>
      </c>
      <c r="N617">
        <v>5.4164630000000002</v>
      </c>
      <c r="O617">
        <v>9.1999999999999993</v>
      </c>
      <c r="P617">
        <v>7.4</v>
      </c>
      <c r="Q617">
        <v>4.7</v>
      </c>
      <c r="R617">
        <v>3.3</v>
      </c>
      <c r="T617">
        <v>7.1</v>
      </c>
      <c r="U617">
        <v>4.0999999999999996</v>
      </c>
      <c r="V617">
        <v>3.5</v>
      </c>
      <c r="W617">
        <v>4.5999999999999996</v>
      </c>
      <c r="X617">
        <v>7.3</v>
      </c>
      <c r="Y617">
        <v>3.4027219999999998</v>
      </c>
      <c r="Z617">
        <v>5.2</v>
      </c>
      <c r="AA617">
        <v>3.7</v>
      </c>
      <c r="AB617">
        <v>7.3474320000000004</v>
      </c>
      <c r="AC617">
        <v>14.7</v>
      </c>
      <c r="AD617">
        <v>8.6999999999999993</v>
      </c>
      <c r="AE617">
        <v>14</v>
      </c>
      <c r="AF617">
        <v>6.3</v>
      </c>
      <c r="AG617">
        <v>7.8</v>
      </c>
      <c r="AH617">
        <v>9.3000000000000007</v>
      </c>
      <c r="AI617">
        <v>4.7</v>
      </c>
      <c r="AJ617">
        <v>8.6</v>
      </c>
      <c r="AK617">
        <v>5.8729209999999998</v>
      </c>
    </row>
    <row r="618" spans="1:37" x14ac:dyDescent="0.2">
      <c r="A618" s="6">
        <v>38838</v>
      </c>
      <c r="B618">
        <v>4.7988020000000002</v>
      </c>
      <c r="D618">
        <v>8.8000000000000007</v>
      </c>
      <c r="E618">
        <v>6.1</v>
      </c>
      <c r="F618">
        <v>8.5052029999999998</v>
      </c>
      <c r="G618">
        <v>7</v>
      </c>
      <c r="H618">
        <v>10.199999999999999</v>
      </c>
      <c r="I618">
        <v>4.0999999999999996</v>
      </c>
      <c r="J618">
        <v>8.5</v>
      </c>
      <c r="K618">
        <v>6.4</v>
      </c>
      <c r="L618">
        <v>7.9</v>
      </c>
      <c r="M618">
        <v>8.9</v>
      </c>
      <c r="N618">
        <v>5.4720240000000002</v>
      </c>
      <c r="O618">
        <v>9.1999999999999993</v>
      </c>
      <c r="P618">
        <v>7.3</v>
      </c>
      <c r="Q618">
        <v>4.7</v>
      </c>
      <c r="R618">
        <v>3.3</v>
      </c>
      <c r="T618">
        <v>7.1</v>
      </c>
      <c r="U618">
        <v>4.0999999999999996</v>
      </c>
      <c r="V618">
        <v>3.4</v>
      </c>
      <c r="W618">
        <v>4.5</v>
      </c>
      <c r="X618">
        <v>6.9</v>
      </c>
      <c r="Y618">
        <v>3.221006</v>
      </c>
      <c r="Z618">
        <v>5.2</v>
      </c>
      <c r="AA618">
        <v>3.7</v>
      </c>
      <c r="AB618">
        <v>7.6979819999999997</v>
      </c>
      <c r="AC618">
        <v>14.4</v>
      </c>
      <c r="AD618">
        <v>8.6999999999999993</v>
      </c>
      <c r="AE618">
        <v>13.7</v>
      </c>
      <c r="AF618">
        <v>6.2</v>
      </c>
      <c r="AG618">
        <v>7.2</v>
      </c>
      <c r="AH618">
        <v>8.8000000000000007</v>
      </c>
      <c r="AI618">
        <v>4.5999999999999996</v>
      </c>
      <c r="AJ618">
        <v>8.5</v>
      </c>
      <c r="AK618">
        <v>5.7982829999999996</v>
      </c>
    </row>
    <row r="619" spans="1:37" x14ac:dyDescent="0.2">
      <c r="A619" s="6">
        <v>38869</v>
      </c>
      <c r="B619">
        <v>4.8083960000000001</v>
      </c>
      <c r="D619">
        <v>8.5</v>
      </c>
      <c r="E619">
        <v>6.1</v>
      </c>
      <c r="F619">
        <v>8.2792480000000008</v>
      </c>
      <c r="G619">
        <v>7.3</v>
      </c>
      <c r="H619">
        <v>10.1</v>
      </c>
      <c r="I619">
        <v>4</v>
      </c>
      <c r="J619">
        <v>8.4</v>
      </c>
      <c r="K619">
        <v>6.2</v>
      </c>
      <c r="L619">
        <v>7.7</v>
      </c>
      <c r="M619">
        <v>8.9</v>
      </c>
      <c r="N619">
        <v>5.5057499999999999</v>
      </c>
      <c r="O619">
        <v>9</v>
      </c>
      <c r="P619">
        <v>7.3</v>
      </c>
      <c r="Q619">
        <v>4.8</v>
      </c>
      <c r="R619">
        <v>3.4</v>
      </c>
      <c r="T619">
        <v>6.8</v>
      </c>
      <c r="U619">
        <v>4.2</v>
      </c>
      <c r="V619">
        <v>3.5</v>
      </c>
      <c r="W619">
        <v>4.5</v>
      </c>
      <c r="X619">
        <v>6.6</v>
      </c>
      <c r="Y619">
        <v>3.5193940000000001</v>
      </c>
      <c r="Z619">
        <v>5</v>
      </c>
      <c r="AA619">
        <v>3.5</v>
      </c>
      <c r="AB619">
        <v>8.0008560000000006</v>
      </c>
      <c r="AC619">
        <v>14</v>
      </c>
      <c r="AD619">
        <v>8.6999999999999993</v>
      </c>
      <c r="AE619">
        <v>13.4</v>
      </c>
      <c r="AF619">
        <v>6</v>
      </c>
      <c r="AG619">
        <v>7</v>
      </c>
      <c r="AH619">
        <v>9</v>
      </c>
      <c r="AI619">
        <v>4.5999999999999996</v>
      </c>
      <c r="AJ619">
        <v>8.4</v>
      </c>
      <c r="AK619">
        <v>5.7997649999999998</v>
      </c>
    </row>
    <row r="620" spans="1:37" x14ac:dyDescent="0.2">
      <c r="A620" s="6">
        <v>38899</v>
      </c>
      <c r="B620">
        <v>4.6562910000000004</v>
      </c>
      <c r="D620">
        <v>8</v>
      </c>
      <c r="E620">
        <v>6.4</v>
      </c>
      <c r="F620">
        <v>7.957992</v>
      </c>
      <c r="G620">
        <v>7.2</v>
      </c>
      <c r="H620">
        <v>10</v>
      </c>
      <c r="I620">
        <v>3.8</v>
      </c>
      <c r="J620">
        <v>8.3000000000000007</v>
      </c>
      <c r="K620">
        <v>6</v>
      </c>
      <c r="L620">
        <v>7.6</v>
      </c>
      <c r="M620">
        <v>8.9</v>
      </c>
      <c r="N620">
        <v>5.4669780000000001</v>
      </c>
      <c r="O620">
        <v>8.6</v>
      </c>
      <c r="P620">
        <v>7.4</v>
      </c>
      <c r="Q620">
        <v>4.9000000000000004</v>
      </c>
      <c r="R620">
        <v>3.3</v>
      </c>
      <c r="T620">
        <v>6.6</v>
      </c>
      <c r="U620">
        <v>4.0999999999999996</v>
      </c>
      <c r="V620">
        <v>3.5</v>
      </c>
      <c r="W620">
        <v>4.5</v>
      </c>
      <c r="X620">
        <v>6.4</v>
      </c>
      <c r="Y620">
        <v>3.6127910000000001</v>
      </c>
      <c r="Z620">
        <v>4.9000000000000004</v>
      </c>
      <c r="AA620">
        <v>3.5</v>
      </c>
      <c r="AB620">
        <v>8.1936309999999999</v>
      </c>
      <c r="AC620">
        <v>13.8</v>
      </c>
      <c r="AD620">
        <v>8.8000000000000007</v>
      </c>
      <c r="AE620">
        <v>13.3</v>
      </c>
      <c r="AF620">
        <v>5.9</v>
      </c>
      <c r="AG620">
        <v>7</v>
      </c>
      <c r="AH620">
        <v>9</v>
      </c>
      <c r="AI620">
        <v>4.7</v>
      </c>
      <c r="AJ620">
        <v>8.3000000000000007</v>
      </c>
      <c r="AK620">
        <v>5.811096</v>
      </c>
    </row>
    <row r="621" spans="1:37" x14ac:dyDescent="0.2">
      <c r="A621" s="6">
        <v>38930</v>
      </c>
      <c r="B621">
        <v>4.7105269999999999</v>
      </c>
      <c r="D621">
        <v>7.8</v>
      </c>
      <c r="E621">
        <v>6.4</v>
      </c>
      <c r="F621">
        <v>7.4904489999999999</v>
      </c>
      <c r="G621">
        <v>6.8</v>
      </c>
      <c r="H621">
        <v>9.9</v>
      </c>
      <c r="I621">
        <v>3.7</v>
      </c>
      <c r="J621">
        <v>8.3000000000000007</v>
      </c>
      <c r="K621">
        <v>5.8</v>
      </c>
      <c r="L621">
        <v>7.7</v>
      </c>
      <c r="M621">
        <v>8.9</v>
      </c>
      <c r="N621">
        <v>5.4843630000000001</v>
      </c>
      <c r="O621">
        <v>8.6999999999999993</v>
      </c>
      <c r="P621">
        <v>7.4</v>
      </c>
      <c r="Q621">
        <v>5.0999999999999996</v>
      </c>
      <c r="R621">
        <v>3.3</v>
      </c>
      <c r="T621">
        <v>6.7</v>
      </c>
      <c r="U621">
        <v>4.0999999999999996</v>
      </c>
      <c r="V621">
        <v>3.5</v>
      </c>
      <c r="W621">
        <v>4.5</v>
      </c>
      <c r="X621">
        <v>6.3</v>
      </c>
      <c r="Y621">
        <v>3.7844139999999999</v>
      </c>
      <c r="Z621">
        <v>4.8</v>
      </c>
      <c r="AA621">
        <v>3.3</v>
      </c>
      <c r="AB621">
        <v>8.3924660000000006</v>
      </c>
      <c r="AC621">
        <v>13.5</v>
      </c>
      <c r="AD621">
        <v>8.8000000000000007</v>
      </c>
      <c r="AE621">
        <v>13.1</v>
      </c>
      <c r="AF621">
        <v>5.7</v>
      </c>
      <c r="AG621">
        <v>7</v>
      </c>
      <c r="AH621">
        <v>9</v>
      </c>
      <c r="AI621">
        <v>4.7</v>
      </c>
      <c r="AJ621">
        <v>8.3000000000000007</v>
      </c>
      <c r="AK621">
        <v>5.775779</v>
      </c>
    </row>
    <row r="622" spans="1:37" x14ac:dyDescent="0.2">
      <c r="A622" s="6">
        <v>38961</v>
      </c>
      <c r="B622">
        <v>4.6645729999999999</v>
      </c>
      <c r="D622">
        <v>7.9</v>
      </c>
      <c r="E622">
        <v>6.4</v>
      </c>
      <c r="F622">
        <v>7.1639780000000002</v>
      </c>
      <c r="G622">
        <v>7</v>
      </c>
      <c r="H622">
        <v>9.8000000000000007</v>
      </c>
      <c r="I622">
        <v>3.6</v>
      </c>
      <c r="J622">
        <v>8.1999999999999993</v>
      </c>
      <c r="K622">
        <v>5.6</v>
      </c>
      <c r="L622">
        <v>7.6</v>
      </c>
      <c r="M622">
        <v>8.6999999999999993</v>
      </c>
      <c r="N622">
        <v>5.4761150000000001</v>
      </c>
      <c r="O622">
        <v>8.6</v>
      </c>
      <c r="P622">
        <v>7.4</v>
      </c>
      <c r="Q622">
        <v>4.9000000000000004</v>
      </c>
      <c r="R622">
        <v>3.2</v>
      </c>
      <c r="T622">
        <v>6.7</v>
      </c>
      <c r="U622">
        <v>4.0999999999999996</v>
      </c>
      <c r="V622">
        <v>3.5</v>
      </c>
      <c r="W622">
        <v>4.7</v>
      </c>
      <c r="X622">
        <v>6.4</v>
      </c>
      <c r="Y622">
        <v>3.7021299999999999</v>
      </c>
      <c r="Z622">
        <v>4.8</v>
      </c>
      <c r="AA622">
        <v>3.1</v>
      </c>
      <c r="AB622">
        <v>8.4351979999999998</v>
      </c>
      <c r="AC622">
        <v>13.2</v>
      </c>
      <c r="AD622">
        <v>9.1</v>
      </c>
      <c r="AE622">
        <v>12.8</v>
      </c>
      <c r="AF622">
        <v>5.6</v>
      </c>
      <c r="AG622">
        <v>6.7</v>
      </c>
      <c r="AH622">
        <v>8.8000000000000007</v>
      </c>
      <c r="AI622">
        <v>4.5</v>
      </c>
      <c r="AJ622">
        <v>8.1999999999999993</v>
      </c>
      <c r="AK622">
        <v>5.6835560000000003</v>
      </c>
    </row>
    <row r="623" spans="1:37" x14ac:dyDescent="0.2">
      <c r="A623" s="6">
        <v>38991</v>
      </c>
      <c r="B623">
        <v>4.4630869999999998</v>
      </c>
      <c r="D623">
        <v>7.9</v>
      </c>
      <c r="E623">
        <v>6.2</v>
      </c>
      <c r="F623">
        <v>6.8615550000000001</v>
      </c>
      <c r="G623">
        <v>6.8</v>
      </c>
      <c r="H623">
        <v>9.6999999999999993</v>
      </c>
      <c r="I623">
        <v>3.5</v>
      </c>
      <c r="J623">
        <v>8.1999999999999993</v>
      </c>
      <c r="K623">
        <v>5.8</v>
      </c>
      <c r="L623">
        <v>7.7</v>
      </c>
      <c r="M623">
        <v>8.5</v>
      </c>
      <c r="N623">
        <v>5.4199349999999997</v>
      </c>
      <c r="O623">
        <v>8.3000000000000007</v>
      </c>
      <c r="P623">
        <v>7.5</v>
      </c>
      <c r="Q623">
        <v>4.7</v>
      </c>
      <c r="R623">
        <v>3.2</v>
      </c>
      <c r="T623">
        <v>6.7</v>
      </c>
      <c r="U623">
        <v>4.0999999999999996</v>
      </c>
      <c r="V623">
        <v>3.6</v>
      </c>
      <c r="W623">
        <v>4.5999999999999996</v>
      </c>
      <c r="X623">
        <v>6.5</v>
      </c>
      <c r="Y623">
        <v>3.7345519999999999</v>
      </c>
      <c r="Z623">
        <v>4.7</v>
      </c>
      <c r="AA623">
        <v>2.9</v>
      </c>
      <c r="AB623">
        <v>8.5145250000000008</v>
      </c>
      <c r="AC623">
        <v>12.9</v>
      </c>
      <c r="AD623">
        <v>9.3000000000000007</v>
      </c>
      <c r="AE623">
        <v>12.6</v>
      </c>
      <c r="AF623">
        <v>5.5</v>
      </c>
      <c r="AG623">
        <v>6.6</v>
      </c>
      <c r="AH623">
        <v>8.6999999999999993</v>
      </c>
      <c r="AI623">
        <v>4.4000000000000004</v>
      </c>
      <c r="AJ623">
        <v>8.1</v>
      </c>
      <c r="AK623">
        <v>5.598579</v>
      </c>
    </row>
    <row r="624" spans="1:37" x14ac:dyDescent="0.2">
      <c r="A624" s="6">
        <v>39022</v>
      </c>
      <c r="B624">
        <v>4.5151709999999996</v>
      </c>
      <c r="D624">
        <v>8</v>
      </c>
      <c r="E624">
        <v>6.4</v>
      </c>
      <c r="F624">
        <v>6.6011939999999996</v>
      </c>
      <c r="G624">
        <v>6.6</v>
      </c>
      <c r="H624">
        <v>9.6</v>
      </c>
      <c r="I624">
        <v>3.6</v>
      </c>
      <c r="J624">
        <v>8.3000000000000007</v>
      </c>
      <c r="K624">
        <v>5.4</v>
      </c>
      <c r="L624">
        <v>7.3</v>
      </c>
      <c r="M624">
        <v>8.4</v>
      </c>
      <c r="N624">
        <v>5.5011599999999996</v>
      </c>
      <c r="O624">
        <v>9</v>
      </c>
      <c r="P624">
        <v>7.5</v>
      </c>
      <c r="Q624">
        <v>4.5999999999999996</v>
      </c>
      <c r="R624">
        <v>3</v>
      </c>
      <c r="T624">
        <v>6.5</v>
      </c>
      <c r="U624">
        <v>4</v>
      </c>
      <c r="V624">
        <v>3.5</v>
      </c>
      <c r="W624">
        <v>4.5999999999999996</v>
      </c>
      <c r="X624">
        <v>6.5</v>
      </c>
      <c r="Y624">
        <v>3.8149500000000001</v>
      </c>
      <c r="Z624">
        <v>4.7</v>
      </c>
      <c r="AA624">
        <v>2.8</v>
      </c>
      <c r="AB624">
        <v>8.5699009999999998</v>
      </c>
      <c r="AC624">
        <v>12.4</v>
      </c>
      <c r="AD624">
        <v>9.3000000000000007</v>
      </c>
      <c r="AE624">
        <v>12.4</v>
      </c>
      <c r="AF624">
        <v>5.5</v>
      </c>
      <c r="AG624">
        <v>6.6</v>
      </c>
      <c r="AH624">
        <v>8.6999999999999993</v>
      </c>
      <c r="AI624">
        <v>4.5</v>
      </c>
      <c r="AJ624">
        <v>8.1</v>
      </c>
      <c r="AK624">
        <v>5.5997620000000001</v>
      </c>
    </row>
    <row r="625" spans="1:37" x14ac:dyDescent="0.2">
      <c r="A625" s="6">
        <v>39052</v>
      </c>
      <c r="B625">
        <v>4.5683949999999998</v>
      </c>
      <c r="D625">
        <v>7.9</v>
      </c>
      <c r="E625">
        <v>6.2</v>
      </c>
      <c r="F625">
        <v>6.6365499999999997</v>
      </c>
      <c r="G625">
        <v>6.5</v>
      </c>
      <c r="H625">
        <v>9.4</v>
      </c>
      <c r="I625">
        <v>3.8</v>
      </c>
      <c r="J625">
        <v>8.3000000000000007</v>
      </c>
      <c r="K625">
        <v>5.0999999999999996</v>
      </c>
      <c r="L625">
        <v>7.1</v>
      </c>
      <c r="M625">
        <v>8.4</v>
      </c>
      <c r="N625">
        <v>5.510167</v>
      </c>
      <c r="O625">
        <v>9.1</v>
      </c>
      <c r="P625">
        <v>7.4</v>
      </c>
      <c r="Q625">
        <v>4.7</v>
      </c>
      <c r="R625">
        <v>2.9</v>
      </c>
      <c r="T625">
        <v>6.2</v>
      </c>
      <c r="U625">
        <v>4</v>
      </c>
      <c r="V625">
        <v>3.4</v>
      </c>
      <c r="W625">
        <v>4.5999999999999996</v>
      </c>
      <c r="X625">
        <v>6.7</v>
      </c>
      <c r="Y625">
        <v>3.8923510000000001</v>
      </c>
      <c r="Z625">
        <v>4.5999999999999996</v>
      </c>
      <c r="AA625">
        <v>2.9</v>
      </c>
      <c r="AB625">
        <v>8.6499659999999992</v>
      </c>
      <c r="AC625">
        <v>11.9</v>
      </c>
      <c r="AD625">
        <v>9.1999999999999993</v>
      </c>
      <c r="AE625">
        <v>12.1</v>
      </c>
      <c r="AF625">
        <v>5.4</v>
      </c>
      <c r="AG625">
        <v>6.4</v>
      </c>
      <c r="AH625">
        <v>8.9</v>
      </c>
      <c r="AI625">
        <v>4.4000000000000004</v>
      </c>
      <c r="AJ625">
        <v>7.9</v>
      </c>
      <c r="AK625">
        <v>5.5153150000000002</v>
      </c>
    </row>
    <row r="626" spans="1:37" x14ac:dyDescent="0.2">
      <c r="A626" s="6">
        <v>39083</v>
      </c>
      <c r="B626">
        <v>4.554278</v>
      </c>
      <c r="D626">
        <v>7.8</v>
      </c>
      <c r="E626">
        <v>6.3</v>
      </c>
      <c r="F626">
        <v>6.8408239999999996</v>
      </c>
      <c r="G626">
        <v>6.1</v>
      </c>
      <c r="H626">
        <v>9.1999999999999993</v>
      </c>
      <c r="I626">
        <v>4.0999999999999996</v>
      </c>
      <c r="J626">
        <v>8.3000000000000007</v>
      </c>
      <c r="K626">
        <v>5</v>
      </c>
      <c r="L626">
        <v>7.2</v>
      </c>
      <c r="M626">
        <v>8.5</v>
      </c>
      <c r="N626">
        <v>5.5296419999999999</v>
      </c>
      <c r="O626">
        <v>8.6999999999999993</v>
      </c>
      <c r="P626">
        <v>7.3</v>
      </c>
      <c r="Q626">
        <v>4.8</v>
      </c>
      <c r="R626">
        <v>2.8</v>
      </c>
      <c r="T626">
        <v>6.3</v>
      </c>
      <c r="U626">
        <v>4</v>
      </c>
      <c r="V626">
        <v>3.4</v>
      </c>
      <c r="W626">
        <v>4.5</v>
      </c>
      <c r="X626">
        <v>6.7</v>
      </c>
      <c r="Y626">
        <v>3.738213</v>
      </c>
      <c r="Z626">
        <v>4.5</v>
      </c>
      <c r="AA626">
        <v>2.8</v>
      </c>
      <c r="AB626">
        <v>8.6831899999999997</v>
      </c>
      <c r="AC626">
        <v>11.3</v>
      </c>
      <c r="AD626">
        <v>9.1999999999999993</v>
      </c>
      <c r="AE626">
        <v>11.7</v>
      </c>
      <c r="AF626">
        <v>5.4</v>
      </c>
      <c r="AG626">
        <v>6.6</v>
      </c>
      <c r="AH626">
        <v>8.8000000000000007</v>
      </c>
      <c r="AI626">
        <v>4.5999999999999996</v>
      </c>
      <c r="AJ626">
        <v>7.9</v>
      </c>
      <c r="AK626">
        <v>5.6112070000000003</v>
      </c>
    </row>
    <row r="627" spans="1:37" x14ac:dyDescent="0.2">
      <c r="A627" s="6">
        <v>39114</v>
      </c>
      <c r="B627">
        <v>4.6372080000000002</v>
      </c>
      <c r="D627">
        <v>7.8</v>
      </c>
      <c r="E627">
        <v>6.2</v>
      </c>
      <c r="F627">
        <v>6.8911920000000002</v>
      </c>
      <c r="G627">
        <v>5.8</v>
      </c>
      <c r="H627">
        <v>9</v>
      </c>
      <c r="I627">
        <v>3.9</v>
      </c>
      <c r="J627">
        <v>8.1999999999999993</v>
      </c>
      <c r="K627">
        <v>4.9000000000000004</v>
      </c>
      <c r="L627">
        <v>7.2</v>
      </c>
      <c r="M627">
        <v>8.4</v>
      </c>
      <c r="N627">
        <v>5.5137929999999997</v>
      </c>
      <c r="O627">
        <v>8.8000000000000007</v>
      </c>
      <c r="P627">
        <v>7.4</v>
      </c>
      <c r="Q627">
        <v>4.9000000000000004</v>
      </c>
      <c r="R627">
        <v>2.7</v>
      </c>
      <c r="T627">
        <v>6.1</v>
      </c>
      <c r="U627">
        <v>4</v>
      </c>
      <c r="V627">
        <v>3.2</v>
      </c>
      <c r="W627">
        <v>4.4000000000000004</v>
      </c>
      <c r="X627">
        <v>6.8</v>
      </c>
      <c r="Y627">
        <v>3.9128599999999998</v>
      </c>
      <c r="Z627">
        <v>4.5</v>
      </c>
      <c r="AA627">
        <v>2.7</v>
      </c>
      <c r="AB627">
        <v>8.6399670000000004</v>
      </c>
      <c r="AC627">
        <v>10.7</v>
      </c>
      <c r="AD627">
        <v>9.3000000000000007</v>
      </c>
      <c r="AE627">
        <v>11.4</v>
      </c>
      <c r="AF627">
        <v>5.3</v>
      </c>
      <c r="AG627">
        <v>6.2</v>
      </c>
      <c r="AH627">
        <v>9</v>
      </c>
      <c r="AI627">
        <v>4.5</v>
      </c>
      <c r="AJ627">
        <v>7.8</v>
      </c>
      <c r="AK627">
        <v>5.5115999999999996</v>
      </c>
    </row>
    <row r="628" spans="1:37" x14ac:dyDescent="0.2">
      <c r="A628" s="6">
        <v>39142</v>
      </c>
      <c r="B628">
        <v>4.4603140000000003</v>
      </c>
      <c r="D628">
        <v>7.9</v>
      </c>
      <c r="E628">
        <v>6.2</v>
      </c>
      <c r="F628">
        <v>6.8673549999999999</v>
      </c>
      <c r="G628">
        <v>5.6</v>
      </c>
      <c r="H628">
        <v>8.9</v>
      </c>
      <c r="I628">
        <v>3.7</v>
      </c>
      <c r="J628">
        <v>8.1</v>
      </c>
      <c r="K628">
        <v>5.0999999999999996</v>
      </c>
      <c r="L628">
        <v>7.1</v>
      </c>
      <c r="M628">
        <v>8.3000000000000007</v>
      </c>
      <c r="N628">
        <v>5.4723639999999998</v>
      </c>
      <c r="O628">
        <v>9.1</v>
      </c>
      <c r="P628">
        <v>7.4</v>
      </c>
      <c r="Q628">
        <v>5</v>
      </c>
      <c r="R628">
        <v>2.7</v>
      </c>
      <c r="T628">
        <v>6.1</v>
      </c>
      <c r="U628">
        <v>4</v>
      </c>
      <c r="V628">
        <v>3.2</v>
      </c>
      <c r="W628">
        <v>4.3</v>
      </c>
      <c r="X628">
        <v>6.6</v>
      </c>
      <c r="Y628">
        <v>4.1269629999999999</v>
      </c>
      <c r="Z628">
        <v>4.3</v>
      </c>
      <c r="AA628">
        <v>2.6</v>
      </c>
      <c r="AB628">
        <v>8.5962750000000003</v>
      </c>
      <c r="AC628">
        <v>10.3</v>
      </c>
      <c r="AD628">
        <v>9.3000000000000007</v>
      </c>
      <c r="AE628">
        <v>11.2</v>
      </c>
      <c r="AF628">
        <v>5.0999999999999996</v>
      </c>
      <c r="AG628">
        <v>6.5</v>
      </c>
      <c r="AH628">
        <v>8.9</v>
      </c>
      <c r="AI628">
        <v>4.4000000000000004</v>
      </c>
      <c r="AJ628">
        <v>7.7</v>
      </c>
      <c r="AK628">
        <v>5.4278079999999997</v>
      </c>
    </row>
    <row r="629" spans="1:37" x14ac:dyDescent="0.2">
      <c r="A629" s="6">
        <v>39173</v>
      </c>
      <c r="B629">
        <v>4.3870550000000001</v>
      </c>
      <c r="D629">
        <v>8.1999999999999993</v>
      </c>
      <c r="E629">
        <v>6.2</v>
      </c>
      <c r="F629">
        <v>6.5438239999999999</v>
      </c>
      <c r="G629">
        <v>5.6</v>
      </c>
      <c r="H629">
        <v>8.6999999999999993</v>
      </c>
      <c r="I629">
        <v>3.5</v>
      </c>
      <c r="J629">
        <v>8</v>
      </c>
      <c r="K629">
        <v>4.9000000000000004</v>
      </c>
      <c r="L629">
        <v>6.5</v>
      </c>
      <c r="M629">
        <v>8.1999999999999993</v>
      </c>
      <c r="N629">
        <v>5.3892030000000002</v>
      </c>
      <c r="O629">
        <v>8.6</v>
      </c>
      <c r="P629">
        <v>7.4</v>
      </c>
      <c r="Q629">
        <v>5</v>
      </c>
      <c r="R629">
        <v>2.7</v>
      </c>
      <c r="T629">
        <v>5.9</v>
      </c>
      <c r="U629">
        <v>3.8</v>
      </c>
      <c r="V629">
        <v>3.3</v>
      </c>
      <c r="W629">
        <v>4.2</v>
      </c>
      <c r="X629">
        <v>6.2</v>
      </c>
      <c r="Y629">
        <v>3.6931959999999999</v>
      </c>
      <c r="Z629">
        <v>4.2</v>
      </c>
      <c r="AA629">
        <v>2.5</v>
      </c>
      <c r="AB629">
        <v>8.692304</v>
      </c>
      <c r="AC629">
        <v>10</v>
      </c>
      <c r="AD629">
        <v>9.4</v>
      </c>
      <c r="AE629">
        <v>11.3</v>
      </c>
      <c r="AF629">
        <v>4.9000000000000004</v>
      </c>
      <c r="AG629">
        <v>6.1</v>
      </c>
      <c r="AH629">
        <v>9.1999999999999993</v>
      </c>
      <c r="AI629">
        <v>4.5</v>
      </c>
      <c r="AJ629">
        <v>7.6</v>
      </c>
      <c r="AK629">
        <v>5.3930800000000003</v>
      </c>
    </row>
    <row r="630" spans="1:37" x14ac:dyDescent="0.2">
      <c r="A630" s="6">
        <v>39203</v>
      </c>
      <c r="B630">
        <v>4.2653160000000003</v>
      </c>
      <c r="D630">
        <v>8.1</v>
      </c>
      <c r="E630">
        <v>6</v>
      </c>
      <c r="F630">
        <v>6.5175190000000001</v>
      </c>
      <c r="G630">
        <v>5.5</v>
      </c>
      <c r="H630">
        <v>8.6</v>
      </c>
      <c r="I630">
        <v>3.6</v>
      </c>
      <c r="J630">
        <v>7.9</v>
      </c>
      <c r="K630">
        <v>4.9000000000000004</v>
      </c>
      <c r="L630">
        <v>6.6</v>
      </c>
      <c r="M630">
        <v>8.1</v>
      </c>
      <c r="N630">
        <v>5.3504740000000002</v>
      </c>
      <c r="O630">
        <v>8.3000000000000007</v>
      </c>
      <c r="P630">
        <v>7.1</v>
      </c>
      <c r="Q630">
        <v>5</v>
      </c>
      <c r="R630">
        <v>2.7</v>
      </c>
      <c r="T630">
        <v>6.2</v>
      </c>
      <c r="U630">
        <v>3.8</v>
      </c>
      <c r="V630">
        <v>3.3</v>
      </c>
      <c r="W630">
        <v>4.0999999999999996</v>
      </c>
      <c r="X630">
        <v>6.1</v>
      </c>
      <c r="Y630">
        <v>3.597378</v>
      </c>
      <c r="Z630">
        <v>4.2</v>
      </c>
      <c r="AA630">
        <v>2.5</v>
      </c>
      <c r="AB630">
        <v>8.6495580000000007</v>
      </c>
      <c r="AC630">
        <v>9.6999999999999993</v>
      </c>
      <c r="AD630">
        <v>9.3000000000000007</v>
      </c>
      <c r="AE630">
        <v>11.3</v>
      </c>
      <c r="AF630">
        <v>4.8</v>
      </c>
      <c r="AG630">
        <v>5.9</v>
      </c>
      <c r="AH630">
        <v>9.1999999999999993</v>
      </c>
      <c r="AI630">
        <v>4.4000000000000004</v>
      </c>
      <c r="AJ630">
        <v>7.5</v>
      </c>
      <c r="AK630">
        <v>5.3446990000000003</v>
      </c>
    </row>
    <row r="631" spans="1:37" x14ac:dyDescent="0.2">
      <c r="A631" s="6">
        <v>39234</v>
      </c>
      <c r="B631">
        <v>4.3244910000000001</v>
      </c>
      <c r="D631">
        <v>7.7</v>
      </c>
      <c r="E631">
        <v>6.1</v>
      </c>
      <c r="F631">
        <v>6.597448</v>
      </c>
      <c r="G631">
        <v>5.4</v>
      </c>
      <c r="H631">
        <v>8.5</v>
      </c>
      <c r="I631">
        <v>3.7</v>
      </c>
      <c r="J631">
        <v>8</v>
      </c>
      <c r="K631">
        <v>4.7</v>
      </c>
      <c r="L631">
        <v>6.9</v>
      </c>
      <c r="M631">
        <v>8</v>
      </c>
      <c r="N631">
        <v>5.3063450000000003</v>
      </c>
      <c r="O631">
        <v>8.4</v>
      </c>
      <c r="P631">
        <v>7</v>
      </c>
      <c r="Q631">
        <v>5</v>
      </c>
      <c r="R631">
        <v>2.7</v>
      </c>
      <c r="T631">
        <v>6</v>
      </c>
      <c r="U631">
        <v>3.7</v>
      </c>
      <c r="V631">
        <v>3.2</v>
      </c>
      <c r="W631">
        <v>4.0999999999999996</v>
      </c>
      <c r="X631">
        <v>6</v>
      </c>
      <c r="Y631">
        <v>3.4563449999999998</v>
      </c>
      <c r="Z631">
        <v>4.0999999999999996</v>
      </c>
      <c r="AA631">
        <v>2.5</v>
      </c>
      <c r="AB631">
        <v>8.633127</v>
      </c>
      <c r="AC631">
        <v>9.5</v>
      </c>
      <c r="AD631">
        <v>9.1999999999999993</v>
      </c>
      <c r="AE631">
        <v>11.4</v>
      </c>
      <c r="AF631">
        <v>4.8</v>
      </c>
      <c r="AG631">
        <v>6.2</v>
      </c>
      <c r="AH631">
        <v>9.1999999999999993</v>
      </c>
      <c r="AI631">
        <v>4.5999999999999996</v>
      </c>
      <c r="AJ631">
        <v>7.5</v>
      </c>
      <c r="AK631">
        <v>5.3420690000000004</v>
      </c>
    </row>
    <row r="632" spans="1:37" x14ac:dyDescent="0.2">
      <c r="A632" s="6">
        <v>39264</v>
      </c>
      <c r="B632">
        <v>4.2527109999999997</v>
      </c>
      <c r="D632">
        <v>7.3</v>
      </c>
      <c r="E632">
        <v>6</v>
      </c>
      <c r="F632">
        <v>7.0995900000000001</v>
      </c>
      <c r="G632">
        <v>5.2</v>
      </c>
      <c r="H632">
        <v>8.5</v>
      </c>
      <c r="I632">
        <v>4</v>
      </c>
      <c r="J632">
        <v>8.1</v>
      </c>
      <c r="K632">
        <v>4.2</v>
      </c>
      <c r="L632">
        <v>6.8</v>
      </c>
      <c r="M632">
        <v>8</v>
      </c>
      <c r="N632">
        <v>5.3018090000000004</v>
      </c>
      <c r="O632">
        <v>8.1999999999999993</v>
      </c>
      <c r="P632">
        <v>7.2</v>
      </c>
      <c r="Q632">
        <v>4.9000000000000004</v>
      </c>
      <c r="R632">
        <v>2.7</v>
      </c>
      <c r="T632">
        <v>6.4</v>
      </c>
      <c r="U632">
        <v>3.6</v>
      </c>
      <c r="V632">
        <v>3.3</v>
      </c>
      <c r="W632">
        <v>4</v>
      </c>
      <c r="X632">
        <v>6.1</v>
      </c>
      <c r="Y632">
        <v>3.6352579999999999</v>
      </c>
      <c r="Z632">
        <v>4.2</v>
      </c>
      <c r="AA632">
        <v>2.6</v>
      </c>
      <c r="AB632">
        <v>8.6754719999999992</v>
      </c>
      <c r="AC632">
        <v>9.4</v>
      </c>
      <c r="AD632">
        <v>9.1999999999999993</v>
      </c>
      <c r="AE632">
        <v>11.5</v>
      </c>
      <c r="AF632">
        <v>4.7</v>
      </c>
      <c r="AG632">
        <v>5.8</v>
      </c>
      <c r="AH632">
        <v>9.1</v>
      </c>
      <c r="AI632">
        <v>4.7</v>
      </c>
      <c r="AJ632">
        <v>7.5</v>
      </c>
      <c r="AK632">
        <v>5.3991239999999996</v>
      </c>
    </row>
    <row r="633" spans="1:37" x14ac:dyDescent="0.2">
      <c r="A633" s="6">
        <v>39295</v>
      </c>
      <c r="B633">
        <v>4.2956789999999998</v>
      </c>
      <c r="D633">
        <v>7</v>
      </c>
      <c r="E633">
        <v>5.9</v>
      </c>
      <c r="F633">
        <v>7.2889910000000002</v>
      </c>
      <c r="G633">
        <v>5</v>
      </c>
      <c r="H633">
        <v>8.4</v>
      </c>
      <c r="I633">
        <v>4</v>
      </c>
      <c r="J633">
        <v>8.3000000000000007</v>
      </c>
      <c r="K633">
        <v>4.0999999999999996</v>
      </c>
      <c r="L633">
        <v>6.8</v>
      </c>
      <c r="M633">
        <v>8</v>
      </c>
      <c r="N633">
        <v>5.3102039999999997</v>
      </c>
      <c r="O633">
        <v>8</v>
      </c>
      <c r="P633">
        <v>7.2</v>
      </c>
      <c r="Q633">
        <v>4.9000000000000004</v>
      </c>
      <c r="R633">
        <v>2.7</v>
      </c>
      <c r="T633">
        <v>6.2</v>
      </c>
      <c r="U633">
        <v>3.7</v>
      </c>
      <c r="V633">
        <v>3.3</v>
      </c>
      <c r="W633">
        <v>4</v>
      </c>
      <c r="X633">
        <v>5.9</v>
      </c>
      <c r="Y633">
        <v>3.654757</v>
      </c>
      <c r="Z633">
        <v>4.0999999999999996</v>
      </c>
      <c r="AA633">
        <v>2.5</v>
      </c>
      <c r="AB633">
        <v>8.5435960000000009</v>
      </c>
      <c r="AC633">
        <v>9.3000000000000007</v>
      </c>
      <c r="AD633">
        <v>9.1</v>
      </c>
      <c r="AE633">
        <v>11.5</v>
      </c>
      <c r="AF633">
        <v>4.5999999999999996</v>
      </c>
      <c r="AG633">
        <v>6</v>
      </c>
      <c r="AH633">
        <v>9.1999999999999993</v>
      </c>
      <c r="AI633">
        <v>4.5999999999999996</v>
      </c>
      <c r="AJ633">
        <v>7.5</v>
      </c>
      <c r="AK633">
        <v>5.3762970000000001</v>
      </c>
    </row>
    <row r="634" spans="1:37" x14ac:dyDescent="0.2">
      <c r="A634" s="6">
        <v>39326</v>
      </c>
      <c r="B634">
        <v>4.2119869999999997</v>
      </c>
      <c r="D634">
        <v>6.9</v>
      </c>
      <c r="E634">
        <v>5.9</v>
      </c>
      <c r="F634">
        <v>7.5283150000000001</v>
      </c>
      <c r="G634">
        <v>5.0999999999999996</v>
      </c>
      <c r="H634">
        <v>8.4</v>
      </c>
      <c r="I634">
        <v>4.0999999999999996</v>
      </c>
      <c r="J634">
        <v>8.3000000000000007</v>
      </c>
      <c r="K634">
        <v>4</v>
      </c>
      <c r="L634">
        <v>7.1</v>
      </c>
      <c r="M634">
        <v>7.8</v>
      </c>
      <c r="N634">
        <v>5.2391800000000002</v>
      </c>
      <c r="O634">
        <v>8.3000000000000007</v>
      </c>
      <c r="P634">
        <v>7.3</v>
      </c>
      <c r="Q634">
        <v>4.9000000000000004</v>
      </c>
      <c r="R634">
        <v>2.7</v>
      </c>
      <c r="T634">
        <v>6.2</v>
      </c>
      <c r="U634">
        <v>3.9</v>
      </c>
      <c r="V634">
        <v>3.2</v>
      </c>
      <c r="W634">
        <v>4</v>
      </c>
      <c r="X634">
        <v>5.7</v>
      </c>
      <c r="Y634">
        <v>3.6065689999999999</v>
      </c>
      <c r="Z634">
        <v>4</v>
      </c>
      <c r="AA634">
        <v>2.4</v>
      </c>
      <c r="AB634">
        <v>8.4393550000000008</v>
      </c>
      <c r="AC634">
        <v>9.1999999999999993</v>
      </c>
      <c r="AD634">
        <v>8.9</v>
      </c>
      <c r="AE634">
        <v>11.3</v>
      </c>
      <c r="AF634">
        <v>4.5</v>
      </c>
      <c r="AG634">
        <v>6.1</v>
      </c>
      <c r="AH634">
        <v>9.3000000000000007</v>
      </c>
      <c r="AI634">
        <v>4.7</v>
      </c>
      <c r="AJ634">
        <v>7.4</v>
      </c>
      <c r="AK634">
        <v>5.4091069999999997</v>
      </c>
    </row>
    <row r="635" spans="1:37" x14ac:dyDescent="0.2">
      <c r="A635" s="6">
        <v>39356</v>
      </c>
      <c r="B635">
        <v>4.3262390000000002</v>
      </c>
      <c r="D635">
        <v>7</v>
      </c>
      <c r="E635">
        <v>5.9</v>
      </c>
      <c r="F635">
        <v>7.5563650000000004</v>
      </c>
      <c r="G635">
        <v>5</v>
      </c>
      <c r="H635">
        <v>8.3000000000000007</v>
      </c>
      <c r="I635">
        <v>3.7</v>
      </c>
      <c r="J635">
        <v>8.4</v>
      </c>
      <c r="K635">
        <v>4</v>
      </c>
      <c r="L635">
        <v>6.6</v>
      </c>
      <c r="M635">
        <v>7.6</v>
      </c>
      <c r="N635">
        <v>5.2393739999999998</v>
      </c>
      <c r="O635">
        <v>8.1999999999999993</v>
      </c>
      <c r="P635">
        <v>7.5</v>
      </c>
      <c r="Q635">
        <v>5.0999999999999996</v>
      </c>
      <c r="R635">
        <v>2.6</v>
      </c>
      <c r="T635">
        <v>6.2</v>
      </c>
      <c r="U635">
        <v>4</v>
      </c>
      <c r="V635">
        <v>3.3</v>
      </c>
      <c r="W635">
        <v>4.0999999999999996</v>
      </c>
      <c r="X635">
        <v>5.4</v>
      </c>
      <c r="Y635">
        <v>3.7663199999999999</v>
      </c>
      <c r="Z635">
        <v>4</v>
      </c>
      <c r="AA635">
        <v>2.4</v>
      </c>
      <c r="AB635">
        <v>8.4296930000000003</v>
      </c>
      <c r="AC635">
        <v>8.9</v>
      </c>
      <c r="AD635">
        <v>9</v>
      </c>
      <c r="AE635">
        <v>10.9</v>
      </c>
      <c r="AF635">
        <v>4.5999999999999996</v>
      </c>
      <c r="AG635">
        <v>6.2</v>
      </c>
      <c r="AH635">
        <v>9.5</v>
      </c>
      <c r="AI635">
        <v>4.7</v>
      </c>
      <c r="AJ635">
        <v>7.4</v>
      </c>
      <c r="AK635">
        <v>5.4117990000000002</v>
      </c>
    </row>
    <row r="636" spans="1:37" x14ac:dyDescent="0.2">
      <c r="A636" s="6">
        <v>39387</v>
      </c>
      <c r="B636">
        <v>4.4268770000000002</v>
      </c>
      <c r="D636">
        <v>7.1</v>
      </c>
      <c r="E636">
        <v>6.1</v>
      </c>
      <c r="F636">
        <v>7.8615029999999999</v>
      </c>
      <c r="G636">
        <v>4.8</v>
      </c>
      <c r="H636">
        <v>8.1999999999999993</v>
      </c>
      <c r="I636">
        <v>3.7</v>
      </c>
      <c r="J636">
        <v>8.6</v>
      </c>
      <c r="K636">
        <v>4</v>
      </c>
      <c r="L636">
        <v>6.7</v>
      </c>
      <c r="M636">
        <v>7.5</v>
      </c>
      <c r="N636">
        <v>5.1566369999999999</v>
      </c>
      <c r="O636">
        <v>7.8</v>
      </c>
      <c r="P636">
        <v>7.8</v>
      </c>
      <c r="Q636">
        <v>5.2</v>
      </c>
      <c r="R636">
        <v>2.6</v>
      </c>
      <c r="T636">
        <v>6.3</v>
      </c>
      <c r="U636">
        <v>3.8</v>
      </c>
      <c r="V636">
        <v>3.3</v>
      </c>
      <c r="W636">
        <v>4.2</v>
      </c>
      <c r="X636">
        <v>5.4</v>
      </c>
      <c r="Y636">
        <v>3.65889</v>
      </c>
      <c r="Z636">
        <v>4</v>
      </c>
      <c r="AA636">
        <v>2.5</v>
      </c>
      <c r="AB636">
        <v>8.4015950000000004</v>
      </c>
      <c r="AC636">
        <v>8.6999999999999993</v>
      </c>
      <c r="AD636">
        <v>8.9</v>
      </c>
      <c r="AE636">
        <v>10.6</v>
      </c>
      <c r="AF636">
        <v>4.7</v>
      </c>
      <c r="AG636">
        <v>6</v>
      </c>
      <c r="AH636">
        <v>9.4</v>
      </c>
      <c r="AI636">
        <v>4.7</v>
      </c>
      <c r="AJ636">
        <v>7.3</v>
      </c>
      <c r="AK636">
        <v>5.3629709999999999</v>
      </c>
    </row>
    <row r="637" spans="1:37" x14ac:dyDescent="0.2">
      <c r="A637" s="6">
        <v>39417</v>
      </c>
      <c r="B637">
        <v>4.3089469999999999</v>
      </c>
      <c r="D637">
        <v>7.1</v>
      </c>
      <c r="E637">
        <v>6.1</v>
      </c>
      <c r="F637">
        <v>7.7877280000000004</v>
      </c>
      <c r="G637">
        <v>4.9000000000000004</v>
      </c>
      <c r="H637">
        <v>8.1</v>
      </c>
      <c r="I637">
        <v>3.3</v>
      </c>
      <c r="J637">
        <v>8.8000000000000007</v>
      </c>
      <c r="K637">
        <v>4.0999999999999996</v>
      </c>
      <c r="L637">
        <v>6.6</v>
      </c>
      <c r="M637">
        <v>7.4</v>
      </c>
      <c r="N637">
        <v>5.1771520000000004</v>
      </c>
      <c r="O637">
        <v>8.3000000000000007</v>
      </c>
      <c r="P637">
        <v>8.1</v>
      </c>
      <c r="Q637">
        <v>5.3</v>
      </c>
      <c r="R637">
        <v>2.7</v>
      </c>
      <c r="T637">
        <v>6.6</v>
      </c>
      <c r="U637">
        <v>3.7</v>
      </c>
      <c r="V637">
        <v>3.2</v>
      </c>
      <c r="W637">
        <v>4.2</v>
      </c>
      <c r="X637">
        <v>5.6</v>
      </c>
      <c r="Y637">
        <v>3.8005800000000001</v>
      </c>
      <c r="Z637">
        <v>3.9</v>
      </c>
      <c r="AA637">
        <v>2.5</v>
      </c>
      <c r="AB637">
        <v>8.4035799999999998</v>
      </c>
      <c r="AC637">
        <v>8.3000000000000007</v>
      </c>
      <c r="AD637">
        <v>8.6999999999999993</v>
      </c>
      <c r="AE637">
        <v>10.5</v>
      </c>
      <c r="AF637">
        <v>4.7</v>
      </c>
      <c r="AG637">
        <v>6</v>
      </c>
      <c r="AH637">
        <v>9.3000000000000007</v>
      </c>
      <c r="AI637">
        <v>5</v>
      </c>
      <c r="AJ637">
        <v>7.4</v>
      </c>
      <c r="AK637">
        <v>5.4637339999999996</v>
      </c>
    </row>
    <row r="638" spans="1:37" x14ac:dyDescent="0.2">
      <c r="A638" s="6">
        <v>39448</v>
      </c>
      <c r="B638">
        <v>4.2207189999999999</v>
      </c>
      <c r="D638">
        <v>7.1</v>
      </c>
      <c r="E638">
        <v>5.9</v>
      </c>
      <c r="F638">
        <v>7.8189409999999997</v>
      </c>
      <c r="G638">
        <v>4.7</v>
      </c>
      <c r="H638">
        <v>7.9</v>
      </c>
      <c r="I638">
        <v>3.2</v>
      </c>
      <c r="J638">
        <v>9.1</v>
      </c>
      <c r="K638">
        <v>4.3</v>
      </c>
      <c r="L638">
        <v>6.5</v>
      </c>
      <c r="M638">
        <v>7.3</v>
      </c>
      <c r="N638">
        <v>5.1812480000000001</v>
      </c>
      <c r="O638">
        <v>7.7</v>
      </c>
      <c r="P638">
        <v>8</v>
      </c>
      <c r="Q638">
        <v>5.3</v>
      </c>
      <c r="R638">
        <v>2.7</v>
      </c>
      <c r="T638">
        <v>6.6</v>
      </c>
      <c r="U638">
        <v>3.9</v>
      </c>
      <c r="V638">
        <v>3</v>
      </c>
      <c r="W638">
        <v>4.3</v>
      </c>
      <c r="X638">
        <v>6.2</v>
      </c>
      <c r="Y638">
        <v>3.7857669999999999</v>
      </c>
      <c r="Z638">
        <v>3.8</v>
      </c>
      <c r="AA638">
        <v>2.5</v>
      </c>
      <c r="AB638">
        <v>8.4139660000000003</v>
      </c>
      <c r="AC638">
        <v>7.8</v>
      </c>
      <c r="AD638">
        <v>8.6</v>
      </c>
      <c r="AE638">
        <v>10.4</v>
      </c>
      <c r="AF638">
        <v>4.8</v>
      </c>
      <c r="AG638">
        <v>6</v>
      </c>
      <c r="AH638">
        <v>9.3000000000000007</v>
      </c>
      <c r="AI638">
        <v>5</v>
      </c>
      <c r="AJ638">
        <v>7.3</v>
      </c>
      <c r="AK638">
        <v>5.4700309999999996</v>
      </c>
    </row>
    <row r="639" spans="1:37" x14ac:dyDescent="0.2">
      <c r="A639" s="6">
        <v>39479</v>
      </c>
      <c r="B639">
        <v>3.9826709999999999</v>
      </c>
      <c r="D639">
        <v>6.9</v>
      </c>
      <c r="E639">
        <v>6</v>
      </c>
      <c r="F639">
        <v>7.6819259999999998</v>
      </c>
      <c r="G639">
        <v>4.5</v>
      </c>
      <c r="H639">
        <v>7.8</v>
      </c>
      <c r="I639">
        <v>3.2</v>
      </c>
      <c r="J639">
        <v>9.3000000000000007</v>
      </c>
      <c r="K639">
        <v>4.4000000000000004</v>
      </c>
      <c r="L639">
        <v>6.1</v>
      </c>
      <c r="M639">
        <v>7.2</v>
      </c>
      <c r="N639">
        <v>5.1826619999999997</v>
      </c>
      <c r="O639">
        <v>7.9</v>
      </c>
      <c r="P639">
        <v>7.9</v>
      </c>
      <c r="Q639">
        <v>5.3</v>
      </c>
      <c r="R639">
        <v>2.8</v>
      </c>
      <c r="T639">
        <v>6.7</v>
      </c>
      <c r="U639">
        <v>4</v>
      </c>
      <c r="V639">
        <v>3</v>
      </c>
      <c r="W639">
        <v>4.5</v>
      </c>
      <c r="X639">
        <v>6.4</v>
      </c>
      <c r="Y639">
        <v>3.8031259999999998</v>
      </c>
      <c r="Z639">
        <v>3.6</v>
      </c>
      <c r="AA639">
        <v>2.5</v>
      </c>
      <c r="AB639">
        <v>8.4631969999999992</v>
      </c>
      <c r="AC639">
        <v>7.5</v>
      </c>
      <c r="AD639">
        <v>8.5</v>
      </c>
      <c r="AE639">
        <v>10.3</v>
      </c>
      <c r="AF639">
        <v>4.7</v>
      </c>
      <c r="AG639">
        <v>5.8</v>
      </c>
      <c r="AH639">
        <v>9.5</v>
      </c>
      <c r="AI639">
        <v>4.9000000000000004</v>
      </c>
      <c r="AJ639">
        <v>7.3</v>
      </c>
      <c r="AK639">
        <v>5.4336570000000002</v>
      </c>
    </row>
    <row r="640" spans="1:37" x14ac:dyDescent="0.2">
      <c r="A640" s="6">
        <v>39508</v>
      </c>
      <c r="B640">
        <v>4.057982</v>
      </c>
      <c r="D640">
        <v>6.7</v>
      </c>
      <c r="E640">
        <v>6.2</v>
      </c>
      <c r="F640">
        <v>7.6582929999999996</v>
      </c>
      <c r="G640">
        <v>4.5</v>
      </c>
      <c r="H640">
        <v>7.7</v>
      </c>
      <c r="I640">
        <v>3.3</v>
      </c>
      <c r="J640">
        <v>9.5</v>
      </c>
      <c r="K640">
        <v>4.3</v>
      </c>
      <c r="L640">
        <v>6.4</v>
      </c>
      <c r="M640">
        <v>7.3</v>
      </c>
      <c r="N640">
        <v>5.3142630000000004</v>
      </c>
      <c r="O640">
        <v>8.5</v>
      </c>
      <c r="P640">
        <v>7.7</v>
      </c>
      <c r="Q640">
        <v>5.5</v>
      </c>
      <c r="R640">
        <v>2.8</v>
      </c>
      <c r="T640">
        <v>6.4</v>
      </c>
      <c r="U640">
        <v>3.8</v>
      </c>
      <c r="V640">
        <v>3</v>
      </c>
      <c r="W640">
        <v>4.4000000000000004</v>
      </c>
      <c r="X640">
        <v>6.4</v>
      </c>
      <c r="Y640">
        <v>3.9934630000000002</v>
      </c>
      <c r="Z640">
        <v>3.6</v>
      </c>
      <c r="AA640">
        <v>2.4</v>
      </c>
      <c r="AB640">
        <v>8.3255599999999994</v>
      </c>
      <c r="AC640">
        <v>7.3</v>
      </c>
      <c r="AD640">
        <v>8.6</v>
      </c>
      <c r="AE640">
        <v>10.199999999999999</v>
      </c>
      <c r="AF640">
        <v>4.5999999999999996</v>
      </c>
      <c r="AG640">
        <v>5.8</v>
      </c>
      <c r="AH640">
        <v>9.4</v>
      </c>
      <c r="AI640">
        <v>5.0999999999999996</v>
      </c>
      <c r="AJ640">
        <v>7.3</v>
      </c>
      <c r="AK640">
        <v>5.4827089999999998</v>
      </c>
    </row>
    <row r="641" spans="1:37" x14ac:dyDescent="0.2">
      <c r="A641" s="6">
        <v>39539</v>
      </c>
      <c r="B641">
        <v>4.2666700000000004</v>
      </c>
      <c r="D641">
        <v>6.5</v>
      </c>
      <c r="E641">
        <v>6.1</v>
      </c>
      <c r="F641">
        <v>7.7090240000000003</v>
      </c>
      <c r="G641">
        <v>4.3</v>
      </c>
      <c r="H641">
        <v>7.6</v>
      </c>
      <c r="I641">
        <v>3.3</v>
      </c>
      <c r="J641">
        <v>10</v>
      </c>
      <c r="K641">
        <v>4.5</v>
      </c>
      <c r="L641">
        <v>5.7</v>
      </c>
      <c r="M641">
        <v>7.3</v>
      </c>
      <c r="N641">
        <v>5.1786260000000004</v>
      </c>
      <c r="O641">
        <v>7.8</v>
      </c>
      <c r="P641">
        <v>7.8</v>
      </c>
      <c r="Q641">
        <v>5.6</v>
      </c>
      <c r="R641">
        <v>2.9</v>
      </c>
      <c r="T641">
        <v>6.9</v>
      </c>
      <c r="U641">
        <v>3.9</v>
      </c>
      <c r="V641">
        <v>3.1</v>
      </c>
      <c r="W641">
        <v>4.7</v>
      </c>
      <c r="X641">
        <v>6.3</v>
      </c>
      <c r="Y641">
        <v>3.690782</v>
      </c>
      <c r="Z641">
        <v>3.7</v>
      </c>
      <c r="AA641">
        <v>2.4</v>
      </c>
      <c r="AB641">
        <v>8.1990339999999993</v>
      </c>
      <c r="AC641">
        <v>7.2</v>
      </c>
      <c r="AD641">
        <v>8.5</v>
      </c>
      <c r="AE641">
        <v>10.199999999999999</v>
      </c>
      <c r="AF641">
        <v>4.4000000000000004</v>
      </c>
      <c r="AG641">
        <v>5.6</v>
      </c>
      <c r="AH641">
        <v>9.1999999999999993</v>
      </c>
      <c r="AI641">
        <v>5</v>
      </c>
      <c r="AJ641">
        <v>7.4</v>
      </c>
      <c r="AK641">
        <v>5.458431</v>
      </c>
    </row>
    <row r="642" spans="1:37" x14ac:dyDescent="0.2">
      <c r="A642" s="6">
        <v>39569</v>
      </c>
      <c r="B642">
        <v>4.2670909999999997</v>
      </c>
      <c r="D642">
        <v>6.5</v>
      </c>
      <c r="E642">
        <v>6.1</v>
      </c>
      <c r="F642">
        <v>7.974926</v>
      </c>
      <c r="G642">
        <v>4.0999999999999996</v>
      </c>
      <c r="H642">
        <v>7.5</v>
      </c>
      <c r="I642">
        <v>3.5</v>
      </c>
      <c r="J642">
        <v>10.4</v>
      </c>
      <c r="K642">
        <v>3.8</v>
      </c>
      <c r="L642">
        <v>6.4</v>
      </c>
      <c r="M642">
        <v>7.3</v>
      </c>
      <c r="N642">
        <v>5.3504880000000004</v>
      </c>
      <c r="O642">
        <v>7.3</v>
      </c>
      <c r="P642">
        <v>7.7</v>
      </c>
      <c r="Q642">
        <v>5.9</v>
      </c>
      <c r="R642">
        <v>3</v>
      </c>
      <c r="T642">
        <v>6.8</v>
      </c>
      <c r="U642">
        <v>4</v>
      </c>
      <c r="V642">
        <v>3.2</v>
      </c>
      <c r="W642">
        <v>4.8</v>
      </c>
      <c r="X642">
        <v>6.4</v>
      </c>
      <c r="Y642">
        <v>3.5559780000000001</v>
      </c>
      <c r="Z642">
        <v>3.7</v>
      </c>
      <c r="AA642">
        <v>2.6</v>
      </c>
      <c r="AB642">
        <v>8.1474220000000006</v>
      </c>
      <c r="AC642">
        <v>7.2</v>
      </c>
      <c r="AD642">
        <v>8.6</v>
      </c>
      <c r="AE642">
        <v>10.199999999999999</v>
      </c>
      <c r="AF642">
        <v>4.4000000000000004</v>
      </c>
      <c r="AG642">
        <v>5.8</v>
      </c>
      <c r="AH642">
        <v>9.1999999999999993</v>
      </c>
      <c r="AI642">
        <v>5.4</v>
      </c>
      <c r="AJ642">
        <v>7.4</v>
      </c>
      <c r="AK642">
        <v>5.6586169999999996</v>
      </c>
    </row>
    <row r="643" spans="1:37" x14ac:dyDescent="0.2">
      <c r="A643" s="6">
        <v>39600</v>
      </c>
      <c r="B643">
        <v>4.2443499999999998</v>
      </c>
      <c r="D643">
        <v>6.9</v>
      </c>
      <c r="E643">
        <v>6.1</v>
      </c>
      <c r="F643">
        <v>7.8725399999999999</v>
      </c>
      <c r="G643">
        <v>4.5999999999999996</v>
      </c>
      <c r="H643">
        <v>7.4</v>
      </c>
      <c r="I643">
        <v>3.7</v>
      </c>
      <c r="J643">
        <v>10.8</v>
      </c>
      <c r="K643">
        <v>4.2</v>
      </c>
      <c r="L643">
        <v>6.4</v>
      </c>
      <c r="M643">
        <v>7.3</v>
      </c>
      <c r="N643">
        <v>5.4867309999999998</v>
      </c>
      <c r="O643">
        <v>7.6</v>
      </c>
      <c r="P643">
        <v>7.5</v>
      </c>
      <c r="Q643">
        <v>6.3</v>
      </c>
      <c r="R643">
        <v>3.2</v>
      </c>
      <c r="T643">
        <v>6.9</v>
      </c>
      <c r="U643">
        <v>4</v>
      </c>
      <c r="V643">
        <v>3.1</v>
      </c>
      <c r="W643">
        <v>4.9000000000000004</v>
      </c>
      <c r="X643">
        <v>6.6</v>
      </c>
      <c r="Y643">
        <v>3.7226870000000001</v>
      </c>
      <c r="Z643">
        <v>3.7</v>
      </c>
      <c r="AA643">
        <v>2.7</v>
      </c>
      <c r="AB643">
        <v>8.0637899999999991</v>
      </c>
      <c r="AC643">
        <v>7</v>
      </c>
      <c r="AD643">
        <v>8.8000000000000007</v>
      </c>
      <c r="AE643">
        <v>9.9</v>
      </c>
      <c r="AF643">
        <v>4.3</v>
      </c>
      <c r="AG643">
        <v>6.6</v>
      </c>
      <c r="AH643">
        <v>9.6</v>
      </c>
      <c r="AI643">
        <v>5.6</v>
      </c>
      <c r="AJ643">
        <v>7.5</v>
      </c>
      <c r="AK643">
        <v>5.7188489999999996</v>
      </c>
    </row>
    <row r="644" spans="1:37" x14ac:dyDescent="0.2">
      <c r="A644" s="6">
        <v>39630</v>
      </c>
      <c r="B644">
        <v>4.2497959999999999</v>
      </c>
      <c r="D644">
        <v>7.5</v>
      </c>
      <c r="E644">
        <v>6.1</v>
      </c>
      <c r="F644">
        <v>7.6720930000000003</v>
      </c>
      <c r="G644">
        <v>4.3</v>
      </c>
      <c r="H644">
        <v>7.3</v>
      </c>
      <c r="I644">
        <v>3.8</v>
      </c>
      <c r="J644">
        <v>11.1</v>
      </c>
      <c r="K644">
        <v>5.2</v>
      </c>
      <c r="L644">
        <v>6.1</v>
      </c>
      <c r="M644">
        <v>7.4</v>
      </c>
      <c r="N644">
        <v>5.709657</v>
      </c>
      <c r="O644">
        <v>7.4</v>
      </c>
      <c r="P644">
        <v>7.5</v>
      </c>
      <c r="Q644">
        <v>6.9</v>
      </c>
      <c r="R644">
        <v>3.4</v>
      </c>
      <c r="T644">
        <v>6.6</v>
      </c>
      <c r="U644">
        <v>3.9</v>
      </c>
      <c r="V644">
        <v>3.1</v>
      </c>
      <c r="W644">
        <v>4.9000000000000004</v>
      </c>
      <c r="X644">
        <v>7</v>
      </c>
      <c r="Y644">
        <v>3.8136009999999998</v>
      </c>
      <c r="Z644">
        <v>3.6</v>
      </c>
      <c r="AA644">
        <v>2.8</v>
      </c>
      <c r="AB644">
        <v>8.0898280000000007</v>
      </c>
      <c r="AC644">
        <v>6.9</v>
      </c>
      <c r="AD644">
        <v>8.6999999999999993</v>
      </c>
      <c r="AE644">
        <v>9.4</v>
      </c>
      <c r="AF644">
        <v>4.3</v>
      </c>
      <c r="AG644">
        <v>6.2</v>
      </c>
      <c r="AH644">
        <v>9.9</v>
      </c>
      <c r="AI644">
        <v>5.8</v>
      </c>
      <c r="AJ644">
        <v>7.5</v>
      </c>
      <c r="AK644">
        <v>5.8061730000000003</v>
      </c>
    </row>
    <row r="645" spans="1:37" x14ac:dyDescent="0.2">
      <c r="A645" s="6">
        <v>39661</v>
      </c>
      <c r="B645">
        <v>4.0109380000000003</v>
      </c>
      <c r="D645">
        <v>7.6</v>
      </c>
      <c r="E645">
        <v>6.1</v>
      </c>
      <c r="F645">
        <v>7.3916740000000001</v>
      </c>
      <c r="G645">
        <v>4.0999999999999996</v>
      </c>
      <c r="H645">
        <v>7.1</v>
      </c>
      <c r="I645">
        <v>3.9</v>
      </c>
      <c r="J645">
        <v>11.5</v>
      </c>
      <c r="K645">
        <v>6.3</v>
      </c>
      <c r="L645">
        <v>6.4</v>
      </c>
      <c r="M645">
        <v>7.5</v>
      </c>
      <c r="N645">
        <v>5.855467</v>
      </c>
      <c r="O645">
        <v>7.5</v>
      </c>
      <c r="P645">
        <v>7.7</v>
      </c>
      <c r="Q645">
        <v>7.4</v>
      </c>
      <c r="R645">
        <v>3.7</v>
      </c>
      <c r="T645">
        <v>6.8</v>
      </c>
      <c r="U645">
        <v>4.0999999999999996</v>
      </c>
      <c r="V645">
        <v>3.3</v>
      </c>
      <c r="W645">
        <v>5</v>
      </c>
      <c r="X645">
        <v>7.7</v>
      </c>
      <c r="Y645">
        <v>3.8831169999999999</v>
      </c>
      <c r="Z645">
        <v>3.6</v>
      </c>
      <c r="AA645">
        <v>2.8</v>
      </c>
      <c r="AB645">
        <v>8.1155670000000004</v>
      </c>
      <c r="AC645">
        <v>6.8</v>
      </c>
      <c r="AD645">
        <v>9</v>
      </c>
      <c r="AE645">
        <v>9</v>
      </c>
      <c r="AF645">
        <v>4.3</v>
      </c>
      <c r="AG645">
        <v>5.9</v>
      </c>
      <c r="AH645">
        <v>9.8000000000000007</v>
      </c>
      <c r="AI645">
        <v>6.1</v>
      </c>
      <c r="AJ645">
        <v>7.6</v>
      </c>
      <c r="AK645">
        <v>5.9726470000000003</v>
      </c>
    </row>
    <row r="646" spans="1:37" x14ac:dyDescent="0.2">
      <c r="A646" s="6">
        <v>39692</v>
      </c>
      <c r="B646">
        <v>4.2877910000000004</v>
      </c>
      <c r="D646">
        <v>7.4</v>
      </c>
      <c r="E646">
        <v>6.1</v>
      </c>
      <c r="F646">
        <v>7.3922439999999998</v>
      </c>
      <c r="G646">
        <v>4.4000000000000004</v>
      </c>
      <c r="H646">
        <v>7</v>
      </c>
      <c r="I646">
        <v>3.8</v>
      </c>
      <c r="J646">
        <v>12</v>
      </c>
      <c r="K646">
        <v>6.9</v>
      </c>
      <c r="L646">
        <v>6.7</v>
      </c>
      <c r="M646">
        <v>7.5</v>
      </c>
      <c r="N646">
        <v>5.9680809999999997</v>
      </c>
      <c r="O646">
        <v>7.7</v>
      </c>
      <c r="P646">
        <v>7.6</v>
      </c>
      <c r="Q646">
        <v>7.8</v>
      </c>
      <c r="R646">
        <v>4</v>
      </c>
      <c r="T646">
        <v>6.8</v>
      </c>
      <c r="U646">
        <v>4</v>
      </c>
      <c r="V646">
        <v>3.2</v>
      </c>
      <c r="W646">
        <v>5.0999999999999996</v>
      </c>
      <c r="X646">
        <v>8.5</v>
      </c>
      <c r="Y646">
        <v>3.9631449999999999</v>
      </c>
      <c r="Z646">
        <v>3.6</v>
      </c>
      <c r="AA646">
        <v>2.9</v>
      </c>
      <c r="AB646">
        <v>8.152196</v>
      </c>
      <c r="AC646">
        <v>6.7</v>
      </c>
      <c r="AD646">
        <v>8.9</v>
      </c>
      <c r="AE646">
        <v>8.8000000000000007</v>
      </c>
      <c r="AF646">
        <v>4.2</v>
      </c>
      <c r="AG646">
        <v>6.4</v>
      </c>
      <c r="AH646">
        <v>10.199999999999999</v>
      </c>
      <c r="AI646">
        <v>6.1</v>
      </c>
      <c r="AJ646">
        <v>7.7</v>
      </c>
      <c r="AK646">
        <v>5.9788969999999999</v>
      </c>
    </row>
    <row r="647" spans="1:37" x14ac:dyDescent="0.2">
      <c r="A647" s="6">
        <v>39722</v>
      </c>
      <c r="B647">
        <v>4.290184</v>
      </c>
      <c r="D647">
        <v>6.9</v>
      </c>
      <c r="E647">
        <v>6.2</v>
      </c>
      <c r="F647">
        <v>7.7678409999999998</v>
      </c>
      <c r="G647">
        <v>4.0999999999999996</v>
      </c>
      <c r="H647">
        <v>7</v>
      </c>
      <c r="I647">
        <v>3.9</v>
      </c>
      <c r="J647">
        <v>12.9</v>
      </c>
      <c r="K647">
        <v>7</v>
      </c>
      <c r="L647">
        <v>6.3</v>
      </c>
      <c r="M647">
        <v>7.6</v>
      </c>
      <c r="N647">
        <v>6.1628730000000003</v>
      </c>
      <c r="O647">
        <v>7.6</v>
      </c>
      <c r="P647">
        <v>7.8</v>
      </c>
      <c r="Q647">
        <v>8.1</v>
      </c>
      <c r="R647">
        <v>4.4000000000000004</v>
      </c>
      <c r="T647">
        <v>6.9</v>
      </c>
      <c r="U647">
        <v>3.8</v>
      </c>
      <c r="V647">
        <v>3.3</v>
      </c>
      <c r="W647">
        <v>5.2</v>
      </c>
      <c r="X647">
        <v>9.6999999999999993</v>
      </c>
      <c r="Y647">
        <v>3.9940099999999998</v>
      </c>
      <c r="Z647">
        <v>3.6</v>
      </c>
      <c r="AA647">
        <v>3</v>
      </c>
      <c r="AB647">
        <v>8.1139690000000009</v>
      </c>
      <c r="AC647">
        <v>6.6</v>
      </c>
      <c r="AD647">
        <v>8.9</v>
      </c>
      <c r="AE647">
        <v>8.6999999999999993</v>
      </c>
      <c r="AF647">
        <v>4.2</v>
      </c>
      <c r="AG647">
        <v>6.3</v>
      </c>
      <c r="AH647">
        <v>10.6</v>
      </c>
      <c r="AI647">
        <v>6.5</v>
      </c>
      <c r="AJ647">
        <v>7.8</v>
      </c>
      <c r="AK647">
        <v>6.1344440000000002</v>
      </c>
    </row>
    <row r="648" spans="1:37" x14ac:dyDescent="0.2">
      <c r="A648" s="6">
        <v>39753</v>
      </c>
      <c r="B648">
        <v>4.4628990000000002</v>
      </c>
      <c r="D648">
        <v>6.7</v>
      </c>
      <c r="E648">
        <v>6.6</v>
      </c>
      <c r="F648">
        <v>8.1459639999999993</v>
      </c>
      <c r="G648">
        <v>4.3</v>
      </c>
      <c r="H648">
        <v>7.1</v>
      </c>
      <c r="I648">
        <v>4.2</v>
      </c>
      <c r="J648">
        <v>13.8</v>
      </c>
      <c r="K648">
        <v>7.6</v>
      </c>
      <c r="L648">
        <v>6.7</v>
      </c>
      <c r="M648">
        <v>7.8</v>
      </c>
      <c r="N648">
        <v>6.3529289999999996</v>
      </c>
      <c r="O648">
        <v>7.8</v>
      </c>
      <c r="P648">
        <v>8.1</v>
      </c>
      <c r="Q648">
        <v>8.5</v>
      </c>
      <c r="R648">
        <v>4.9000000000000004</v>
      </c>
      <c r="T648">
        <v>7.1</v>
      </c>
      <c r="U648">
        <v>4</v>
      </c>
      <c r="V648">
        <v>3.4</v>
      </c>
      <c r="W648">
        <v>5.2</v>
      </c>
      <c r="X648">
        <v>10.6</v>
      </c>
      <c r="Y648">
        <v>4.6551689999999999</v>
      </c>
      <c r="Z648">
        <v>3.6</v>
      </c>
      <c r="AA648">
        <v>3.1</v>
      </c>
      <c r="AB648">
        <v>8.0866199999999999</v>
      </c>
      <c r="AC648">
        <v>6.8</v>
      </c>
      <c r="AD648">
        <v>8.9</v>
      </c>
      <c r="AE648">
        <v>8.9</v>
      </c>
      <c r="AF648">
        <v>4.3</v>
      </c>
      <c r="AG648">
        <v>7</v>
      </c>
      <c r="AH648">
        <v>11.5</v>
      </c>
      <c r="AI648">
        <v>6.8</v>
      </c>
      <c r="AJ648">
        <v>8.1</v>
      </c>
      <c r="AK648">
        <v>6.3732449999999998</v>
      </c>
    </row>
    <row r="649" spans="1:37" x14ac:dyDescent="0.2">
      <c r="A649" s="6">
        <v>39783</v>
      </c>
      <c r="B649">
        <v>4.5707589999999998</v>
      </c>
      <c r="D649">
        <v>6.9</v>
      </c>
      <c r="E649">
        <v>6.9</v>
      </c>
      <c r="F649">
        <v>8.6247430000000005</v>
      </c>
      <c r="G649">
        <v>4.8</v>
      </c>
      <c r="H649">
        <v>7.2</v>
      </c>
      <c r="I649">
        <v>4.7</v>
      </c>
      <c r="J649">
        <v>14.8</v>
      </c>
      <c r="K649">
        <v>9.3000000000000007</v>
      </c>
      <c r="L649">
        <v>6.7</v>
      </c>
      <c r="M649">
        <v>8</v>
      </c>
      <c r="N649">
        <v>6.511285</v>
      </c>
      <c r="O649">
        <v>8.6</v>
      </c>
      <c r="P649">
        <v>8.4</v>
      </c>
      <c r="Q649">
        <v>9.1</v>
      </c>
      <c r="R649">
        <v>5.4</v>
      </c>
      <c r="T649">
        <v>6.9</v>
      </c>
      <c r="U649">
        <v>4.4000000000000004</v>
      </c>
      <c r="V649">
        <v>3.4</v>
      </c>
      <c r="W649">
        <v>5.3</v>
      </c>
      <c r="X649">
        <v>11.3</v>
      </c>
      <c r="Y649">
        <v>4.8339569999999998</v>
      </c>
      <c r="Z649">
        <v>3.7</v>
      </c>
      <c r="AA649">
        <v>3.1</v>
      </c>
      <c r="AB649">
        <v>8.0986460000000005</v>
      </c>
      <c r="AC649">
        <v>7</v>
      </c>
      <c r="AD649">
        <v>9.1999999999999993</v>
      </c>
      <c r="AE649">
        <v>9.1</v>
      </c>
      <c r="AF649">
        <v>4.3</v>
      </c>
      <c r="AG649">
        <v>6.8</v>
      </c>
      <c r="AH649">
        <v>12</v>
      </c>
      <c r="AI649">
        <v>7.3</v>
      </c>
      <c r="AJ649">
        <v>8.3000000000000007</v>
      </c>
      <c r="AK649">
        <v>6.6910619999999996</v>
      </c>
    </row>
    <row r="650" spans="1:37" x14ac:dyDescent="0.2">
      <c r="A650" s="6">
        <v>39814</v>
      </c>
      <c r="B650">
        <v>4.907489</v>
      </c>
      <c r="D650">
        <v>7.5</v>
      </c>
      <c r="E650">
        <v>7.4</v>
      </c>
      <c r="F650">
        <v>9.0791409999999999</v>
      </c>
      <c r="G650">
        <v>5.3</v>
      </c>
      <c r="H650">
        <v>7.3</v>
      </c>
      <c r="I650">
        <v>4.9000000000000004</v>
      </c>
      <c r="J650">
        <v>15.9</v>
      </c>
      <c r="K650">
        <v>10.199999999999999</v>
      </c>
      <c r="L650">
        <v>6.7</v>
      </c>
      <c r="M650">
        <v>8.3000000000000007</v>
      </c>
      <c r="N650">
        <v>6.7444839999999999</v>
      </c>
      <c r="O650">
        <v>9</v>
      </c>
      <c r="P650">
        <v>8.6999999999999993</v>
      </c>
      <c r="Q650">
        <v>10.1</v>
      </c>
      <c r="R650">
        <v>6.1</v>
      </c>
      <c r="T650">
        <v>7.2</v>
      </c>
      <c r="U650">
        <v>4.3</v>
      </c>
      <c r="V650">
        <v>3.3</v>
      </c>
      <c r="W650">
        <v>5.4</v>
      </c>
      <c r="X650">
        <v>12.4</v>
      </c>
      <c r="Y650">
        <v>4.7794850000000002</v>
      </c>
      <c r="Z650">
        <v>3.7</v>
      </c>
      <c r="AA650">
        <v>3.1</v>
      </c>
      <c r="AB650">
        <v>8.0635169999999992</v>
      </c>
      <c r="AC650">
        <v>7.4</v>
      </c>
      <c r="AD650">
        <v>9.5</v>
      </c>
      <c r="AE650">
        <v>9.6</v>
      </c>
      <c r="AF650">
        <v>4.5999999999999996</v>
      </c>
      <c r="AG650">
        <v>6.8</v>
      </c>
      <c r="AH650">
        <v>12.6</v>
      </c>
      <c r="AI650">
        <v>7.8</v>
      </c>
      <c r="AJ650">
        <v>8.6999999999999993</v>
      </c>
      <c r="AK650">
        <v>6.994434</v>
      </c>
    </row>
    <row r="651" spans="1:37" x14ac:dyDescent="0.2">
      <c r="A651" s="6">
        <v>39845</v>
      </c>
      <c r="B651">
        <v>5.3090679999999999</v>
      </c>
      <c r="D651">
        <v>7.8</v>
      </c>
      <c r="E651">
        <v>8</v>
      </c>
      <c r="F651">
        <v>9.3785849999999993</v>
      </c>
      <c r="G651">
        <v>5.6</v>
      </c>
      <c r="H651">
        <v>7.5</v>
      </c>
      <c r="I651">
        <v>5.0999999999999996</v>
      </c>
      <c r="J651">
        <v>16.8</v>
      </c>
      <c r="K651">
        <v>11</v>
      </c>
      <c r="L651">
        <v>7.2</v>
      </c>
      <c r="M651">
        <v>8.6</v>
      </c>
      <c r="N651">
        <v>7.0716859999999997</v>
      </c>
      <c r="O651">
        <v>9.1</v>
      </c>
      <c r="P651">
        <v>9.3000000000000007</v>
      </c>
      <c r="Q651">
        <v>10.9</v>
      </c>
      <c r="R651">
        <v>6.7</v>
      </c>
      <c r="T651">
        <v>7.3</v>
      </c>
      <c r="U651">
        <v>4.5999999999999996</v>
      </c>
      <c r="V651">
        <v>3.3</v>
      </c>
      <c r="W651">
        <v>5.4</v>
      </c>
      <c r="X651">
        <v>13.7</v>
      </c>
      <c r="Y651">
        <v>5.2008219999999996</v>
      </c>
      <c r="Z651">
        <v>3.8</v>
      </c>
      <c r="AA651">
        <v>3</v>
      </c>
      <c r="AB651">
        <v>8.0879630000000002</v>
      </c>
      <c r="AC651">
        <v>7.7</v>
      </c>
      <c r="AD651">
        <v>9.6999999999999993</v>
      </c>
      <c r="AE651">
        <v>10.199999999999999</v>
      </c>
      <c r="AF651">
        <v>4.9000000000000004</v>
      </c>
      <c r="AG651">
        <v>7.7</v>
      </c>
      <c r="AH651">
        <v>13</v>
      </c>
      <c r="AI651">
        <v>8.3000000000000007</v>
      </c>
      <c r="AJ651">
        <v>9</v>
      </c>
      <c r="AK651">
        <v>7.3763969999999999</v>
      </c>
    </row>
    <row r="652" spans="1:37" x14ac:dyDescent="0.2">
      <c r="A652" s="6">
        <v>39873</v>
      </c>
      <c r="B652">
        <v>5.7126770000000002</v>
      </c>
      <c r="D652">
        <v>8</v>
      </c>
      <c r="E652">
        <v>8.1999999999999993</v>
      </c>
      <c r="F652">
        <v>9.8735599999999994</v>
      </c>
      <c r="G652">
        <v>5.9</v>
      </c>
      <c r="H652">
        <v>7.6</v>
      </c>
      <c r="I652">
        <v>5.5</v>
      </c>
      <c r="J652">
        <v>17.5</v>
      </c>
      <c r="K652">
        <v>11.9</v>
      </c>
      <c r="L652">
        <v>7.6</v>
      </c>
      <c r="M652">
        <v>8.8000000000000007</v>
      </c>
      <c r="N652">
        <v>7.2744359999999997</v>
      </c>
      <c r="O652">
        <v>9.1999999999999993</v>
      </c>
      <c r="P652">
        <v>9.9</v>
      </c>
      <c r="Q652">
        <v>11.6</v>
      </c>
      <c r="R652">
        <v>7.2</v>
      </c>
      <c r="T652">
        <v>7.7</v>
      </c>
      <c r="U652">
        <v>4.8</v>
      </c>
      <c r="V652">
        <v>3.5</v>
      </c>
      <c r="W652">
        <v>5.4</v>
      </c>
      <c r="X652">
        <v>14.9</v>
      </c>
      <c r="Y652">
        <v>5.0824400000000001</v>
      </c>
      <c r="Z652">
        <v>3.9</v>
      </c>
      <c r="AA652">
        <v>3.1</v>
      </c>
      <c r="AB652">
        <v>8.068778</v>
      </c>
      <c r="AC652">
        <v>7.9</v>
      </c>
      <c r="AD652">
        <v>10</v>
      </c>
      <c r="AE652">
        <v>10.7</v>
      </c>
      <c r="AF652">
        <v>5.2</v>
      </c>
      <c r="AG652">
        <v>7.8</v>
      </c>
      <c r="AH652">
        <v>13.7</v>
      </c>
      <c r="AI652">
        <v>8.6999999999999993</v>
      </c>
      <c r="AJ652">
        <v>9.3000000000000007</v>
      </c>
      <c r="AK652">
        <v>7.6665580000000002</v>
      </c>
    </row>
    <row r="653" spans="1:37" x14ac:dyDescent="0.2">
      <c r="A653" s="6">
        <v>39904</v>
      </c>
      <c r="B653">
        <v>5.5145280000000003</v>
      </c>
      <c r="D653">
        <v>7.9</v>
      </c>
      <c r="E653">
        <v>8.3000000000000007</v>
      </c>
      <c r="F653">
        <v>9.9605800000000002</v>
      </c>
      <c r="G653">
        <v>6.3</v>
      </c>
      <c r="H653">
        <v>7.7</v>
      </c>
      <c r="I653">
        <v>5.9</v>
      </c>
      <c r="J653">
        <v>17.8</v>
      </c>
      <c r="K653">
        <v>12.5</v>
      </c>
      <c r="L653">
        <v>8</v>
      </c>
      <c r="M653">
        <v>9</v>
      </c>
      <c r="N653">
        <v>7.5899289999999997</v>
      </c>
      <c r="O653">
        <v>9.4</v>
      </c>
      <c r="P653">
        <v>9.4</v>
      </c>
      <c r="Q653">
        <v>12.2</v>
      </c>
      <c r="R653">
        <v>7.5</v>
      </c>
      <c r="T653">
        <v>7.5</v>
      </c>
      <c r="U653">
        <v>5</v>
      </c>
      <c r="V653">
        <v>3.6</v>
      </c>
      <c r="W653">
        <v>5.3</v>
      </c>
      <c r="X653">
        <v>16</v>
      </c>
      <c r="Y653">
        <v>5.4083050000000004</v>
      </c>
      <c r="Z653">
        <v>4.0999999999999996</v>
      </c>
      <c r="AA653">
        <v>3.2</v>
      </c>
      <c r="AB653">
        <v>8.0142520000000008</v>
      </c>
      <c r="AC653">
        <v>7.9</v>
      </c>
      <c r="AD653">
        <v>10.3</v>
      </c>
      <c r="AE653">
        <v>11</v>
      </c>
      <c r="AF653">
        <v>5.5</v>
      </c>
      <c r="AG653">
        <v>7.8</v>
      </c>
      <c r="AH653">
        <v>14</v>
      </c>
      <c r="AI653">
        <v>9</v>
      </c>
      <c r="AJ653">
        <v>9.5</v>
      </c>
      <c r="AK653">
        <v>7.8425339999999997</v>
      </c>
    </row>
    <row r="654" spans="1:37" x14ac:dyDescent="0.2">
      <c r="A654" s="6">
        <v>39934</v>
      </c>
      <c r="B654">
        <v>5.8132809999999999</v>
      </c>
      <c r="D654">
        <v>7.7</v>
      </c>
      <c r="E654">
        <v>8.6999999999999993</v>
      </c>
      <c r="F654">
        <v>10.24399</v>
      </c>
      <c r="G654">
        <v>6.5</v>
      </c>
      <c r="H654">
        <v>7.8</v>
      </c>
      <c r="I654">
        <v>6.5</v>
      </c>
      <c r="J654">
        <v>17.899999999999999</v>
      </c>
      <c r="K654">
        <v>12.9</v>
      </c>
      <c r="L654">
        <v>8.5</v>
      </c>
      <c r="M654">
        <v>9.1</v>
      </c>
      <c r="N654">
        <v>7.7638059999999998</v>
      </c>
      <c r="O654">
        <v>9.3000000000000007</v>
      </c>
      <c r="P654">
        <v>9.1999999999999993</v>
      </c>
      <c r="Q654">
        <v>12.7</v>
      </c>
      <c r="R654">
        <v>7.7</v>
      </c>
      <c r="T654">
        <v>7.5</v>
      </c>
      <c r="U654">
        <v>5.0999999999999996</v>
      </c>
      <c r="V654">
        <v>3.9</v>
      </c>
      <c r="W654">
        <v>5.2</v>
      </c>
      <c r="X654">
        <v>17.100000000000001</v>
      </c>
      <c r="Y654">
        <v>5.6987500000000004</v>
      </c>
      <c r="Z654">
        <v>4.2</v>
      </c>
      <c r="AA654">
        <v>3.3</v>
      </c>
      <c r="AB654">
        <v>8.0998780000000004</v>
      </c>
      <c r="AC654">
        <v>7.9</v>
      </c>
      <c r="AD654">
        <v>10.5</v>
      </c>
      <c r="AE654">
        <v>11.4</v>
      </c>
      <c r="AF654">
        <v>5.8</v>
      </c>
      <c r="AG654">
        <v>8.9</v>
      </c>
      <c r="AH654">
        <v>13.8</v>
      </c>
      <c r="AI654">
        <v>9.4</v>
      </c>
      <c r="AJ654">
        <v>9.6</v>
      </c>
      <c r="AK654">
        <v>8.0959269999999997</v>
      </c>
    </row>
    <row r="655" spans="1:37" x14ac:dyDescent="0.2">
      <c r="A655" s="6">
        <v>39965</v>
      </c>
      <c r="B655">
        <v>5.8622430000000003</v>
      </c>
      <c r="D655">
        <v>7.9</v>
      </c>
      <c r="E655">
        <v>8.6999999999999993</v>
      </c>
      <c r="F655">
        <v>10.17309</v>
      </c>
      <c r="G655">
        <v>6.6</v>
      </c>
      <c r="H655">
        <v>7.8</v>
      </c>
      <c r="I655">
        <v>6.3</v>
      </c>
      <c r="J655">
        <v>17.899999999999999</v>
      </c>
      <c r="K655">
        <v>13.1</v>
      </c>
      <c r="L655">
        <v>8.6999999999999993</v>
      </c>
      <c r="M655">
        <v>9.1</v>
      </c>
      <c r="N655">
        <v>7.8684609999999999</v>
      </c>
      <c r="O655">
        <v>9.1999999999999993</v>
      </c>
      <c r="P655">
        <v>9.5</v>
      </c>
      <c r="Q655">
        <v>12.9</v>
      </c>
      <c r="R655">
        <v>7.8</v>
      </c>
      <c r="T655">
        <v>7.8</v>
      </c>
      <c r="U655">
        <v>5.2</v>
      </c>
      <c r="V655">
        <v>3.9</v>
      </c>
      <c r="W655">
        <v>5.3</v>
      </c>
      <c r="X655">
        <v>18.100000000000001</v>
      </c>
      <c r="Y655">
        <v>5.4081289999999997</v>
      </c>
      <c r="Z655">
        <v>4.3</v>
      </c>
      <c r="AA655">
        <v>3.3</v>
      </c>
      <c r="AB655">
        <v>8.0679639999999999</v>
      </c>
      <c r="AC655">
        <v>8</v>
      </c>
      <c r="AD655">
        <v>10.8</v>
      </c>
      <c r="AE655">
        <v>11.8</v>
      </c>
      <c r="AF655">
        <v>6.1</v>
      </c>
      <c r="AG655">
        <v>8.4</v>
      </c>
      <c r="AH655">
        <v>13.4</v>
      </c>
      <c r="AI655">
        <v>9.5</v>
      </c>
      <c r="AJ655">
        <v>9.6999999999999993</v>
      </c>
      <c r="AK655">
        <v>8.2079789999999999</v>
      </c>
    </row>
    <row r="656" spans="1:37" x14ac:dyDescent="0.2">
      <c r="A656" s="6">
        <v>39995</v>
      </c>
      <c r="B656">
        <v>5.6715900000000001</v>
      </c>
      <c r="D656">
        <v>7.9</v>
      </c>
      <c r="E656">
        <v>8.6999999999999993</v>
      </c>
      <c r="F656">
        <v>10.131539999999999</v>
      </c>
      <c r="G656">
        <v>7</v>
      </c>
      <c r="H656">
        <v>7.9</v>
      </c>
      <c r="I656">
        <v>6.4</v>
      </c>
      <c r="J656">
        <v>18</v>
      </c>
      <c r="K656">
        <v>14</v>
      </c>
      <c r="L656">
        <v>8.6999999999999993</v>
      </c>
      <c r="M656">
        <v>9.1</v>
      </c>
      <c r="N656">
        <v>7.8701610000000004</v>
      </c>
      <c r="O656">
        <v>9.8000000000000007</v>
      </c>
      <c r="P656">
        <v>9.6</v>
      </c>
      <c r="Q656">
        <v>13</v>
      </c>
      <c r="R656">
        <v>7.9</v>
      </c>
      <c r="T656">
        <v>8</v>
      </c>
      <c r="U656">
        <v>5.5</v>
      </c>
      <c r="V656">
        <v>3.8</v>
      </c>
      <c r="W656">
        <v>5.0999999999999996</v>
      </c>
      <c r="X656">
        <v>19</v>
      </c>
      <c r="Y656">
        <v>5.7154150000000001</v>
      </c>
      <c r="Z656">
        <v>4.5</v>
      </c>
      <c r="AA656">
        <v>3.3</v>
      </c>
      <c r="AB656">
        <v>8.0992090000000001</v>
      </c>
      <c r="AC656">
        <v>8.1999999999999993</v>
      </c>
      <c r="AD656">
        <v>11</v>
      </c>
      <c r="AE656">
        <v>12.3</v>
      </c>
      <c r="AF656">
        <v>6.4</v>
      </c>
      <c r="AG656">
        <v>8.4</v>
      </c>
      <c r="AH656">
        <v>13.1</v>
      </c>
      <c r="AI656">
        <v>9.5</v>
      </c>
      <c r="AJ656">
        <v>9.8000000000000007</v>
      </c>
      <c r="AK656">
        <v>8.2538040000000006</v>
      </c>
    </row>
    <row r="657" spans="1:37" x14ac:dyDescent="0.2">
      <c r="A657" s="6">
        <v>40026</v>
      </c>
      <c r="B657">
        <v>5.704917</v>
      </c>
      <c r="D657">
        <v>8</v>
      </c>
      <c r="E657">
        <v>8.6</v>
      </c>
      <c r="F657">
        <v>9.7786460000000002</v>
      </c>
      <c r="G657">
        <v>7.5</v>
      </c>
      <c r="H657">
        <v>7.8</v>
      </c>
      <c r="I657">
        <v>6.8</v>
      </c>
      <c r="J657">
        <v>18.2</v>
      </c>
      <c r="K657">
        <v>14.4</v>
      </c>
      <c r="L657">
        <v>8.6</v>
      </c>
      <c r="M657">
        <v>9.1999999999999993</v>
      </c>
      <c r="N657">
        <v>7.8474199999999996</v>
      </c>
      <c r="O657">
        <v>9.9</v>
      </c>
      <c r="P657">
        <v>9.9</v>
      </c>
      <c r="Q657">
        <v>13.2</v>
      </c>
      <c r="R657">
        <v>7.9</v>
      </c>
      <c r="T657">
        <v>8</v>
      </c>
      <c r="U657">
        <v>5.4</v>
      </c>
      <c r="V657">
        <v>3.8</v>
      </c>
      <c r="W657">
        <v>5</v>
      </c>
      <c r="X657">
        <v>19.5</v>
      </c>
      <c r="Y657">
        <v>5.8520050000000001</v>
      </c>
      <c r="Z657">
        <v>4.5999999999999996</v>
      </c>
      <c r="AA657">
        <v>3.3</v>
      </c>
      <c r="AB657">
        <v>8.1116139999999994</v>
      </c>
      <c r="AC657">
        <v>8.3000000000000007</v>
      </c>
      <c r="AD657">
        <v>11.2</v>
      </c>
      <c r="AE657">
        <v>12.7</v>
      </c>
      <c r="AF657">
        <v>6.5</v>
      </c>
      <c r="AG657">
        <v>8.8000000000000007</v>
      </c>
      <c r="AH657">
        <v>13.2</v>
      </c>
      <c r="AI657">
        <v>9.6</v>
      </c>
      <c r="AJ657">
        <v>9.9</v>
      </c>
      <c r="AK657">
        <v>8.2874859999999995</v>
      </c>
    </row>
    <row r="658" spans="1:37" x14ac:dyDescent="0.2">
      <c r="A658" s="6">
        <v>40057</v>
      </c>
      <c r="B658">
        <v>5.660139</v>
      </c>
      <c r="D658">
        <v>8</v>
      </c>
      <c r="E658">
        <v>8.4</v>
      </c>
      <c r="F658">
        <v>9.5626890000000007</v>
      </c>
      <c r="G658">
        <v>7.4</v>
      </c>
      <c r="H658">
        <v>7.8</v>
      </c>
      <c r="I658">
        <v>7.3</v>
      </c>
      <c r="J658">
        <v>18.399999999999999</v>
      </c>
      <c r="K658">
        <v>14.2</v>
      </c>
      <c r="L658">
        <v>8.3000000000000007</v>
      </c>
      <c r="M658">
        <v>9.3000000000000007</v>
      </c>
      <c r="N658">
        <v>7.868379</v>
      </c>
      <c r="O658">
        <v>9.5</v>
      </c>
      <c r="P658">
        <v>10.5</v>
      </c>
      <c r="Q658">
        <v>13.7</v>
      </c>
      <c r="R658">
        <v>8</v>
      </c>
      <c r="T658">
        <v>8.3000000000000007</v>
      </c>
      <c r="U658">
        <v>5.4</v>
      </c>
      <c r="V658">
        <v>3.6</v>
      </c>
      <c r="W658">
        <v>5</v>
      </c>
      <c r="X658">
        <v>19.7</v>
      </c>
      <c r="Y658">
        <v>5.9762399999999998</v>
      </c>
      <c r="Z658">
        <v>4.7</v>
      </c>
      <c r="AA658">
        <v>3.3</v>
      </c>
      <c r="AB658">
        <v>8.0813810000000004</v>
      </c>
      <c r="AC658">
        <v>8.4</v>
      </c>
      <c r="AD658">
        <v>11.3</v>
      </c>
      <c r="AE658">
        <v>13.2</v>
      </c>
      <c r="AF658">
        <v>6.5</v>
      </c>
      <c r="AG658">
        <v>8.8000000000000007</v>
      </c>
      <c r="AH658">
        <v>12.9</v>
      </c>
      <c r="AI658">
        <v>9.8000000000000007</v>
      </c>
      <c r="AJ658">
        <v>10</v>
      </c>
      <c r="AK658">
        <v>8.3682780000000001</v>
      </c>
    </row>
    <row r="659" spans="1:37" x14ac:dyDescent="0.2">
      <c r="A659" s="6">
        <v>40087</v>
      </c>
      <c r="B659">
        <v>5.623659</v>
      </c>
      <c r="D659">
        <v>7.9</v>
      </c>
      <c r="E659">
        <v>8.5</v>
      </c>
      <c r="F659">
        <v>9.4390339999999995</v>
      </c>
      <c r="G659">
        <v>7.3</v>
      </c>
      <c r="H659">
        <v>7.7</v>
      </c>
      <c r="I659">
        <v>7.5</v>
      </c>
      <c r="J659">
        <v>18.600000000000001</v>
      </c>
      <c r="K659">
        <v>15.2</v>
      </c>
      <c r="L659">
        <v>8.9</v>
      </c>
      <c r="M659">
        <v>9.5</v>
      </c>
      <c r="N659">
        <v>7.7812219999999996</v>
      </c>
      <c r="O659">
        <v>10.3</v>
      </c>
      <c r="P659">
        <v>9.6</v>
      </c>
      <c r="Q659">
        <v>13.8</v>
      </c>
      <c r="R659">
        <v>8.1</v>
      </c>
      <c r="T659">
        <v>8.3000000000000007</v>
      </c>
      <c r="U659">
        <v>5.2</v>
      </c>
      <c r="V659">
        <v>3.6</v>
      </c>
      <c r="W659">
        <v>5</v>
      </c>
      <c r="X659">
        <v>20</v>
      </c>
      <c r="Y659">
        <v>5.818136</v>
      </c>
      <c r="Z659">
        <v>4.7</v>
      </c>
      <c r="AA659">
        <v>3.4</v>
      </c>
      <c r="AB659">
        <v>8.094144</v>
      </c>
      <c r="AC659">
        <v>8.4</v>
      </c>
      <c r="AD659">
        <v>11.3</v>
      </c>
      <c r="AE659">
        <v>13.7</v>
      </c>
      <c r="AF659">
        <v>6.5</v>
      </c>
      <c r="AG659">
        <v>8.6999999999999993</v>
      </c>
      <c r="AH659">
        <v>12.5</v>
      </c>
      <c r="AI659">
        <v>10</v>
      </c>
      <c r="AJ659">
        <v>10.1</v>
      </c>
      <c r="AK659">
        <v>8.4355799999999999</v>
      </c>
    </row>
    <row r="660" spans="1:37" x14ac:dyDescent="0.2">
      <c r="A660" s="6">
        <v>40118</v>
      </c>
      <c r="B660">
        <v>5.5583229999999997</v>
      </c>
      <c r="D660">
        <v>8</v>
      </c>
      <c r="E660">
        <v>8.5</v>
      </c>
      <c r="F660">
        <v>9.3646270000000005</v>
      </c>
      <c r="G660">
        <v>7.4</v>
      </c>
      <c r="H660">
        <v>7.6</v>
      </c>
      <c r="I660">
        <v>7.2</v>
      </c>
      <c r="J660">
        <v>18.7</v>
      </c>
      <c r="K660">
        <v>15.6</v>
      </c>
      <c r="L660">
        <v>9.1999999999999993</v>
      </c>
      <c r="M660">
        <v>9.5</v>
      </c>
      <c r="N660">
        <v>7.7726860000000002</v>
      </c>
      <c r="O660">
        <v>10.8</v>
      </c>
      <c r="P660">
        <v>10.3</v>
      </c>
      <c r="Q660">
        <v>13.9</v>
      </c>
      <c r="R660">
        <v>8.1999999999999993</v>
      </c>
      <c r="T660">
        <v>8.4</v>
      </c>
      <c r="U660">
        <v>5.2</v>
      </c>
      <c r="V660">
        <v>3.7</v>
      </c>
      <c r="W660">
        <v>4.9000000000000004</v>
      </c>
      <c r="X660">
        <v>20.3</v>
      </c>
      <c r="Y660">
        <v>5.4890739999999996</v>
      </c>
      <c r="Z660">
        <v>4.9000000000000004</v>
      </c>
      <c r="AA660">
        <v>3.5</v>
      </c>
      <c r="AB660">
        <v>8.0683980000000002</v>
      </c>
      <c r="AC660">
        <v>8.6</v>
      </c>
      <c r="AD660">
        <v>11.2</v>
      </c>
      <c r="AE660">
        <v>14.1</v>
      </c>
      <c r="AF660">
        <v>6.4</v>
      </c>
      <c r="AG660">
        <v>8.6999999999999993</v>
      </c>
      <c r="AH660">
        <v>12.2</v>
      </c>
      <c r="AI660">
        <v>9.9</v>
      </c>
      <c r="AJ660">
        <v>10.1</v>
      </c>
      <c r="AK660">
        <v>8.3987180000000006</v>
      </c>
    </row>
    <row r="661" spans="1:37" x14ac:dyDescent="0.2">
      <c r="A661" s="6">
        <v>40148</v>
      </c>
      <c r="B661">
        <v>5.4915880000000001</v>
      </c>
      <c r="D661">
        <v>8.3000000000000007</v>
      </c>
      <c r="E661">
        <v>8.5</v>
      </c>
      <c r="F661">
        <v>9.3075589999999995</v>
      </c>
      <c r="G661">
        <v>7.3</v>
      </c>
      <c r="H661">
        <v>7.5</v>
      </c>
      <c r="I661">
        <v>7.2</v>
      </c>
      <c r="J661">
        <v>18.899999999999999</v>
      </c>
      <c r="K661">
        <v>16.899999999999999</v>
      </c>
      <c r="L661">
        <v>8.6</v>
      </c>
      <c r="M661">
        <v>9.5</v>
      </c>
      <c r="N661">
        <v>7.7291489999999996</v>
      </c>
      <c r="O661">
        <v>10.1</v>
      </c>
      <c r="P661">
        <v>10.3</v>
      </c>
      <c r="Q661">
        <v>13.8</v>
      </c>
      <c r="R661">
        <v>8.1999999999999993</v>
      </c>
      <c r="T661">
        <v>8.5</v>
      </c>
      <c r="U661">
        <v>5.2</v>
      </c>
      <c r="V661">
        <v>3.6</v>
      </c>
      <c r="W661">
        <v>4.8</v>
      </c>
      <c r="X661">
        <v>20.6</v>
      </c>
      <c r="Y661">
        <v>5.3612659999999996</v>
      </c>
      <c r="Z661">
        <v>5</v>
      </c>
      <c r="AA661">
        <v>3.6</v>
      </c>
      <c r="AB661">
        <v>8.0407150000000005</v>
      </c>
      <c r="AC661">
        <v>9</v>
      </c>
      <c r="AD661">
        <v>11.3</v>
      </c>
      <c r="AE661">
        <v>14.4</v>
      </c>
      <c r="AF661">
        <v>6.4</v>
      </c>
      <c r="AG661">
        <v>9</v>
      </c>
      <c r="AH661">
        <v>12</v>
      </c>
      <c r="AI661">
        <v>9.9</v>
      </c>
      <c r="AJ661">
        <v>10.199999999999999</v>
      </c>
      <c r="AK661">
        <v>8.3569300000000002</v>
      </c>
    </row>
    <row r="662" spans="1:37" x14ac:dyDescent="0.2">
      <c r="A662" s="6">
        <v>40179</v>
      </c>
      <c r="B662">
        <v>5.265917</v>
      </c>
      <c r="D662">
        <v>8.6</v>
      </c>
      <c r="E662">
        <v>8.3000000000000007</v>
      </c>
      <c r="F662">
        <v>9.0529469999999996</v>
      </c>
      <c r="G662">
        <v>7.8</v>
      </c>
      <c r="H662">
        <v>7.4</v>
      </c>
      <c r="I662">
        <v>7.3</v>
      </c>
      <c r="J662">
        <v>19.2</v>
      </c>
      <c r="K662">
        <v>18.2</v>
      </c>
      <c r="L662">
        <v>9</v>
      </c>
      <c r="M662">
        <v>9.3000000000000007</v>
      </c>
      <c r="N662">
        <v>7.9196520000000001</v>
      </c>
      <c r="O662">
        <v>11.2</v>
      </c>
      <c r="P662">
        <v>10.7</v>
      </c>
      <c r="Q662">
        <v>13.8</v>
      </c>
      <c r="R662">
        <v>8.3000000000000007</v>
      </c>
      <c r="T662">
        <v>8.6</v>
      </c>
      <c r="U662">
        <v>5</v>
      </c>
      <c r="V662">
        <v>4.7</v>
      </c>
      <c r="W662">
        <v>4.5999999999999996</v>
      </c>
      <c r="X662">
        <v>20.5</v>
      </c>
      <c r="Y662">
        <v>5.6127089999999997</v>
      </c>
      <c r="Z662">
        <v>5.0999999999999996</v>
      </c>
      <c r="AA662">
        <v>3.6</v>
      </c>
      <c r="AB662">
        <v>8.077064</v>
      </c>
      <c r="AC662">
        <v>9.9</v>
      </c>
      <c r="AD662">
        <v>11.2</v>
      </c>
      <c r="AE662">
        <v>14.9</v>
      </c>
      <c r="AF662">
        <v>6.6</v>
      </c>
      <c r="AG662">
        <v>9.1</v>
      </c>
      <c r="AH662">
        <v>12.2</v>
      </c>
      <c r="AI662">
        <v>9.8000000000000007</v>
      </c>
      <c r="AJ662">
        <v>10.199999999999999</v>
      </c>
      <c r="AK662">
        <v>8.2999460000000003</v>
      </c>
    </row>
    <row r="663" spans="1:37" x14ac:dyDescent="0.2">
      <c r="A663" s="6">
        <v>40210</v>
      </c>
      <c r="B663">
        <v>5.3084369999999996</v>
      </c>
      <c r="D663">
        <v>8.6</v>
      </c>
      <c r="E663">
        <v>8.3000000000000007</v>
      </c>
      <c r="F663">
        <v>9.3637350000000001</v>
      </c>
      <c r="G663">
        <v>7.9</v>
      </c>
      <c r="H663">
        <v>7.3</v>
      </c>
      <c r="I663">
        <v>7.7</v>
      </c>
      <c r="J663">
        <v>19.3</v>
      </c>
      <c r="K663">
        <v>19.100000000000001</v>
      </c>
      <c r="L663">
        <v>8.6999999999999993</v>
      </c>
      <c r="M663">
        <v>9.3000000000000007</v>
      </c>
      <c r="N663">
        <v>8.0095860000000005</v>
      </c>
      <c r="O663">
        <v>11.6</v>
      </c>
      <c r="P663">
        <v>11.6</v>
      </c>
      <c r="Q663">
        <v>13.7</v>
      </c>
      <c r="R663">
        <v>8.4</v>
      </c>
      <c r="T663">
        <v>8.6999999999999993</v>
      </c>
      <c r="U663">
        <v>5</v>
      </c>
      <c r="V663">
        <v>4</v>
      </c>
      <c r="W663">
        <v>4.7</v>
      </c>
      <c r="X663">
        <v>20.399999999999999</v>
      </c>
      <c r="Y663">
        <v>5.396001</v>
      </c>
      <c r="Z663">
        <v>5.0999999999999996</v>
      </c>
      <c r="AA663">
        <v>3.9</v>
      </c>
      <c r="AB663">
        <v>8.1320519999999998</v>
      </c>
      <c r="AC663">
        <v>9.9</v>
      </c>
      <c r="AD663">
        <v>11.5</v>
      </c>
      <c r="AE663">
        <v>15</v>
      </c>
      <c r="AF663">
        <v>6.7</v>
      </c>
      <c r="AG663">
        <v>8.9</v>
      </c>
      <c r="AH663">
        <v>12</v>
      </c>
      <c r="AI663">
        <v>9.8000000000000007</v>
      </c>
      <c r="AJ663">
        <v>10.3</v>
      </c>
      <c r="AK663">
        <v>8.3123710000000006</v>
      </c>
    </row>
    <row r="664" spans="1:37" x14ac:dyDescent="0.2">
      <c r="A664" s="6">
        <v>40238</v>
      </c>
      <c r="B664">
        <v>5.42326</v>
      </c>
      <c r="D664">
        <v>8.5</v>
      </c>
      <c r="E664">
        <v>8.3000000000000007</v>
      </c>
      <c r="F664">
        <v>8.8720459999999992</v>
      </c>
      <c r="G664">
        <v>7.6</v>
      </c>
      <c r="H664">
        <v>7.3</v>
      </c>
      <c r="I664">
        <v>7.9</v>
      </c>
      <c r="J664">
        <v>19.5</v>
      </c>
      <c r="K664">
        <v>19.399999999999999</v>
      </c>
      <c r="L664">
        <v>8.3000000000000007</v>
      </c>
      <c r="M664">
        <v>9.3000000000000007</v>
      </c>
      <c r="N664">
        <v>7.952375</v>
      </c>
      <c r="O664">
        <v>11.4</v>
      </c>
      <c r="P664">
        <v>11.5</v>
      </c>
      <c r="Q664">
        <v>13.9</v>
      </c>
      <c r="R664">
        <v>8.4</v>
      </c>
      <c r="T664">
        <v>8.6</v>
      </c>
      <c r="U664">
        <v>5.0999999999999996</v>
      </c>
      <c r="V664">
        <v>3.6</v>
      </c>
      <c r="W664">
        <v>4.5999999999999996</v>
      </c>
      <c r="X664">
        <v>20.5</v>
      </c>
      <c r="Y664">
        <v>5.1822030000000003</v>
      </c>
      <c r="Z664">
        <v>5.0999999999999996</v>
      </c>
      <c r="AA664">
        <v>3.8</v>
      </c>
      <c r="AB664">
        <v>8.1703440000000001</v>
      </c>
      <c r="AC664">
        <v>9.9</v>
      </c>
      <c r="AD664">
        <v>11.6</v>
      </c>
      <c r="AE664">
        <v>14.9</v>
      </c>
      <c r="AF664">
        <v>6.9</v>
      </c>
      <c r="AG664">
        <v>8.8000000000000007</v>
      </c>
      <c r="AH664">
        <v>12</v>
      </c>
      <c r="AI664">
        <v>9.9</v>
      </c>
      <c r="AJ664">
        <v>10.3</v>
      </c>
      <c r="AK664">
        <v>8.3314550000000001</v>
      </c>
    </row>
    <row r="665" spans="1:37" x14ac:dyDescent="0.2">
      <c r="A665" s="6">
        <v>40269</v>
      </c>
      <c r="B665">
        <v>5.498812</v>
      </c>
      <c r="D665">
        <v>8.4</v>
      </c>
      <c r="E665">
        <v>8.1999999999999993</v>
      </c>
      <c r="F665">
        <v>8.8064719999999994</v>
      </c>
      <c r="G665">
        <v>7.4</v>
      </c>
      <c r="H665">
        <v>7.2</v>
      </c>
      <c r="I665">
        <v>7.9</v>
      </c>
      <c r="J665">
        <v>19.8</v>
      </c>
      <c r="K665">
        <v>18.899999999999999</v>
      </c>
      <c r="L665">
        <v>8.5</v>
      </c>
      <c r="M665">
        <v>9.3000000000000007</v>
      </c>
      <c r="N665">
        <v>7.9228870000000002</v>
      </c>
      <c r="O665">
        <v>12</v>
      </c>
      <c r="P665">
        <v>10.8</v>
      </c>
      <c r="Q665">
        <v>14.2</v>
      </c>
      <c r="R665">
        <v>8.4</v>
      </c>
      <c r="T665">
        <v>8.6999999999999993</v>
      </c>
      <c r="U665">
        <v>5.0999999999999996</v>
      </c>
      <c r="V665">
        <v>3.6</v>
      </c>
      <c r="W665">
        <v>4.5</v>
      </c>
      <c r="X665">
        <v>20.5</v>
      </c>
      <c r="Y665">
        <v>5.5123040000000003</v>
      </c>
      <c r="Z665">
        <v>5</v>
      </c>
      <c r="AA665">
        <v>3.9</v>
      </c>
      <c r="AB665">
        <v>8.2640130000000003</v>
      </c>
      <c r="AC665">
        <v>9.6999999999999993</v>
      </c>
      <c r="AD665">
        <v>11.9</v>
      </c>
      <c r="AE665">
        <v>14.8</v>
      </c>
      <c r="AF665">
        <v>7.2</v>
      </c>
      <c r="AG665">
        <v>9.3000000000000007</v>
      </c>
      <c r="AH665">
        <v>11.5</v>
      </c>
      <c r="AI665">
        <v>9.9</v>
      </c>
      <c r="AJ665">
        <v>10.3</v>
      </c>
      <c r="AK665">
        <v>8.3415160000000004</v>
      </c>
    </row>
    <row r="666" spans="1:37" x14ac:dyDescent="0.2">
      <c r="A666" s="6">
        <v>40299</v>
      </c>
      <c r="B666">
        <v>5.2308329999999996</v>
      </c>
      <c r="D666">
        <v>8.4</v>
      </c>
      <c r="E666">
        <v>8.1</v>
      </c>
      <c r="F666">
        <v>8.2831519999999994</v>
      </c>
      <c r="G666">
        <v>7.4</v>
      </c>
      <c r="H666">
        <v>7</v>
      </c>
      <c r="I666">
        <v>7.7</v>
      </c>
      <c r="J666">
        <v>20</v>
      </c>
      <c r="K666">
        <v>18</v>
      </c>
      <c r="L666">
        <v>8.3000000000000007</v>
      </c>
      <c r="M666">
        <v>9.3000000000000007</v>
      </c>
      <c r="N666">
        <v>7.8523519999999998</v>
      </c>
      <c r="O666">
        <v>12.5</v>
      </c>
      <c r="P666">
        <v>11</v>
      </c>
      <c r="Q666">
        <v>14.5</v>
      </c>
      <c r="R666">
        <v>8.4</v>
      </c>
      <c r="T666">
        <v>8.6999999999999993</v>
      </c>
      <c r="U666">
        <v>5.0999999999999996</v>
      </c>
      <c r="V666">
        <v>3.2</v>
      </c>
      <c r="W666">
        <v>4.4000000000000004</v>
      </c>
      <c r="X666">
        <v>20.3</v>
      </c>
      <c r="Y666">
        <v>5.4172140000000004</v>
      </c>
      <c r="Z666">
        <v>5</v>
      </c>
      <c r="AA666">
        <v>3.9</v>
      </c>
      <c r="AB666">
        <v>8.1757220000000004</v>
      </c>
      <c r="AC666">
        <v>9.6999999999999993</v>
      </c>
      <c r="AD666">
        <v>12.1</v>
      </c>
      <c r="AE666">
        <v>14.7</v>
      </c>
      <c r="AF666">
        <v>7.4</v>
      </c>
      <c r="AG666">
        <v>8.8000000000000007</v>
      </c>
      <c r="AH666">
        <v>11.2</v>
      </c>
      <c r="AI666">
        <v>9.6</v>
      </c>
      <c r="AJ666">
        <v>10.3</v>
      </c>
      <c r="AK666">
        <v>8.1951420000000006</v>
      </c>
    </row>
    <row r="667" spans="1:37" x14ac:dyDescent="0.2">
      <c r="A667" s="6">
        <v>40330</v>
      </c>
      <c r="B667">
        <v>5.1451190000000002</v>
      </c>
      <c r="D667">
        <v>8.5</v>
      </c>
      <c r="E667">
        <v>8</v>
      </c>
      <c r="F667">
        <v>8.0703150000000008</v>
      </c>
      <c r="G667">
        <v>7.1</v>
      </c>
      <c r="H667">
        <v>6.9</v>
      </c>
      <c r="I667">
        <v>7.8</v>
      </c>
      <c r="J667">
        <v>20.100000000000001</v>
      </c>
      <c r="K667">
        <v>17</v>
      </c>
      <c r="L667">
        <v>8.5</v>
      </c>
      <c r="M667">
        <v>9.1999999999999993</v>
      </c>
      <c r="N667">
        <v>7.8203230000000001</v>
      </c>
      <c r="O667">
        <v>12.4</v>
      </c>
      <c r="P667">
        <v>11</v>
      </c>
      <c r="Q667">
        <v>14.4</v>
      </c>
      <c r="R667">
        <v>8.3000000000000007</v>
      </c>
      <c r="T667">
        <v>8.5</v>
      </c>
      <c r="U667">
        <v>5.2</v>
      </c>
      <c r="V667">
        <v>3.5</v>
      </c>
      <c r="W667">
        <v>4.4000000000000004</v>
      </c>
      <c r="X667">
        <v>19.8</v>
      </c>
      <c r="Y667">
        <v>5.2249610000000004</v>
      </c>
      <c r="Z667">
        <v>5</v>
      </c>
      <c r="AA667">
        <v>3.8</v>
      </c>
      <c r="AB667">
        <v>8.1190770000000008</v>
      </c>
      <c r="AC667">
        <v>9.6</v>
      </c>
      <c r="AD667">
        <v>12.4</v>
      </c>
      <c r="AE667">
        <v>14.6</v>
      </c>
      <c r="AF667">
        <v>7.4</v>
      </c>
      <c r="AG667">
        <v>8.1999999999999993</v>
      </c>
      <c r="AH667">
        <v>10.9</v>
      </c>
      <c r="AI667">
        <v>9.4</v>
      </c>
      <c r="AJ667">
        <v>10.3</v>
      </c>
      <c r="AK667">
        <v>8.0706509999999998</v>
      </c>
    </row>
    <row r="668" spans="1:37" x14ac:dyDescent="0.2">
      <c r="A668" s="6">
        <v>40360</v>
      </c>
      <c r="B668">
        <v>5.2864430000000002</v>
      </c>
      <c r="D668">
        <v>8.5</v>
      </c>
      <c r="E668">
        <v>8</v>
      </c>
      <c r="F668">
        <v>7.9744669999999998</v>
      </c>
      <c r="G668">
        <v>7.3</v>
      </c>
      <c r="H668">
        <v>6.8</v>
      </c>
      <c r="I668">
        <v>7.7</v>
      </c>
      <c r="J668">
        <v>19.899999999999999</v>
      </c>
      <c r="K668">
        <v>15.7</v>
      </c>
      <c r="L668">
        <v>8.6</v>
      </c>
      <c r="M668">
        <v>9.1999999999999993</v>
      </c>
      <c r="N668">
        <v>7.782019</v>
      </c>
      <c r="O668">
        <v>12.7</v>
      </c>
      <c r="P668">
        <v>10.199999999999999</v>
      </c>
      <c r="Q668">
        <v>14.3</v>
      </c>
      <c r="R668">
        <v>8.1999999999999993</v>
      </c>
      <c r="T668">
        <v>8.5</v>
      </c>
      <c r="U668">
        <v>5</v>
      </c>
      <c r="V668">
        <v>3.8</v>
      </c>
      <c r="W668">
        <v>4.4000000000000004</v>
      </c>
      <c r="X668">
        <v>19.3</v>
      </c>
      <c r="Y668">
        <v>5.3284729999999998</v>
      </c>
      <c r="Z668">
        <v>5</v>
      </c>
      <c r="AA668">
        <v>3.8</v>
      </c>
      <c r="AB668">
        <v>8.1375460000000004</v>
      </c>
      <c r="AC668">
        <v>9.5</v>
      </c>
      <c r="AD668">
        <v>12.4</v>
      </c>
      <c r="AE668">
        <v>14.5</v>
      </c>
      <c r="AF668">
        <v>7.3</v>
      </c>
      <c r="AG668">
        <v>8.6999999999999993</v>
      </c>
      <c r="AH668">
        <v>10.7</v>
      </c>
      <c r="AI668">
        <v>9.4</v>
      </c>
      <c r="AJ668">
        <v>10.199999999999999</v>
      </c>
      <c r="AK668">
        <v>8.0401749999999996</v>
      </c>
    </row>
    <row r="669" spans="1:37" x14ac:dyDescent="0.2">
      <c r="A669" s="6">
        <v>40391</v>
      </c>
      <c r="B669">
        <v>5.0212349999999999</v>
      </c>
      <c r="D669">
        <v>8.4</v>
      </c>
      <c r="E669">
        <v>8.1</v>
      </c>
      <c r="F669">
        <v>7.7843349999999996</v>
      </c>
      <c r="G669">
        <v>7.2</v>
      </c>
      <c r="H669">
        <v>6.8</v>
      </c>
      <c r="I669">
        <v>7.7</v>
      </c>
      <c r="J669">
        <v>20</v>
      </c>
      <c r="K669">
        <v>15.3</v>
      </c>
      <c r="L669">
        <v>8.4</v>
      </c>
      <c r="M669">
        <v>9.3000000000000007</v>
      </c>
      <c r="N669">
        <v>7.7546460000000002</v>
      </c>
      <c r="O669">
        <v>13.1</v>
      </c>
      <c r="P669">
        <v>10.7</v>
      </c>
      <c r="Q669">
        <v>14.4</v>
      </c>
      <c r="R669">
        <v>8.1999999999999993</v>
      </c>
      <c r="T669">
        <v>8.3000000000000007</v>
      </c>
      <c r="U669">
        <v>5.0999999999999996</v>
      </c>
      <c r="V669">
        <v>3.5</v>
      </c>
      <c r="W669">
        <v>4.4000000000000004</v>
      </c>
      <c r="X669">
        <v>19.100000000000001</v>
      </c>
      <c r="Y669">
        <v>5.0754669999999997</v>
      </c>
      <c r="Z669">
        <v>5</v>
      </c>
      <c r="AA669">
        <v>3.6</v>
      </c>
      <c r="AB669">
        <v>8.0771370000000005</v>
      </c>
      <c r="AC669">
        <v>9.5</v>
      </c>
      <c r="AD669">
        <v>12.4</v>
      </c>
      <c r="AE669">
        <v>14.3</v>
      </c>
      <c r="AF669">
        <v>7.4</v>
      </c>
      <c r="AG669">
        <v>8.4</v>
      </c>
      <c r="AH669">
        <v>11</v>
      </c>
      <c r="AI669">
        <v>9.5</v>
      </c>
      <c r="AJ669">
        <v>10.199999999999999</v>
      </c>
      <c r="AK669">
        <v>8.0710599999999992</v>
      </c>
    </row>
    <row r="670" spans="1:37" x14ac:dyDescent="0.2">
      <c r="A670" s="6">
        <v>40422</v>
      </c>
      <c r="B670">
        <v>5.0533080000000004</v>
      </c>
      <c r="D670">
        <v>8.3000000000000007</v>
      </c>
      <c r="E670">
        <v>8.1999999999999993</v>
      </c>
      <c r="F670">
        <v>7.6890650000000003</v>
      </c>
      <c r="G670">
        <v>6.9</v>
      </c>
      <c r="H670">
        <v>6.7</v>
      </c>
      <c r="I670">
        <v>7.8</v>
      </c>
      <c r="J670">
        <v>20.100000000000001</v>
      </c>
      <c r="K670">
        <v>15</v>
      </c>
      <c r="L670">
        <v>7.8</v>
      </c>
      <c r="M670">
        <v>9.1999999999999993</v>
      </c>
      <c r="N670">
        <v>7.897151</v>
      </c>
      <c r="O670">
        <v>13.1</v>
      </c>
      <c r="P670">
        <v>10.7</v>
      </c>
      <c r="Q670">
        <v>15</v>
      </c>
      <c r="R670">
        <v>8.3000000000000007</v>
      </c>
      <c r="T670">
        <v>8.4</v>
      </c>
      <c r="U670">
        <v>5.0999999999999996</v>
      </c>
      <c r="V670">
        <v>3.8</v>
      </c>
      <c r="W670">
        <v>4.5</v>
      </c>
      <c r="X670">
        <v>18.899999999999999</v>
      </c>
      <c r="Y670">
        <v>5.2944319999999996</v>
      </c>
      <c r="Z670">
        <v>5</v>
      </c>
      <c r="AA670">
        <v>3.7</v>
      </c>
      <c r="AB670">
        <v>8.0337949999999996</v>
      </c>
      <c r="AC670">
        <v>9.5</v>
      </c>
      <c r="AD670">
        <v>12.3</v>
      </c>
      <c r="AE670">
        <v>14.3</v>
      </c>
      <c r="AF670">
        <v>7.4</v>
      </c>
      <c r="AG670">
        <v>8.4</v>
      </c>
      <c r="AH670">
        <v>10.9</v>
      </c>
      <c r="AI670">
        <v>9.5</v>
      </c>
      <c r="AJ670">
        <v>10.199999999999999</v>
      </c>
      <c r="AK670">
        <v>8.0640040000000006</v>
      </c>
    </row>
    <row r="671" spans="1:37" x14ac:dyDescent="0.2">
      <c r="A671" s="6">
        <v>40452</v>
      </c>
      <c r="B671">
        <v>5.2860569999999996</v>
      </c>
      <c r="D671">
        <v>8.1</v>
      </c>
      <c r="E671">
        <v>8</v>
      </c>
      <c r="F671">
        <v>7.4789760000000003</v>
      </c>
      <c r="G671">
        <v>7.1</v>
      </c>
      <c r="H671">
        <v>6.7</v>
      </c>
      <c r="I671">
        <v>7.8</v>
      </c>
      <c r="J671">
        <v>20.100000000000001</v>
      </c>
      <c r="K671">
        <v>14.5</v>
      </c>
      <c r="L671">
        <v>8</v>
      </c>
      <c r="M671">
        <v>9.1999999999999993</v>
      </c>
      <c r="N671">
        <v>7.8710969999999998</v>
      </c>
      <c r="O671">
        <v>13.9</v>
      </c>
      <c r="P671">
        <v>10.1</v>
      </c>
      <c r="Q671">
        <v>15.5</v>
      </c>
      <c r="R671">
        <v>8.4</v>
      </c>
      <c r="T671">
        <v>8.6</v>
      </c>
      <c r="U671">
        <v>5.0999999999999996</v>
      </c>
      <c r="V671">
        <v>3.7</v>
      </c>
      <c r="W671">
        <v>4.5999999999999996</v>
      </c>
      <c r="X671">
        <v>18.600000000000001</v>
      </c>
      <c r="Y671">
        <v>5.5469419999999996</v>
      </c>
      <c r="Z671">
        <v>4.9000000000000004</v>
      </c>
      <c r="AA671">
        <v>3.6</v>
      </c>
      <c r="AB671">
        <v>7.9458840000000004</v>
      </c>
      <c r="AC671">
        <v>9.6</v>
      </c>
      <c r="AD671">
        <v>12.1</v>
      </c>
      <c r="AE671">
        <v>14</v>
      </c>
      <c r="AF671">
        <v>7.7</v>
      </c>
      <c r="AG671">
        <v>8.3000000000000007</v>
      </c>
      <c r="AH671">
        <v>10.7</v>
      </c>
      <c r="AI671">
        <v>9.4</v>
      </c>
      <c r="AJ671">
        <v>10.199999999999999</v>
      </c>
      <c r="AK671">
        <v>8.0500500000000006</v>
      </c>
    </row>
    <row r="672" spans="1:37" x14ac:dyDescent="0.2">
      <c r="A672" s="6">
        <v>40483</v>
      </c>
      <c r="B672">
        <v>5.1079929999999996</v>
      </c>
      <c r="D672">
        <v>7.8</v>
      </c>
      <c r="E672">
        <v>7.7</v>
      </c>
      <c r="F672">
        <v>7.7995599999999996</v>
      </c>
      <c r="G672">
        <v>7</v>
      </c>
      <c r="H672">
        <v>6.6</v>
      </c>
      <c r="I672">
        <v>7.8</v>
      </c>
      <c r="J672">
        <v>20.2</v>
      </c>
      <c r="K672">
        <v>13.6</v>
      </c>
      <c r="L672">
        <v>7.9</v>
      </c>
      <c r="M672">
        <v>9.1999999999999993</v>
      </c>
      <c r="N672">
        <v>7.8632689999999998</v>
      </c>
      <c r="O672">
        <v>14.3</v>
      </c>
      <c r="P672">
        <v>10.5</v>
      </c>
      <c r="Q672">
        <v>15.7</v>
      </c>
      <c r="R672">
        <v>8.4</v>
      </c>
      <c r="T672">
        <v>8.4</v>
      </c>
      <c r="U672">
        <v>5</v>
      </c>
      <c r="V672">
        <v>3.3</v>
      </c>
      <c r="W672">
        <v>4.8</v>
      </c>
      <c r="X672">
        <v>18.2</v>
      </c>
      <c r="Y672">
        <v>5.485087</v>
      </c>
      <c r="Z672">
        <v>4.9000000000000004</v>
      </c>
      <c r="AA672">
        <v>3.7</v>
      </c>
      <c r="AB672">
        <v>7.9640269999999997</v>
      </c>
      <c r="AC672">
        <v>9.5</v>
      </c>
      <c r="AD672">
        <v>12.2</v>
      </c>
      <c r="AE672">
        <v>13.9</v>
      </c>
      <c r="AF672">
        <v>7.8</v>
      </c>
      <c r="AG672">
        <v>8</v>
      </c>
      <c r="AH672">
        <v>10.199999999999999</v>
      </c>
      <c r="AI672">
        <v>9.8000000000000007</v>
      </c>
      <c r="AJ672">
        <v>10.199999999999999</v>
      </c>
      <c r="AK672">
        <v>8.1491380000000007</v>
      </c>
    </row>
    <row r="673" spans="1:37" x14ac:dyDescent="0.2">
      <c r="A673" s="6">
        <v>40513</v>
      </c>
      <c r="B673">
        <v>4.8769910000000003</v>
      </c>
      <c r="D673">
        <v>7.6</v>
      </c>
      <c r="E673">
        <v>7.7</v>
      </c>
      <c r="F673">
        <v>7.9406559999999997</v>
      </c>
      <c r="G673">
        <v>6.8</v>
      </c>
      <c r="H673">
        <v>6.5</v>
      </c>
      <c r="I673">
        <v>7.9</v>
      </c>
      <c r="J673">
        <v>20.3</v>
      </c>
      <c r="K673">
        <v>14.2</v>
      </c>
      <c r="L673">
        <v>8.3000000000000007</v>
      </c>
      <c r="M673">
        <v>9.1999999999999993</v>
      </c>
      <c r="N673">
        <v>7.9086109999999996</v>
      </c>
      <c r="O673">
        <v>14.6</v>
      </c>
      <c r="P673">
        <v>10.8</v>
      </c>
      <c r="Q673">
        <v>15.6</v>
      </c>
      <c r="R673">
        <v>8.4</v>
      </c>
      <c r="T673">
        <v>8.1999999999999993</v>
      </c>
      <c r="U673">
        <v>4.9000000000000004</v>
      </c>
      <c r="V673">
        <v>3.6</v>
      </c>
      <c r="W673">
        <v>4.8</v>
      </c>
      <c r="X673">
        <v>17.7</v>
      </c>
      <c r="Y673">
        <v>5.4982689999999996</v>
      </c>
      <c r="Z673">
        <v>5</v>
      </c>
      <c r="AA673">
        <v>3.5</v>
      </c>
      <c r="AB673">
        <v>7.9300639999999998</v>
      </c>
      <c r="AC673">
        <v>9.5</v>
      </c>
      <c r="AD673">
        <v>12.2</v>
      </c>
      <c r="AE673">
        <v>13.9</v>
      </c>
      <c r="AF673">
        <v>8</v>
      </c>
      <c r="AG673">
        <v>8</v>
      </c>
      <c r="AH673">
        <v>10.1</v>
      </c>
      <c r="AI673">
        <v>9.3000000000000007</v>
      </c>
      <c r="AJ673">
        <v>10.199999999999999</v>
      </c>
      <c r="AK673">
        <v>7.9085890000000001</v>
      </c>
    </row>
    <row r="674" spans="1:37" x14ac:dyDescent="0.2">
      <c r="A674" s="6">
        <v>40544</v>
      </c>
      <c r="B674">
        <v>5.0030640000000002</v>
      </c>
      <c r="D674">
        <v>7.3</v>
      </c>
      <c r="E674">
        <v>7.8</v>
      </c>
      <c r="F674">
        <v>7.846031</v>
      </c>
      <c r="G674">
        <v>7</v>
      </c>
      <c r="H674">
        <v>6.4</v>
      </c>
      <c r="I674">
        <v>7.9</v>
      </c>
      <c r="J674">
        <v>20.399999999999999</v>
      </c>
      <c r="K674">
        <v>14.6</v>
      </c>
      <c r="L674">
        <v>8.1999999999999993</v>
      </c>
      <c r="M674">
        <v>9.1</v>
      </c>
      <c r="N674">
        <v>7.8026600000000004</v>
      </c>
      <c r="O674">
        <v>14.9</v>
      </c>
      <c r="P674">
        <v>11</v>
      </c>
      <c r="Q674">
        <v>15.4</v>
      </c>
      <c r="R674">
        <v>8.4</v>
      </c>
      <c r="T674">
        <v>8.1999999999999993</v>
      </c>
      <c r="U674">
        <v>4.8</v>
      </c>
      <c r="V674">
        <v>3.6</v>
      </c>
      <c r="W674">
        <v>4.7</v>
      </c>
      <c r="X674">
        <v>17.100000000000001</v>
      </c>
      <c r="Y674">
        <v>5.217403</v>
      </c>
      <c r="Z674">
        <v>4.9000000000000004</v>
      </c>
      <c r="AA674">
        <v>3.4</v>
      </c>
      <c r="AB674">
        <v>7.8572059999999997</v>
      </c>
      <c r="AC674">
        <v>9.4</v>
      </c>
      <c r="AD674">
        <v>12.2</v>
      </c>
      <c r="AE674">
        <v>13.8</v>
      </c>
      <c r="AF674">
        <v>8</v>
      </c>
      <c r="AG674">
        <v>8</v>
      </c>
      <c r="AH674">
        <v>9.9</v>
      </c>
      <c r="AI674">
        <v>9.1</v>
      </c>
      <c r="AJ674">
        <v>10.1</v>
      </c>
      <c r="AK674">
        <v>7.7933940000000002</v>
      </c>
    </row>
    <row r="675" spans="1:37" x14ac:dyDescent="0.2">
      <c r="A675" s="6">
        <v>40575</v>
      </c>
      <c r="B675">
        <v>4.9867689999999998</v>
      </c>
      <c r="D675">
        <v>7.1</v>
      </c>
      <c r="E675">
        <v>7.7</v>
      </c>
      <c r="F675">
        <v>7.6226200000000004</v>
      </c>
      <c r="G675">
        <v>7.1</v>
      </c>
      <c r="H675">
        <v>6.2</v>
      </c>
      <c r="I675">
        <v>7.9</v>
      </c>
      <c r="J675">
        <v>20.5</v>
      </c>
      <c r="K675">
        <v>14</v>
      </c>
      <c r="L675">
        <v>8.1999999999999993</v>
      </c>
      <c r="M675">
        <v>9.1</v>
      </c>
      <c r="N675">
        <v>7.778467</v>
      </c>
      <c r="O675">
        <v>15.6</v>
      </c>
      <c r="P675">
        <v>11.6</v>
      </c>
      <c r="Q675">
        <v>15.1</v>
      </c>
      <c r="R675">
        <v>8.3000000000000007</v>
      </c>
      <c r="T675">
        <v>8.1</v>
      </c>
      <c r="U675">
        <v>4.7</v>
      </c>
      <c r="V675">
        <v>3.7</v>
      </c>
      <c r="W675">
        <v>4.7</v>
      </c>
      <c r="X675">
        <v>16.899999999999999</v>
      </c>
      <c r="Y675">
        <v>5.3569000000000004</v>
      </c>
      <c r="Z675">
        <v>4.9000000000000004</v>
      </c>
      <c r="AA675">
        <v>3.2</v>
      </c>
      <c r="AB675">
        <v>7.7747710000000003</v>
      </c>
      <c r="AC675">
        <v>9.3000000000000007</v>
      </c>
      <c r="AD675">
        <v>12.6</v>
      </c>
      <c r="AE675">
        <v>13.8</v>
      </c>
      <c r="AF675">
        <v>8.1</v>
      </c>
      <c r="AG675">
        <v>7.8</v>
      </c>
      <c r="AH675">
        <v>9.6</v>
      </c>
      <c r="AI675">
        <v>9</v>
      </c>
      <c r="AJ675">
        <v>10.1</v>
      </c>
      <c r="AK675">
        <v>7.6816079999999998</v>
      </c>
    </row>
    <row r="676" spans="1:37" x14ac:dyDescent="0.2">
      <c r="A676" s="6">
        <v>40603</v>
      </c>
      <c r="B676">
        <v>4.9254749999999996</v>
      </c>
      <c r="D676">
        <v>6.9</v>
      </c>
      <c r="E676">
        <v>7.7</v>
      </c>
      <c r="F676">
        <v>7.2297640000000003</v>
      </c>
      <c r="G676">
        <v>6.8</v>
      </c>
      <c r="H676">
        <v>6.1</v>
      </c>
      <c r="I676">
        <v>7.7</v>
      </c>
      <c r="J676">
        <v>20.6</v>
      </c>
      <c r="K676">
        <v>13.9</v>
      </c>
      <c r="L676">
        <v>8.5</v>
      </c>
      <c r="M676">
        <v>9.1</v>
      </c>
      <c r="N676">
        <v>7.7169840000000001</v>
      </c>
      <c r="O676">
        <v>16.100000000000001</v>
      </c>
      <c r="P676">
        <v>11.1</v>
      </c>
      <c r="Q676">
        <v>14.9</v>
      </c>
      <c r="R676">
        <v>8.1999999999999993</v>
      </c>
      <c r="T676">
        <v>8.1</v>
      </c>
      <c r="U676">
        <v>4.7</v>
      </c>
      <c r="V676">
        <v>3.8</v>
      </c>
      <c r="W676">
        <v>4.7</v>
      </c>
      <c r="X676">
        <v>16.899999999999999</v>
      </c>
      <c r="Y676">
        <v>4.99064</v>
      </c>
      <c r="Z676">
        <v>4.8</v>
      </c>
      <c r="AA676">
        <v>3.3</v>
      </c>
      <c r="AB676">
        <v>7.6873500000000003</v>
      </c>
      <c r="AC676">
        <v>9.4</v>
      </c>
      <c r="AD676">
        <v>12.9</v>
      </c>
      <c r="AE676">
        <v>13.7</v>
      </c>
      <c r="AF676">
        <v>8.1</v>
      </c>
      <c r="AG676">
        <v>7.9</v>
      </c>
      <c r="AH676">
        <v>9.5</v>
      </c>
      <c r="AI676">
        <v>9</v>
      </c>
      <c r="AJ676">
        <v>10.1</v>
      </c>
      <c r="AK676">
        <v>7.6441039999999996</v>
      </c>
    </row>
    <row r="677" spans="1:37" x14ac:dyDescent="0.2">
      <c r="A677" s="6">
        <v>40634</v>
      </c>
      <c r="B677">
        <v>4.9583469999999998</v>
      </c>
      <c r="D677">
        <v>6.8</v>
      </c>
      <c r="E677">
        <v>7.7</v>
      </c>
      <c r="F677">
        <v>7.0590830000000002</v>
      </c>
      <c r="G677">
        <v>7</v>
      </c>
      <c r="H677">
        <v>6</v>
      </c>
      <c r="I677">
        <v>7.5</v>
      </c>
      <c r="J677">
        <v>20.6</v>
      </c>
      <c r="K677">
        <v>13</v>
      </c>
      <c r="L677">
        <v>7.7</v>
      </c>
      <c r="M677">
        <v>9.1</v>
      </c>
      <c r="N677">
        <v>7.8219589999999997</v>
      </c>
      <c r="O677">
        <v>16.100000000000001</v>
      </c>
      <c r="P677">
        <v>10.5</v>
      </c>
      <c r="Q677">
        <v>15</v>
      </c>
      <c r="R677">
        <v>8.1</v>
      </c>
      <c r="T677">
        <v>8</v>
      </c>
      <c r="U677">
        <v>4.7</v>
      </c>
      <c r="V677">
        <v>3.5</v>
      </c>
      <c r="W677">
        <v>4.7</v>
      </c>
      <c r="X677">
        <v>17.2</v>
      </c>
      <c r="Y677">
        <v>5.2261740000000003</v>
      </c>
      <c r="Z677">
        <v>4.7</v>
      </c>
      <c r="AA677">
        <v>3.4</v>
      </c>
      <c r="AB677">
        <v>7.6648909999999999</v>
      </c>
      <c r="AC677">
        <v>9.6</v>
      </c>
      <c r="AD677">
        <v>12.9</v>
      </c>
      <c r="AE677">
        <v>13.7</v>
      </c>
      <c r="AF677">
        <v>8</v>
      </c>
      <c r="AG677">
        <v>7.7</v>
      </c>
      <c r="AH677">
        <v>9.5</v>
      </c>
      <c r="AI677">
        <v>9.1</v>
      </c>
      <c r="AJ677">
        <v>10</v>
      </c>
      <c r="AK677">
        <v>7.6878089999999997</v>
      </c>
    </row>
    <row r="678" spans="1:37" x14ac:dyDescent="0.2">
      <c r="A678" s="6">
        <v>40664</v>
      </c>
      <c r="B678">
        <v>5.0150769999999998</v>
      </c>
      <c r="D678">
        <v>6.9</v>
      </c>
      <c r="E678">
        <v>7.6</v>
      </c>
      <c r="F678">
        <v>6.915387</v>
      </c>
      <c r="G678">
        <v>6.8</v>
      </c>
      <c r="H678">
        <v>5.9</v>
      </c>
      <c r="I678">
        <v>7.5</v>
      </c>
      <c r="J678">
        <v>20.7</v>
      </c>
      <c r="K678">
        <v>12.9</v>
      </c>
      <c r="L678">
        <v>8</v>
      </c>
      <c r="M678">
        <v>9.1</v>
      </c>
      <c r="N678">
        <v>7.9400329999999997</v>
      </c>
      <c r="O678">
        <v>17.600000000000001</v>
      </c>
      <c r="P678">
        <v>10.9</v>
      </c>
      <c r="Q678">
        <v>15</v>
      </c>
      <c r="R678">
        <v>7.9</v>
      </c>
      <c r="T678">
        <v>8.3000000000000007</v>
      </c>
      <c r="U678">
        <v>4.5999999999999996</v>
      </c>
      <c r="V678">
        <v>3.3</v>
      </c>
      <c r="W678">
        <v>4.8</v>
      </c>
      <c r="X678">
        <v>17.100000000000001</v>
      </c>
      <c r="Y678">
        <v>5.4241089999999996</v>
      </c>
      <c r="Z678">
        <v>4.8</v>
      </c>
      <c r="AA678">
        <v>3.4</v>
      </c>
      <c r="AB678">
        <v>7.6615180000000001</v>
      </c>
      <c r="AC678">
        <v>9.6</v>
      </c>
      <c r="AD678">
        <v>13.2</v>
      </c>
      <c r="AE678">
        <v>13.6</v>
      </c>
      <c r="AF678">
        <v>8</v>
      </c>
      <c r="AG678">
        <v>7.8</v>
      </c>
      <c r="AH678">
        <v>9.6</v>
      </c>
      <c r="AI678">
        <v>9</v>
      </c>
      <c r="AJ678">
        <v>10.1</v>
      </c>
      <c r="AK678">
        <v>7.6674990000000003</v>
      </c>
    </row>
    <row r="679" spans="1:37" x14ac:dyDescent="0.2">
      <c r="A679" s="6">
        <v>40695</v>
      </c>
      <c r="B679">
        <v>4.9170600000000002</v>
      </c>
      <c r="D679">
        <v>7</v>
      </c>
      <c r="E679">
        <v>7.6</v>
      </c>
      <c r="F679">
        <v>7.1792949999999998</v>
      </c>
      <c r="G679">
        <v>6.8</v>
      </c>
      <c r="H679">
        <v>5.8</v>
      </c>
      <c r="I679">
        <v>7.6</v>
      </c>
      <c r="J679">
        <v>21</v>
      </c>
      <c r="K679">
        <v>12.7</v>
      </c>
      <c r="L679">
        <v>8.1999999999999993</v>
      </c>
      <c r="M679">
        <v>9.1999999999999993</v>
      </c>
      <c r="N679">
        <v>8.0128760000000003</v>
      </c>
      <c r="O679">
        <v>17</v>
      </c>
      <c r="P679">
        <v>10.6</v>
      </c>
      <c r="Q679">
        <v>15.2</v>
      </c>
      <c r="R679">
        <v>7.7</v>
      </c>
      <c r="T679">
        <v>8.3000000000000007</v>
      </c>
      <c r="U679">
        <v>4.7</v>
      </c>
      <c r="V679">
        <v>3.3</v>
      </c>
      <c r="W679">
        <v>4.8</v>
      </c>
      <c r="X679">
        <v>16.600000000000001</v>
      </c>
      <c r="Y679">
        <v>5.5514609999999998</v>
      </c>
      <c r="Z679">
        <v>4.7</v>
      </c>
      <c r="AA679">
        <v>3.4</v>
      </c>
      <c r="AB679">
        <v>7.6666080000000001</v>
      </c>
      <c r="AC679">
        <v>9.6</v>
      </c>
      <c r="AD679">
        <v>13.2</v>
      </c>
      <c r="AE679">
        <v>13.5</v>
      </c>
      <c r="AF679">
        <v>8</v>
      </c>
      <c r="AG679">
        <v>7.9</v>
      </c>
      <c r="AH679">
        <v>9.5</v>
      </c>
      <c r="AI679">
        <v>9.1</v>
      </c>
      <c r="AJ679">
        <v>10.1</v>
      </c>
      <c r="AK679">
        <v>7.7136570000000004</v>
      </c>
    </row>
    <row r="680" spans="1:37" x14ac:dyDescent="0.2">
      <c r="A680" s="6">
        <v>40725</v>
      </c>
      <c r="B680">
        <v>5.0895400000000004</v>
      </c>
      <c r="D680">
        <v>7.4</v>
      </c>
      <c r="E680">
        <v>7.3</v>
      </c>
      <c r="F680">
        <v>7.1298789999999999</v>
      </c>
      <c r="G680">
        <v>6.6</v>
      </c>
      <c r="H680">
        <v>5.8</v>
      </c>
      <c r="I680">
        <v>7.7</v>
      </c>
      <c r="J680">
        <v>21.4</v>
      </c>
      <c r="K680">
        <v>11.6</v>
      </c>
      <c r="L680">
        <v>8.1</v>
      </c>
      <c r="M680">
        <v>9.1999999999999993</v>
      </c>
      <c r="N680">
        <v>8.1814459999999993</v>
      </c>
      <c r="O680">
        <v>17.600000000000001</v>
      </c>
      <c r="P680">
        <v>10.3</v>
      </c>
      <c r="Q680">
        <v>15.5</v>
      </c>
      <c r="R680">
        <v>7.5</v>
      </c>
      <c r="T680">
        <v>8.4</v>
      </c>
      <c r="U680">
        <v>4.7</v>
      </c>
      <c r="V680">
        <v>3.3</v>
      </c>
      <c r="W680">
        <v>4.9000000000000004</v>
      </c>
      <c r="X680">
        <v>15.8</v>
      </c>
      <c r="Y680">
        <v>5.2486319999999997</v>
      </c>
      <c r="Z680">
        <v>4.9000000000000004</v>
      </c>
      <c r="AA680">
        <v>3.4</v>
      </c>
      <c r="AB680">
        <v>7.4896279999999997</v>
      </c>
      <c r="AC680">
        <v>9.6999999999999993</v>
      </c>
      <c r="AD680">
        <v>13.3</v>
      </c>
      <c r="AE680">
        <v>13.5</v>
      </c>
      <c r="AF680">
        <v>8.1</v>
      </c>
      <c r="AG680">
        <v>7.7</v>
      </c>
      <c r="AH680">
        <v>9.1999999999999993</v>
      </c>
      <c r="AI680">
        <v>9</v>
      </c>
      <c r="AJ680">
        <v>10.199999999999999</v>
      </c>
      <c r="AK680">
        <v>7.6719229999999996</v>
      </c>
    </row>
    <row r="681" spans="1:37" x14ac:dyDescent="0.2">
      <c r="A681" s="6">
        <v>40756</v>
      </c>
      <c r="B681">
        <v>5.2557410000000004</v>
      </c>
      <c r="D681">
        <v>7.6</v>
      </c>
      <c r="E681">
        <v>7.3</v>
      </c>
      <c r="F681">
        <v>7.3280459999999996</v>
      </c>
      <c r="G681">
        <v>6.4</v>
      </c>
      <c r="H681">
        <v>5.7</v>
      </c>
      <c r="I681">
        <v>7.7</v>
      </c>
      <c r="J681">
        <v>21.7</v>
      </c>
      <c r="K681">
        <v>10.8</v>
      </c>
      <c r="L681">
        <v>7.8</v>
      </c>
      <c r="M681">
        <v>9.1999999999999993</v>
      </c>
      <c r="N681">
        <v>8.3329140000000006</v>
      </c>
      <c r="O681">
        <v>19.100000000000001</v>
      </c>
      <c r="P681">
        <v>10.3</v>
      </c>
      <c r="Q681">
        <v>15.6</v>
      </c>
      <c r="R681">
        <v>7.4</v>
      </c>
      <c r="T681">
        <v>8.6</v>
      </c>
      <c r="U681">
        <v>4.5</v>
      </c>
      <c r="V681">
        <v>3.2</v>
      </c>
      <c r="W681">
        <v>5.0999999999999996</v>
      </c>
      <c r="X681">
        <v>15.4</v>
      </c>
      <c r="Y681">
        <v>5.3974419999999999</v>
      </c>
      <c r="Z681">
        <v>4.9000000000000004</v>
      </c>
      <c r="AA681">
        <v>3.4</v>
      </c>
      <c r="AB681">
        <v>7.4916210000000003</v>
      </c>
      <c r="AC681">
        <v>9.6999999999999993</v>
      </c>
      <c r="AD681">
        <v>13.6</v>
      </c>
      <c r="AE681">
        <v>13.5</v>
      </c>
      <c r="AF681">
        <v>8.1</v>
      </c>
      <c r="AG681">
        <v>7.7</v>
      </c>
      <c r="AH681">
        <v>8.8000000000000007</v>
      </c>
      <c r="AI681">
        <v>9</v>
      </c>
      <c r="AJ681">
        <v>10.3</v>
      </c>
      <c r="AK681">
        <v>7.6469449999999997</v>
      </c>
    </row>
    <row r="682" spans="1:37" x14ac:dyDescent="0.2">
      <c r="A682" s="6">
        <v>40787</v>
      </c>
      <c r="B682">
        <v>5.2213599999999998</v>
      </c>
      <c r="D682">
        <v>7.5</v>
      </c>
      <c r="E682">
        <v>7.4</v>
      </c>
      <c r="F682">
        <v>7.325151</v>
      </c>
      <c r="G682">
        <v>6.7</v>
      </c>
      <c r="H682">
        <v>5.7</v>
      </c>
      <c r="I682">
        <v>7.8</v>
      </c>
      <c r="J682">
        <v>22.1</v>
      </c>
      <c r="K682">
        <v>10.9</v>
      </c>
      <c r="L682">
        <v>7.6</v>
      </c>
      <c r="M682">
        <v>9.1999999999999993</v>
      </c>
      <c r="N682">
        <v>8.3717079999999999</v>
      </c>
      <c r="O682">
        <v>18.600000000000001</v>
      </c>
      <c r="P682">
        <v>10.5</v>
      </c>
      <c r="Q682">
        <v>15.6</v>
      </c>
      <c r="R682">
        <v>7.3</v>
      </c>
      <c r="T682">
        <v>9</v>
      </c>
      <c r="U682">
        <v>4.2</v>
      </c>
      <c r="V682">
        <v>3.3</v>
      </c>
      <c r="W682">
        <v>5</v>
      </c>
      <c r="X682">
        <v>15.3</v>
      </c>
      <c r="Y682">
        <v>5.2998329999999996</v>
      </c>
      <c r="Z682">
        <v>5.0999999999999996</v>
      </c>
      <c r="AA682">
        <v>3.5</v>
      </c>
      <c r="AB682">
        <v>7.4301830000000004</v>
      </c>
      <c r="AC682">
        <v>9.8000000000000007</v>
      </c>
      <c r="AD682">
        <v>14.1</v>
      </c>
      <c r="AE682">
        <v>13.6</v>
      </c>
      <c r="AF682">
        <v>8.4</v>
      </c>
      <c r="AG682">
        <v>7.5</v>
      </c>
      <c r="AH682">
        <v>8.4</v>
      </c>
      <c r="AI682">
        <v>9</v>
      </c>
      <c r="AJ682">
        <v>10.4</v>
      </c>
      <c r="AK682">
        <v>7.6711939999999998</v>
      </c>
    </row>
    <row r="683" spans="1:37" x14ac:dyDescent="0.2">
      <c r="A683" s="6">
        <v>40817</v>
      </c>
      <c r="B683">
        <v>5.1900839999999997</v>
      </c>
      <c r="D683">
        <v>7.2</v>
      </c>
      <c r="E683">
        <v>7.4</v>
      </c>
      <c r="F683">
        <v>7.5802949999999996</v>
      </c>
      <c r="G683">
        <v>6.5</v>
      </c>
      <c r="H683">
        <v>5.6</v>
      </c>
      <c r="I683">
        <v>7.9</v>
      </c>
      <c r="J683">
        <v>22.4</v>
      </c>
      <c r="K683">
        <v>11.5</v>
      </c>
      <c r="L683">
        <v>7.8</v>
      </c>
      <c r="M683">
        <v>9.3000000000000007</v>
      </c>
      <c r="N683">
        <v>8.4674060000000004</v>
      </c>
      <c r="O683">
        <v>20.3</v>
      </c>
      <c r="P683">
        <v>10.7</v>
      </c>
      <c r="Q683">
        <v>15.6</v>
      </c>
      <c r="R683">
        <v>7.3</v>
      </c>
      <c r="T683">
        <v>8.9</v>
      </c>
      <c r="U683">
        <v>4.4000000000000004</v>
      </c>
      <c r="V683">
        <v>3.2</v>
      </c>
      <c r="W683">
        <v>4.8</v>
      </c>
      <c r="X683">
        <v>15.4</v>
      </c>
      <c r="Y683">
        <v>4.8942269999999999</v>
      </c>
      <c r="Z683">
        <v>5.2</v>
      </c>
      <c r="AA683">
        <v>3.5</v>
      </c>
      <c r="AB683">
        <v>7.4653840000000002</v>
      </c>
      <c r="AC683">
        <v>9.9</v>
      </c>
      <c r="AD683">
        <v>14.2</v>
      </c>
      <c r="AE683">
        <v>13.7</v>
      </c>
      <c r="AF683">
        <v>8.6999999999999993</v>
      </c>
      <c r="AG683">
        <v>7.8</v>
      </c>
      <c r="AH683">
        <v>8.5</v>
      </c>
      <c r="AI683">
        <v>8.8000000000000007</v>
      </c>
      <c r="AJ683">
        <v>10.5</v>
      </c>
      <c r="AK683">
        <v>7.6089580000000003</v>
      </c>
    </row>
    <row r="684" spans="1:37" x14ac:dyDescent="0.2">
      <c r="A684" s="6">
        <v>40848</v>
      </c>
      <c r="B684">
        <v>5.2288220000000001</v>
      </c>
      <c r="D684">
        <v>7</v>
      </c>
      <c r="E684">
        <v>7.6</v>
      </c>
      <c r="F684">
        <v>7.3479739999999998</v>
      </c>
      <c r="G684">
        <v>6.5</v>
      </c>
      <c r="H684">
        <v>5.6</v>
      </c>
      <c r="I684">
        <v>8</v>
      </c>
      <c r="J684">
        <v>22.6</v>
      </c>
      <c r="K684">
        <v>11.4</v>
      </c>
      <c r="L684">
        <v>7.5</v>
      </c>
      <c r="M684">
        <v>9.4</v>
      </c>
      <c r="N684">
        <v>8.3940730000000006</v>
      </c>
      <c r="O684">
        <v>20.7</v>
      </c>
      <c r="P684">
        <v>9.9</v>
      </c>
      <c r="Q684">
        <v>15.8</v>
      </c>
      <c r="R684">
        <v>7.1</v>
      </c>
      <c r="T684">
        <v>9.5</v>
      </c>
      <c r="U684">
        <v>4.5</v>
      </c>
      <c r="V684">
        <v>3.3</v>
      </c>
      <c r="W684">
        <v>4.8</v>
      </c>
      <c r="X684">
        <v>15.4</v>
      </c>
      <c r="Y684">
        <v>5.1539820000000001</v>
      </c>
      <c r="Z684">
        <v>5.4</v>
      </c>
      <c r="AA684">
        <v>3.5</v>
      </c>
      <c r="AB684">
        <v>7.3843949999999996</v>
      </c>
      <c r="AC684">
        <v>9.9</v>
      </c>
      <c r="AD684">
        <v>14.6</v>
      </c>
      <c r="AE684">
        <v>13.8</v>
      </c>
      <c r="AF684">
        <v>8.9</v>
      </c>
      <c r="AG684">
        <v>7.7</v>
      </c>
      <c r="AH684">
        <v>8.4</v>
      </c>
      <c r="AI684">
        <v>8.6</v>
      </c>
      <c r="AJ684">
        <v>10.7</v>
      </c>
      <c r="AK684">
        <v>7.5818370000000002</v>
      </c>
    </row>
    <row r="685" spans="1:37" x14ac:dyDescent="0.2">
      <c r="A685" s="6">
        <v>40878</v>
      </c>
      <c r="B685">
        <v>5.196809</v>
      </c>
      <c r="D685">
        <v>7</v>
      </c>
      <c r="E685">
        <v>7.5</v>
      </c>
      <c r="F685">
        <v>7.2873229999999998</v>
      </c>
      <c r="G685">
        <v>6.5</v>
      </c>
      <c r="H685">
        <v>5.5</v>
      </c>
      <c r="I685">
        <v>7.9</v>
      </c>
      <c r="J685">
        <v>22.9</v>
      </c>
      <c r="K685">
        <v>10.9</v>
      </c>
      <c r="L685">
        <v>7.9</v>
      </c>
      <c r="M685">
        <v>9.4</v>
      </c>
      <c r="N685">
        <v>8.3522320000000008</v>
      </c>
      <c r="O685">
        <v>21</v>
      </c>
      <c r="P685">
        <v>10.5</v>
      </c>
      <c r="Q685">
        <v>16.100000000000001</v>
      </c>
      <c r="R685">
        <v>7.1</v>
      </c>
      <c r="T685">
        <v>9.6999999999999993</v>
      </c>
      <c r="U685">
        <v>4.5</v>
      </c>
      <c r="V685">
        <v>3.2</v>
      </c>
      <c r="W685">
        <v>4.9000000000000004</v>
      </c>
      <c r="X685">
        <v>15.3</v>
      </c>
      <c r="Y685">
        <v>5.0522309999999999</v>
      </c>
      <c r="Z685">
        <v>5.4</v>
      </c>
      <c r="AA685">
        <v>3.5</v>
      </c>
      <c r="AB685">
        <v>7.3262140000000002</v>
      </c>
      <c r="AC685">
        <v>9.9</v>
      </c>
      <c r="AD685">
        <v>14.9</v>
      </c>
      <c r="AE685">
        <v>13.9</v>
      </c>
      <c r="AF685">
        <v>8.6</v>
      </c>
      <c r="AG685">
        <v>7.8</v>
      </c>
      <c r="AH685">
        <v>8.5</v>
      </c>
      <c r="AI685">
        <v>8.5</v>
      </c>
      <c r="AJ685">
        <v>10.8</v>
      </c>
      <c r="AK685">
        <v>7.5298670000000003</v>
      </c>
    </row>
    <row r="686" spans="1:37" x14ac:dyDescent="0.2">
      <c r="A686" s="6">
        <v>40909</v>
      </c>
      <c r="B686">
        <v>5.0459630000000004</v>
      </c>
      <c r="D686">
        <v>7.1</v>
      </c>
      <c r="E686">
        <v>7.7</v>
      </c>
      <c r="F686">
        <v>6.8605229999999997</v>
      </c>
      <c r="G686">
        <v>6.6</v>
      </c>
      <c r="H686">
        <v>5.5</v>
      </c>
      <c r="I686">
        <v>7.8</v>
      </c>
      <c r="J686">
        <v>23.2</v>
      </c>
      <c r="K686">
        <v>11</v>
      </c>
      <c r="L686">
        <v>7.8</v>
      </c>
      <c r="M686">
        <v>9.5</v>
      </c>
      <c r="N686">
        <v>8.2886030000000002</v>
      </c>
      <c r="O686">
        <v>21.3</v>
      </c>
      <c r="P686">
        <v>11.9</v>
      </c>
      <c r="Q686">
        <v>15.6</v>
      </c>
      <c r="R686">
        <v>7.1</v>
      </c>
      <c r="S686">
        <v>7.0142470000000001</v>
      </c>
      <c r="T686">
        <v>9.6999999999999993</v>
      </c>
      <c r="U686">
        <v>4.5</v>
      </c>
      <c r="V686">
        <v>3.3</v>
      </c>
      <c r="W686">
        <v>4.9000000000000004</v>
      </c>
      <c r="X686">
        <v>15.5</v>
      </c>
      <c r="Y686">
        <v>4.7425499999999996</v>
      </c>
      <c r="Z686">
        <v>5.5</v>
      </c>
      <c r="AA686">
        <v>3.5</v>
      </c>
      <c r="AB686">
        <v>7.2706350000000004</v>
      </c>
      <c r="AC686">
        <v>9.9</v>
      </c>
      <c r="AD686">
        <v>14.8</v>
      </c>
      <c r="AE686">
        <v>13.9</v>
      </c>
      <c r="AF686">
        <v>8.1999999999999993</v>
      </c>
      <c r="AG686">
        <v>7.9</v>
      </c>
      <c r="AH686">
        <v>8.4</v>
      </c>
      <c r="AI686">
        <v>8.3000000000000007</v>
      </c>
      <c r="AJ686">
        <v>10.8</v>
      </c>
      <c r="AK686">
        <v>7.4602380000000004</v>
      </c>
    </row>
    <row r="687" spans="1:37" x14ac:dyDescent="0.2">
      <c r="A687" s="6">
        <v>40940</v>
      </c>
      <c r="B687">
        <v>5.2144170000000001</v>
      </c>
      <c r="D687">
        <v>7.2</v>
      </c>
      <c r="E687">
        <v>7.5</v>
      </c>
      <c r="F687">
        <v>6.8318839999999996</v>
      </c>
      <c r="G687">
        <v>7.1</v>
      </c>
      <c r="H687">
        <v>5.4</v>
      </c>
      <c r="I687">
        <v>7.8</v>
      </c>
      <c r="J687">
        <v>23.6</v>
      </c>
      <c r="K687">
        <v>11.1</v>
      </c>
      <c r="L687">
        <v>7.3</v>
      </c>
      <c r="M687">
        <v>9.5</v>
      </c>
      <c r="N687">
        <v>8.2103610000000007</v>
      </c>
      <c r="O687">
        <v>22.2</v>
      </c>
      <c r="P687">
        <v>11.4</v>
      </c>
      <c r="Q687">
        <v>16.100000000000001</v>
      </c>
      <c r="R687">
        <v>7.1</v>
      </c>
      <c r="S687">
        <v>6.9596479999999996</v>
      </c>
      <c r="T687">
        <v>10.1</v>
      </c>
      <c r="U687">
        <v>4.5</v>
      </c>
      <c r="V687">
        <v>3.4</v>
      </c>
      <c r="W687">
        <v>5</v>
      </c>
      <c r="X687">
        <v>15.7</v>
      </c>
      <c r="Y687">
        <v>5.2967880000000003</v>
      </c>
      <c r="Z687">
        <v>5.5</v>
      </c>
      <c r="AA687">
        <v>3.2</v>
      </c>
      <c r="AB687">
        <v>7.2675919999999996</v>
      </c>
      <c r="AC687">
        <v>9.9</v>
      </c>
      <c r="AD687">
        <v>15.2</v>
      </c>
      <c r="AE687">
        <v>13.9</v>
      </c>
      <c r="AF687">
        <v>8.1</v>
      </c>
      <c r="AG687">
        <v>7.8</v>
      </c>
      <c r="AH687">
        <v>8.6</v>
      </c>
      <c r="AI687">
        <v>8.3000000000000007</v>
      </c>
      <c r="AJ687">
        <v>11</v>
      </c>
      <c r="AK687">
        <v>7.4484110000000001</v>
      </c>
    </row>
    <row r="688" spans="1:37" x14ac:dyDescent="0.2">
      <c r="A688" s="6">
        <v>40969</v>
      </c>
      <c r="B688">
        <v>5.1801219999999999</v>
      </c>
      <c r="D688">
        <v>7.2</v>
      </c>
      <c r="E688">
        <v>7.3</v>
      </c>
      <c r="F688">
        <v>6.7714509999999999</v>
      </c>
      <c r="G688">
        <v>7</v>
      </c>
      <c r="H688">
        <v>5.4</v>
      </c>
      <c r="I688">
        <v>7.9</v>
      </c>
      <c r="J688">
        <v>23.8</v>
      </c>
      <c r="K688">
        <v>11</v>
      </c>
      <c r="L688">
        <v>7.8</v>
      </c>
      <c r="M688">
        <v>9.5</v>
      </c>
      <c r="N688">
        <v>8.1736660000000008</v>
      </c>
      <c r="O688">
        <v>22.7</v>
      </c>
      <c r="P688">
        <v>10.9</v>
      </c>
      <c r="Q688">
        <v>16.100000000000001</v>
      </c>
      <c r="R688">
        <v>7.1</v>
      </c>
      <c r="S688">
        <v>7.3935560000000002</v>
      </c>
      <c r="T688">
        <v>10.6</v>
      </c>
      <c r="U688">
        <v>4.5</v>
      </c>
      <c r="V688">
        <v>3.3</v>
      </c>
      <c r="W688">
        <v>5.0999999999999996</v>
      </c>
      <c r="X688">
        <v>16.100000000000001</v>
      </c>
      <c r="Y688">
        <v>5.035469</v>
      </c>
      <c r="Z688">
        <v>5.5</v>
      </c>
      <c r="AA688">
        <v>3.1</v>
      </c>
      <c r="AB688">
        <v>7.1291909999999996</v>
      </c>
      <c r="AC688">
        <v>9.9</v>
      </c>
      <c r="AD688">
        <v>15.6</v>
      </c>
      <c r="AE688">
        <v>13.8</v>
      </c>
      <c r="AF688">
        <v>8</v>
      </c>
      <c r="AG688">
        <v>7.5</v>
      </c>
      <c r="AH688">
        <v>8.6</v>
      </c>
      <c r="AI688">
        <v>8.1999999999999993</v>
      </c>
      <c r="AJ688">
        <v>11.1</v>
      </c>
      <c r="AK688">
        <v>7.448512</v>
      </c>
    </row>
    <row r="689" spans="1:37" x14ac:dyDescent="0.2">
      <c r="A689" s="6">
        <v>41000</v>
      </c>
      <c r="B689">
        <v>4.9918060000000004</v>
      </c>
      <c r="D689">
        <v>7.2</v>
      </c>
      <c r="E689">
        <v>7.3</v>
      </c>
      <c r="F689">
        <v>6.7088159999999997</v>
      </c>
      <c r="G689">
        <v>6.8</v>
      </c>
      <c r="H689">
        <v>5.4</v>
      </c>
      <c r="I689">
        <v>8.1</v>
      </c>
      <c r="J689">
        <v>24.2</v>
      </c>
      <c r="K689">
        <v>10</v>
      </c>
      <c r="L689">
        <v>7.7</v>
      </c>
      <c r="M689">
        <v>9.6</v>
      </c>
      <c r="N689">
        <v>8.0803100000000008</v>
      </c>
      <c r="O689">
        <v>23.5</v>
      </c>
      <c r="P689">
        <v>11.4</v>
      </c>
      <c r="Q689">
        <v>15.7</v>
      </c>
      <c r="R689">
        <v>7</v>
      </c>
      <c r="S689">
        <v>6.9134820000000001</v>
      </c>
      <c r="T689">
        <v>10.7</v>
      </c>
      <c r="U689">
        <v>4.5</v>
      </c>
      <c r="V689">
        <v>3.3</v>
      </c>
      <c r="W689">
        <v>5</v>
      </c>
      <c r="X689">
        <v>16.5</v>
      </c>
      <c r="Y689">
        <v>4.9337900000000001</v>
      </c>
      <c r="Z689">
        <v>5.7</v>
      </c>
      <c r="AA689">
        <v>3.1</v>
      </c>
      <c r="AB689">
        <v>7.1170679999999997</v>
      </c>
      <c r="AC689">
        <v>10</v>
      </c>
      <c r="AD689">
        <v>16.100000000000001</v>
      </c>
      <c r="AE689">
        <v>14</v>
      </c>
      <c r="AF689">
        <v>8.1999999999999993</v>
      </c>
      <c r="AG689">
        <v>7.5</v>
      </c>
      <c r="AH689">
        <v>8.5</v>
      </c>
      <c r="AI689">
        <v>8.1999999999999993</v>
      </c>
      <c r="AJ689">
        <v>11.3</v>
      </c>
      <c r="AK689">
        <v>7.4360759999999999</v>
      </c>
    </row>
    <row r="690" spans="1:37" x14ac:dyDescent="0.2">
      <c r="A690" s="6">
        <v>41030</v>
      </c>
      <c r="B690">
        <v>5.2028939999999997</v>
      </c>
      <c r="D690">
        <v>7.3</v>
      </c>
      <c r="E690">
        <v>7.4</v>
      </c>
      <c r="F690">
        <v>6.5115220000000003</v>
      </c>
      <c r="G690">
        <v>6.9</v>
      </c>
      <c r="H690">
        <v>5.4</v>
      </c>
      <c r="I690">
        <v>8.1999999999999993</v>
      </c>
      <c r="J690">
        <v>24.7</v>
      </c>
      <c r="K690">
        <v>9.9</v>
      </c>
      <c r="L690">
        <v>7.7</v>
      </c>
      <c r="M690">
        <v>9.6999999999999993</v>
      </c>
      <c r="N690">
        <v>7.9916429999999998</v>
      </c>
      <c r="O690">
        <v>24.1</v>
      </c>
      <c r="P690">
        <v>10.9</v>
      </c>
      <c r="Q690">
        <v>15.5</v>
      </c>
      <c r="R690">
        <v>6.9</v>
      </c>
      <c r="S690">
        <v>6.9956139999999998</v>
      </c>
      <c r="T690">
        <v>10.7</v>
      </c>
      <c r="U690">
        <v>4.4000000000000004</v>
      </c>
      <c r="V690">
        <v>3.2</v>
      </c>
      <c r="W690">
        <v>5.0999999999999996</v>
      </c>
      <c r="X690">
        <v>16.399999999999999</v>
      </c>
      <c r="Y690">
        <v>4.9792709999999998</v>
      </c>
      <c r="Z690">
        <v>5.7</v>
      </c>
      <c r="AA690">
        <v>3.2</v>
      </c>
      <c r="AB690">
        <v>7.0554800000000002</v>
      </c>
      <c r="AC690">
        <v>10.1</v>
      </c>
      <c r="AD690">
        <v>16.3</v>
      </c>
      <c r="AE690">
        <v>13.9</v>
      </c>
      <c r="AF690">
        <v>8.5</v>
      </c>
      <c r="AG690">
        <v>8.1999999999999993</v>
      </c>
      <c r="AH690">
        <v>8.3000000000000007</v>
      </c>
      <c r="AI690">
        <v>8.1999999999999993</v>
      </c>
      <c r="AJ690">
        <v>11.4</v>
      </c>
      <c r="AK690">
        <v>7.4272340000000003</v>
      </c>
    </row>
    <row r="691" spans="1:37" x14ac:dyDescent="0.2">
      <c r="A691" s="6">
        <v>41061</v>
      </c>
      <c r="B691">
        <v>5.1633829999999996</v>
      </c>
      <c r="D691">
        <v>7.3</v>
      </c>
      <c r="E691">
        <v>7.2</v>
      </c>
      <c r="F691">
        <v>6.3510580000000001</v>
      </c>
      <c r="G691">
        <v>6.8</v>
      </c>
      <c r="H691">
        <v>5.4</v>
      </c>
      <c r="I691">
        <v>8</v>
      </c>
      <c r="J691">
        <v>24.9</v>
      </c>
      <c r="K691">
        <v>9.9</v>
      </c>
      <c r="L691">
        <v>7.8</v>
      </c>
      <c r="M691">
        <v>9.6999999999999993</v>
      </c>
      <c r="N691">
        <v>8.0384189999999993</v>
      </c>
      <c r="O691">
        <v>25.2</v>
      </c>
      <c r="P691">
        <v>10.1</v>
      </c>
      <c r="Q691">
        <v>15.4</v>
      </c>
      <c r="R691">
        <v>6.8</v>
      </c>
      <c r="S691">
        <v>6.63978</v>
      </c>
      <c r="T691">
        <v>10.9</v>
      </c>
      <c r="U691">
        <v>4.3</v>
      </c>
      <c r="V691">
        <v>3.2</v>
      </c>
      <c r="W691">
        <v>5.0999999999999996</v>
      </c>
      <c r="X691">
        <v>15.6</v>
      </c>
      <c r="Y691">
        <v>4.8997710000000003</v>
      </c>
      <c r="Z691">
        <v>5.7</v>
      </c>
      <c r="AA691">
        <v>3.2</v>
      </c>
      <c r="AB691">
        <v>6.9954989999999997</v>
      </c>
      <c r="AC691">
        <v>10.199999999999999</v>
      </c>
      <c r="AD691">
        <v>16.5</v>
      </c>
      <c r="AE691">
        <v>13.8</v>
      </c>
      <c r="AF691">
        <v>8.8000000000000007</v>
      </c>
      <c r="AG691">
        <v>7.9</v>
      </c>
      <c r="AH691">
        <v>8</v>
      </c>
      <c r="AI691">
        <v>8.1999999999999993</v>
      </c>
      <c r="AJ691">
        <v>11.5</v>
      </c>
      <c r="AK691">
        <v>7.4265860000000004</v>
      </c>
    </row>
    <row r="692" spans="1:37" x14ac:dyDescent="0.2">
      <c r="A692" s="6">
        <v>41091</v>
      </c>
      <c r="B692">
        <v>5.1770060000000004</v>
      </c>
      <c r="D692">
        <v>7.3</v>
      </c>
      <c r="E692">
        <v>7.3</v>
      </c>
      <c r="F692">
        <v>6.2355320000000001</v>
      </c>
      <c r="G692">
        <v>6.9</v>
      </c>
      <c r="H692">
        <v>5.4</v>
      </c>
      <c r="I692">
        <v>7.8</v>
      </c>
      <c r="J692">
        <v>25.1</v>
      </c>
      <c r="K692">
        <v>9.6999999999999993</v>
      </c>
      <c r="L692">
        <v>8</v>
      </c>
      <c r="M692">
        <v>9.6999999999999993</v>
      </c>
      <c r="N692">
        <v>7.8896249999999997</v>
      </c>
      <c r="O692">
        <v>25.2</v>
      </c>
      <c r="P692">
        <v>10.6</v>
      </c>
      <c r="Q692">
        <v>15.6</v>
      </c>
      <c r="R692">
        <v>6.7</v>
      </c>
      <c r="S692">
        <v>6.5560710000000002</v>
      </c>
      <c r="T692">
        <v>11.1</v>
      </c>
      <c r="U692">
        <v>4.3</v>
      </c>
      <c r="V692">
        <v>3.1</v>
      </c>
      <c r="W692">
        <v>5</v>
      </c>
      <c r="X692">
        <v>14.3</v>
      </c>
      <c r="Y692">
        <v>4.7002940000000004</v>
      </c>
      <c r="Z692">
        <v>5.9</v>
      </c>
      <c r="AA692">
        <v>3.2</v>
      </c>
      <c r="AB692">
        <v>7.0068849999999996</v>
      </c>
      <c r="AC692">
        <v>10.199999999999999</v>
      </c>
      <c r="AD692">
        <v>16.7</v>
      </c>
      <c r="AE692">
        <v>13.9</v>
      </c>
      <c r="AF692">
        <v>9.4</v>
      </c>
      <c r="AG692">
        <v>8</v>
      </c>
      <c r="AH692">
        <v>8.1</v>
      </c>
      <c r="AI692">
        <v>8.1999999999999993</v>
      </c>
      <c r="AJ692">
        <v>11.5</v>
      </c>
      <c r="AK692">
        <v>7.4253749999999998</v>
      </c>
    </row>
    <row r="693" spans="1:37" x14ac:dyDescent="0.2">
      <c r="A693" s="6">
        <v>41122</v>
      </c>
      <c r="B693">
        <v>5.1431139999999997</v>
      </c>
      <c r="D693">
        <v>7.5</v>
      </c>
      <c r="E693">
        <v>7.3</v>
      </c>
      <c r="F693">
        <v>6.3452669999999998</v>
      </c>
      <c r="G693">
        <v>7.2</v>
      </c>
      <c r="H693">
        <v>5.3</v>
      </c>
      <c r="I693">
        <v>7.8</v>
      </c>
      <c r="J693">
        <v>25.3</v>
      </c>
      <c r="K693">
        <v>9.5</v>
      </c>
      <c r="L693">
        <v>8.1</v>
      </c>
      <c r="M693">
        <v>9.8000000000000007</v>
      </c>
      <c r="N693">
        <v>7.859896</v>
      </c>
      <c r="O693">
        <v>25.5</v>
      </c>
      <c r="P693">
        <v>10</v>
      </c>
      <c r="Q693">
        <v>15.6</v>
      </c>
      <c r="R693">
        <v>6.5</v>
      </c>
      <c r="S693">
        <v>6.6783029999999997</v>
      </c>
      <c r="T693">
        <v>11</v>
      </c>
      <c r="U693">
        <v>4.2</v>
      </c>
      <c r="V693">
        <v>3.1</v>
      </c>
      <c r="W693">
        <v>5</v>
      </c>
      <c r="X693">
        <v>13.8</v>
      </c>
      <c r="Y693">
        <v>4.997566</v>
      </c>
      <c r="Z693">
        <v>5.8</v>
      </c>
      <c r="AA693">
        <v>3.2</v>
      </c>
      <c r="AB693">
        <v>7.0175799999999997</v>
      </c>
      <c r="AC693">
        <v>10.3</v>
      </c>
      <c r="AD693">
        <v>17.3</v>
      </c>
      <c r="AE693">
        <v>14</v>
      </c>
      <c r="AF693">
        <v>9.6</v>
      </c>
      <c r="AG693">
        <v>8.1999999999999993</v>
      </c>
      <c r="AH693">
        <v>8.1999999999999993</v>
      </c>
      <c r="AI693">
        <v>8.1</v>
      </c>
      <c r="AJ693">
        <v>11.6</v>
      </c>
      <c r="AK693">
        <v>7.3360539999999999</v>
      </c>
    </row>
    <row r="694" spans="1:37" x14ac:dyDescent="0.2">
      <c r="A694" s="6">
        <v>41153</v>
      </c>
      <c r="B694">
        <v>5.4884919999999999</v>
      </c>
      <c r="D694">
        <v>7.7</v>
      </c>
      <c r="E694">
        <v>7.3</v>
      </c>
      <c r="F694">
        <v>6.6047209999999996</v>
      </c>
      <c r="G694">
        <v>6.8</v>
      </c>
      <c r="H694">
        <v>5.3</v>
      </c>
      <c r="I694">
        <v>7.8</v>
      </c>
      <c r="J694">
        <v>25.5</v>
      </c>
      <c r="K694">
        <v>8.9</v>
      </c>
      <c r="L694">
        <v>8.1</v>
      </c>
      <c r="M694">
        <v>9.9</v>
      </c>
      <c r="N694">
        <v>7.8517000000000001</v>
      </c>
      <c r="O694">
        <v>26.1</v>
      </c>
      <c r="P694">
        <v>9.8000000000000007</v>
      </c>
      <c r="Q694">
        <v>15.4</v>
      </c>
      <c r="R694">
        <v>6.4</v>
      </c>
      <c r="S694">
        <v>6.8688419999999999</v>
      </c>
      <c r="T694">
        <v>11.2</v>
      </c>
      <c r="U694">
        <v>4.2</v>
      </c>
      <c r="V694">
        <v>3.2</v>
      </c>
      <c r="W694">
        <v>5.0999999999999996</v>
      </c>
      <c r="X694">
        <v>13.8</v>
      </c>
      <c r="Y694">
        <v>4.6661700000000002</v>
      </c>
      <c r="Z694">
        <v>6</v>
      </c>
      <c r="AA694">
        <v>3.3</v>
      </c>
      <c r="AB694">
        <v>6.9095060000000004</v>
      </c>
      <c r="AC694">
        <v>10.3</v>
      </c>
      <c r="AD694">
        <v>17.3</v>
      </c>
      <c r="AE694">
        <v>13.9</v>
      </c>
      <c r="AF694">
        <v>9.6</v>
      </c>
      <c r="AG694">
        <v>8.1</v>
      </c>
      <c r="AH694">
        <v>8.4</v>
      </c>
      <c r="AI694">
        <v>7.8</v>
      </c>
      <c r="AJ694">
        <v>11.7</v>
      </c>
      <c r="AK694">
        <v>7.2593540000000001</v>
      </c>
    </row>
    <row r="695" spans="1:37" x14ac:dyDescent="0.2">
      <c r="A695" s="6">
        <v>41183</v>
      </c>
      <c r="B695">
        <v>5.4150229999999997</v>
      </c>
      <c r="D695">
        <v>8.1</v>
      </c>
      <c r="E695">
        <v>7.5</v>
      </c>
      <c r="F695">
        <v>6.5795719999999998</v>
      </c>
      <c r="G695">
        <v>7.2</v>
      </c>
      <c r="H695">
        <v>5.3</v>
      </c>
      <c r="I695">
        <v>7.6</v>
      </c>
      <c r="J695">
        <v>25.6</v>
      </c>
      <c r="K695">
        <v>9</v>
      </c>
      <c r="L695">
        <v>7.8</v>
      </c>
      <c r="M695">
        <v>10</v>
      </c>
      <c r="N695">
        <v>7.8197219999999996</v>
      </c>
      <c r="O695">
        <v>26.1</v>
      </c>
      <c r="P695">
        <v>10.6</v>
      </c>
      <c r="Q695">
        <v>15.2</v>
      </c>
      <c r="R695">
        <v>6.2</v>
      </c>
      <c r="S695">
        <v>6.8602359999999996</v>
      </c>
      <c r="T695">
        <v>11.7</v>
      </c>
      <c r="U695">
        <v>4.0999999999999996</v>
      </c>
      <c r="V695">
        <v>3.1</v>
      </c>
      <c r="W695">
        <v>5.2</v>
      </c>
      <c r="X695">
        <v>14.5</v>
      </c>
      <c r="Y695">
        <v>4.9279700000000002</v>
      </c>
      <c r="Z695">
        <v>6.1</v>
      </c>
      <c r="AA695">
        <v>3.4</v>
      </c>
      <c r="AB695">
        <v>6.8153579999999998</v>
      </c>
      <c r="AC695">
        <v>10.199999999999999</v>
      </c>
      <c r="AD695">
        <v>17.600000000000001</v>
      </c>
      <c r="AE695">
        <v>14.1</v>
      </c>
      <c r="AF695">
        <v>9.5</v>
      </c>
      <c r="AG695">
        <v>8</v>
      </c>
      <c r="AH695">
        <v>8.4</v>
      </c>
      <c r="AI695">
        <v>7.8</v>
      </c>
      <c r="AJ695">
        <v>11.8</v>
      </c>
      <c r="AK695">
        <v>7.2910399999999997</v>
      </c>
    </row>
    <row r="696" spans="1:37" x14ac:dyDescent="0.2">
      <c r="A696" s="6">
        <v>41214</v>
      </c>
      <c r="B696">
        <v>5.254003</v>
      </c>
      <c r="D696">
        <v>8.3000000000000007</v>
      </c>
      <c r="E696">
        <v>7.4</v>
      </c>
      <c r="F696">
        <v>6.7020289999999996</v>
      </c>
      <c r="G696">
        <v>7.5</v>
      </c>
      <c r="H696">
        <v>5.3</v>
      </c>
      <c r="I696">
        <v>7.4</v>
      </c>
      <c r="J696">
        <v>25.9</v>
      </c>
      <c r="K696">
        <v>9.1</v>
      </c>
      <c r="L696">
        <v>8.1</v>
      </c>
      <c r="M696">
        <v>10.1</v>
      </c>
      <c r="N696">
        <v>7.8135779999999997</v>
      </c>
      <c r="O696">
        <v>26.4</v>
      </c>
      <c r="P696">
        <v>10.4</v>
      </c>
      <c r="Q696">
        <v>15</v>
      </c>
      <c r="R696">
        <v>6.1</v>
      </c>
      <c r="S696">
        <v>6.865723</v>
      </c>
      <c r="T696">
        <v>11.6</v>
      </c>
      <c r="U696">
        <v>4.0999999999999996</v>
      </c>
      <c r="V696">
        <v>3.2</v>
      </c>
      <c r="W696">
        <v>5.3</v>
      </c>
      <c r="X696">
        <v>14.4</v>
      </c>
      <c r="Y696">
        <v>5.2834770000000004</v>
      </c>
      <c r="Z696">
        <v>6.2</v>
      </c>
      <c r="AA696">
        <v>3.6</v>
      </c>
      <c r="AB696">
        <v>6.7807339999999998</v>
      </c>
      <c r="AC696">
        <v>10.3</v>
      </c>
      <c r="AD696">
        <v>17.7</v>
      </c>
      <c r="AE696">
        <v>14.2</v>
      </c>
      <c r="AF696">
        <v>9.5</v>
      </c>
      <c r="AG696">
        <v>8.4</v>
      </c>
      <c r="AH696">
        <v>8.6</v>
      </c>
      <c r="AI696">
        <v>7.7</v>
      </c>
      <c r="AJ696">
        <v>11.9</v>
      </c>
      <c r="AK696">
        <v>7.2538390000000001</v>
      </c>
    </row>
    <row r="697" spans="1:37" x14ac:dyDescent="0.2">
      <c r="A697" s="6">
        <v>41244</v>
      </c>
      <c r="B697">
        <v>5.4333830000000001</v>
      </c>
      <c r="D697">
        <v>8.4</v>
      </c>
      <c r="E697">
        <v>7.3</v>
      </c>
      <c r="F697">
        <v>6.4832280000000004</v>
      </c>
      <c r="G697">
        <v>7</v>
      </c>
      <c r="H697">
        <v>5.3</v>
      </c>
      <c r="I697">
        <v>7.5</v>
      </c>
      <c r="J697">
        <v>26</v>
      </c>
      <c r="K697">
        <v>9.5</v>
      </c>
      <c r="L697">
        <v>7.7</v>
      </c>
      <c r="M697">
        <v>10.199999999999999</v>
      </c>
      <c r="N697">
        <v>7.8222120000000004</v>
      </c>
      <c r="O697">
        <v>26.2</v>
      </c>
      <c r="P697">
        <v>9.9</v>
      </c>
      <c r="Q697">
        <v>14.8</v>
      </c>
      <c r="R697">
        <v>6.1</v>
      </c>
      <c r="S697">
        <v>6.7729160000000004</v>
      </c>
      <c r="T697">
        <v>11.7</v>
      </c>
      <c r="U697">
        <v>4.3</v>
      </c>
      <c r="V697">
        <v>3.1</v>
      </c>
      <c r="W697">
        <v>5.4</v>
      </c>
      <c r="X697">
        <v>13.9</v>
      </c>
      <c r="Y697">
        <v>4.9837629999999997</v>
      </c>
      <c r="Z697">
        <v>6.4</v>
      </c>
      <c r="AA697">
        <v>3.5</v>
      </c>
      <c r="AB697">
        <v>6.7326490000000003</v>
      </c>
      <c r="AC697">
        <v>10.3</v>
      </c>
      <c r="AD697">
        <v>18</v>
      </c>
      <c r="AE697">
        <v>14.3</v>
      </c>
      <c r="AF697">
        <v>9.8000000000000007</v>
      </c>
      <c r="AG697">
        <v>8.1</v>
      </c>
      <c r="AH697">
        <v>8.8000000000000007</v>
      </c>
      <c r="AI697">
        <v>7.9</v>
      </c>
      <c r="AJ697">
        <v>11.9</v>
      </c>
      <c r="AK697">
        <v>7.3631719999999996</v>
      </c>
    </row>
    <row r="698" spans="1:37" x14ac:dyDescent="0.2">
      <c r="A698" s="6">
        <v>41275</v>
      </c>
      <c r="B698">
        <v>5.3859830000000004</v>
      </c>
      <c r="D698">
        <v>8.4</v>
      </c>
      <c r="E698">
        <v>7.1</v>
      </c>
      <c r="F698">
        <v>6.6499600000000001</v>
      </c>
      <c r="G698">
        <v>6.9</v>
      </c>
      <c r="H698">
        <v>5.4</v>
      </c>
      <c r="I698">
        <v>7.6</v>
      </c>
      <c r="J698">
        <v>26.2</v>
      </c>
      <c r="K698">
        <v>9.9</v>
      </c>
      <c r="L698">
        <v>8.6999999999999993</v>
      </c>
      <c r="M698">
        <v>10.3</v>
      </c>
      <c r="N698">
        <v>7.9757980000000002</v>
      </c>
      <c r="O698">
        <v>26.6</v>
      </c>
      <c r="P698">
        <v>11.7</v>
      </c>
      <c r="Q698">
        <v>14.7</v>
      </c>
      <c r="R698">
        <v>6.1</v>
      </c>
      <c r="S698">
        <v>6.7622840000000002</v>
      </c>
      <c r="T698">
        <v>12.1</v>
      </c>
      <c r="U698">
        <v>4.2</v>
      </c>
      <c r="V698">
        <v>3.2</v>
      </c>
      <c r="W698">
        <v>5.5</v>
      </c>
      <c r="X698">
        <v>13</v>
      </c>
      <c r="Y698">
        <v>5.217041</v>
      </c>
      <c r="Z698">
        <v>6.6</v>
      </c>
      <c r="AA698">
        <v>3.7</v>
      </c>
      <c r="AB698">
        <v>6.7207169999999996</v>
      </c>
      <c r="AC698">
        <v>10.5</v>
      </c>
      <c r="AD698">
        <v>18</v>
      </c>
      <c r="AE698">
        <v>14.4</v>
      </c>
      <c r="AF698">
        <v>10.3</v>
      </c>
      <c r="AG698">
        <v>7.9</v>
      </c>
      <c r="AH698">
        <v>8.8000000000000007</v>
      </c>
      <c r="AI698">
        <v>8</v>
      </c>
      <c r="AJ698">
        <v>12.1</v>
      </c>
      <c r="AK698">
        <v>7.4504210000000004</v>
      </c>
    </row>
    <row r="699" spans="1:37" x14ac:dyDescent="0.2">
      <c r="A699" s="6">
        <v>41306</v>
      </c>
      <c r="B699">
        <v>5.4271450000000003</v>
      </c>
      <c r="D699">
        <v>8.4</v>
      </c>
      <c r="E699">
        <v>7.1</v>
      </c>
      <c r="F699">
        <v>6.4565530000000004</v>
      </c>
      <c r="G699">
        <v>7.4</v>
      </c>
      <c r="H699">
        <v>5.4</v>
      </c>
      <c r="I699">
        <v>7.6</v>
      </c>
      <c r="J699">
        <v>26.3</v>
      </c>
      <c r="K699">
        <v>9.6999999999999993</v>
      </c>
      <c r="L699">
        <v>8.3000000000000007</v>
      </c>
      <c r="M699">
        <v>10.3</v>
      </c>
      <c r="N699">
        <v>7.844703</v>
      </c>
      <c r="O699">
        <v>26.6</v>
      </c>
      <c r="P699">
        <v>11.4</v>
      </c>
      <c r="Q699">
        <v>14.6</v>
      </c>
      <c r="R699">
        <v>6.1</v>
      </c>
      <c r="S699">
        <v>6.7974750000000004</v>
      </c>
      <c r="T699">
        <v>12</v>
      </c>
      <c r="U699">
        <v>4.3</v>
      </c>
      <c r="V699">
        <v>3.2</v>
      </c>
      <c r="W699">
        <v>5.6</v>
      </c>
      <c r="X699">
        <v>12.6</v>
      </c>
      <c r="Y699">
        <v>4.8694870000000003</v>
      </c>
      <c r="Z699">
        <v>6.8</v>
      </c>
      <c r="AA699">
        <v>3.7</v>
      </c>
      <c r="AB699">
        <v>6.6357059999999999</v>
      </c>
      <c r="AC699">
        <v>10.6</v>
      </c>
      <c r="AD699">
        <v>17.8</v>
      </c>
      <c r="AE699">
        <v>14.4</v>
      </c>
      <c r="AF699">
        <v>10.6</v>
      </c>
      <c r="AG699">
        <v>8</v>
      </c>
      <c r="AH699">
        <v>8.8000000000000007</v>
      </c>
      <c r="AI699">
        <v>7.7</v>
      </c>
      <c r="AJ699">
        <v>12.1</v>
      </c>
      <c r="AK699">
        <v>7.3105890000000002</v>
      </c>
    </row>
    <row r="700" spans="1:37" x14ac:dyDescent="0.2">
      <c r="A700" s="6">
        <v>41334</v>
      </c>
      <c r="B700">
        <v>5.6340510000000004</v>
      </c>
      <c r="D700">
        <v>8.4</v>
      </c>
      <c r="E700">
        <v>7.3</v>
      </c>
      <c r="F700">
        <v>6.553642</v>
      </c>
      <c r="G700">
        <v>7.3</v>
      </c>
      <c r="H700">
        <v>5.4</v>
      </c>
      <c r="I700">
        <v>7.6</v>
      </c>
      <c r="J700">
        <v>26.2</v>
      </c>
      <c r="K700">
        <v>9.1</v>
      </c>
      <c r="L700">
        <v>8.1999999999999993</v>
      </c>
      <c r="M700">
        <v>10.4</v>
      </c>
      <c r="N700">
        <v>7.7920309999999997</v>
      </c>
      <c r="O700">
        <v>27.1</v>
      </c>
      <c r="P700">
        <v>10.199999999999999</v>
      </c>
      <c r="Q700">
        <v>14.4</v>
      </c>
      <c r="R700">
        <v>6.1</v>
      </c>
      <c r="S700">
        <v>6.6543739999999998</v>
      </c>
      <c r="T700">
        <v>12</v>
      </c>
      <c r="U700">
        <v>4.0999999999999996</v>
      </c>
      <c r="V700">
        <v>3</v>
      </c>
      <c r="W700">
        <v>5.7</v>
      </c>
      <c r="X700">
        <v>12.1</v>
      </c>
      <c r="Y700">
        <v>4.9153060000000002</v>
      </c>
      <c r="Z700">
        <v>6.9</v>
      </c>
      <c r="AA700">
        <v>3.8</v>
      </c>
      <c r="AB700">
        <v>6.6608130000000001</v>
      </c>
      <c r="AC700">
        <v>10.7</v>
      </c>
      <c r="AD700">
        <v>17.8</v>
      </c>
      <c r="AE700">
        <v>14.3</v>
      </c>
      <c r="AF700">
        <v>10.8</v>
      </c>
      <c r="AG700">
        <v>8.3000000000000007</v>
      </c>
      <c r="AH700">
        <v>9</v>
      </c>
      <c r="AI700">
        <v>7.5</v>
      </c>
      <c r="AJ700">
        <v>12.1</v>
      </c>
      <c r="AK700">
        <v>7.2321819999999999</v>
      </c>
    </row>
    <row r="701" spans="1:37" x14ac:dyDescent="0.2">
      <c r="A701" s="6">
        <v>41365</v>
      </c>
      <c r="B701">
        <v>5.5833690000000002</v>
      </c>
      <c r="D701">
        <v>8.4</v>
      </c>
      <c r="E701">
        <v>7.2</v>
      </c>
      <c r="F701">
        <v>6.3199269999999999</v>
      </c>
      <c r="G701">
        <v>7</v>
      </c>
      <c r="H701">
        <v>5.3</v>
      </c>
      <c r="I701">
        <v>7.5</v>
      </c>
      <c r="J701">
        <v>26.3</v>
      </c>
      <c r="K701">
        <v>8.1</v>
      </c>
      <c r="L701">
        <v>8.3000000000000007</v>
      </c>
      <c r="M701">
        <v>10.4</v>
      </c>
      <c r="N701">
        <v>7.7580520000000002</v>
      </c>
      <c r="O701">
        <v>27.6</v>
      </c>
      <c r="P701">
        <v>9.8000000000000007</v>
      </c>
      <c r="Q701">
        <v>14.5</v>
      </c>
      <c r="R701">
        <v>6.1</v>
      </c>
      <c r="S701">
        <v>6.7991140000000003</v>
      </c>
      <c r="T701">
        <v>12.3</v>
      </c>
      <c r="U701">
        <v>4.0999999999999996</v>
      </c>
      <c r="V701">
        <v>3</v>
      </c>
      <c r="W701">
        <v>5.7</v>
      </c>
      <c r="X701">
        <v>11.6</v>
      </c>
      <c r="Y701">
        <v>5.1227039999999997</v>
      </c>
      <c r="Z701">
        <v>7</v>
      </c>
      <c r="AA701">
        <v>3.8</v>
      </c>
      <c r="AB701">
        <v>6.576613</v>
      </c>
      <c r="AC701">
        <v>10.7</v>
      </c>
      <c r="AD701">
        <v>17.7</v>
      </c>
      <c r="AE701">
        <v>14.4</v>
      </c>
      <c r="AF701">
        <v>10.9</v>
      </c>
      <c r="AG701">
        <v>8.1999999999999993</v>
      </c>
      <c r="AH701">
        <v>9.1</v>
      </c>
      <c r="AI701">
        <v>7.6</v>
      </c>
      <c r="AJ701">
        <v>12.1</v>
      </c>
      <c r="AK701">
        <v>7.241663</v>
      </c>
    </row>
    <row r="702" spans="1:37" x14ac:dyDescent="0.2">
      <c r="A702" s="6">
        <v>41395</v>
      </c>
      <c r="B702">
        <v>5.612959</v>
      </c>
      <c r="D702">
        <v>8.4</v>
      </c>
      <c r="E702">
        <v>7</v>
      </c>
      <c r="F702">
        <v>6.0079940000000001</v>
      </c>
      <c r="G702">
        <v>7.2</v>
      </c>
      <c r="H702">
        <v>5.3</v>
      </c>
      <c r="I702">
        <v>7.5</v>
      </c>
      <c r="J702">
        <v>26.2</v>
      </c>
      <c r="K702">
        <v>7.9</v>
      </c>
      <c r="L702">
        <v>8.4</v>
      </c>
      <c r="M702">
        <v>10.4</v>
      </c>
      <c r="N702">
        <v>7.7482360000000003</v>
      </c>
      <c r="O702">
        <v>27.9</v>
      </c>
      <c r="P702">
        <v>10.6</v>
      </c>
      <c r="Q702">
        <v>14.5</v>
      </c>
      <c r="R702">
        <v>6.1</v>
      </c>
      <c r="S702">
        <v>6.6362909999999999</v>
      </c>
      <c r="T702">
        <v>12.4</v>
      </c>
      <c r="U702">
        <v>4.0999999999999996</v>
      </c>
      <c r="V702">
        <v>3.1</v>
      </c>
      <c r="W702">
        <v>5.8</v>
      </c>
      <c r="X702">
        <v>11.3</v>
      </c>
      <c r="Y702">
        <v>5.0547089999999999</v>
      </c>
      <c r="Z702">
        <v>7.1</v>
      </c>
      <c r="AA702">
        <v>3.7</v>
      </c>
      <c r="AB702">
        <v>6.5666719999999996</v>
      </c>
      <c r="AC702">
        <v>10.6</v>
      </c>
      <c r="AD702">
        <v>17.899999999999999</v>
      </c>
      <c r="AE702">
        <v>14.4</v>
      </c>
      <c r="AF702">
        <v>10.7</v>
      </c>
      <c r="AG702">
        <v>7.9</v>
      </c>
      <c r="AH702">
        <v>9</v>
      </c>
      <c r="AI702">
        <v>7.5</v>
      </c>
      <c r="AJ702">
        <v>12.1</v>
      </c>
      <c r="AK702">
        <v>7.2070699999999999</v>
      </c>
    </row>
    <row r="703" spans="1:37" x14ac:dyDescent="0.2">
      <c r="A703" s="6">
        <v>41426</v>
      </c>
      <c r="B703">
        <v>5.6958840000000004</v>
      </c>
      <c r="D703">
        <v>8.4</v>
      </c>
      <c r="E703">
        <v>7.2</v>
      </c>
      <c r="F703">
        <v>5.5880789999999996</v>
      </c>
      <c r="G703">
        <v>6.7</v>
      </c>
      <c r="H703">
        <v>5.2</v>
      </c>
      <c r="I703">
        <v>7.2</v>
      </c>
      <c r="J703">
        <v>26.2</v>
      </c>
      <c r="K703">
        <v>7.7</v>
      </c>
      <c r="L703">
        <v>7.5</v>
      </c>
      <c r="M703">
        <v>10.4</v>
      </c>
      <c r="N703">
        <v>7.6711130000000001</v>
      </c>
      <c r="O703">
        <v>27.9</v>
      </c>
      <c r="P703">
        <v>9.5</v>
      </c>
      <c r="Q703">
        <v>14.1</v>
      </c>
      <c r="R703">
        <v>6.1</v>
      </c>
      <c r="S703">
        <v>6.2104410000000003</v>
      </c>
      <c r="T703">
        <v>12.4</v>
      </c>
      <c r="U703">
        <v>3.9</v>
      </c>
      <c r="V703">
        <v>3.1</v>
      </c>
      <c r="W703">
        <v>5.9</v>
      </c>
      <c r="X703">
        <v>11.2</v>
      </c>
      <c r="Y703">
        <v>5.062106</v>
      </c>
      <c r="Z703">
        <v>7.3</v>
      </c>
      <c r="AA703">
        <v>3.6</v>
      </c>
      <c r="AB703">
        <v>6.5699860000000001</v>
      </c>
      <c r="AC703">
        <v>10.5</v>
      </c>
      <c r="AD703">
        <v>17.7</v>
      </c>
      <c r="AE703">
        <v>14.4</v>
      </c>
      <c r="AF703">
        <v>10.3</v>
      </c>
      <c r="AG703">
        <v>8</v>
      </c>
      <c r="AH703">
        <v>8.9</v>
      </c>
      <c r="AI703">
        <v>7.5</v>
      </c>
      <c r="AJ703">
        <v>12.1</v>
      </c>
      <c r="AK703">
        <v>7.1807730000000003</v>
      </c>
    </row>
    <row r="704" spans="1:37" x14ac:dyDescent="0.2">
      <c r="A704" s="6">
        <v>41456</v>
      </c>
      <c r="B704">
        <v>5.6276739999999998</v>
      </c>
      <c r="D704">
        <v>8.4</v>
      </c>
      <c r="E704">
        <v>7.1</v>
      </c>
      <c r="F704">
        <v>5.5735960000000002</v>
      </c>
      <c r="G704">
        <v>6.6</v>
      </c>
      <c r="H704">
        <v>5.2</v>
      </c>
      <c r="I704">
        <v>7.4</v>
      </c>
      <c r="J704">
        <v>26.3</v>
      </c>
      <c r="K704">
        <v>7.6</v>
      </c>
      <c r="L704">
        <v>7.9</v>
      </c>
      <c r="M704">
        <v>10.3</v>
      </c>
      <c r="N704">
        <v>7.6975850000000001</v>
      </c>
      <c r="O704">
        <v>28.2</v>
      </c>
      <c r="P704">
        <v>9.6</v>
      </c>
      <c r="Q704">
        <v>13.6</v>
      </c>
      <c r="R704">
        <v>6</v>
      </c>
      <c r="S704">
        <v>6.1503500000000004</v>
      </c>
      <c r="T704">
        <v>12.2</v>
      </c>
      <c r="U704">
        <v>3.8</v>
      </c>
      <c r="V704">
        <v>3.2</v>
      </c>
      <c r="W704">
        <v>5.9</v>
      </c>
      <c r="X704">
        <v>11.8</v>
      </c>
      <c r="Y704">
        <v>4.8090539999999997</v>
      </c>
      <c r="Z704">
        <v>7.5</v>
      </c>
      <c r="AA704">
        <v>3.7</v>
      </c>
      <c r="AB704">
        <v>6.5256360000000004</v>
      </c>
      <c r="AC704">
        <v>10.4</v>
      </c>
      <c r="AD704">
        <v>17.7</v>
      </c>
      <c r="AE704">
        <v>14.2</v>
      </c>
      <c r="AF704">
        <v>9.9</v>
      </c>
      <c r="AG704">
        <v>7.9</v>
      </c>
      <c r="AH704">
        <v>9.1</v>
      </c>
      <c r="AI704">
        <v>7.3</v>
      </c>
      <c r="AJ704">
        <v>12.1</v>
      </c>
      <c r="AK704">
        <v>7.0382350000000002</v>
      </c>
    </row>
    <row r="705" spans="1:37" x14ac:dyDescent="0.2">
      <c r="A705" s="6">
        <v>41487</v>
      </c>
      <c r="B705">
        <v>5.8209249999999999</v>
      </c>
      <c r="D705">
        <v>8.5</v>
      </c>
      <c r="E705">
        <v>7.1</v>
      </c>
      <c r="F705">
        <v>5.6489200000000004</v>
      </c>
      <c r="G705">
        <v>7.1</v>
      </c>
      <c r="H705">
        <v>5.2</v>
      </c>
      <c r="I705">
        <v>7.4</v>
      </c>
      <c r="J705">
        <v>26.2</v>
      </c>
      <c r="K705">
        <v>7.9</v>
      </c>
      <c r="L705">
        <v>8.1999999999999993</v>
      </c>
      <c r="M705">
        <v>10.199999999999999</v>
      </c>
      <c r="N705">
        <v>7.6181970000000003</v>
      </c>
      <c r="O705">
        <v>27.5</v>
      </c>
      <c r="P705">
        <v>10</v>
      </c>
      <c r="Q705">
        <v>13.3</v>
      </c>
      <c r="R705">
        <v>5.9</v>
      </c>
      <c r="S705">
        <v>5.7056639999999996</v>
      </c>
      <c r="T705">
        <v>12.5</v>
      </c>
      <c r="U705">
        <v>4.0999999999999996</v>
      </c>
      <c r="V705">
        <v>3.2</v>
      </c>
      <c r="W705">
        <v>5.9</v>
      </c>
      <c r="X705">
        <v>12</v>
      </c>
      <c r="Y705">
        <v>4.8331470000000003</v>
      </c>
      <c r="Z705">
        <v>7.5</v>
      </c>
      <c r="AA705">
        <v>3.8</v>
      </c>
      <c r="AB705">
        <v>6.447235</v>
      </c>
      <c r="AC705">
        <v>10.199999999999999</v>
      </c>
      <c r="AD705">
        <v>16.899999999999999</v>
      </c>
      <c r="AE705">
        <v>14.2</v>
      </c>
      <c r="AF705">
        <v>9.8000000000000007</v>
      </c>
      <c r="AG705">
        <v>8</v>
      </c>
      <c r="AH705">
        <v>9.1999999999999993</v>
      </c>
      <c r="AI705">
        <v>7.2</v>
      </c>
      <c r="AJ705">
        <v>12.1</v>
      </c>
      <c r="AK705">
        <v>7.0713699999999999</v>
      </c>
    </row>
    <row r="706" spans="1:37" x14ac:dyDescent="0.2">
      <c r="A706" s="6">
        <v>41518</v>
      </c>
      <c r="B706">
        <v>5.7052639999999997</v>
      </c>
      <c r="D706">
        <v>8.5</v>
      </c>
      <c r="E706">
        <v>7.1</v>
      </c>
      <c r="F706">
        <v>5.8746900000000002</v>
      </c>
      <c r="G706">
        <v>7</v>
      </c>
      <c r="H706">
        <v>5.2</v>
      </c>
      <c r="I706">
        <v>7.1</v>
      </c>
      <c r="J706">
        <v>26.1</v>
      </c>
      <c r="K706">
        <v>8.1</v>
      </c>
      <c r="L706">
        <v>8.3000000000000007</v>
      </c>
      <c r="M706">
        <v>10.3</v>
      </c>
      <c r="N706">
        <v>7.3688190000000002</v>
      </c>
      <c r="O706">
        <v>27.9</v>
      </c>
      <c r="P706">
        <v>9</v>
      </c>
      <c r="Q706">
        <v>13.1</v>
      </c>
      <c r="R706">
        <v>5.9</v>
      </c>
      <c r="S706">
        <v>5.9240199999999996</v>
      </c>
      <c r="T706">
        <v>12.6</v>
      </c>
      <c r="U706">
        <v>3.9</v>
      </c>
      <c r="V706">
        <v>3</v>
      </c>
      <c r="W706">
        <v>6</v>
      </c>
      <c r="X706">
        <v>12</v>
      </c>
      <c r="Y706">
        <v>4.942844</v>
      </c>
      <c r="Z706">
        <v>7.6</v>
      </c>
      <c r="AA706">
        <v>3.8</v>
      </c>
      <c r="AB706">
        <v>6.4695369999999999</v>
      </c>
      <c r="AC706">
        <v>10.1</v>
      </c>
      <c r="AD706">
        <v>16.600000000000001</v>
      </c>
      <c r="AE706">
        <v>14.2</v>
      </c>
      <c r="AF706">
        <v>9.6999999999999993</v>
      </c>
      <c r="AG706">
        <v>8.1</v>
      </c>
      <c r="AH706">
        <v>9.3000000000000007</v>
      </c>
      <c r="AI706">
        <v>7.2</v>
      </c>
      <c r="AJ706">
        <v>12.1</v>
      </c>
      <c r="AK706">
        <v>7.0308289999999998</v>
      </c>
    </row>
    <row r="707" spans="1:37" x14ac:dyDescent="0.2">
      <c r="A707" s="6">
        <v>41548</v>
      </c>
      <c r="B707">
        <v>5.8300879999999999</v>
      </c>
      <c r="D707">
        <v>8.5</v>
      </c>
      <c r="E707">
        <v>7.1</v>
      </c>
      <c r="F707">
        <v>6.0680430000000003</v>
      </c>
      <c r="G707">
        <v>6.6</v>
      </c>
      <c r="H707">
        <v>5.0999999999999996</v>
      </c>
      <c r="I707">
        <v>7.2</v>
      </c>
      <c r="J707">
        <v>26</v>
      </c>
      <c r="K707">
        <v>8.6</v>
      </c>
      <c r="L707">
        <v>8.1999999999999993</v>
      </c>
      <c r="M707">
        <v>10.199999999999999</v>
      </c>
      <c r="N707">
        <v>7.1696140000000002</v>
      </c>
      <c r="O707">
        <v>27.9</v>
      </c>
      <c r="P707">
        <v>9.1999999999999993</v>
      </c>
      <c r="Q707">
        <v>13</v>
      </c>
      <c r="R707">
        <v>5.8</v>
      </c>
      <c r="S707">
        <v>5.7352270000000001</v>
      </c>
      <c r="T707">
        <v>12.6</v>
      </c>
      <c r="U707">
        <v>4</v>
      </c>
      <c r="V707">
        <v>3.1</v>
      </c>
      <c r="W707">
        <v>6</v>
      </c>
      <c r="X707">
        <v>11.6</v>
      </c>
      <c r="Y707">
        <v>4.9041689999999996</v>
      </c>
      <c r="Z707">
        <v>7.6</v>
      </c>
      <c r="AA707">
        <v>3.7</v>
      </c>
      <c r="AB707">
        <v>6.4221909999999998</v>
      </c>
      <c r="AC707">
        <v>9.9</v>
      </c>
      <c r="AD707">
        <v>16.3</v>
      </c>
      <c r="AE707">
        <v>14.1</v>
      </c>
      <c r="AF707">
        <v>9.6</v>
      </c>
      <c r="AG707">
        <v>7.8</v>
      </c>
      <c r="AH707">
        <v>9.1</v>
      </c>
      <c r="AI707">
        <v>7.2</v>
      </c>
      <c r="AJ707">
        <v>12</v>
      </c>
      <c r="AK707">
        <v>6.985239</v>
      </c>
    </row>
    <row r="708" spans="1:37" x14ac:dyDescent="0.2">
      <c r="A708" s="6">
        <v>41579</v>
      </c>
      <c r="B708">
        <v>5.7944870000000002</v>
      </c>
      <c r="D708">
        <v>8.5</v>
      </c>
      <c r="E708">
        <v>7</v>
      </c>
      <c r="F708">
        <v>6.2184400000000002</v>
      </c>
      <c r="G708">
        <v>6.9</v>
      </c>
      <c r="H708">
        <v>5.0999999999999996</v>
      </c>
      <c r="I708">
        <v>7.1</v>
      </c>
      <c r="J708">
        <v>25.8</v>
      </c>
      <c r="K708">
        <v>8.8000000000000007</v>
      </c>
      <c r="L708">
        <v>8.8000000000000007</v>
      </c>
      <c r="M708">
        <v>10.199999999999999</v>
      </c>
      <c r="N708">
        <v>7.2206000000000001</v>
      </c>
      <c r="O708">
        <v>27.5</v>
      </c>
      <c r="P708">
        <v>8.6</v>
      </c>
      <c r="Q708">
        <v>12.8</v>
      </c>
      <c r="R708">
        <v>5.7</v>
      </c>
      <c r="S708">
        <v>5.6818900000000001</v>
      </c>
      <c r="T708">
        <v>12.5</v>
      </c>
      <c r="U708">
        <v>3.9</v>
      </c>
      <c r="V708">
        <v>3.1</v>
      </c>
      <c r="W708">
        <v>6</v>
      </c>
      <c r="X708">
        <v>11.5</v>
      </c>
      <c r="Y708">
        <v>4.6356409999999997</v>
      </c>
      <c r="Z708">
        <v>7.6</v>
      </c>
      <c r="AA708">
        <v>3.8</v>
      </c>
      <c r="AB708">
        <v>6.4275229999999999</v>
      </c>
      <c r="AC708">
        <v>9.9</v>
      </c>
      <c r="AD708">
        <v>16</v>
      </c>
      <c r="AE708">
        <v>14.1</v>
      </c>
      <c r="AF708">
        <v>9.6999999999999993</v>
      </c>
      <c r="AG708">
        <v>8.1</v>
      </c>
      <c r="AH708">
        <v>9.1999999999999993</v>
      </c>
      <c r="AI708">
        <v>6.9</v>
      </c>
      <c r="AJ708">
        <v>12</v>
      </c>
      <c r="AK708">
        <v>6.8502239999999999</v>
      </c>
    </row>
    <row r="709" spans="1:37" x14ac:dyDescent="0.2">
      <c r="A709" s="6">
        <v>41609</v>
      </c>
      <c r="B709">
        <v>5.9019890000000004</v>
      </c>
      <c r="D709">
        <v>8.6</v>
      </c>
      <c r="E709">
        <v>7.3</v>
      </c>
      <c r="F709">
        <v>6.5888429999999998</v>
      </c>
      <c r="G709">
        <v>6.8</v>
      </c>
      <c r="H709">
        <v>5.0999999999999996</v>
      </c>
      <c r="I709">
        <v>7.4</v>
      </c>
      <c r="J709">
        <v>25.5</v>
      </c>
      <c r="K709">
        <v>8.6</v>
      </c>
      <c r="L709">
        <v>8.6</v>
      </c>
      <c r="M709">
        <v>10.199999999999999</v>
      </c>
      <c r="N709">
        <v>7.1617709999999999</v>
      </c>
      <c r="O709">
        <v>27.4</v>
      </c>
      <c r="P709">
        <v>8.6999999999999993</v>
      </c>
      <c r="Q709">
        <v>12.8</v>
      </c>
      <c r="R709">
        <v>5.7</v>
      </c>
      <c r="S709">
        <v>5.8743379999999998</v>
      </c>
      <c r="T709">
        <v>12.6</v>
      </c>
      <c r="U709">
        <v>3.7</v>
      </c>
      <c r="V709">
        <v>3.2</v>
      </c>
      <c r="W709">
        <v>6</v>
      </c>
      <c r="X709">
        <v>11.5</v>
      </c>
      <c r="Y709">
        <v>4.785101</v>
      </c>
      <c r="Z709">
        <v>7.7</v>
      </c>
      <c r="AA709">
        <v>4</v>
      </c>
      <c r="AB709">
        <v>6.4244620000000001</v>
      </c>
      <c r="AC709">
        <v>9.9</v>
      </c>
      <c r="AD709">
        <v>15.6</v>
      </c>
      <c r="AE709">
        <v>14</v>
      </c>
      <c r="AF709">
        <v>9.9</v>
      </c>
      <c r="AG709">
        <v>8</v>
      </c>
      <c r="AH709">
        <v>9.1</v>
      </c>
      <c r="AI709">
        <v>6.7</v>
      </c>
      <c r="AJ709">
        <v>11.9</v>
      </c>
      <c r="AK709">
        <v>6.7272259999999999</v>
      </c>
    </row>
    <row r="710" spans="1:37" x14ac:dyDescent="0.2">
      <c r="A710" s="6">
        <v>41640</v>
      </c>
      <c r="B710">
        <v>5.9342639999999998</v>
      </c>
      <c r="D710">
        <v>8.6999999999999993</v>
      </c>
      <c r="E710">
        <v>7.1</v>
      </c>
      <c r="F710">
        <v>6.4612660000000002</v>
      </c>
      <c r="G710">
        <v>6.5</v>
      </c>
      <c r="H710">
        <v>5.0999999999999996</v>
      </c>
      <c r="I710">
        <v>7.1</v>
      </c>
      <c r="J710">
        <v>25.5</v>
      </c>
      <c r="K710">
        <v>8.8000000000000007</v>
      </c>
      <c r="L710">
        <v>8.4</v>
      </c>
      <c r="M710">
        <v>10.199999999999999</v>
      </c>
      <c r="N710">
        <v>6.8894700000000002</v>
      </c>
      <c r="O710">
        <v>26.9</v>
      </c>
      <c r="P710">
        <v>8.1999999999999993</v>
      </c>
      <c r="Q710">
        <v>12.9</v>
      </c>
      <c r="R710">
        <v>5.7</v>
      </c>
      <c r="S710">
        <v>5.7413559999999997</v>
      </c>
      <c r="T710">
        <v>13</v>
      </c>
      <c r="U710">
        <v>3.7</v>
      </c>
      <c r="V710">
        <v>3.3</v>
      </c>
      <c r="W710">
        <v>6</v>
      </c>
      <c r="X710">
        <v>11.4</v>
      </c>
      <c r="Y710">
        <v>4.8978630000000001</v>
      </c>
      <c r="Z710">
        <v>7.8</v>
      </c>
      <c r="AA710">
        <v>3.7</v>
      </c>
      <c r="AB710">
        <v>6.3793749999999996</v>
      </c>
      <c r="AC710">
        <v>10</v>
      </c>
      <c r="AD710">
        <v>15.3</v>
      </c>
      <c r="AE710">
        <v>13.9</v>
      </c>
      <c r="AF710">
        <v>10.199999999999999</v>
      </c>
      <c r="AG710">
        <v>8.1</v>
      </c>
      <c r="AH710">
        <v>9.3000000000000007</v>
      </c>
      <c r="AI710">
        <v>6.6</v>
      </c>
      <c r="AJ710">
        <v>11.9</v>
      </c>
      <c r="AK710">
        <v>6.66289</v>
      </c>
    </row>
    <row r="711" spans="1:37" x14ac:dyDescent="0.2">
      <c r="A711" s="6">
        <v>41671</v>
      </c>
      <c r="B711">
        <v>5.8940450000000002</v>
      </c>
      <c r="D711">
        <v>8.6999999999999993</v>
      </c>
      <c r="E711">
        <v>7.1</v>
      </c>
      <c r="F711">
        <v>6.537426</v>
      </c>
      <c r="G711">
        <v>6.5</v>
      </c>
      <c r="H711">
        <v>5.0999999999999996</v>
      </c>
      <c r="I711">
        <v>7.1</v>
      </c>
      <c r="J711">
        <v>25.2</v>
      </c>
      <c r="K711">
        <v>8.3000000000000007</v>
      </c>
      <c r="L711">
        <v>8.6</v>
      </c>
      <c r="M711">
        <v>10.199999999999999</v>
      </c>
      <c r="N711">
        <v>6.7545250000000001</v>
      </c>
      <c r="O711">
        <v>27.1</v>
      </c>
      <c r="P711">
        <v>7.4</v>
      </c>
      <c r="Q711">
        <v>12.9</v>
      </c>
      <c r="R711">
        <v>5.7</v>
      </c>
      <c r="S711">
        <v>5.8908110000000002</v>
      </c>
      <c r="T711">
        <v>13</v>
      </c>
      <c r="U711">
        <v>3.6</v>
      </c>
      <c r="V711">
        <v>3.6</v>
      </c>
      <c r="W711">
        <v>5.9</v>
      </c>
      <c r="X711">
        <v>11.5</v>
      </c>
      <c r="Y711">
        <v>4.7074569999999998</v>
      </c>
      <c r="Z711">
        <v>7.9</v>
      </c>
      <c r="AA711">
        <v>3.5</v>
      </c>
      <c r="AB711">
        <v>6.3120810000000001</v>
      </c>
      <c r="AC711">
        <v>10</v>
      </c>
      <c r="AD711">
        <v>15.2</v>
      </c>
      <c r="AE711">
        <v>13.8</v>
      </c>
      <c r="AF711">
        <v>10.3</v>
      </c>
      <c r="AG711">
        <v>8</v>
      </c>
      <c r="AH711">
        <v>9.1999999999999993</v>
      </c>
      <c r="AI711">
        <v>6.7</v>
      </c>
      <c r="AJ711">
        <v>11.9</v>
      </c>
      <c r="AK711">
        <v>6.6765999999999996</v>
      </c>
    </row>
    <row r="712" spans="1:37" x14ac:dyDescent="0.2">
      <c r="A712" s="6">
        <v>41699</v>
      </c>
      <c r="B712">
        <v>5.8669200000000004</v>
      </c>
      <c r="D712">
        <v>8.6</v>
      </c>
      <c r="E712">
        <v>7</v>
      </c>
      <c r="F712">
        <v>6.1918629999999997</v>
      </c>
      <c r="G712">
        <v>6.6</v>
      </c>
      <c r="H712">
        <v>5.0999999999999996</v>
      </c>
      <c r="I712">
        <v>6.8</v>
      </c>
      <c r="J712">
        <v>25.1</v>
      </c>
      <c r="K712">
        <v>8</v>
      </c>
      <c r="L712">
        <v>8.9</v>
      </c>
      <c r="M712">
        <v>10.199999999999999</v>
      </c>
      <c r="N712">
        <v>6.5880409999999996</v>
      </c>
      <c r="O712">
        <v>26.8</v>
      </c>
      <c r="P712">
        <v>8.1</v>
      </c>
      <c r="Q712">
        <v>12.7</v>
      </c>
      <c r="R712">
        <v>5.7</v>
      </c>
      <c r="S712">
        <v>5.7980970000000003</v>
      </c>
      <c r="T712">
        <v>12.7</v>
      </c>
      <c r="U712">
        <v>3.7</v>
      </c>
      <c r="V712">
        <v>3.4</v>
      </c>
      <c r="W712">
        <v>6</v>
      </c>
      <c r="X712">
        <v>11.3</v>
      </c>
      <c r="Y712">
        <v>5.2211590000000001</v>
      </c>
      <c r="Z712">
        <v>7.8</v>
      </c>
      <c r="AA712">
        <v>3.4</v>
      </c>
      <c r="AB712">
        <v>6.3077259999999997</v>
      </c>
      <c r="AC712">
        <v>9.8000000000000007</v>
      </c>
      <c r="AD712">
        <v>15.1</v>
      </c>
      <c r="AE712">
        <v>13.7</v>
      </c>
      <c r="AF712">
        <v>10.199999999999999</v>
      </c>
      <c r="AG712">
        <v>8.1</v>
      </c>
      <c r="AH712">
        <v>9.3000000000000007</v>
      </c>
      <c r="AI712">
        <v>6.7</v>
      </c>
      <c r="AJ712">
        <v>11.8</v>
      </c>
      <c r="AK712">
        <v>6.6501279999999996</v>
      </c>
    </row>
    <row r="713" spans="1:37" x14ac:dyDescent="0.2">
      <c r="A713" s="6">
        <v>41730</v>
      </c>
      <c r="B713">
        <v>5.7984039999999997</v>
      </c>
      <c r="D713">
        <v>8.5</v>
      </c>
      <c r="E713">
        <v>7.1</v>
      </c>
      <c r="F713">
        <v>6.1231780000000002</v>
      </c>
      <c r="G713">
        <v>6.3</v>
      </c>
      <c r="H713">
        <v>5</v>
      </c>
      <c r="I713">
        <v>6.7</v>
      </c>
      <c r="J713">
        <v>24.8</v>
      </c>
      <c r="K713">
        <v>7.6</v>
      </c>
      <c r="L713">
        <v>8.5</v>
      </c>
      <c r="M713">
        <v>10.199999999999999</v>
      </c>
      <c r="N713">
        <v>6.4282940000000002</v>
      </c>
      <c r="O713">
        <v>27.2</v>
      </c>
      <c r="P713">
        <v>7.8</v>
      </c>
      <c r="Q713">
        <v>12.4</v>
      </c>
      <c r="R713">
        <v>5.6</v>
      </c>
      <c r="S713">
        <v>5.8320299999999996</v>
      </c>
      <c r="T713">
        <v>12.8</v>
      </c>
      <c r="U713">
        <v>3.6</v>
      </c>
      <c r="V713">
        <v>3.6</v>
      </c>
      <c r="W713">
        <v>5.9</v>
      </c>
      <c r="X713">
        <v>11</v>
      </c>
      <c r="Y713">
        <v>4.9237070000000003</v>
      </c>
      <c r="Z713">
        <v>7.7</v>
      </c>
      <c r="AA713">
        <v>3.4</v>
      </c>
      <c r="AB713">
        <v>6.234782</v>
      </c>
      <c r="AC713">
        <v>9.6</v>
      </c>
      <c r="AD713">
        <v>15.1</v>
      </c>
      <c r="AE713">
        <v>13.6</v>
      </c>
      <c r="AF713">
        <v>9.6999999999999993</v>
      </c>
      <c r="AG713">
        <v>8.1</v>
      </c>
      <c r="AH713">
        <v>9.4</v>
      </c>
      <c r="AI713">
        <v>6.2</v>
      </c>
      <c r="AJ713">
        <v>11.8</v>
      </c>
      <c r="AK713">
        <v>6.451511</v>
      </c>
    </row>
    <row r="714" spans="1:37" x14ac:dyDescent="0.2">
      <c r="A714" s="6">
        <v>41760</v>
      </c>
      <c r="B714">
        <v>5.9325270000000003</v>
      </c>
      <c r="D714">
        <v>8.5</v>
      </c>
      <c r="E714">
        <v>7.1</v>
      </c>
      <c r="F714">
        <v>6.2506789999999999</v>
      </c>
      <c r="G714">
        <v>6.2</v>
      </c>
      <c r="H714">
        <v>5</v>
      </c>
      <c r="I714">
        <v>6.8</v>
      </c>
      <c r="J714">
        <v>24.6</v>
      </c>
      <c r="K714">
        <v>6.9</v>
      </c>
      <c r="L714">
        <v>8.5</v>
      </c>
      <c r="M714">
        <v>10.199999999999999</v>
      </c>
      <c r="N714">
        <v>6.2892530000000004</v>
      </c>
      <c r="O714">
        <v>27.3</v>
      </c>
      <c r="P714">
        <v>7.8</v>
      </c>
      <c r="Q714">
        <v>12.2</v>
      </c>
      <c r="R714">
        <v>5.6</v>
      </c>
      <c r="S714">
        <v>6.0063570000000004</v>
      </c>
      <c r="T714">
        <v>12.7</v>
      </c>
      <c r="U714">
        <v>3.6</v>
      </c>
      <c r="V714">
        <v>3.5</v>
      </c>
      <c r="W714">
        <v>6</v>
      </c>
      <c r="X714">
        <v>10.6</v>
      </c>
      <c r="Y714">
        <v>5.030246</v>
      </c>
      <c r="Z714">
        <v>7.6</v>
      </c>
      <c r="AA714">
        <v>3.3</v>
      </c>
      <c r="AB714">
        <v>6.1780099999999996</v>
      </c>
      <c r="AC714">
        <v>9.3000000000000007</v>
      </c>
      <c r="AD714">
        <v>15</v>
      </c>
      <c r="AE714">
        <v>13.5</v>
      </c>
      <c r="AF714">
        <v>9.6</v>
      </c>
      <c r="AG714">
        <v>7.6</v>
      </c>
      <c r="AH714">
        <v>9.6</v>
      </c>
      <c r="AI714">
        <v>6.3</v>
      </c>
      <c r="AJ714">
        <v>11.7</v>
      </c>
      <c r="AK714">
        <v>6.4604429999999997</v>
      </c>
    </row>
    <row r="715" spans="1:37" x14ac:dyDescent="0.2">
      <c r="A715" s="6">
        <v>41791</v>
      </c>
      <c r="B715">
        <v>6.0477930000000004</v>
      </c>
      <c r="D715">
        <v>8.5</v>
      </c>
      <c r="E715">
        <v>7.1</v>
      </c>
      <c r="F715">
        <v>6.2534109999999998</v>
      </c>
      <c r="G715">
        <v>6.1</v>
      </c>
      <c r="H715">
        <v>5</v>
      </c>
      <c r="I715">
        <v>6.8</v>
      </c>
      <c r="J715">
        <v>24.4</v>
      </c>
      <c r="K715">
        <v>6.8</v>
      </c>
      <c r="L715">
        <v>9</v>
      </c>
      <c r="M715">
        <v>10.199999999999999</v>
      </c>
      <c r="N715">
        <v>6.1431300000000002</v>
      </c>
      <c r="O715">
        <v>26.7</v>
      </c>
      <c r="P715">
        <v>8.3000000000000007</v>
      </c>
      <c r="Q715">
        <v>12</v>
      </c>
      <c r="R715">
        <v>5.5</v>
      </c>
      <c r="S715">
        <v>6.0170300000000001</v>
      </c>
      <c r="T715">
        <v>12.3</v>
      </c>
      <c r="U715">
        <v>3.7</v>
      </c>
      <c r="V715">
        <v>3.5</v>
      </c>
      <c r="W715">
        <v>6</v>
      </c>
      <c r="X715">
        <v>10.4</v>
      </c>
      <c r="Y715">
        <v>4.8548520000000002</v>
      </c>
      <c r="Z715">
        <v>7.4</v>
      </c>
      <c r="AA715">
        <v>3.5</v>
      </c>
      <c r="AB715">
        <v>6.0955329999999996</v>
      </c>
      <c r="AC715">
        <v>9</v>
      </c>
      <c r="AD715">
        <v>15.1</v>
      </c>
      <c r="AE715">
        <v>13.3</v>
      </c>
      <c r="AF715">
        <v>9.5</v>
      </c>
      <c r="AG715">
        <v>8.1</v>
      </c>
      <c r="AH715">
        <v>9.9</v>
      </c>
      <c r="AI715">
        <v>6.1</v>
      </c>
      <c r="AJ715">
        <v>11.6</v>
      </c>
      <c r="AK715">
        <v>6.3364060000000002</v>
      </c>
    </row>
    <row r="716" spans="1:37" x14ac:dyDescent="0.2">
      <c r="A716" s="6">
        <v>41821</v>
      </c>
      <c r="B716">
        <v>6.1727059999999998</v>
      </c>
      <c r="D716">
        <v>8.5</v>
      </c>
      <c r="E716">
        <v>7.1</v>
      </c>
      <c r="F716">
        <v>6.5012600000000003</v>
      </c>
      <c r="G716">
        <v>5.8</v>
      </c>
      <c r="H716">
        <v>5</v>
      </c>
      <c r="I716">
        <v>6.9</v>
      </c>
      <c r="J716">
        <v>24.4</v>
      </c>
      <c r="K716">
        <v>7.1</v>
      </c>
      <c r="L716">
        <v>8.3000000000000007</v>
      </c>
      <c r="M716">
        <v>10.199999999999999</v>
      </c>
      <c r="N716">
        <v>6.0187249999999999</v>
      </c>
      <c r="O716">
        <v>26.5</v>
      </c>
      <c r="P716">
        <v>7.5</v>
      </c>
      <c r="Q716">
        <v>11.9</v>
      </c>
      <c r="R716">
        <v>5.4</v>
      </c>
      <c r="S716">
        <v>6.074389</v>
      </c>
      <c r="T716">
        <v>12.9</v>
      </c>
      <c r="U716">
        <v>3.7</v>
      </c>
      <c r="V716">
        <v>3.5</v>
      </c>
      <c r="W716">
        <v>6</v>
      </c>
      <c r="X716">
        <v>10.7</v>
      </c>
      <c r="Y716">
        <v>5.1454740000000001</v>
      </c>
      <c r="Z716">
        <v>7.3</v>
      </c>
      <c r="AA716">
        <v>3.6</v>
      </c>
      <c r="AB716">
        <v>6.0210340000000002</v>
      </c>
      <c r="AC716">
        <v>8.6999999999999993</v>
      </c>
      <c r="AD716">
        <v>14.9</v>
      </c>
      <c r="AE716">
        <v>13.2</v>
      </c>
      <c r="AF716">
        <v>9.5</v>
      </c>
      <c r="AG716">
        <v>7.8</v>
      </c>
      <c r="AH716">
        <v>10.199999999999999</v>
      </c>
      <c r="AI716">
        <v>6.2</v>
      </c>
      <c r="AJ716">
        <v>11.6</v>
      </c>
      <c r="AK716">
        <v>6.4112689999999999</v>
      </c>
    </row>
    <row r="717" spans="1:37" x14ac:dyDescent="0.2">
      <c r="A717" s="6">
        <v>41852</v>
      </c>
      <c r="B717">
        <v>6.0831299999999997</v>
      </c>
      <c r="D717">
        <v>8.5</v>
      </c>
      <c r="E717">
        <v>7</v>
      </c>
      <c r="F717">
        <v>6.5239820000000002</v>
      </c>
      <c r="G717">
        <v>6.2</v>
      </c>
      <c r="H717">
        <v>5</v>
      </c>
      <c r="I717">
        <v>6.9</v>
      </c>
      <c r="J717">
        <v>24.2</v>
      </c>
      <c r="K717">
        <v>7.5</v>
      </c>
      <c r="L717">
        <v>8.5</v>
      </c>
      <c r="M717">
        <v>10.3</v>
      </c>
      <c r="N717">
        <v>5.9805840000000003</v>
      </c>
      <c r="O717">
        <v>26.4</v>
      </c>
      <c r="P717">
        <v>6.6</v>
      </c>
      <c r="Q717">
        <v>11.7</v>
      </c>
      <c r="R717">
        <v>5.4</v>
      </c>
      <c r="S717">
        <v>6.1946399999999997</v>
      </c>
      <c r="T717">
        <v>12.6</v>
      </c>
      <c r="U717">
        <v>3.5</v>
      </c>
      <c r="V717">
        <v>3.5</v>
      </c>
      <c r="W717">
        <v>6</v>
      </c>
      <c r="X717">
        <v>10.8</v>
      </c>
      <c r="Y717">
        <v>4.8467849999999997</v>
      </c>
      <c r="Z717">
        <v>7.2</v>
      </c>
      <c r="AA717">
        <v>3.8</v>
      </c>
      <c r="AB717">
        <v>6.0185209999999998</v>
      </c>
      <c r="AC717">
        <v>8.5</v>
      </c>
      <c r="AD717">
        <v>14.2</v>
      </c>
      <c r="AE717">
        <v>13</v>
      </c>
      <c r="AF717">
        <v>9.6</v>
      </c>
      <c r="AG717">
        <v>8</v>
      </c>
      <c r="AH717">
        <v>10.199999999999999</v>
      </c>
      <c r="AI717">
        <v>6.1</v>
      </c>
      <c r="AJ717">
        <v>11.5</v>
      </c>
      <c r="AK717">
        <v>6.3315979999999996</v>
      </c>
    </row>
    <row r="718" spans="1:37" x14ac:dyDescent="0.2">
      <c r="A718" s="6">
        <v>41883</v>
      </c>
      <c r="B718">
        <v>6.2264369999999998</v>
      </c>
      <c r="D718">
        <v>8.6</v>
      </c>
      <c r="E718">
        <v>6.9</v>
      </c>
      <c r="F718">
        <v>6.4873180000000001</v>
      </c>
      <c r="G718">
        <v>5.8</v>
      </c>
      <c r="H718">
        <v>5</v>
      </c>
      <c r="I718">
        <v>6.9</v>
      </c>
      <c r="J718">
        <v>24</v>
      </c>
      <c r="K718">
        <v>7.3</v>
      </c>
      <c r="L718">
        <v>9.1</v>
      </c>
      <c r="M718">
        <v>10.4</v>
      </c>
      <c r="N718">
        <v>5.9552250000000004</v>
      </c>
      <c r="O718">
        <v>26.1</v>
      </c>
      <c r="P718">
        <v>7.5</v>
      </c>
      <c r="Q718">
        <v>11.5</v>
      </c>
      <c r="R718">
        <v>5.3</v>
      </c>
      <c r="S718">
        <v>5.9171990000000001</v>
      </c>
      <c r="T718">
        <v>12.9</v>
      </c>
      <c r="U718">
        <v>3.5</v>
      </c>
      <c r="V718">
        <v>3.5</v>
      </c>
      <c r="W718">
        <v>6.1</v>
      </c>
      <c r="X718">
        <v>10.8</v>
      </c>
      <c r="Y718">
        <v>4.7673350000000001</v>
      </c>
      <c r="Z718">
        <v>7.1</v>
      </c>
      <c r="AA718">
        <v>3.8</v>
      </c>
      <c r="AB718">
        <v>5.8855940000000002</v>
      </c>
      <c r="AC718">
        <v>8.3000000000000007</v>
      </c>
      <c r="AD718">
        <v>14</v>
      </c>
      <c r="AE718">
        <v>12.7</v>
      </c>
      <c r="AF718">
        <v>9.6999999999999993</v>
      </c>
      <c r="AG718">
        <v>7.8</v>
      </c>
      <c r="AH718">
        <v>10.5</v>
      </c>
      <c r="AI718">
        <v>5.9</v>
      </c>
      <c r="AJ718">
        <v>11.5</v>
      </c>
      <c r="AK718">
        <v>6.276726</v>
      </c>
    </row>
    <row r="719" spans="1:37" x14ac:dyDescent="0.2">
      <c r="A719" s="6">
        <v>41913</v>
      </c>
      <c r="B719">
        <v>6.3687750000000003</v>
      </c>
      <c r="D719">
        <v>8.5</v>
      </c>
      <c r="E719">
        <v>6.7</v>
      </c>
      <c r="F719">
        <v>6.4428619999999999</v>
      </c>
      <c r="G719">
        <v>5.6</v>
      </c>
      <c r="H719">
        <v>5</v>
      </c>
      <c r="I719">
        <v>6.9</v>
      </c>
      <c r="J719">
        <v>23.9</v>
      </c>
      <c r="K719">
        <v>6.8</v>
      </c>
      <c r="L719">
        <v>9.1</v>
      </c>
      <c r="M719">
        <v>10.4</v>
      </c>
      <c r="N719">
        <v>5.870946</v>
      </c>
      <c r="O719">
        <v>26.1</v>
      </c>
      <c r="P719">
        <v>6.6</v>
      </c>
      <c r="Q719">
        <v>11.1</v>
      </c>
      <c r="R719">
        <v>5.0999999999999996</v>
      </c>
      <c r="S719">
        <v>5.6969320000000003</v>
      </c>
      <c r="T719">
        <v>13</v>
      </c>
      <c r="U719">
        <v>3.6</v>
      </c>
      <c r="V719">
        <v>3.6</v>
      </c>
      <c r="W719">
        <v>6.1</v>
      </c>
      <c r="X719">
        <v>10.7</v>
      </c>
      <c r="Y719">
        <v>4.6521049999999997</v>
      </c>
      <c r="Z719">
        <v>7.1</v>
      </c>
      <c r="AA719">
        <v>3.9</v>
      </c>
      <c r="AB719">
        <v>5.8526829999999999</v>
      </c>
      <c r="AC719">
        <v>8.3000000000000007</v>
      </c>
      <c r="AD719">
        <v>14.1</v>
      </c>
      <c r="AE719">
        <v>12.6</v>
      </c>
      <c r="AF719">
        <v>9.6999999999999993</v>
      </c>
      <c r="AG719">
        <v>8</v>
      </c>
      <c r="AH719">
        <v>10.5</v>
      </c>
      <c r="AI719">
        <v>5.7</v>
      </c>
      <c r="AJ719">
        <v>11.6</v>
      </c>
      <c r="AK719">
        <v>6.1995849999999999</v>
      </c>
    </row>
    <row r="720" spans="1:37" x14ac:dyDescent="0.2">
      <c r="A720" s="6">
        <v>41944</v>
      </c>
      <c r="B720">
        <v>6.2958109999999996</v>
      </c>
      <c r="D720">
        <v>8.5</v>
      </c>
      <c r="E720">
        <v>6.7</v>
      </c>
      <c r="F720">
        <v>6.6811759999999998</v>
      </c>
      <c r="G720">
        <v>6.1</v>
      </c>
      <c r="H720">
        <v>4.9000000000000004</v>
      </c>
      <c r="I720">
        <v>6.8</v>
      </c>
      <c r="J720">
        <v>23.8</v>
      </c>
      <c r="K720">
        <v>6.4</v>
      </c>
      <c r="L720">
        <v>9.1999999999999993</v>
      </c>
      <c r="M720">
        <v>10.5</v>
      </c>
      <c r="N720">
        <v>5.6987509999999997</v>
      </c>
      <c r="O720">
        <v>25.7</v>
      </c>
      <c r="P720">
        <v>6.8</v>
      </c>
      <c r="Q720">
        <v>10.8</v>
      </c>
      <c r="R720">
        <v>5</v>
      </c>
      <c r="S720">
        <v>5.730664</v>
      </c>
      <c r="T720">
        <v>13.3</v>
      </c>
      <c r="U720">
        <v>3.4</v>
      </c>
      <c r="V720">
        <v>3.5</v>
      </c>
      <c r="W720">
        <v>6.2</v>
      </c>
      <c r="X720">
        <v>10.5</v>
      </c>
      <c r="Y720">
        <v>4.6902559999999998</v>
      </c>
      <c r="Z720">
        <v>7.1</v>
      </c>
      <c r="AA720">
        <v>3.8</v>
      </c>
      <c r="AB720">
        <v>5.8635000000000002</v>
      </c>
      <c r="AC720">
        <v>8.3000000000000007</v>
      </c>
      <c r="AD720">
        <v>13.9</v>
      </c>
      <c r="AE720">
        <v>12.5</v>
      </c>
      <c r="AF720">
        <v>9.6999999999999993</v>
      </c>
      <c r="AG720">
        <v>7.9</v>
      </c>
      <c r="AH720">
        <v>10.6</v>
      </c>
      <c r="AI720">
        <v>5.8</v>
      </c>
      <c r="AJ720">
        <v>11.6</v>
      </c>
      <c r="AK720">
        <v>6.199325</v>
      </c>
    </row>
    <row r="721" spans="1:37" x14ac:dyDescent="0.2">
      <c r="A721" s="6">
        <v>41974</v>
      </c>
      <c r="B721">
        <v>6.1072509999999998</v>
      </c>
      <c r="D721">
        <v>8.5</v>
      </c>
      <c r="E721">
        <v>6.7</v>
      </c>
      <c r="F721">
        <v>6.58962</v>
      </c>
      <c r="G721">
        <v>5.8</v>
      </c>
      <c r="H721">
        <v>4.9000000000000004</v>
      </c>
      <c r="I721">
        <v>6.5</v>
      </c>
      <c r="J721">
        <v>23.6</v>
      </c>
      <c r="K721">
        <v>6.5</v>
      </c>
      <c r="L721">
        <v>9.3000000000000007</v>
      </c>
      <c r="M721">
        <v>10.4</v>
      </c>
      <c r="N721">
        <v>5.6547390000000002</v>
      </c>
      <c r="O721">
        <v>25.9</v>
      </c>
      <c r="P721">
        <v>7.4</v>
      </c>
      <c r="Q721">
        <v>10.7</v>
      </c>
      <c r="R721">
        <v>4.9000000000000004</v>
      </c>
      <c r="S721">
        <v>5.6541889999999997</v>
      </c>
      <c r="T721">
        <v>12.5</v>
      </c>
      <c r="U721">
        <v>3.4</v>
      </c>
      <c r="V721">
        <v>3.7</v>
      </c>
      <c r="W721">
        <v>6.2</v>
      </c>
      <c r="X721">
        <v>10.1</v>
      </c>
      <c r="Y721">
        <v>4.2101309999999996</v>
      </c>
      <c r="Z721">
        <v>7.2</v>
      </c>
      <c r="AA721">
        <v>3.9</v>
      </c>
      <c r="AB721">
        <v>5.8161639999999997</v>
      </c>
      <c r="AC721">
        <v>8.1999999999999993</v>
      </c>
      <c r="AD721">
        <v>13.9</v>
      </c>
      <c r="AE721">
        <v>12.4</v>
      </c>
      <c r="AF721">
        <v>9.6</v>
      </c>
      <c r="AG721">
        <v>7.5</v>
      </c>
      <c r="AH721">
        <v>10.4</v>
      </c>
      <c r="AI721">
        <v>5.6</v>
      </c>
      <c r="AJ721">
        <v>11.4</v>
      </c>
      <c r="AK721">
        <v>6.0272759999999996</v>
      </c>
    </row>
    <row r="722" spans="1:37" x14ac:dyDescent="0.2">
      <c r="A722" s="6">
        <v>42005</v>
      </c>
      <c r="B722">
        <v>6.3368659999999997</v>
      </c>
      <c r="D722">
        <v>8.6</v>
      </c>
      <c r="E722">
        <v>6.7</v>
      </c>
      <c r="F722">
        <v>6.4918849999999999</v>
      </c>
      <c r="G722">
        <v>5.8</v>
      </c>
      <c r="H722">
        <v>4.8</v>
      </c>
      <c r="I722">
        <v>6.5</v>
      </c>
      <c r="J722">
        <v>23.4</v>
      </c>
      <c r="K722">
        <v>6.6</v>
      </c>
      <c r="L722">
        <v>8.6999999999999993</v>
      </c>
      <c r="M722">
        <v>10.4</v>
      </c>
      <c r="N722">
        <v>5.5827869999999997</v>
      </c>
      <c r="O722">
        <v>25.4</v>
      </c>
      <c r="P722">
        <v>7.3</v>
      </c>
      <c r="Q722">
        <v>10.8</v>
      </c>
      <c r="R722">
        <v>4.9000000000000004</v>
      </c>
      <c r="S722">
        <v>5.6229500000000003</v>
      </c>
      <c r="T722">
        <v>12.4</v>
      </c>
      <c r="U722">
        <v>3.6</v>
      </c>
      <c r="V722">
        <v>3.6</v>
      </c>
      <c r="W722">
        <v>6.3</v>
      </c>
      <c r="X722">
        <v>9.6999999999999993</v>
      </c>
      <c r="Y722">
        <v>4.3520989999999999</v>
      </c>
      <c r="Z722">
        <v>7.2</v>
      </c>
      <c r="AA722">
        <v>4.0999999999999996</v>
      </c>
      <c r="AB722">
        <v>5.7465640000000002</v>
      </c>
      <c r="AC722">
        <v>8.1999999999999993</v>
      </c>
      <c r="AD722">
        <v>14</v>
      </c>
      <c r="AE722">
        <v>12.4</v>
      </c>
      <c r="AF722">
        <v>9.4</v>
      </c>
      <c r="AG722">
        <v>7.8</v>
      </c>
      <c r="AH722">
        <v>10.3</v>
      </c>
      <c r="AI722">
        <v>5.7</v>
      </c>
      <c r="AJ722">
        <v>11.3</v>
      </c>
      <c r="AK722">
        <v>6.0623360000000002</v>
      </c>
    </row>
    <row r="723" spans="1:37" x14ac:dyDescent="0.2">
      <c r="A723" s="6">
        <v>42036</v>
      </c>
      <c r="B723">
        <v>6.1215020000000004</v>
      </c>
      <c r="D723">
        <v>8.6999999999999993</v>
      </c>
      <c r="E723">
        <v>6.8</v>
      </c>
      <c r="F723">
        <v>6.2568029999999997</v>
      </c>
      <c r="G723">
        <v>5.9</v>
      </c>
      <c r="H723">
        <v>4.8</v>
      </c>
      <c r="I723">
        <v>6.4</v>
      </c>
      <c r="J723">
        <v>23.1</v>
      </c>
      <c r="K723">
        <v>6.4</v>
      </c>
      <c r="L723">
        <v>9.6999999999999993</v>
      </c>
      <c r="M723">
        <v>10.4</v>
      </c>
      <c r="N723">
        <v>5.5363090000000001</v>
      </c>
      <c r="O723">
        <v>25.4</v>
      </c>
      <c r="P723">
        <v>7.7</v>
      </c>
      <c r="Q723">
        <v>10.7</v>
      </c>
      <c r="R723">
        <v>4.9000000000000004</v>
      </c>
      <c r="S723">
        <v>5.3060390000000002</v>
      </c>
      <c r="T723">
        <v>12.5</v>
      </c>
      <c r="U723">
        <v>3.5</v>
      </c>
      <c r="V723">
        <v>3.6</v>
      </c>
      <c r="W723">
        <v>6.4</v>
      </c>
      <c r="X723">
        <v>9.8000000000000007</v>
      </c>
      <c r="Y723">
        <v>4.3847680000000002</v>
      </c>
      <c r="Z723">
        <v>7.1</v>
      </c>
      <c r="AA723">
        <v>4.3</v>
      </c>
      <c r="AB723">
        <v>5.727195</v>
      </c>
      <c r="AC723">
        <v>8.1</v>
      </c>
      <c r="AD723">
        <v>13.7</v>
      </c>
      <c r="AE723">
        <v>12.2</v>
      </c>
      <c r="AF723">
        <v>9.3000000000000007</v>
      </c>
      <c r="AG723">
        <v>7.9</v>
      </c>
      <c r="AH723">
        <v>10.3</v>
      </c>
      <c r="AI723">
        <v>5.5</v>
      </c>
      <c r="AJ723">
        <v>11.2</v>
      </c>
      <c r="AK723">
        <v>5.9879980000000002</v>
      </c>
    </row>
    <row r="724" spans="1:37" x14ac:dyDescent="0.2">
      <c r="A724" s="6">
        <v>42064</v>
      </c>
      <c r="B724">
        <v>6.0910310000000001</v>
      </c>
      <c r="D724">
        <v>8.8000000000000007</v>
      </c>
      <c r="E724">
        <v>6.9</v>
      </c>
      <c r="F724">
        <v>6.3957560000000004</v>
      </c>
      <c r="G724">
        <v>5.7</v>
      </c>
      <c r="H724">
        <v>4.7</v>
      </c>
      <c r="I724">
        <v>6.6</v>
      </c>
      <c r="J724">
        <v>22.9</v>
      </c>
      <c r="K724">
        <v>6.7</v>
      </c>
      <c r="L724">
        <v>9.3000000000000007</v>
      </c>
      <c r="M724">
        <v>10.4</v>
      </c>
      <c r="N724">
        <v>5.5039170000000004</v>
      </c>
      <c r="O724">
        <v>26.2</v>
      </c>
      <c r="P724">
        <v>7.4</v>
      </c>
      <c r="Q724">
        <v>10.6</v>
      </c>
      <c r="R724">
        <v>4.8</v>
      </c>
      <c r="S724">
        <v>5.4340970000000004</v>
      </c>
      <c r="T724">
        <v>12.6</v>
      </c>
      <c r="U724">
        <v>3.4</v>
      </c>
      <c r="V724">
        <v>3.5</v>
      </c>
      <c r="W724">
        <v>6.4</v>
      </c>
      <c r="X724">
        <v>10</v>
      </c>
      <c r="Y724">
        <v>4.226</v>
      </c>
      <c r="Z724">
        <v>7</v>
      </c>
      <c r="AA724">
        <v>4.4000000000000004</v>
      </c>
      <c r="AB724">
        <v>5.6601509999999999</v>
      </c>
      <c r="AC724">
        <v>7.9</v>
      </c>
      <c r="AD724">
        <v>13.4</v>
      </c>
      <c r="AE724">
        <v>12</v>
      </c>
      <c r="AF724">
        <v>9.3000000000000007</v>
      </c>
      <c r="AG724">
        <v>7.5</v>
      </c>
      <c r="AH724">
        <v>10.3</v>
      </c>
      <c r="AI724">
        <v>5.4</v>
      </c>
      <c r="AJ724">
        <v>11.2</v>
      </c>
      <c r="AK724">
        <v>5.9494090000000002</v>
      </c>
    </row>
    <row r="725" spans="1:37" x14ac:dyDescent="0.2">
      <c r="A725" s="6">
        <v>42095</v>
      </c>
      <c r="B725">
        <v>6.1058669999999999</v>
      </c>
      <c r="D725">
        <v>8.6999999999999993</v>
      </c>
      <c r="E725">
        <v>6.9</v>
      </c>
      <c r="F725">
        <v>6.5232700000000001</v>
      </c>
      <c r="G725">
        <v>5.3</v>
      </c>
      <c r="H725">
        <v>4.7</v>
      </c>
      <c r="I725">
        <v>6.5</v>
      </c>
      <c r="J725">
        <v>22.7</v>
      </c>
      <c r="K725">
        <v>6.9</v>
      </c>
      <c r="L725">
        <v>9.5</v>
      </c>
      <c r="M725">
        <v>10.5</v>
      </c>
      <c r="N725">
        <v>5.6174460000000002</v>
      </c>
      <c r="O725">
        <v>25</v>
      </c>
      <c r="P725">
        <v>6.8</v>
      </c>
      <c r="Q725">
        <v>10.4</v>
      </c>
      <c r="R725">
        <v>4.7</v>
      </c>
      <c r="S725">
        <v>4.8747829999999999</v>
      </c>
      <c r="T725">
        <v>12.2</v>
      </c>
      <c r="U725">
        <v>3.4</v>
      </c>
      <c r="V725">
        <v>3.6</v>
      </c>
      <c r="W725">
        <v>6.4</v>
      </c>
      <c r="X725">
        <v>9.6</v>
      </c>
      <c r="Y725">
        <v>4.3980040000000002</v>
      </c>
      <c r="Z725">
        <v>7</v>
      </c>
      <c r="AA725">
        <v>4.3</v>
      </c>
      <c r="AB725">
        <v>5.5856269999999997</v>
      </c>
      <c r="AC725">
        <v>7.7</v>
      </c>
      <c r="AD725">
        <v>13.1</v>
      </c>
      <c r="AE725">
        <v>11.7</v>
      </c>
      <c r="AF725">
        <v>9.5</v>
      </c>
      <c r="AG725">
        <v>7.8</v>
      </c>
      <c r="AH725">
        <v>10.199999999999999</v>
      </c>
      <c r="AI725">
        <v>5.4</v>
      </c>
      <c r="AJ725">
        <v>11.1</v>
      </c>
      <c r="AK725">
        <v>5.9381139999999997</v>
      </c>
    </row>
    <row r="726" spans="1:37" x14ac:dyDescent="0.2">
      <c r="A726" s="6">
        <v>42125</v>
      </c>
      <c r="B726">
        <v>5.9358019999999998</v>
      </c>
      <c r="D726">
        <v>8.6</v>
      </c>
      <c r="E726">
        <v>6.9</v>
      </c>
      <c r="F726">
        <v>6.4073820000000001</v>
      </c>
      <c r="G726">
        <v>4.9000000000000004</v>
      </c>
      <c r="H726">
        <v>4.7</v>
      </c>
      <c r="I726">
        <v>6.4</v>
      </c>
      <c r="J726">
        <v>22.5</v>
      </c>
      <c r="K726">
        <v>6.4</v>
      </c>
      <c r="L726">
        <v>9.5</v>
      </c>
      <c r="M726">
        <v>10.5</v>
      </c>
      <c r="N726">
        <v>5.6087600000000002</v>
      </c>
      <c r="O726">
        <v>25</v>
      </c>
      <c r="P726">
        <v>6.8</v>
      </c>
      <c r="Q726">
        <v>10.1</v>
      </c>
      <c r="R726">
        <v>4.5999999999999996</v>
      </c>
      <c r="S726">
        <v>5.0769890000000002</v>
      </c>
      <c r="T726">
        <v>12.3</v>
      </c>
      <c r="U726">
        <v>3.3</v>
      </c>
      <c r="V726">
        <v>3.7</v>
      </c>
      <c r="W726">
        <v>6.6</v>
      </c>
      <c r="X726">
        <v>9.6999999999999993</v>
      </c>
      <c r="Y726">
        <v>4.5111400000000001</v>
      </c>
      <c r="Z726">
        <v>6.9</v>
      </c>
      <c r="AA726">
        <v>4.5</v>
      </c>
      <c r="AB726">
        <v>5.560765</v>
      </c>
      <c r="AC726">
        <v>7.6</v>
      </c>
      <c r="AD726">
        <v>12.8</v>
      </c>
      <c r="AE726">
        <v>11.6</v>
      </c>
      <c r="AF726">
        <v>9.5</v>
      </c>
      <c r="AG726">
        <v>7.6</v>
      </c>
      <c r="AH726">
        <v>10.3</v>
      </c>
      <c r="AI726">
        <v>5.6</v>
      </c>
      <c r="AJ726">
        <v>11.1</v>
      </c>
      <c r="AK726">
        <v>6.0031140000000001</v>
      </c>
    </row>
    <row r="727" spans="1:37" x14ac:dyDescent="0.2">
      <c r="A727" s="6">
        <v>42156</v>
      </c>
      <c r="B727">
        <v>6.0072570000000001</v>
      </c>
      <c r="D727">
        <v>8.4</v>
      </c>
      <c r="E727">
        <v>6.9</v>
      </c>
      <c r="F727">
        <v>6.3497279999999998</v>
      </c>
      <c r="G727">
        <v>5</v>
      </c>
      <c r="H727">
        <v>4.7</v>
      </c>
      <c r="I727">
        <v>6.3</v>
      </c>
      <c r="J727">
        <v>22.3</v>
      </c>
      <c r="K727">
        <v>5.8</v>
      </c>
      <c r="L727">
        <v>9.6999999999999993</v>
      </c>
      <c r="M727">
        <v>10.5</v>
      </c>
      <c r="N727">
        <v>5.5188030000000001</v>
      </c>
      <c r="O727">
        <v>25.2</v>
      </c>
      <c r="P727">
        <v>6.8</v>
      </c>
      <c r="Q727">
        <v>9.9</v>
      </c>
      <c r="R727">
        <v>4.5</v>
      </c>
      <c r="S727">
        <v>5.3497450000000004</v>
      </c>
      <c r="T727">
        <v>12.4</v>
      </c>
      <c r="U727">
        <v>3.4</v>
      </c>
      <c r="V727">
        <v>3.8</v>
      </c>
      <c r="W727">
        <v>6.5</v>
      </c>
      <c r="X727">
        <v>9.9</v>
      </c>
      <c r="Y727">
        <v>4.4119000000000002</v>
      </c>
      <c r="Z727">
        <v>6.9</v>
      </c>
      <c r="AA727">
        <v>4.7</v>
      </c>
      <c r="AB727">
        <v>5.5130489999999996</v>
      </c>
      <c r="AC727">
        <v>7.4</v>
      </c>
      <c r="AD727">
        <v>12.8</v>
      </c>
      <c r="AE727">
        <v>11.5</v>
      </c>
      <c r="AF727">
        <v>9.4</v>
      </c>
      <c r="AG727">
        <v>7.5</v>
      </c>
      <c r="AH727">
        <v>10.4</v>
      </c>
      <c r="AI727">
        <v>5.3</v>
      </c>
      <c r="AJ727">
        <v>11</v>
      </c>
      <c r="AK727">
        <v>5.8603569999999996</v>
      </c>
    </row>
    <row r="728" spans="1:37" x14ac:dyDescent="0.2">
      <c r="A728" s="6">
        <v>42186</v>
      </c>
      <c r="B728">
        <v>6.2719279999999999</v>
      </c>
      <c r="D728">
        <v>8</v>
      </c>
      <c r="E728">
        <v>6.9</v>
      </c>
      <c r="F728">
        <v>6.2558910000000001</v>
      </c>
      <c r="G728">
        <v>4.9000000000000004</v>
      </c>
      <c r="H728">
        <v>4.5999999999999996</v>
      </c>
      <c r="I728">
        <v>6.3</v>
      </c>
      <c r="J728">
        <v>21.9</v>
      </c>
      <c r="K728">
        <v>5.2</v>
      </c>
      <c r="L728">
        <v>9.6</v>
      </c>
      <c r="M728">
        <v>10.4</v>
      </c>
      <c r="N728">
        <v>5.3921169999999998</v>
      </c>
      <c r="O728">
        <v>25</v>
      </c>
      <c r="P728">
        <v>6.4</v>
      </c>
      <c r="Q728">
        <v>9.6</v>
      </c>
      <c r="R728">
        <v>4.4000000000000004</v>
      </c>
      <c r="S728">
        <v>5.4278009999999997</v>
      </c>
      <c r="T728">
        <v>11.8</v>
      </c>
      <c r="U728">
        <v>3.3</v>
      </c>
      <c r="V728">
        <v>3.7</v>
      </c>
      <c r="W728">
        <v>6.5</v>
      </c>
      <c r="X728">
        <v>10</v>
      </c>
      <c r="Y728">
        <v>4.4360910000000002</v>
      </c>
      <c r="Z728">
        <v>6.8</v>
      </c>
      <c r="AA728">
        <v>4.5999999999999996</v>
      </c>
      <c r="AB728">
        <v>5.5468130000000002</v>
      </c>
      <c r="AC728">
        <v>7.4</v>
      </c>
      <c r="AD728">
        <v>12.8</v>
      </c>
      <c r="AE728">
        <v>11.4</v>
      </c>
      <c r="AF728">
        <v>9.1</v>
      </c>
      <c r="AG728">
        <v>7.1</v>
      </c>
      <c r="AH728">
        <v>10.199999999999999</v>
      </c>
      <c r="AI728">
        <v>5.2</v>
      </c>
      <c r="AJ728">
        <v>10.8</v>
      </c>
      <c r="AK728">
        <v>5.7633049999999999</v>
      </c>
    </row>
    <row r="729" spans="1:37" x14ac:dyDescent="0.2">
      <c r="A729" s="6">
        <v>42217</v>
      </c>
      <c r="B729">
        <v>6.0800549999999998</v>
      </c>
      <c r="D729">
        <v>7.9</v>
      </c>
      <c r="E729">
        <v>7</v>
      </c>
      <c r="F729">
        <v>6.3266590000000003</v>
      </c>
      <c r="G729">
        <v>4.7</v>
      </c>
      <c r="H729">
        <v>4.5999999999999996</v>
      </c>
      <c r="I729">
        <v>6.2</v>
      </c>
      <c r="J729">
        <v>21.7</v>
      </c>
      <c r="K729">
        <v>5.3</v>
      </c>
      <c r="L729">
        <v>9.5</v>
      </c>
      <c r="M729">
        <v>10.3</v>
      </c>
      <c r="N729">
        <v>5.3193219999999997</v>
      </c>
      <c r="O729">
        <v>24.7</v>
      </c>
      <c r="P729">
        <v>6.3</v>
      </c>
      <c r="Q729">
        <v>9.5</v>
      </c>
      <c r="R729">
        <v>4.3</v>
      </c>
      <c r="S729">
        <v>5.0753969999999997</v>
      </c>
      <c r="T729">
        <v>11.7</v>
      </c>
      <c r="U729">
        <v>3.4</v>
      </c>
      <c r="V729">
        <v>3.6</v>
      </c>
      <c r="W729">
        <v>6.5</v>
      </c>
      <c r="X729">
        <v>9.9</v>
      </c>
      <c r="Y729">
        <v>4.389831</v>
      </c>
      <c r="Z729">
        <v>6.8</v>
      </c>
      <c r="AA729">
        <v>4.5999999999999996</v>
      </c>
      <c r="AB729">
        <v>5.4349970000000001</v>
      </c>
      <c r="AC729">
        <v>7.3</v>
      </c>
      <c r="AD729">
        <v>12.8</v>
      </c>
      <c r="AE729">
        <v>11.3</v>
      </c>
      <c r="AF729">
        <v>8.8000000000000007</v>
      </c>
      <c r="AG729">
        <v>6.9</v>
      </c>
      <c r="AH729">
        <v>10.199999999999999</v>
      </c>
      <c r="AI729">
        <v>5.0999999999999996</v>
      </c>
      <c r="AJ729">
        <v>10.7</v>
      </c>
      <c r="AK729">
        <v>5.7079950000000004</v>
      </c>
    </row>
    <row r="730" spans="1:37" x14ac:dyDescent="0.2">
      <c r="A730" s="6">
        <v>42248</v>
      </c>
      <c r="B730">
        <v>6.1630409999999998</v>
      </c>
      <c r="D730">
        <v>8.1</v>
      </c>
      <c r="E730">
        <v>7.1</v>
      </c>
      <c r="F730">
        <v>6.382034</v>
      </c>
      <c r="G730">
        <v>4.8</v>
      </c>
      <c r="H730">
        <v>4.5</v>
      </c>
      <c r="I730">
        <v>6.1</v>
      </c>
      <c r="J730">
        <v>21.4</v>
      </c>
      <c r="K730">
        <v>5.6</v>
      </c>
      <c r="L730">
        <v>9.1999999999999993</v>
      </c>
      <c r="M730">
        <v>10.3</v>
      </c>
      <c r="N730">
        <v>5.1742730000000003</v>
      </c>
      <c r="O730">
        <v>24.8</v>
      </c>
      <c r="P730">
        <v>6</v>
      </c>
      <c r="Q730">
        <v>9.6</v>
      </c>
      <c r="R730">
        <v>4.2</v>
      </c>
      <c r="S730">
        <v>5.0728920000000004</v>
      </c>
      <c r="T730">
        <v>11.6</v>
      </c>
      <c r="U730">
        <v>3.4</v>
      </c>
      <c r="V730">
        <v>3.5</v>
      </c>
      <c r="W730">
        <v>6.5</v>
      </c>
      <c r="X730">
        <v>9.9</v>
      </c>
      <c r="Y730">
        <v>4.1901869999999999</v>
      </c>
      <c r="Z730">
        <v>6.8</v>
      </c>
      <c r="AA730">
        <v>4.5</v>
      </c>
      <c r="AB730">
        <v>5.4865349999999999</v>
      </c>
      <c r="AC730">
        <v>7.2</v>
      </c>
      <c r="AD730">
        <v>12.9</v>
      </c>
      <c r="AE730">
        <v>11.2</v>
      </c>
      <c r="AF730">
        <v>8.6</v>
      </c>
      <c r="AG730">
        <v>7.3</v>
      </c>
      <c r="AH730">
        <v>10.3</v>
      </c>
      <c r="AI730">
        <v>5</v>
      </c>
      <c r="AJ730">
        <v>10.7</v>
      </c>
      <c r="AK730">
        <v>5.6655170000000004</v>
      </c>
    </row>
    <row r="731" spans="1:37" x14ac:dyDescent="0.2">
      <c r="A731" s="6">
        <v>42278</v>
      </c>
      <c r="B731">
        <v>5.9237060000000001</v>
      </c>
      <c r="D731">
        <v>8.5</v>
      </c>
      <c r="E731">
        <v>6.9</v>
      </c>
      <c r="F731">
        <v>6.4123380000000001</v>
      </c>
      <c r="G731">
        <v>4.5</v>
      </c>
      <c r="H731">
        <v>4.5</v>
      </c>
      <c r="I731">
        <v>6.1</v>
      </c>
      <c r="J731">
        <v>21.2</v>
      </c>
      <c r="K731">
        <v>6.1</v>
      </c>
      <c r="L731">
        <v>9.6</v>
      </c>
      <c r="M731">
        <v>10.3</v>
      </c>
      <c r="N731">
        <v>5.0813969999999999</v>
      </c>
      <c r="O731">
        <v>24.6</v>
      </c>
      <c r="P731">
        <v>6.2</v>
      </c>
      <c r="Q731">
        <v>9.6</v>
      </c>
      <c r="R731">
        <v>4.0999999999999996</v>
      </c>
      <c r="S731">
        <v>5.3130709999999999</v>
      </c>
      <c r="T731">
        <v>11.8</v>
      </c>
      <c r="U731">
        <v>3.2</v>
      </c>
      <c r="V731">
        <v>3.5</v>
      </c>
      <c r="W731">
        <v>6.5</v>
      </c>
      <c r="X731">
        <v>10</v>
      </c>
      <c r="Y731">
        <v>4.4593769999999999</v>
      </c>
      <c r="Z731">
        <v>6.9</v>
      </c>
      <c r="AA731">
        <v>4.5999999999999996</v>
      </c>
      <c r="AB731">
        <v>5.4205370000000004</v>
      </c>
      <c r="AC731">
        <v>7.1</v>
      </c>
      <c r="AD731">
        <v>12.8</v>
      </c>
      <c r="AE731">
        <v>11</v>
      </c>
      <c r="AF731">
        <v>8.6</v>
      </c>
      <c r="AG731">
        <v>7.2</v>
      </c>
      <c r="AH731">
        <v>10.5</v>
      </c>
      <c r="AI731">
        <v>5</v>
      </c>
      <c r="AJ731">
        <v>10.6</v>
      </c>
      <c r="AK731">
        <v>5.622852</v>
      </c>
    </row>
    <row r="732" spans="1:37" x14ac:dyDescent="0.2">
      <c r="A732" s="6">
        <v>42309</v>
      </c>
      <c r="B732">
        <v>5.8508740000000001</v>
      </c>
      <c r="D732">
        <v>8.8000000000000007</v>
      </c>
      <c r="E732">
        <v>7.1</v>
      </c>
      <c r="F732">
        <v>6.332522</v>
      </c>
      <c r="G732">
        <v>4.5</v>
      </c>
      <c r="H732">
        <v>4.5</v>
      </c>
      <c r="I732">
        <v>6.1</v>
      </c>
      <c r="J732">
        <v>20.9</v>
      </c>
      <c r="K732">
        <v>6.5</v>
      </c>
      <c r="L732">
        <v>9.1999999999999993</v>
      </c>
      <c r="M732">
        <v>10.199999999999999</v>
      </c>
      <c r="N732">
        <v>5.0788419999999999</v>
      </c>
      <c r="O732">
        <v>24.4</v>
      </c>
      <c r="P732">
        <v>6</v>
      </c>
      <c r="Q732">
        <v>9.6</v>
      </c>
      <c r="R732">
        <v>3.9</v>
      </c>
      <c r="S732">
        <v>5.1894309999999999</v>
      </c>
      <c r="T732">
        <v>11.5</v>
      </c>
      <c r="U732">
        <v>3.3</v>
      </c>
      <c r="V732">
        <v>3.6</v>
      </c>
      <c r="W732">
        <v>6.5</v>
      </c>
      <c r="X732">
        <v>10</v>
      </c>
      <c r="Y732">
        <v>4.0957650000000001</v>
      </c>
      <c r="Z732">
        <v>6.7</v>
      </c>
      <c r="AA732">
        <v>4.8</v>
      </c>
      <c r="AB732">
        <v>5.4415100000000001</v>
      </c>
      <c r="AC732">
        <v>7</v>
      </c>
      <c r="AD732">
        <v>12.6</v>
      </c>
      <c r="AE732">
        <v>10.8</v>
      </c>
      <c r="AF732">
        <v>8.5</v>
      </c>
      <c r="AG732">
        <v>6.9</v>
      </c>
      <c r="AH732">
        <v>10.4</v>
      </c>
      <c r="AI732">
        <v>5.0999999999999996</v>
      </c>
      <c r="AJ732">
        <v>10.5</v>
      </c>
      <c r="AK732">
        <v>5.6368340000000003</v>
      </c>
    </row>
    <row r="733" spans="1:37" x14ac:dyDescent="0.2">
      <c r="A733" s="6">
        <v>42339</v>
      </c>
      <c r="B733">
        <v>5.7458539999999996</v>
      </c>
      <c r="D733">
        <v>8.6999999999999993</v>
      </c>
      <c r="E733">
        <v>7.2</v>
      </c>
      <c r="F733">
        <v>6.2757069999999997</v>
      </c>
      <c r="G733">
        <v>4.5999999999999996</v>
      </c>
      <c r="H733">
        <v>4.5</v>
      </c>
      <c r="I733">
        <v>6.1</v>
      </c>
      <c r="J733">
        <v>20.8</v>
      </c>
      <c r="K733">
        <v>6.5</v>
      </c>
      <c r="L733">
        <v>9.6</v>
      </c>
      <c r="M733">
        <v>10.199999999999999</v>
      </c>
      <c r="N733">
        <v>5.0692279999999998</v>
      </c>
      <c r="O733">
        <v>24</v>
      </c>
      <c r="P733">
        <v>5.9</v>
      </c>
      <c r="Q733">
        <v>9.1</v>
      </c>
      <c r="R733">
        <v>3.7</v>
      </c>
      <c r="S733">
        <v>5.2209989999999999</v>
      </c>
      <c r="T733">
        <v>11.7</v>
      </c>
      <c r="U733">
        <v>3.3</v>
      </c>
      <c r="V733">
        <v>3.5</v>
      </c>
      <c r="W733">
        <v>6.5</v>
      </c>
      <c r="X733">
        <v>10</v>
      </c>
      <c r="Y733">
        <v>4.3847740000000002</v>
      </c>
      <c r="Z733">
        <v>6.6</v>
      </c>
      <c r="AA733">
        <v>4.8</v>
      </c>
      <c r="AB733">
        <v>5.4216430000000004</v>
      </c>
      <c r="AC733">
        <v>6.9</v>
      </c>
      <c r="AD733">
        <v>12.4</v>
      </c>
      <c r="AE733">
        <v>10.7</v>
      </c>
      <c r="AF733">
        <v>8.5</v>
      </c>
      <c r="AG733">
        <v>7.2</v>
      </c>
      <c r="AH733">
        <v>10.199999999999999</v>
      </c>
      <c r="AI733">
        <v>5</v>
      </c>
      <c r="AJ733">
        <v>10.5</v>
      </c>
      <c r="AK733">
        <v>5.619637</v>
      </c>
    </row>
    <row r="734" spans="1:37" x14ac:dyDescent="0.2">
      <c r="A734" s="6">
        <v>42370</v>
      </c>
      <c r="B734">
        <v>6.0209060000000001</v>
      </c>
      <c r="D734">
        <v>8.4</v>
      </c>
      <c r="E734">
        <v>7.2</v>
      </c>
      <c r="F734">
        <v>6.3145680000000004</v>
      </c>
      <c r="G734">
        <v>4.3</v>
      </c>
      <c r="H734">
        <v>4.4000000000000004</v>
      </c>
      <c r="I734">
        <v>6</v>
      </c>
      <c r="J734">
        <v>20.5</v>
      </c>
      <c r="K734">
        <v>6.5</v>
      </c>
      <c r="L734">
        <v>9.1999999999999993</v>
      </c>
      <c r="M734">
        <v>10.199999999999999</v>
      </c>
      <c r="N734">
        <v>5.1131789999999997</v>
      </c>
      <c r="O734">
        <v>24.3</v>
      </c>
      <c r="P734">
        <v>6</v>
      </c>
      <c r="Q734">
        <v>9.1</v>
      </c>
      <c r="R734">
        <v>3.6</v>
      </c>
      <c r="S734">
        <v>5.1242999999999999</v>
      </c>
      <c r="T734">
        <v>11.6</v>
      </c>
      <c r="U734">
        <v>3.2</v>
      </c>
      <c r="V734">
        <v>3.6</v>
      </c>
      <c r="W734">
        <v>6.4</v>
      </c>
      <c r="X734">
        <v>10</v>
      </c>
      <c r="Y734">
        <v>4.0974180000000002</v>
      </c>
      <c r="Z734">
        <v>6.5</v>
      </c>
      <c r="AA734">
        <v>5.0999999999999996</v>
      </c>
      <c r="AB734">
        <v>5.4423490000000001</v>
      </c>
      <c r="AC734">
        <v>6.7</v>
      </c>
      <c r="AD734">
        <v>12.2</v>
      </c>
      <c r="AE734">
        <v>10.5</v>
      </c>
      <c r="AF734">
        <v>8.4</v>
      </c>
      <c r="AG734">
        <v>7</v>
      </c>
      <c r="AH734">
        <v>10.1</v>
      </c>
      <c r="AI734">
        <v>4.8</v>
      </c>
      <c r="AJ734">
        <v>10.4</v>
      </c>
      <c r="AK734">
        <v>5.5218160000000003</v>
      </c>
    </row>
    <row r="735" spans="1:37" x14ac:dyDescent="0.2">
      <c r="A735" s="6">
        <v>42401</v>
      </c>
      <c r="B735">
        <v>5.6743790000000001</v>
      </c>
      <c r="D735">
        <v>8.1999999999999993</v>
      </c>
      <c r="E735">
        <v>7.3</v>
      </c>
      <c r="F735">
        <v>6.5231199999999996</v>
      </c>
      <c r="G735">
        <v>4.3</v>
      </c>
      <c r="H735">
        <v>4.4000000000000004</v>
      </c>
      <c r="I735">
        <v>6</v>
      </c>
      <c r="J735">
        <v>20.399999999999999</v>
      </c>
      <c r="K735">
        <v>6.3</v>
      </c>
      <c r="L735">
        <v>9.1</v>
      </c>
      <c r="M735">
        <v>10.3</v>
      </c>
      <c r="N735">
        <v>5.0710350000000002</v>
      </c>
      <c r="O735">
        <v>23.6</v>
      </c>
      <c r="P735">
        <v>5.6</v>
      </c>
      <c r="Q735">
        <v>9</v>
      </c>
      <c r="R735">
        <v>3.6</v>
      </c>
      <c r="S735">
        <v>5.3617679999999996</v>
      </c>
      <c r="T735">
        <v>11.7</v>
      </c>
      <c r="U735">
        <v>3.3</v>
      </c>
      <c r="V735">
        <v>3.9</v>
      </c>
      <c r="W735">
        <v>6.4</v>
      </c>
      <c r="X735">
        <v>9.9</v>
      </c>
      <c r="Y735">
        <v>4.1999930000000001</v>
      </c>
      <c r="Z735">
        <v>6.5</v>
      </c>
      <c r="AA735">
        <v>5</v>
      </c>
      <c r="AB735">
        <v>5.4558840000000002</v>
      </c>
      <c r="AC735">
        <v>6.6</v>
      </c>
      <c r="AD735">
        <v>12.3</v>
      </c>
      <c r="AE735">
        <v>10.3</v>
      </c>
      <c r="AF735">
        <v>8.4</v>
      </c>
      <c r="AG735">
        <v>7.1</v>
      </c>
      <c r="AH735">
        <v>10</v>
      </c>
      <c r="AI735">
        <v>4.9000000000000004</v>
      </c>
      <c r="AJ735">
        <v>10.4</v>
      </c>
      <c r="AK735">
        <v>5.5658799999999999</v>
      </c>
    </row>
    <row r="736" spans="1:37" x14ac:dyDescent="0.2">
      <c r="A736" s="6">
        <v>42430</v>
      </c>
      <c r="B736">
        <v>5.6422040000000004</v>
      </c>
      <c r="D736">
        <v>8.1999999999999993</v>
      </c>
      <c r="E736">
        <v>7.1</v>
      </c>
      <c r="F736">
        <v>6.663678</v>
      </c>
      <c r="G736">
        <v>4.0999999999999996</v>
      </c>
      <c r="H736">
        <v>4.3</v>
      </c>
      <c r="I736">
        <v>6</v>
      </c>
      <c r="J736">
        <v>20.2</v>
      </c>
      <c r="K736">
        <v>6.7</v>
      </c>
      <c r="L736">
        <v>9.1999999999999993</v>
      </c>
      <c r="M736">
        <v>10.199999999999999</v>
      </c>
      <c r="N736">
        <v>5.0070499999999996</v>
      </c>
      <c r="O736">
        <v>23.9</v>
      </c>
      <c r="P736">
        <v>5.6</v>
      </c>
      <c r="Q736">
        <v>8.9</v>
      </c>
      <c r="R736">
        <v>3.6</v>
      </c>
      <c r="S736">
        <v>5.2995089999999996</v>
      </c>
      <c r="T736">
        <v>11.6</v>
      </c>
      <c r="U736">
        <v>3.2</v>
      </c>
      <c r="V736">
        <v>3.7</v>
      </c>
      <c r="W736">
        <v>6.4</v>
      </c>
      <c r="X736">
        <v>9.6999999999999993</v>
      </c>
      <c r="Y736">
        <v>4.083628</v>
      </c>
      <c r="Z736">
        <v>6.4</v>
      </c>
      <c r="AA736">
        <v>5</v>
      </c>
      <c r="AB736">
        <v>5.5366689999999998</v>
      </c>
      <c r="AC736">
        <v>6.5</v>
      </c>
      <c r="AD736">
        <v>12.1</v>
      </c>
      <c r="AE736">
        <v>10.199999999999999</v>
      </c>
      <c r="AF736">
        <v>8.3000000000000007</v>
      </c>
      <c r="AG736">
        <v>7.3</v>
      </c>
      <c r="AH736">
        <v>9.8000000000000007</v>
      </c>
      <c r="AI736">
        <v>5</v>
      </c>
      <c r="AJ736">
        <v>10.3</v>
      </c>
      <c r="AK736">
        <v>5.5716260000000002</v>
      </c>
    </row>
    <row r="737" spans="1:37" x14ac:dyDescent="0.2">
      <c r="A737" s="6">
        <v>42461</v>
      </c>
      <c r="B737">
        <v>5.6389469999999999</v>
      </c>
      <c r="D737">
        <v>8.1999999999999993</v>
      </c>
      <c r="E737">
        <v>7.2</v>
      </c>
      <c r="F737">
        <v>6.8070630000000003</v>
      </c>
      <c r="G737">
        <v>3.9</v>
      </c>
      <c r="H737">
        <v>4.3</v>
      </c>
      <c r="I737">
        <v>6.1</v>
      </c>
      <c r="J737">
        <v>20.3</v>
      </c>
      <c r="K737">
        <v>6.4</v>
      </c>
      <c r="L737">
        <v>9.1</v>
      </c>
      <c r="M737">
        <v>10.1</v>
      </c>
      <c r="N737">
        <v>4.9389659999999997</v>
      </c>
      <c r="O737">
        <v>23.4</v>
      </c>
      <c r="P737">
        <v>5.6</v>
      </c>
      <c r="Q737">
        <v>9</v>
      </c>
      <c r="R737">
        <v>3.5</v>
      </c>
      <c r="S737">
        <v>5.0543750000000003</v>
      </c>
      <c r="T737">
        <v>11.8</v>
      </c>
      <c r="U737">
        <v>3.2</v>
      </c>
      <c r="V737">
        <v>3.6</v>
      </c>
      <c r="W737">
        <v>6.3</v>
      </c>
      <c r="X737">
        <v>9.5</v>
      </c>
      <c r="Y737">
        <v>3.8919609999999998</v>
      </c>
      <c r="Z737">
        <v>6.4</v>
      </c>
      <c r="AA737">
        <v>4.8</v>
      </c>
      <c r="AB737">
        <v>5.569814</v>
      </c>
      <c r="AC737">
        <v>6.4</v>
      </c>
      <c r="AD737">
        <v>11.9</v>
      </c>
      <c r="AE737">
        <v>10</v>
      </c>
      <c r="AF737">
        <v>8.1999999999999993</v>
      </c>
      <c r="AG737">
        <v>6.7</v>
      </c>
      <c r="AH737">
        <v>9.9</v>
      </c>
      <c r="AI737">
        <v>5.0999999999999996</v>
      </c>
      <c r="AJ737">
        <v>10.199999999999999</v>
      </c>
      <c r="AK737">
        <v>5.6032349999999997</v>
      </c>
    </row>
    <row r="738" spans="1:37" x14ac:dyDescent="0.2">
      <c r="A738" s="6">
        <v>42491</v>
      </c>
      <c r="B738">
        <v>5.7261829999999998</v>
      </c>
      <c r="D738">
        <v>8.1</v>
      </c>
      <c r="E738">
        <v>7</v>
      </c>
      <c r="F738">
        <v>6.7358529999999996</v>
      </c>
      <c r="G738">
        <v>4</v>
      </c>
      <c r="H738">
        <v>4.2</v>
      </c>
      <c r="I738">
        <v>6.1</v>
      </c>
      <c r="J738">
        <v>20.100000000000001</v>
      </c>
      <c r="K738">
        <v>6.4</v>
      </c>
      <c r="L738">
        <v>8.6</v>
      </c>
      <c r="M738">
        <v>10</v>
      </c>
      <c r="N738">
        <v>4.9213630000000004</v>
      </c>
      <c r="O738">
        <v>23.6</v>
      </c>
      <c r="P738">
        <v>5</v>
      </c>
      <c r="Q738">
        <v>8.9</v>
      </c>
      <c r="R738">
        <v>3.4</v>
      </c>
      <c r="S738">
        <v>4.8370559999999996</v>
      </c>
      <c r="T738">
        <v>11.6</v>
      </c>
      <c r="U738">
        <v>3.2</v>
      </c>
      <c r="V738">
        <v>3.6</v>
      </c>
      <c r="W738">
        <v>6.3</v>
      </c>
      <c r="X738">
        <v>9.5</v>
      </c>
      <c r="Y738">
        <v>4.0975270000000004</v>
      </c>
      <c r="Z738">
        <v>6.3</v>
      </c>
      <c r="AA738">
        <v>4.8</v>
      </c>
      <c r="AB738">
        <v>5.4739620000000002</v>
      </c>
      <c r="AC738">
        <v>6.3</v>
      </c>
      <c r="AD738">
        <v>11.6</v>
      </c>
      <c r="AE738">
        <v>9.9</v>
      </c>
      <c r="AF738">
        <v>8</v>
      </c>
      <c r="AG738">
        <v>7.2</v>
      </c>
      <c r="AH738">
        <v>10.3</v>
      </c>
      <c r="AI738">
        <v>4.8</v>
      </c>
      <c r="AJ738">
        <v>10.199999999999999</v>
      </c>
      <c r="AK738">
        <v>5.4484589999999997</v>
      </c>
    </row>
    <row r="739" spans="1:37" x14ac:dyDescent="0.2">
      <c r="A739" s="6">
        <v>42522</v>
      </c>
      <c r="B739">
        <v>5.6941699999999997</v>
      </c>
      <c r="D739">
        <v>8.1</v>
      </c>
      <c r="E739">
        <v>6.9</v>
      </c>
      <c r="F739">
        <v>6.8734440000000001</v>
      </c>
      <c r="G739">
        <v>4.2</v>
      </c>
      <c r="H739">
        <v>4.2</v>
      </c>
      <c r="I739">
        <v>6</v>
      </c>
      <c r="J739">
        <v>19.899999999999999</v>
      </c>
      <c r="K739">
        <v>6.7</v>
      </c>
      <c r="L739">
        <v>9.1</v>
      </c>
      <c r="M739">
        <v>10</v>
      </c>
      <c r="N739">
        <v>4.8936799999999998</v>
      </c>
      <c r="O739">
        <v>23.7</v>
      </c>
      <c r="P739">
        <v>4.5999999999999996</v>
      </c>
      <c r="Q739">
        <v>8.6999999999999993</v>
      </c>
      <c r="R739">
        <v>3.3</v>
      </c>
      <c r="S739">
        <v>4.5399799999999999</v>
      </c>
      <c r="T739">
        <v>11.7</v>
      </c>
      <c r="U739">
        <v>3.1</v>
      </c>
      <c r="V739">
        <v>3.6</v>
      </c>
      <c r="W739">
        <v>6.3</v>
      </c>
      <c r="X739">
        <v>9.6</v>
      </c>
      <c r="Y739">
        <v>3.9352130000000001</v>
      </c>
      <c r="Z739">
        <v>6.1</v>
      </c>
      <c r="AA739">
        <v>4.8</v>
      </c>
      <c r="AB739">
        <v>5.488861</v>
      </c>
      <c r="AC739">
        <v>6.3</v>
      </c>
      <c r="AD739">
        <v>11.5</v>
      </c>
      <c r="AE739">
        <v>9.6999999999999993</v>
      </c>
      <c r="AF739">
        <v>7.8</v>
      </c>
      <c r="AG739">
        <v>6.7</v>
      </c>
      <c r="AH739">
        <v>11</v>
      </c>
      <c r="AI739">
        <v>4.9000000000000004</v>
      </c>
      <c r="AJ739">
        <v>10.1</v>
      </c>
      <c r="AK739">
        <v>5.4535640000000001</v>
      </c>
    </row>
    <row r="740" spans="1:37" x14ac:dyDescent="0.2">
      <c r="A740" s="6">
        <v>42552</v>
      </c>
      <c r="B740">
        <v>5.6913289999999996</v>
      </c>
      <c r="D740">
        <v>7.9</v>
      </c>
      <c r="E740">
        <v>7</v>
      </c>
      <c r="F740">
        <v>6.7465419999999998</v>
      </c>
      <c r="G740">
        <v>4.0999999999999996</v>
      </c>
      <c r="H740">
        <v>4.2</v>
      </c>
      <c r="I740">
        <v>6</v>
      </c>
      <c r="J740">
        <v>19.600000000000001</v>
      </c>
      <c r="K740">
        <v>6.7</v>
      </c>
      <c r="L740">
        <v>9.1999999999999993</v>
      </c>
      <c r="M740">
        <v>9.8000000000000007</v>
      </c>
      <c r="N740">
        <v>4.9831630000000002</v>
      </c>
      <c r="O740">
        <v>23.4</v>
      </c>
      <c r="P740">
        <v>5.0999999999999996</v>
      </c>
      <c r="Q740">
        <v>8.5</v>
      </c>
      <c r="R740">
        <v>3.3</v>
      </c>
      <c r="S740">
        <v>4.7249109999999996</v>
      </c>
      <c r="T740">
        <v>11.7</v>
      </c>
      <c r="U740">
        <v>3</v>
      </c>
      <c r="V740">
        <v>3.6</v>
      </c>
      <c r="W740">
        <v>6.2</v>
      </c>
      <c r="X740">
        <v>9.8000000000000007</v>
      </c>
      <c r="Y740">
        <v>3.779369</v>
      </c>
      <c r="Z740">
        <v>6</v>
      </c>
      <c r="AA740">
        <v>4.8</v>
      </c>
      <c r="AB740">
        <v>5.44278</v>
      </c>
      <c r="AC740">
        <v>6.2</v>
      </c>
      <c r="AD740">
        <v>11.3</v>
      </c>
      <c r="AE740">
        <v>9.6</v>
      </c>
      <c r="AF740">
        <v>7.5</v>
      </c>
      <c r="AG740">
        <v>6.8</v>
      </c>
      <c r="AH740">
        <v>11.1</v>
      </c>
      <c r="AI740">
        <v>4.8</v>
      </c>
      <c r="AJ740">
        <v>10</v>
      </c>
      <c r="AK740">
        <v>5.405151</v>
      </c>
    </row>
    <row r="741" spans="1:37" x14ac:dyDescent="0.2">
      <c r="A741" s="6">
        <v>42583</v>
      </c>
      <c r="B741">
        <v>5.6008490000000002</v>
      </c>
      <c r="D741">
        <v>7.8</v>
      </c>
      <c r="E741">
        <v>7</v>
      </c>
      <c r="F741">
        <v>6.8067070000000003</v>
      </c>
      <c r="G741">
        <v>3.8</v>
      </c>
      <c r="H741">
        <v>4.0999999999999996</v>
      </c>
      <c r="I741">
        <v>6</v>
      </c>
      <c r="J741">
        <v>19.3</v>
      </c>
      <c r="K741">
        <v>7.5</v>
      </c>
      <c r="L741">
        <v>8.4</v>
      </c>
      <c r="M741">
        <v>9.9</v>
      </c>
      <c r="N741">
        <v>4.838883</v>
      </c>
      <c r="O741">
        <v>23.4</v>
      </c>
      <c r="P741">
        <v>4.5999999999999996</v>
      </c>
      <c r="Q741">
        <v>8.3000000000000007</v>
      </c>
      <c r="R741">
        <v>3.4</v>
      </c>
      <c r="S741">
        <v>4.6780710000000001</v>
      </c>
      <c r="T741">
        <v>11.6</v>
      </c>
      <c r="U741">
        <v>3.1</v>
      </c>
      <c r="V741">
        <v>3.8</v>
      </c>
      <c r="W741">
        <v>6.3</v>
      </c>
      <c r="X741">
        <v>9.8000000000000007</v>
      </c>
      <c r="Y741">
        <v>3.752672</v>
      </c>
      <c r="Z741">
        <v>5.8</v>
      </c>
      <c r="AA741">
        <v>4.8</v>
      </c>
      <c r="AB741">
        <v>5.4083079999999999</v>
      </c>
      <c r="AC741">
        <v>6.1</v>
      </c>
      <c r="AD741">
        <v>11.3</v>
      </c>
      <c r="AE741">
        <v>9.5</v>
      </c>
      <c r="AF741">
        <v>7.5</v>
      </c>
      <c r="AG741">
        <v>7.1</v>
      </c>
      <c r="AH741">
        <v>11.4</v>
      </c>
      <c r="AI741">
        <v>4.9000000000000004</v>
      </c>
      <c r="AJ741">
        <v>9.9</v>
      </c>
      <c r="AK741">
        <v>5.4303030000000003</v>
      </c>
    </row>
    <row r="742" spans="1:37" x14ac:dyDescent="0.2">
      <c r="A742" s="6">
        <v>42614</v>
      </c>
      <c r="B742">
        <v>5.6459140000000003</v>
      </c>
      <c r="D742">
        <v>7.5</v>
      </c>
      <c r="E742">
        <v>7</v>
      </c>
      <c r="F742">
        <v>6.6289730000000002</v>
      </c>
      <c r="G742">
        <v>3.9</v>
      </c>
      <c r="H742">
        <v>4</v>
      </c>
      <c r="I742">
        <v>6.1</v>
      </c>
      <c r="J742">
        <v>19.100000000000001</v>
      </c>
      <c r="K742">
        <v>7</v>
      </c>
      <c r="L742">
        <v>8.5</v>
      </c>
      <c r="M742">
        <v>9.9</v>
      </c>
      <c r="N742">
        <v>4.828989</v>
      </c>
      <c r="O742">
        <v>23.3</v>
      </c>
      <c r="P742">
        <v>4.5</v>
      </c>
      <c r="Q742">
        <v>7.9</v>
      </c>
      <c r="R742">
        <v>3.4</v>
      </c>
      <c r="S742">
        <v>4.8388520000000002</v>
      </c>
      <c r="T742">
        <v>11.9</v>
      </c>
      <c r="U742">
        <v>3</v>
      </c>
      <c r="V742">
        <v>3.9</v>
      </c>
      <c r="W742">
        <v>6.4</v>
      </c>
      <c r="X742">
        <v>9.6999999999999993</v>
      </c>
      <c r="Y742">
        <v>3.8516210000000002</v>
      </c>
      <c r="Z742">
        <v>5.7</v>
      </c>
      <c r="AA742">
        <v>4.7</v>
      </c>
      <c r="AB742">
        <v>5.3350070000000001</v>
      </c>
      <c r="AC742">
        <v>6</v>
      </c>
      <c r="AD742">
        <v>11.3</v>
      </c>
      <c r="AE742">
        <v>9.4</v>
      </c>
      <c r="AF742">
        <v>7.7</v>
      </c>
      <c r="AG742">
        <v>6.7</v>
      </c>
      <c r="AH742">
        <v>11.4</v>
      </c>
      <c r="AI742">
        <v>5</v>
      </c>
      <c r="AJ742">
        <v>9.9</v>
      </c>
      <c r="AK742">
        <v>5.4653200000000002</v>
      </c>
    </row>
    <row r="743" spans="1:37" x14ac:dyDescent="0.2">
      <c r="A743" s="6">
        <v>42644</v>
      </c>
      <c r="B743">
        <v>5.5870179999999996</v>
      </c>
      <c r="D743">
        <v>7.2</v>
      </c>
      <c r="E743">
        <v>7</v>
      </c>
      <c r="F743">
        <v>6.6560769999999998</v>
      </c>
      <c r="G743">
        <v>3.7</v>
      </c>
      <c r="H743">
        <v>4</v>
      </c>
      <c r="I743">
        <v>6.1</v>
      </c>
      <c r="J743">
        <v>18.8</v>
      </c>
      <c r="K743">
        <v>7.2</v>
      </c>
      <c r="L743">
        <v>8.9</v>
      </c>
      <c r="M743">
        <v>10.1</v>
      </c>
      <c r="N743">
        <v>4.7941200000000004</v>
      </c>
      <c r="O743">
        <v>23.1</v>
      </c>
      <c r="P743">
        <v>4.5999999999999996</v>
      </c>
      <c r="Q743">
        <v>7.6</v>
      </c>
      <c r="R743">
        <v>3.3</v>
      </c>
      <c r="S743">
        <v>4.6791479999999996</v>
      </c>
      <c r="T743">
        <v>11.7</v>
      </c>
      <c r="U743">
        <v>3</v>
      </c>
      <c r="V743">
        <v>3.8</v>
      </c>
      <c r="W743">
        <v>6.3</v>
      </c>
      <c r="X743">
        <v>9.5</v>
      </c>
      <c r="Y743">
        <v>3.5886049999999998</v>
      </c>
      <c r="Z743">
        <v>5.6</v>
      </c>
      <c r="AA743">
        <v>4.5999999999999996</v>
      </c>
      <c r="AB743">
        <v>5.388255</v>
      </c>
      <c r="AC743">
        <v>5.8</v>
      </c>
      <c r="AD743">
        <v>10.9</v>
      </c>
      <c r="AE743">
        <v>9.1999999999999993</v>
      </c>
      <c r="AF743">
        <v>8.1</v>
      </c>
      <c r="AG743">
        <v>6.9</v>
      </c>
      <c r="AH743">
        <v>11.8</v>
      </c>
      <c r="AI743">
        <v>4.9000000000000004</v>
      </c>
      <c r="AJ743">
        <v>9.8000000000000007</v>
      </c>
      <c r="AK743">
        <v>5.4186139999999998</v>
      </c>
    </row>
    <row r="744" spans="1:37" x14ac:dyDescent="0.2">
      <c r="A744" s="6">
        <v>42675</v>
      </c>
      <c r="B744">
        <v>5.7571260000000004</v>
      </c>
      <c r="D744">
        <v>7.2</v>
      </c>
      <c r="E744">
        <v>6.9</v>
      </c>
      <c r="F744">
        <v>6.6846459999999999</v>
      </c>
      <c r="G744">
        <v>3.6</v>
      </c>
      <c r="H744">
        <v>3.9</v>
      </c>
      <c r="I744">
        <v>5.9</v>
      </c>
      <c r="J744">
        <v>18.8</v>
      </c>
      <c r="K744">
        <v>6.6</v>
      </c>
      <c r="L744">
        <v>9.3000000000000007</v>
      </c>
      <c r="M744">
        <v>10.1</v>
      </c>
      <c r="N744">
        <v>4.7421059999999997</v>
      </c>
      <c r="O744">
        <v>23.2</v>
      </c>
      <c r="P744">
        <v>3.9</v>
      </c>
      <c r="Q744">
        <v>7.4</v>
      </c>
      <c r="R744">
        <v>3.3</v>
      </c>
      <c r="S744">
        <v>4.5220989999999999</v>
      </c>
      <c r="T744">
        <v>12</v>
      </c>
      <c r="U744">
        <v>3</v>
      </c>
      <c r="V744">
        <v>3.7</v>
      </c>
      <c r="W744">
        <v>6.3</v>
      </c>
      <c r="X744">
        <v>9.4</v>
      </c>
      <c r="Y744">
        <v>3.62765</v>
      </c>
      <c r="Z744">
        <v>5.6</v>
      </c>
      <c r="AA744">
        <v>4.5</v>
      </c>
      <c r="AB744">
        <v>5.3737760000000003</v>
      </c>
      <c r="AC744">
        <v>5.6</v>
      </c>
      <c r="AD744">
        <v>10.7</v>
      </c>
      <c r="AE744">
        <v>9</v>
      </c>
      <c r="AF744">
        <v>8.3000000000000007</v>
      </c>
      <c r="AG744">
        <v>6.8</v>
      </c>
      <c r="AH744">
        <v>11.9</v>
      </c>
      <c r="AI744">
        <v>4.7</v>
      </c>
      <c r="AJ744">
        <v>9.8000000000000007</v>
      </c>
      <c r="AK744">
        <v>5.3631399999999996</v>
      </c>
    </row>
    <row r="745" spans="1:37" x14ac:dyDescent="0.2">
      <c r="A745" s="6">
        <v>42705</v>
      </c>
      <c r="B745">
        <v>5.8337490000000001</v>
      </c>
      <c r="D745">
        <v>7.3</v>
      </c>
      <c r="E745">
        <v>7</v>
      </c>
      <c r="F745">
        <v>6.7542929999999997</v>
      </c>
      <c r="G745">
        <v>3.6</v>
      </c>
      <c r="H745">
        <v>3.9</v>
      </c>
      <c r="I745">
        <v>5.9</v>
      </c>
      <c r="J745">
        <v>18.5</v>
      </c>
      <c r="K745">
        <v>6.3</v>
      </c>
      <c r="L745">
        <v>8.5</v>
      </c>
      <c r="M745">
        <v>9.9</v>
      </c>
      <c r="N745">
        <v>4.7071170000000002</v>
      </c>
      <c r="O745">
        <v>23.6</v>
      </c>
      <c r="P745">
        <v>4.4000000000000004</v>
      </c>
      <c r="Q745">
        <v>7.4</v>
      </c>
      <c r="R745">
        <v>3.3</v>
      </c>
      <c r="S745">
        <v>4.258813</v>
      </c>
      <c r="T745">
        <v>11.8</v>
      </c>
      <c r="U745">
        <v>3</v>
      </c>
      <c r="V745">
        <v>3.5</v>
      </c>
      <c r="W745">
        <v>6.3</v>
      </c>
      <c r="X745">
        <v>9.4</v>
      </c>
      <c r="Y745">
        <v>3.7179950000000002</v>
      </c>
      <c r="Z745">
        <v>5.4</v>
      </c>
      <c r="AA745">
        <v>4.2</v>
      </c>
      <c r="AB745">
        <v>5.3250570000000002</v>
      </c>
      <c r="AC745">
        <v>5.4</v>
      </c>
      <c r="AD745">
        <v>10.3</v>
      </c>
      <c r="AE745">
        <v>8.9</v>
      </c>
      <c r="AF745">
        <v>8.1999999999999993</v>
      </c>
      <c r="AG745">
        <v>6.9</v>
      </c>
      <c r="AH745">
        <v>12</v>
      </c>
      <c r="AI745">
        <v>4.7</v>
      </c>
      <c r="AJ745">
        <v>9.6999999999999993</v>
      </c>
      <c r="AK745">
        <v>5.329612</v>
      </c>
    </row>
    <row r="746" spans="1:37" x14ac:dyDescent="0.2">
      <c r="A746" s="6">
        <v>42736</v>
      </c>
      <c r="B746">
        <v>5.6797800000000001</v>
      </c>
      <c r="D746">
        <v>7.6</v>
      </c>
      <c r="E746">
        <v>6.8</v>
      </c>
      <c r="F746">
        <v>7.0636900000000002</v>
      </c>
      <c r="G746">
        <v>3.5</v>
      </c>
      <c r="H746">
        <v>3.9</v>
      </c>
      <c r="I746">
        <v>6.1</v>
      </c>
      <c r="J746">
        <v>18.3</v>
      </c>
      <c r="K746">
        <v>5.9</v>
      </c>
      <c r="L746">
        <v>9</v>
      </c>
      <c r="M746">
        <v>9.6999999999999993</v>
      </c>
      <c r="N746">
        <v>4.6404860000000001</v>
      </c>
      <c r="O746">
        <v>22.7</v>
      </c>
      <c r="P746">
        <v>4.0999999999999996</v>
      </c>
      <c r="Q746">
        <v>7.5</v>
      </c>
      <c r="R746">
        <v>3.3</v>
      </c>
      <c r="S746">
        <v>4.5335770000000002</v>
      </c>
      <c r="T746">
        <v>11.7</v>
      </c>
      <c r="U746">
        <v>3</v>
      </c>
      <c r="V746">
        <v>3.6</v>
      </c>
      <c r="W746">
        <v>6</v>
      </c>
      <c r="X746">
        <v>9.3000000000000007</v>
      </c>
      <c r="Y746">
        <v>3.4613900000000002</v>
      </c>
      <c r="Z746">
        <v>5.3</v>
      </c>
      <c r="AA746">
        <v>4.0999999999999996</v>
      </c>
      <c r="AB746">
        <v>5.3398130000000004</v>
      </c>
      <c r="AC746">
        <v>5.2</v>
      </c>
      <c r="AD746">
        <v>10.199999999999999</v>
      </c>
      <c r="AE746">
        <v>8.6999999999999993</v>
      </c>
      <c r="AF746">
        <v>7.8</v>
      </c>
      <c r="AG746">
        <v>6.8</v>
      </c>
      <c r="AH746">
        <v>11.8</v>
      </c>
      <c r="AI746">
        <v>4.7</v>
      </c>
      <c r="AJ746">
        <v>9.6</v>
      </c>
      <c r="AK746">
        <v>5.2690250000000001</v>
      </c>
    </row>
    <row r="747" spans="1:37" x14ac:dyDescent="0.2">
      <c r="A747" s="6">
        <v>42767</v>
      </c>
      <c r="B747">
        <v>5.8392179999999998</v>
      </c>
      <c r="D747">
        <v>7.8</v>
      </c>
      <c r="E747">
        <v>6.6</v>
      </c>
      <c r="F747">
        <v>7.0615110000000003</v>
      </c>
      <c r="G747">
        <v>3.3</v>
      </c>
      <c r="H747">
        <v>3.9</v>
      </c>
      <c r="I747">
        <v>6.2</v>
      </c>
      <c r="J747">
        <v>18.2</v>
      </c>
      <c r="K747">
        <v>5.4</v>
      </c>
      <c r="L747">
        <v>9</v>
      </c>
      <c r="M747">
        <v>9.6</v>
      </c>
      <c r="N747">
        <v>4.5632999999999999</v>
      </c>
      <c r="O747">
        <v>22.4</v>
      </c>
      <c r="P747">
        <v>4.2</v>
      </c>
      <c r="Q747">
        <v>7.4</v>
      </c>
      <c r="R747">
        <v>3.2</v>
      </c>
      <c r="S747">
        <v>4.3476039999999996</v>
      </c>
      <c r="T747">
        <v>11.5</v>
      </c>
      <c r="U747">
        <v>2.9</v>
      </c>
      <c r="V747">
        <v>3.9</v>
      </c>
      <c r="W747">
        <v>5.9</v>
      </c>
      <c r="X747">
        <v>9</v>
      </c>
      <c r="Y747">
        <v>3.426132</v>
      </c>
      <c r="Z747">
        <v>5.3</v>
      </c>
      <c r="AA747">
        <v>4.3</v>
      </c>
      <c r="AB747">
        <v>5.3190410000000004</v>
      </c>
      <c r="AC747">
        <v>5.0999999999999996</v>
      </c>
      <c r="AD747">
        <v>10</v>
      </c>
      <c r="AE747">
        <v>8.6</v>
      </c>
      <c r="AF747">
        <v>7.4</v>
      </c>
      <c r="AG747">
        <v>6.9</v>
      </c>
      <c r="AH747">
        <v>11.7</v>
      </c>
      <c r="AI747">
        <v>4.5999999999999996</v>
      </c>
      <c r="AJ747">
        <v>9.4</v>
      </c>
      <c r="AK747">
        <v>5.1904589999999997</v>
      </c>
    </row>
    <row r="748" spans="1:37" x14ac:dyDescent="0.2">
      <c r="A748" s="6">
        <v>42795</v>
      </c>
      <c r="B748">
        <v>5.8415889999999999</v>
      </c>
      <c r="D748">
        <v>7.7</v>
      </c>
      <c r="E748">
        <v>6.7</v>
      </c>
      <c r="F748">
        <v>7.1326010000000002</v>
      </c>
      <c r="G748">
        <v>3.3</v>
      </c>
      <c r="H748">
        <v>3.9</v>
      </c>
      <c r="I748">
        <v>6</v>
      </c>
      <c r="J748">
        <v>18</v>
      </c>
      <c r="K748">
        <v>5.5</v>
      </c>
      <c r="L748">
        <v>8.8000000000000007</v>
      </c>
      <c r="M748">
        <v>9.5</v>
      </c>
      <c r="N748">
        <v>4.5402870000000002</v>
      </c>
      <c r="O748">
        <v>22.3</v>
      </c>
      <c r="P748">
        <v>4.5999999999999996</v>
      </c>
      <c r="Q748">
        <v>7.2</v>
      </c>
      <c r="R748">
        <v>3.2</v>
      </c>
      <c r="S748">
        <v>4.4607210000000004</v>
      </c>
      <c r="T748">
        <v>11.7</v>
      </c>
      <c r="U748">
        <v>2.8</v>
      </c>
      <c r="V748">
        <v>3.6</v>
      </c>
      <c r="W748">
        <v>5.7</v>
      </c>
      <c r="X748">
        <v>8.8000000000000007</v>
      </c>
      <c r="Y748">
        <v>3.4813610000000001</v>
      </c>
      <c r="Z748">
        <v>5.0999999999999996</v>
      </c>
      <c r="AA748">
        <v>4.5</v>
      </c>
      <c r="AB748">
        <v>5.2455670000000003</v>
      </c>
      <c r="AC748">
        <v>5</v>
      </c>
      <c r="AD748">
        <v>9.9</v>
      </c>
      <c r="AE748">
        <v>8.6</v>
      </c>
      <c r="AF748">
        <v>7</v>
      </c>
      <c r="AG748">
        <v>6.4</v>
      </c>
      <c r="AH748">
        <v>11.5</v>
      </c>
      <c r="AI748">
        <v>4.4000000000000004</v>
      </c>
      <c r="AJ748">
        <v>9.4</v>
      </c>
      <c r="AK748">
        <v>5.1045639999999999</v>
      </c>
    </row>
    <row r="749" spans="1:37" x14ac:dyDescent="0.2">
      <c r="A749" s="6">
        <v>42826</v>
      </c>
      <c r="B749">
        <v>5.6112109999999999</v>
      </c>
      <c r="D749">
        <v>7.4</v>
      </c>
      <c r="E749">
        <v>6.5</v>
      </c>
      <c r="F749">
        <v>7.0836740000000002</v>
      </c>
      <c r="G749">
        <v>3.3</v>
      </c>
      <c r="H749">
        <v>3.8</v>
      </c>
      <c r="I749">
        <v>5.8</v>
      </c>
      <c r="J749">
        <v>17.600000000000001</v>
      </c>
      <c r="K749">
        <v>6.2</v>
      </c>
      <c r="L749">
        <v>9.4</v>
      </c>
      <c r="M749">
        <v>9.5</v>
      </c>
      <c r="N749">
        <v>4.4453719999999999</v>
      </c>
      <c r="O749">
        <v>21.4</v>
      </c>
      <c r="P749">
        <v>4.4000000000000004</v>
      </c>
      <c r="Q749">
        <v>6.9</v>
      </c>
      <c r="R749">
        <v>3.2</v>
      </c>
      <c r="S749">
        <v>4.4352159999999996</v>
      </c>
      <c r="T749">
        <v>11.2</v>
      </c>
      <c r="U749">
        <v>2.8</v>
      </c>
      <c r="V749">
        <v>3.8</v>
      </c>
      <c r="W749">
        <v>5.6</v>
      </c>
      <c r="X749">
        <v>8.8000000000000007</v>
      </c>
      <c r="Y749">
        <v>3.5367649999999999</v>
      </c>
      <c r="Z749">
        <v>5.0999999999999996</v>
      </c>
      <c r="AA749">
        <v>4.5</v>
      </c>
      <c r="AB749">
        <v>5.3113060000000001</v>
      </c>
      <c r="AC749">
        <v>5.0999999999999996</v>
      </c>
      <c r="AD749">
        <v>9.6999999999999993</v>
      </c>
      <c r="AE749">
        <v>8.5</v>
      </c>
      <c r="AF749">
        <v>6.7</v>
      </c>
      <c r="AG749">
        <v>6.8</v>
      </c>
      <c r="AH749">
        <v>11.2</v>
      </c>
      <c r="AI749">
        <v>4.5</v>
      </c>
      <c r="AJ749">
        <v>9.1999999999999993</v>
      </c>
      <c r="AK749">
        <v>5.055021</v>
      </c>
    </row>
    <row r="750" spans="1:37" x14ac:dyDescent="0.2">
      <c r="A750" s="6">
        <v>42856</v>
      </c>
      <c r="B750">
        <v>5.553464</v>
      </c>
      <c r="D750">
        <v>7.2</v>
      </c>
      <c r="E750">
        <v>6.6</v>
      </c>
      <c r="F750">
        <v>7.0195470000000002</v>
      </c>
      <c r="G750">
        <v>2.9</v>
      </c>
      <c r="H750">
        <v>3.8</v>
      </c>
      <c r="I750">
        <v>5.9</v>
      </c>
      <c r="J750">
        <v>17.399999999999999</v>
      </c>
      <c r="K750">
        <v>6.9</v>
      </c>
      <c r="L750">
        <v>8.9</v>
      </c>
      <c r="M750">
        <v>9.5</v>
      </c>
      <c r="N750">
        <v>4.4254020000000001</v>
      </c>
      <c r="O750">
        <v>21.9</v>
      </c>
      <c r="P750">
        <v>4.0999999999999996</v>
      </c>
      <c r="Q750">
        <v>6.6</v>
      </c>
      <c r="R750">
        <v>3.2</v>
      </c>
      <c r="S750">
        <v>4.5038169999999997</v>
      </c>
      <c r="T750">
        <v>11.5</v>
      </c>
      <c r="U750">
        <v>3</v>
      </c>
      <c r="V750">
        <v>3.4</v>
      </c>
      <c r="W750">
        <v>5.5</v>
      </c>
      <c r="X750">
        <v>8.9</v>
      </c>
      <c r="Y750">
        <v>3.6188470000000001</v>
      </c>
      <c r="Z750">
        <v>5.0999999999999996</v>
      </c>
      <c r="AA750">
        <v>4.5</v>
      </c>
      <c r="AB750">
        <v>5.2433370000000004</v>
      </c>
      <c r="AC750">
        <v>5.0999999999999996</v>
      </c>
      <c r="AD750">
        <v>9.5</v>
      </c>
      <c r="AE750">
        <v>8.4</v>
      </c>
      <c r="AF750">
        <v>6.6</v>
      </c>
      <c r="AG750">
        <v>6.7</v>
      </c>
      <c r="AH750">
        <v>11.1</v>
      </c>
      <c r="AI750">
        <v>4.4000000000000004</v>
      </c>
      <c r="AJ750">
        <v>9.1999999999999993</v>
      </c>
      <c r="AK750">
        <v>5.0842770000000002</v>
      </c>
    </row>
    <row r="751" spans="1:37" x14ac:dyDescent="0.2">
      <c r="A751" s="6">
        <v>42887</v>
      </c>
      <c r="B751">
        <v>5.5982960000000004</v>
      </c>
      <c r="D751">
        <v>7.1</v>
      </c>
      <c r="E751">
        <v>6.5</v>
      </c>
      <c r="F751">
        <v>6.8133480000000004</v>
      </c>
      <c r="G751">
        <v>2.9</v>
      </c>
      <c r="H751">
        <v>3.8</v>
      </c>
      <c r="I751">
        <v>5.9</v>
      </c>
      <c r="J751">
        <v>17.100000000000001</v>
      </c>
      <c r="K751">
        <v>6.4</v>
      </c>
      <c r="L751">
        <v>8.8000000000000007</v>
      </c>
      <c r="M751">
        <v>9.5</v>
      </c>
      <c r="N751">
        <v>4.3376950000000001</v>
      </c>
      <c r="O751">
        <v>21.6</v>
      </c>
      <c r="P751">
        <v>4.2</v>
      </c>
      <c r="Q751">
        <v>6.6</v>
      </c>
      <c r="R751">
        <v>3.2</v>
      </c>
      <c r="S751">
        <v>4.2811209999999997</v>
      </c>
      <c r="T751">
        <v>11.2</v>
      </c>
      <c r="U751">
        <v>2.8</v>
      </c>
      <c r="V751">
        <v>3.7</v>
      </c>
      <c r="W751">
        <v>5.5</v>
      </c>
      <c r="X751">
        <v>8.9</v>
      </c>
      <c r="Y751">
        <v>3.2606700000000002</v>
      </c>
      <c r="Z751">
        <v>4.9000000000000004</v>
      </c>
      <c r="AA751">
        <v>4.3</v>
      </c>
      <c r="AB751">
        <v>5.5269680000000001</v>
      </c>
      <c r="AC751">
        <v>5</v>
      </c>
      <c r="AD751">
        <v>9.4</v>
      </c>
      <c r="AE751">
        <v>8</v>
      </c>
      <c r="AF751">
        <v>6.6</v>
      </c>
      <c r="AG751">
        <v>6.6</v>
      </c>
      <c r="AH751">
        <v>10.9</v>
      </c>
      <c r="AI751">
        <v>4.3</v>
      </c>
      <c r="AJ751">
        <v>9.1</v>
      </c>
      <c r="AK751">
        <v>4.9679380000000002</v>
      </c>
    </row>
    <row r="752" spans="1:37" x14ac:dyDescent="0.2">
      <c r="A752" s="6">
        <v>42917</v>
      </c>
      <c r="B752">
        <v>5.5851220000000001</v>
      </c>
      <c r="D752">
        <v>7.2</v>
      </c>
      <c r="E752">
        <v>6.3</v>
      </c>
      <c r="F752">
        <v>6.5818310000000002</v>
      </c>
      <c r="G752">
        <v>2.8</v>
      </c>
      <c r="H752">
        <v>3.7</v>
      </c>
      <c r="I752">
        <v>5.9</v>
      </c>
      <c r="J752">
        <v>16.899999999999999</v>
      </c>
      <c r="K752">
        <v>5.8</v>
      </c>
      <c r="L752">
        <v>8.4</v>
      </c>
      <c r="M752">
        <v>9.6</v>
      </c>
      <c r="N752">
        <v>4.3280399999999997</v>
      </c>
      <c r="O752">
        <v>20.9</v>
      </c>
      <c r="P752">
        <v>4.0999999999999996</v>
      </c>
      <c r="Q752">
        <v>6.6</v>
      </c>
      <c r="R752">
        <v>3.2</v>
      </c>
      <c r="S752">
        <v>3.879486</v>
      </c>
      <c r="T752">
        <v>11.4</v>
      </c>
      <c r="U752">
        <v>2.8</v>
      </c>
      <c r="V752">
        <v>3.5</v>
      </c>
      <c r="W752">
        <v>5.6</v>
      </c>
      <c r="X752">
        <v>8.8000000000000007</v>
      </c>
      <c r="Y752">
        <v>3.2257220000000002</v>
      </c>
      <c r="Z752">
        <v>4.8</v>
      </c>
      <c r="AA752">
        <v>4.2</v>
      </c>
      <c r="AB752">
        <v>8.7934070000000002</v>
      </c>
      <c r="AC752">
        <v>4.9000000000000004</v>
      </c>
      <c r="AD752">
        <v>9.1999999999999993</v>
      </c>
      <c r="AE752">
        <v>8</v>
      </c>
      <c r="AF752">
        <v>6.5</v>
      </c>
      <c r="AG752">
        <v>6.9</v>
      </c>
      <c r="AH752">
        <v>11</v>
      </c>
      <c r="AI752">
        <v>4.3</v>
      </c>
      <c r="AJ752">
        <v>9.1</v>
      </c>
      <c r="AK752">
        <v>4.9563110000000004</v>
      </c>
    </row>
    <row r="753" spans="1:37" x14ac:dyDescent="0.2">
      <c r="A753" s="6">
        <v>42948</v>
      </c>
      <c r="B753">
        <v>5.5061140000000002</v>
      </c>
      <c r="D753">
        <v>7.2</v>
      </c>
      <c r="E753">
        <v>6.2</v>
      </c>
      <c r="F753">
        <v>6.7707879999999996</v>
      </c>
      <c r="G753">
        <v>2.7</v>
      </c>
      <c r="H753">
        <v>3.7</v>
      </c>
      <c r="I753">
        <v>5.9</v>
      </c>
      <c r="J753">
        <v>16.8</v>
      </c>
      <c r="K753">
        <v>5.2</v>
      </c>
      <c r="L753">
        <v>8.6</v>
      </c>
      <c r="M753">
        <v>9.6</v>
      </c>
      <c r="N753">
        <v>4.2668150000000002</v>
      </c>
      <c r="O753">
        <v>20.9</v>
      </c>
      <c r="P753">
        <v>3.9</v>
      </c>
      <c r="Q753">
        <v>6.6</v>
      </c>
      <c r="R753">
        <v>3.3</v>
      </c>
      <c r="S753">
        <v>4.1170920000000004</v>
      </c>
      <c r="T753">
        <v>11.4</v>
      </c>
      <c r="U753">
        <v>2.8</v>
      </c>
      <c r="V753">
        <v>3.8</v>
      </c>
      <c r="W753">
        <v>5.5</v>
      </c>
      <c r="X753">
        <v>8.6999999999999993</v>
      </c>
      <c r="Y753">
        <v>3.2980079999999998</v>
      </c>
      <c r="Z753">
        <v>4.7</v>
      </c>
      <c r="AA753">
        <v>4.0999999999999996</v>
      </c>
      <c r="AB753">
        <v>8.6380049999999997</v>
      </c>
      <c r="AC753">
        <v>4.8</v>
      </c>
      <c r="AD753">
        <v>9</v>
      </c>
      <c r="AE753">
        <v>7.9</v>
      </c>
      <c r="AF753">
        <v>6.5</v>
      </c>
      <c r="AG753">
        <v>6.4</v>
      </c>
      <c r="AH753">
        <v>10.6</v>
      </c>
      <c r="AI753">
        <v>4.4000000000000004</v>
      </c>
      <c r="AJ753">
        <v>9</v>
      </c>
      <c r="AK753">
        <v>4.9916410000000004</v>
      </c>
    </row>
    <row r="754" spans="1:37" x14ac:dyDescent="0.2">
      <c r="A754" s="6">
        <v>42979</v>
      </c>
      <c r="B754">
        <v>5.447813</v>
      </c>
      <c r="D754">
        <v>6.9</v>
      </c>
      <c r="E754">
        <v>6.2</v>
      </c>
      <c r="F754">
        <v>6.9373399999999998</v>
      </c>
      <c r="G754">
        <v>2.7</v>
      </c>
      <c r="H754">
        <v>3.7</v>
      </c>
      <c r="I754">
        <v>5.7</v>
      </c>
      <c r="J754">
        <v>16.7</v>
      </c>
      <c r="K754">
        <v>5.7</v>
      </c>
      <c r="L754">
        <v>8.9</v>
      </c>
      <c r="M754">
        <v>9.4</v>
      </c>
      <c r="N754">
        <v>4.2433370000000004</v>
      </c>
      <c r="O754">
        <v>21</v>
      </c>
      <c r="P754">
        <v>3.7</v>
      </c>
      <c r="Q754">
        <v>6.6</v>
      </c>
      <c r="R754">
        <v>3.3</v>
      </c>
      <c r="S754">
        <v>3.993719</v>
      </c>
      <c r="T754">
        <v>11.2</v>
      </c>
      <c r="U754">
        <v>2.8</v>
      </c>
      <c r="V754">
        <v>3.7</v>
      </c>
      <c r="W754">
        <v>5.5</v>
      </c>
      <c r="X754">
        <v>8.5</v>
      </c>
      <c r="Y754">
        <v>3.3380519999999998</v>
      </c>
      <c r="Z754">
        <v>4.7</v>
      </c>
      <c r="AA754">
        <v>4</v>
      </c>
      <c r="AB754">
        <v>8.2969740000000005</v>
      </c>
      <c r="AC754">
        <v>4.8</v>
      </c>
      <c r="AD754">
        <v>8.8000000000000007</v>
      </c>
      <c r="AE754">
        <v>7.8</v>
      </c>
      <c r="AF754">
        <v>6.3</v>
      </c>
      <c r="AG754">
        <v>6.8</v>
      </c>
      <c r="AH754">
        <v>10.6</v>
      </c>
      <c r="AI754">
        <v>4.2</v>
      </c>
      <c r="AJ754">
        <v>8.9</v>
      </c>
      <c r="AK754">
        <v>4.8991889999999998</v>
      </c>
    </row>
    <row r="755" spans="1:37" x14ac:dyDescent="0.2">
      <c r="A755" s="6">
        <v>43009</v>
      </c>
      <c r="B755">
        <v>5.3683699999999996</v>
      </c>
      <c r="D755">
        <v>6.7</v>
      </c>
      <c r="E755">
        <v>6.3</v>
      </c>
      <c r="F755">
        <v>6.9656479999999998</v>
      </c>
      <c r="G755">
        <v>2.6</v>
      </c>
      <c r="H755">
        <v>3.7</v>
      </c>
      <c r="I755">
        <v>5.6</v>
      </c>
      <c r="J755">
        <v>16.7</v>
      </c>
      <c r="K755">
        <v>5.3</v>
      </c>
      <c r="L755">
        <v>8</v>
      </c>
      <c r="M755">
        <v>9.1999999999999993</v>
      </c>
      <c r="N755">
        <v>4.2718559999999997</v>
      </c>
      <c r="O755">
        <v>21</v>
      </c>
      <c r="P755">
        <v>3.8</v>
      </c>
      <c r="Q755">
        <v>6.4</v>
      </c>
      <c r="R755">
        <v>3.3</v>
      </c>
      <c r="S755">
        <v>4.1347690000000004</v>
      </c>
      <c r="T755">
        <v>11.1</v>
      </c>
      <c r="U755">
        <v>2.7</v>
      </c>
      <c r="V755">
        <v>3.7</v>
      </c>
      <c r="W755">
        <v>5.4</v>
      </c>
      <c r="X755">
        <v>8.4</v>
      </c>
      <c r="Y755">
        <v>3.440833</v>
      </c>
      <c r="Z755">
        <v>4.5</v>
      </c>
      <c r="AA755">
        <v>3.9</v>
      </c>
      <c r="AB755">
        <v>8.0877949999999998</v>
      </c>
      <c r="AC755">
        <v>4.5999999999999996</v>
      </c>
      <c r="AD755">
        <v>8.6</v>
      </c>
      <c r="AE755">
        <v>7.7</v>
      </c>
      <c r="AF755">
        <v>6.1</v>
      </c>
      <c r="AG755">
        <v>6.8</v>
      </c>
      <c r="AH755">
        <v>10.4</v>
      </c>
      <c r="AI755">
        <v>4.0999999999999996</v>
      </c>
      <c r="AJ755">
        <v>8.8000000000000007</v>
      </c>
      <c r="AK755">
        <v>4.8290129999999998</v>
      </c>
    </row>
    <row r="756" spans="1:37" x14ac:dyDescent="0.2">
      <c r="A756" s="6">
        <v>43040</v>
      </c>
      <c r="B756">
        <v>5.4138299999999999</v>
      </c>
      <c r="D756">
        <v>6.4</v>
      </c>
      <c r="E756">
        <v>6</v>
      </c>
      <c r="F756">
        <v>7.010688</v>
      </c>
      <c r="G756">
        <v>2.4</v>
      </c>
      <c r="H756">
        <v>3.6</v>
      </c>
      <c r="I756">
        <v>5.4</v>
      </c>
      <c r="J756">
        <v>16.600000000000001</v>
      </c>
      <c r="K756">
        <v>5.4</v>
      </c>
      <c r="L756">
        <v>8.1999999999999993</v>
      </c>
      <c r="M756">
        <v>9</v>
      </c>
      <c r="N756">
        <v>4.3522169999999996</v>
      </c>
      <c r="O756">
        <v>21</v>
      </c>
      <c r="P756">
        <v>3.6</v>
      </c>
      <c r="Q756">
        <v>6.3</v>
      </c>
      <c r="R756">
        <v>3.3</v>
      </c>
      <c r="S756">
        <v>4.0494729999999999</v>
      </c>
      <c r="T756">
        <v>11</v>
      </c>
      <c r="U756">
        <v>2.7</v>
      </c>
      <c r="V756">
        <v>3.7</v>
      </c>
      <c r="W756">
        <v>5.4</v>
      </c>
      <c r="X756">
        <v>8.3000000000000007</v>
      </c>
      <c r="Y756">
        <v>3.5033910000000001</v>
      </c>
      <c r="Z756">
        <v>4.4000000000000004</v>
      </c>
      <c r="AA756">
        <v>4</v>
      </c>
      <c r="AB756">
        <v>7.5594390000000002</v>
      </c>
      <c r="AC756">
        <v>4.5</v>
      </c>
      <c r="AD756">
        <v>8.1999999999999993</v>
      </c>
      <c r="AE756">
        <v>7.6</v>
      </c>
      <c r="AF756">
        <v>5.9</v>
      </c>
      <c r="AG756">
        <v>6.4</v>
      </c>
      <c r="AH756">
        <v>10.199999999999999</v>
      </c>
      <c r="AI756">
        <v>4.2</v>
      </c>
      <c r="AJ756">
        <v>8.6999999999999993</v>
      </c>
      <c r="AK756">
        <v>4.8198189999999999</v>
      </c>
    </row>
    <row r="757" spans="1:37" x14ac:dyDescent="0.2">
      <c r="A757" s="6">
        <v>43070</v>
      </c>
      <c r="B757">
        <v>5.609648</v>
      </c>
      <c r="D757">
        <v>6.2</v>
      </c>
      <c r="E757">
        <v>5.9</v>
      </c>
      <c r="F757">
        <v>7.223312</v>
      </c>
      <c r="G757">
        <v>2.2999999999999998</v>
      </c>
      <c r="H757">
        <v>3.6</v>
      </c>
      <c r="I757">
        <v>5.4</v>
      </c>
      <c r="J757">
        <v>16.5</v>
      </c>
      <c r="K757">
        <v>5.6</v>
      </c>
      <c r="L757">
        <v>8.8000000000000007</v>
      </c>
      <c r="M757">
        <v>9</v>
      </c>
      <c r="N757">
        <v>4.3060479999999997</v>
      </c>
      <c r="O757">
        <v>21</v>
      </c>
      <c r="P757">
        <v>3.6</v>
      </c>
      <c r="Q757">
        <v>6.2</v>
      </c>
      <c r="R757">
        <v>3.3</v>
      </c>
      <c r="S757">
        <v>4.0612089999999998</v>
      </c>
      <c r="T757">
        <v>10.9</v>
      </c>
      <c r="U757">
        <v>2.7</v>
      </c>
      <c r="V757">
        <v>3.7</v>
      </c>
      <c r="W757">
        <v>5.6</v>
      </c>
      <c r="X757">
        <v>8.1</v>
      </c>
      <c r="Y757">
        <v>3.434097</v>
      </c>
      <c r="Z757">
        <v>4.4000000000000004</v>
      </c>
      <c r="AA757">
        <v>4</v>
      </c>
      <c r="AB757">
        <v>7.3404860000000003</v>
      </c>
      <c r="AC757">
        <v>4.3</v>
      </c>
      <c r="AD757">
        <v>8</v>
      </c>
      <c r="AE757">
        <v>7.5</v>
      </c>
      <c r="AF757">
        <v>5.8</v>
      </c>
      <c r="AG757">
        <v>6.6</v>
      </c>
      <c r="AH757">
        <v>9.9</v>
      </c>
      <c r="AI757">
        <v>4.0999999999999996</v>
      </c>
      <c r="AJ757">
        <v>8.6999999999999993</v>
      </c>
      <c r="AK757">
        <v>4.7709080000000004</v>
      </c>
    </row>
    <row r="758" spans="1:37" x14ac:dyDescent="0.2">
      <c r="A758" s="6">
        <v>43101</v>
      </c>
      <c r="B758">
        <v>5.5010849999999998</v>
      </c>
      <c r="D758">
        <v>6.1</v>
      </c>
      <c r="E758">
        <v>6</v>
      </c>
      <c r="F758">
        <v>7.2913899999999998</v>
      </c>
      <c r="G758">
        <v>2.6</v>
      </c>
      <c r="H758">
        <v>3.6</v>
      </c>
      <c r="I758">
        <v>5.2</v>
      </c>
      <c r="J758">
        <v>16.399999999999999</v>
      </c>
      <c r="K758">
        <v>7.1</v>
      </c>
      <c r="L758">
        <v>8.5</v>
      </c>
      <c r="M758">
        <v>9.1999999999999993</v>
      </c>
      <c r="N758">
        <v>4.2130970000000003</v>
      </c>
      <c r="O758">
        <v>20.3</v>
      </c>
      <c r="P758">
        <v>3.7</v>
      </c>
      <c r="Q758">
        <v>6.1</v>
      </c>
      <c r="R758">
        <v>3.3</v>
      </c>
      <c r="S758">
        <v>3.6498840000000001</v>
      </c>
      <c r="T758">
        <v>11.1</v>
      </c>
      <c r="U758">
        <v>2.4</v>
      </c>
      <c r="V758">
        <v>3.6</v>
      </c>
      <c r="W758">
        <v>5.4</v>
      </c>
      <c r="X758">
        <v>8</v>
      </c>
      <c r="Y758">
        <v>3.2660209999999998</v>
      </c>
      <c r="Z758">
        <v>4.2</v>
      </c>
      <c r="AA758">
        <v>4</v>
      </c>
      <c r="AB758">
        <v>7.0494940000000001</v>
      </c>
      <c r="AC758">
        <v>4.0999999999999996</v>
      </c>
      <c r="AD758">
        <v>8</v>
      </c>
      <c r="AE758">
        <v>7.3</v>
      </c>
      <c r="AF758">
        <v>5.6</v>
      </c>
      <c r="AG758">
        <v>6.6</v>
      </c>
      <c r="AH758">
        <v>9.9</v>
      </c>
      <c r="AI758">
        <v>4</v>
      </c>
      <c r="AJ758">
        <v>8.6</v>
      </c>
      <c r="AK758">
        <v>4.6922819999999996</v>
      </c>
    </row>
    <row r="759" spans="1:37" x14ac:dyDescent="0.2">
      <c r="A759" s="6">
        <v>43132</v>
      </c>
      <c r="B759">
        <v>5.5593389999999996</v>
      </c>
      <c r="D759">
        <v>6.1</v>
      </c>
      <c r="E759">
        <v>5.9</v>
      </c>
      <c r="F759">
        <v>7.3791070000000003</v>
      </c>
      <c r="G759">
        <v>2.2999999999999998</v>
      </c>
      <c r="H759">
        <v>3.5</v>
      </c>
      <c r="I759">
        <v>5.3</v>
      </c>
      <c r="J759">
        <v>16.2</v>
      </c>
      <c r="K759">
        <v>7.1</v>
      </c>
      <c r="L759">
        <v>8.4</v>
      </c>
      <c r="M759">
        <v>9.1999999999999993</v>
      </c>
      <c r="N759">
        <v>4.198035</v>
      </c>
      <c r="O759">
        <v>20.5</v>
      </c>
      <c r="P759">
        <v>3.8</v>
      </c>
      <c r="Q759">
        <v>6</v>
      </c>
      <c r="R759">
        <v>3.2</v>
      </c>
      <c r="S759">
        <v>3.8807770000000001</v>
      </c>
      <c r="T759">
        <v>10.8</v>
      </c>
      <c r="U759">
        <v>2.5</v>
      </c>
      <c r="V759">
        <v>3.7</v>
      </c>
      <c r="W759">
        <v>5.5</v>
      </c>
      <c r="X759">
        <v>7.8</v>
      </c>
      <c r="Y759">
        <v>3.2528359999999998</v>
      </c>
      <c r="Z759">
        <v>4.0999999999999996</v>
      </c>
      <c r="AA759">
        <v>3.9</v>
      </c>
      <c r="AB759">
        <v>6.8788600000000004</v>
      </c>
      <c r="AC759">
        <v>3.9</v>
      </c>
      <c r="AD759">
        <v>7.7</v>
      </c>
      <c r="AE759">
        <v>7.1</v>
      </c>
      <c r="AF759">
        <v>5.6</v>
      </c>
      <c r="AG759">
        <v>5.7</v>
      </c>
      <c r="AH759">
        <v>9.8000000000000007</v>
      </c>
      <c r="AI759">
        <v>4.0999999999999996</v>
      </c>
      <c r="AJ759">
        <v>8.5</v>
      </c>
      <c r="AK759">
        <v>4.6944999999999997</v>
      </c>
    </row>
    <row r="760" spans="1:37" x14ac:dyDescent="0.2">
      <c r="A760" s="6">
        <v>43160</v>
      </c>
      <c r="B760">
        <v>5.5051050000000004</v>
      </c>
      <c r="D760">
        <v>6.1</v>
      </c>
      <c r="E760">
        <v>5.9</v>
      </c>
      <c r="F760">
        <v>7.0531319999999997</v>
      </c>
      <c r="G760">
        <v>2.1</v>
      </c>
      <c r="H760">
        <v>3.5</v>
      </c>
      <c r="I760">
        <v>5.0999999999999996</v>
      </c>
      <c r="J760">
        <v>15.9</v>
      </c>
      <c r="K760">
        <v>6.1</v>
      </c>
      <c r="L760">
        <v>8.3000000000000007</v>
      </c>
      <c r="M760">
        <v>9.1999999999999993</v>
      </c>
      <c r="N760">
        <v>4.1889440000000002</v>
      </c>
      <c r="O760">
        <v>20.2</v>
      </c>
      <c r="P760">
        <v>3.5</v>
      </c>
      <c r="Q760">
        <v>5.9</v>
      </c>
      <c r="R760">
        <v>3.2</v>
      </c>
      <c r="S760">
        <v>3.815957</v>
      </c>
      <c r="T760">
        <v>11</v>
      </c>
      <c r="U760">
        <v>2.5</v>
      </c>
      <c r="V760">
        <v>4</v>
      </c>
      <c r="W760">
        <v>5.6</v>
      </c>
      <c r="X760">
        <v>7.7</v>
      </c>
      <c r="Y760">
        <v>3.21156</v>
      </c>
      <c r="Z760">
        <v>3.9</v>
      </c>
      <c r="AA760">
        <v>3.9</v>
      </c>
      <c r="AB760">
        <v>6.816249</v>
      </c>
      <c r="AC760">
        <v>3.8</v>
      </c>
      <c r="AD760">
        <v>7.6</v>
      </c>
      <c r="AE760">
        <v>7</v>
      </c>
      <c r="AF760">
        <v>5.5</v>
      </c>
      <c r="AG760">
        <v>6.1</v>
      </c>
      <c r="AH760">
        <v>9.9</v>
      </c>
      <c r="AI760">
        <v>4</v>
      </c>
      <c r="AJ760">
        <v>8.5</v>
      </c>
      <c r="AK760">
        <v>4.6711239999999998</v>
      </c>
    </row>
    <row r="761" spans="1:37" x14ac:dyDescent="0.2">
      <c r="A761" s="6">
        <v>43191</v>
      </c>
      <c r="B761">
        <v>5.5342669999999998</v>
      </c>
      <c r="D761">
        <v>6.3</v>
      </c>
      <c r="E761">
        <v>5.9</v>
      </c>
      <c r="F761">
        <v>7.1507870000000002</v>
      </c>
      <c r="G761">
        <v>2.2999999999999998</v>
      </c>
      <c r="H761">
        <v>3.4</v>
      </c>
      <c r="I761">
        <v>5.4</v>
      </c>
      <c r="J761">
        <v>15.7</v>
      </c>
      <c r="K761">
        <v>5.4</v>
      </c>
      <c r="L761">
        <v>7.6</v>
      </c>
      <c r="M761">
        <v>9.1</v>
      </c>
      <c r="N761">
        <v>4.1653599999999997</v>
      </c>
      <c r="O761">
        <v>19.899999999999999</v>
      </c>
      <c r="P761">
        <v>3.7</v>
      </c>
      <c r="Q761">
        <v>6</v>
      </c>
      <c r="R761">
        <v>3.2</v>
      </c>
      <c r="S761">
        <v>3.9623400000000002</v>
      </c>
      <c r="T761">
        <v>11.1</v>
      </c>
      <c r="U761">
        <v>2.5</v>
      </c>
      <c r="V761">
        <v>3.8</v>
      </c>
      <c r="W761">
        <v>5.5</v>
      </c>
      <c r="X761">
        <v>7.7</v>
      </c>
      <c r="Y761">
        <v>3.472232</v>
      </c>
      <c r="Z761">
        <v>3.9</v>
      </c>
      <c r="AA761">
        <v>3.8</v>
      </c>
      <c r="AB761">
        <v>6.7662319999999996</v>
      </c>
      <c r="AC761">
        <v>3.7</v>
      </c>
      <c r="AD761">
        <v>7.3</v>
      </c>
      <c r="AE761">
        <v>6.8</v>
      </c>
      <c r="AF761">
        <v>5.4</v>
      </c>
      <c r="AG761">
        <v>6.4</v>
      </c>
      <c r="AH761">
        <v>10.3</v>
      </c>
      <c r="AI761">
        <v>4</v>
      </c>
      <c r="AJ761">
        <v>8.4</v>
      </c>
      <c r="AK761">
        <v>4.6720079999999999</v>
      </c>
    </row>
    <row r="762" spans="1:37" x14ac:dyDescent="0.2">
      <c r="A762" s="6">
        <v>43221</v>
      </c>
      <c r="B762">
        <v>5.4064420000000002</v>
      </c>
      <c r="D762">
        <v>6.3</v>
      </c>
      <c r="E762">
        <v>6</v>
      </c>
      <c r="F762">
        <v>7.2295069999999999</v>
      </c>
      <c r="G762">
        <v>2.2999999999999998</v>
      </c>
      <c r="H762">
        <v>3.4</v>
      </c>
      <c r="I762">
        <v>5.2</v>
      </c>
      <c r="J762">
        <v>15.4</v>
      </c>
      <c r="K762">
        <v>5.2</v>
      </c>
      <c r="L762">
        <v>7.4</v>
      </c>
      <c r="M762">
        <v>9.1</v>
      </c>
      <c r="N762">
        <v>4.036543</v>
      </c>
      <c r="O762">
        <v>19.399999999999999</v>
      </c>
      <c r="P762">
        <v>3.7</v>
      </c>
      <c r="Q762">
        <v>5.9</v>
      </c>
      <c r="R762">
        <v>3.2</v>
      </c>
      <c r="S762">
        <v>3.9844729999999999</v>
      </c>
      <c r="T762">
        <v>10.6</v>
      </c>
      <c r="U762">
        <v>2.2000000000000002</v>
      </c>
      <c r="V762">
        <v>3.8</v>
      </c>
      <c r="W762">
        <v>5.6</v>
      </c>
      <c r="X762">
        <v>7.7</v>
      </c>
      <c r="Y762">
        <v>3.3089339999999998</v>
      </c>
      <c r="Z762">
        <v>3.9</v>
      </c>
      <c r="AA762">
        <v>3.9</v>
      </c>
      <c r="AB762">
        <v>6.6254879999999998</v>
      </c>
      <c r="AC762">
        <v>3.7</v>
      </c>
      <c r="AD762">
        <v>7.3</v>
      </c>
      <c r="AE762">
        <v>6.7</v>
      </c>
      <c r="AF762">
        <v>5.3</v>
      </c>
      <c r="AG762">
        <v>5.9</v>
      </c>
      <c r="AH762">
        <v>10.6</v>
      </c>
      <c r="AI762">
        <v>3.8</v>
      </c>
      <c r="AJ762">
        <v>8.3000000000000007</v>
      </c>
      <c r="AK762">
        <v>4.5008889999999999</v>
      </c>
    </row>
    <row r="763" spans="1:37" x14ac:dyDescent="0.2">
      <c r="A763" s="6">
        <v>43252</v>
      </c>
      <c r="B763">
        <v>5.3185799999999999</v>
      </c>
      <c r="D763">
        <v>6.1</v>
      </c>
      <c r="E763">
        <v>6.1</v>
      </c>
      <c r="F763">
        <v>7.4191729999999998</v>
      </c>
      <c r="G763">
        <v>2.2000000000000002</v>
      </c>
      <c r="H763">
        <v>3.4</v>
      </c>
      <c r="I763">
        <v>5.0999999999999996</v>
      </c>
      <c r="J763">
        <v>15.2</v>
      </c>
      <c r="K763">
        <v>5.2</v>
      </c>
      <c r="L763">
        <v>7</v>
      </c>
      <c r="M763">
        <v>9</v>
      </c>
      <c r="N763">
        <v>4.0211969999999999</v>
      </c>
      <c r="O763">
        <v>19.3</v>
      </c>
      <c r="P763">
        <v>3.3</v>
      </c>
      <c r="Q763">
        <v>5.8</v>
      </c>
      <c r="R763">
        <v>3.2</v>
      </c>
      <c r="S763">
        <v>3.9362249999999999</v>
      </c>
      <c r="T763">
        <v>10.9</v>
      </c>
      <c r="U763">
        <v>2.4</v>
      </c>
      <c r="V763">
        <v>3.6</v>
      </c>
      <c r="W763">
        <v>5.6</v>
      </c>
      <c r="X763">
        <v>7.6</v>
      </c>
      <c r="Y763">
        <v>3.3409710000000001</v>
      </c>
      <c r="Z763">
        <v>3.9</v>
      </c>
      <c r="AA763">
        <v>3.9</v>
      </c>
      <c r="AB763">
        <v>6.4617950000000004</v>
      </c>
      <c r="AC763">
        <v>3.8</v>
      </c>
      <c r="AD763">
        <v>7</v>
      </c>
      <c r="AE763">
        <v>6.6</v>
      </c>
      <c r="AF763">
        <v>5.3</v>
      </c>
      <c r="AG763">
        <v>6.5</v>
      </c>
      <c r="AH763">
        <v>10.9</v>
      </c>
      <c r="AI763">
        <v>4</v>
      </c>
      <c r="AJ763">
        <v>8.1999999999999993</v>
      </c>
      <c r="AK763">
        <v>4.6055960000000002</v>
      </c>
    </row>
    <row r="764" spans="1:37" x14ac:dyDescent="0.2">
      <c r="A764" s="6">
        <v>43282</v>
      </c>
      <c r="B764">
        <v>5.2758149999999997</v>
      </c>
      <c r="D764">
        <v>5.9</v>
      </c>
      <c r="E764">
        <v>5.8</v>
      </c>
      <c r="F764">
        <v>7.3666309999999999</v>
      </c>
      <c r="G764">
        <v>2.2999999999999998</v>
      </c>
      <c r="H764">
        <v>3.4</v>
      </c>
      <c r="I764">
        <v>5</v>
      </c>
      <c r="J764">
        <v>15</v>
      </c>
      <c r="K764">
        <v>5.3</v>
      </c>
      <c r="L764">
        <v>7.2</v>
      </c>
      <c r="M764">
        <v>9</v>
      </c>
      <c r="N764">
        <v>4.0346690000000001</v>
      </c>
      <c r="O764">
        <v>19.100000000000001</v>
      </c>
      <c r="P764">
        <v>3.7</v>
      </c>
      <c r="Q764">
        <v>5.6</v>
      </c>
      <c r="R764">
        <v>3.1</v>
      </c>
      <c r="S764">
        <v>4.1131080000000004</v>
      </c>
      <c r="T764">
        <v>10.5</v>
      </c>
      <c r="U764">
        <v>2.5</v>
      </c>
      <c r="V764">
        <v>3.8</v>
      </c>
      <c r="W764">
        <v>5.6</v>
      </c>
      <c r="X764">
        <v>7.3</v>
      </c>
      <c r="Y764">
        <v>3.2854380000000001</v>
      </c>
      <c r="Z764">
        <v>3.8</v>
      </c>
      <c r="AA764">
        <v>4</v>
      </c>
      <c r="AC764">
        <v>3.9</v>
      </c>
      <c r="AD764">
        <v>7</v>
      </c>
      <c r="AE764">
        <v>6.5</v>
      </c>
      <c r="AF764">
        <v>5.2</v>
      </c>
      <c r="AG764">
        <v>6.3</v>
      </c>
      <c r="AH764">
        <v>11.1</v>
      </c>
      <c r="AI764">
        <v>3.8</v>
      </c>
      <c r="AJ764">
        <v>8.1</v>
      </c>
      <c r="AK764">
        <v>4.4988849999999996</v>
      </c>
    </row>
    <row r="765" spans="1:37" x14ac:dyDescent="0.2">
      <c r="A765" s="6">
        <v>43313</v>
      </c>
      <c r="B765">
        <v>5.2571349999999999</v>
      </c>
      <c r="D765">
        <v>5.7</v>
      </c>
      <c r="E765">
        <v>6</v>
      </c>
      <c r="F765">
        <v>7.2451739999999996</v>
      </c>
      <c r="G765">
        <v>2.4</v>
      </c>
      <c r="H765">
        <v>3.4</v>
      </c>
      <c r="I765">
        <v>4.8</v>
      </c>
      <c r="J765">
        <v>14.9</v>
      </c>
      <c r="K765">
        <v>5.3</v>
      </c>
      <c r="L765">
        <v>7.4</v>
      </c>
      <c r="M765">
        <v>9</v>
      </c>
      <c r="N765">
        <v>4.0733689999999996</v>
      </c>
      <c r="O765">
        <v>19</v>
      </c>
      <c r="P765">
        <v>3.8</v>
      </c>
      <c r="Q765">
        <v>5.6</v>
      </c>
      <c r="R765">
        <v>3.1</v>
      </c>
      <c r="S765">
        <v>3.9656690000000001</v>
      </c>
      <c r="T765">
        <v>10.199999999999999</v>
      </c>
      <c r="U765">
        <v>2.5</v>
      </c>
      <c r="V765">
        <v>4.3</v>
      </c>
      <c r="W765">
        <v>5.7</v>
      </c>
      <c r="X765">
        <v>7.1</v>
      </c>
      <c r="Y765">
        <v>3.2504230000000001</v>
      </c>
      <c r="Z765">
        <v>3.9</v>
      </c>
      <c r="AA765">
        <v>4</v>
      </c>
      <c r="AC765">
        <v>3.9</v>
      </c>
      <c r="AD765">
        <v>7.1</v>
      </c>
      <c r="AE765">
        <v>6.3</v>
      </c>
      <c r="AF765">
        <v>5.0999999999999996</v>
      </c>
      <c r="AG765">
        <v>6.3</v>
      </c>
      <c r="AH765">
        <v>11.2</v>
      </c>
      <c r="AI765">
        <v>3.8</v>
      </c>
      <c r="AJ765">
        <v>8</v>
      </c>
      <c r="AK765">
        <v>4.4964310000000003</v>
      </c>
    </row>
    <row r="766" spans="1:37" x14ac:dyDescent="0.2">
      <c r="A766" s="6">
        <v>43344</v>
      </c>
      <c r="B766">
        <v>5.01553</v>
      </c>
      <c r="D766">
        <v>5.6</v>
      </c>
      <c r="E766">
        <v>5.9</v>
      </c>
      <c r="F766">
        <v>7.3655020000000002</v>
      </c>
      <c r="G766">
        <v>2.2000000000000002</v>
      </c>
      <c r="H766">
        <v>3.4</v>
      </c>
      <c r="I766">
        <v>4.9000000000000004</v>
      </c>
      <c r="J766">
        <v>14.8</v>
      </c>
      <c r="K766">
        <v>5.5</v>
      </c>
      <c r="L766">
        <v>7.3</v>
      </c>
      <c r="M766">
        <v>9</v>
      </c>
      <c r="N766">
        <v>4.0553179999999998</v>
      </c>
      <c r="O766">
        <v>18.8</v>
      </c>
      <c r="P766">
        <v>3.5</v>
      </c>
      <c r="Q766">
        <v>5.6</v>
      </c>
      <c r="R766">
        <v>3.1</v>
      </c>
      <c r="S766">
        <v>4.2098269999999998</v>
      </c>
      <c r="T766">
        <v>10.4</v>
      </c>
      <c r="U766">
        <v>2.2999999999999998</v>
      </c>
      <c r="V766">
        <v>4.0999999999999996</v>
      </c>
      <c r="W766">
        <v>5.6</v>
      </c>
      <c r="X766">
        <v>7</v>
      </c>
      <c r="Y766">
        <v>3.3217560000000002</v>
      </c>
      <c r="Z766">
        <v>3.7</v>
      </c>
      <c r="AA766">
        <v>3.9</v>
      </c>
      <c r="AC766">
        <v>3.9</v>
      </c>
      <c r="AD766">
        <v>6.7</v>
      </c>
      <c r="AE766">
        <v>6.2</v>
      </c>
      <c r="AF766">
        <v>4.9000000000000004</v>
      </c>
      <c r="AG766">
        <v>6.5</v>
      </c>
      <c r="AH766">
        <v>11.5</v>
      </c>
      <c r="AI766">
        <v>3.7</v>
      </c>
      <c r="AJ766">
        <v>8</v>
      </c>
      <c r="AK766">
        <v>4.440817</v>
      </c>
    </row>
    <row r="767" spans="1:37" x14ac:dyDescent="0.2">
      <c r="A767" s="6">
        <v>43374</v>
      </c>
      <c r="B767">
        <v>5.0026869999999999</v>
      </c>
      <c r="D767">
        <v>5.8</v>
      </c>
      <c r="E767">
        <v>5.9</v>
      </c>
      <c r="F767">
        <v>7.5951250000000003</v>
      </c>
      <c r="G767">
        <v>2.1</v>
      </c>
      <c r="H767">
        <v>3.3</v>
      </c>
      <c r="I767">
        <v>4.8</v>
      </c>
      <c r="J767">
        <v>14.6</v>
      </c>
      <c r="K767">
        <v>5.2</v>
      </c>
      <c r="L767">
        <v>7.1</v>
      </c>
      <c r="M767">
        <v>8.9</v>
      </c>
      <c r="N767">
        <v>4.0390870000000003</v>
      </c>
      <c r="O767">
        <v>18.600000000000001</v>
      </c>
      <c r="P767">
        <v>3.5</v>
      </c>
      <c r="Q767">
        <v>5.7</v>
      </c>
      <c r="R767">
        <v>3.1</v>
      </c>
      <c r="S767">
        <v>4.0478769999999997</v>
      </c>
      <c r="T767">
        <v>10.8</v>
      </c>
      <c r="U767">
        <v>2.4</v>
      </c>
      <c r="V767">
        <v>4</v>
      </c>
      <c r="W767">
        <v>5.5</v>
      </c>
      <c r="X767">
        <v>7.1</v>
      </c>
      <c r="Y767">
        <v>3.168634</v>
      </c>
      <c r="Z767">
        <v>3.7</v>
      </c>
      <c r="AA767">
        <v>3.9</v>
      </c>
      <c r="AC767">
        <v>3.8</v>
      </c>
      <c r="AD767">
        <v>6.7</v>
      </c>
      <c r="AE767">
        <v>6.1</v>
      </c>
      <c r="AF767">
        <v>4.7</v>
      </c>
      <c r="AG767">
        <v>6.4</v>
      </c>
      <c r="AH767">
        <v>11.7</v>
      </c>
      <c r="AI767">
        <v>3.8</v>
      </c>
      <c r="AJ767">
        <v>8</v>
      </c>
      <c r="AK767">
        <v>4.4840309999999999</v>
      </c>
    </row>
    <row r="768" spans="1:37" x14ac:dyDescent="0.2">
      <c r="A768" s="6">
        <v>43405</v>
      </c>
      <c r="B768">
        <v>5.0986089999999997</v>
      </c>
      <c r="D768">
        <v>5.8</v>
      </c>
      <c r="E768">
        <v>5.7</v>
      </c>
      <c r="F768">
        <v>7.677835</v>
      </c>
      <c r="G768">
        <v>2</v>
      </c>
      <c r="H768">
        <v>3.3</v>
      </c>
      <c r="I768">
        <v>5.2</v>
      </c>
      <c r="J768">
        <v>14.5</v>
      </c>
      <c r="K768">
        <v>4.5999999999999996</v>
      </c>
      <c r="L768">
        <v>6.9</v>
      </c>
      <c r="M768">
        <v>8.8000000000000007</v>
      </c>
      <c r="N768">
        <v>4.0135420000000002</v>
      </c>
      <c r="O768">
        <v>18.5</v>
      </c>
      <c r="P768">
        <v>3.6</v>
      </c>
      <c r="Q768">
        <v>5.6</v>
      </c>
      <c r="R768">
        <v>3.1</v>
      </c>
      <c r="S768">
        <v>4.0140200000000004</v>
      </c>
      <c r="T768">
        <v>10.6</v>
      </c>
      <c r="U768">
        <v>2.5</v>
      </c>
      <c r="V768">
        <v>3.9</v>
      </c>
      <c r="W768">
        <v>5.4</v>
      </c>
      <c r="X768">
        <v>7.1</v>
      </c>
      <c r="Y768">
        <v>3.3668990000000001</v>
      </c>
      <c r="Z768">
        <v>3.5</v>
      </c>
      <c r="AA768">
        <v>3.7</v>
      </c>
      <c r="AC768">
        <v>3.8</v>
      </c>
      <c r="AD768">
        <v>6.8</v>
      </c>
      <c r="AE768">
        <v>6</v>
      </c>
      <c r="AF768">
        <v>4.5</v>
      </c>
      <c r="AG768">
        <v>6.5</v>
      </c>
      <c r="AH768">
        <v>12.3</v>
      </c>
      <c r="AI768">
        <v>3.8</v>
      </c>
      <c r="AJ768">
        <v>7.9</v>
      </c>
      <c r="AK768">
        <v>4.4605100000000002</v>
      </c>
    </row>
    <row r="769" spans="1:37" x14ac:dyDescent="0.2">
      <c r="A769" s="6">
        <v>43435</v>
      </c>
      <c r="B769">
        <v>5.0095000000000001</v>
      </c>
      <c r="D769">
        <v>5.7</v>
      </c>
      <c r="E769">
        <v>5.8</v>
      </c>
      <c r="F769">
        <v>7.5281120000000001</v>
      </c>
      <c r="G769">
        <v>2.2000000000000002</v>
      </c>
      <c r="H769">
        <v>3.3</v>
      </c>
      <c r="I769">
        <v>5.0999999999999996</v>
      </c>
      <c r="J769">
        <v>14.4</v>
      </c>
      <c r="K769">
        <v>4.3</v>
      </c>
      <c r="L769">
        <v>6.1</v>
      </c>
      <c r="M769">
        <v>8.8000000000000007</v>
      </c>
      <c r="N769">
        <v>3.9305620000000001</v>
      </c>
      <c r="O769">
        <v>18.399999999999999</v>
      </c>
      <c r="P769">
        <v>3.5</v>
      </c>
      <c r="Q769">
        <v>5.5</v>
      </c>
      <c r="R769">
        <v>3.2</v>
      </c>
      <c r="S769">
        <v>4.1795239999999998</v>
      </c>
      <c r="T769">
        <v>10.3</v>
      </c>
      <c r="U769">
        <v>2.5</v>
      </c>
      <c r="V769">
        <v>3.8</v>
      </c>
      <c r="W769">
        <v>5.2</v>
      </c>
      <c r="X769">
        <v>7</v>
      </c>
      <c r="Y769">
        <v>3.6995870000000002</v>
      </c>
      <c r="Z769">
        <v>3.6</v>
      </c>
      <c r="AA769">
        <v>3.7</v>
      </c>
      <c r="AC769">
        <v>3.8</v>
      </c>
      <c r="AD769">
        <v>6.7</v>
      </c>
      <c r="AE769">
        <v>5.9</v>
      </c>
      <c r="AF769">
        <v>4.4000000000000004</v>
      </c>
      <c r="AG769">
        <v>6.6</v>
      </c>
      <c r="AH769">
        <v>12.8</v>
      </c>
      <c r="AI769">
        <v>3.9</v>
      </c>
      <c r="AJ769">
        <v>7.8</v>
      </c>
      <c r="AK769">
        <v>4.488715</v>
      </c>
    </row>
    <row r="770" spans="1:37" x14ac:dyDescent="0.2">
      <c r="A770" s="6">
        <v>43466</v>
      </c>
      <c r="B770">
        <v>5.0411640000000002</v>
      </c>
      <c r="D770">
        <v>5.6</v>
      </c>
      <c r="E770">
        <v>5.9</v>
      </c>
      <c r="F770">
        <v>7.3034739999999996</v>
      </c>
      <c r="G770">
        <v>2.1</v>
      </c>
      <c r="H770">
        <v>3.3</v>
      </c>
      <c r="I770">
        <v>5.3</v>
      </c>
      <c r="J770">
        <v>14.3</v>
      </c>
      <c r="K770">
        <v>4.3</v>
      </c>
      <c r="L770">
        <v>6.6</v>
      </c>
      <c r="M770">
        <v>8.6999999999999993</v>
      </c>
      <c r="N770">
        <v>3.9415309999999999</v>
      </c>
      <c r="O770">
        <v>18.7</v>
      </c>
      <c r="P770">
        <v>3.4</v>
      </c>
      <c r="Q770">
        <v>5.2</v>
      </c>
      <c r="R770">
        <v>3.3</v>
      </c>
      <c r="S770">
        <v>4.2614570000000001</v>
      </c>
      <c r="T770">
        <v>10.5</v>
      </c>
      <c r="U770">
        <v>2.5</v>
      </c>
      <c r="V770">
        <v>4.3</v>
      </c>
      <c r="W770">
        <v>5.2</v>
      </c>
      <c r="X770">
        <v>6.8</v>
      </c>
      <c r="Y770">
        <v>3.4083139999999998</v>
      </c>
      <c r="Z770">
        <v>3.6</v>
      </c>
      <c r="AA770">
        <v>3.8</v>
      </c>
      <c r="AC770">
        <v>3.8</v>
      </c>
      <c r="AD770">
        <v>6.7</v>
      </c>
      <c r="AE770">
        <v>5.9</v>
      </c>
      <c r="AF770">
        <v>4.5999999999999996</v>
      </c>
      <c r="AG770">
        <v>6.2</v>
      </c>
      <c r="AH770">
        <v>13.4</v>
      </c>
      <c r="AI770">
        <v>4</v>
      </c>
      <c r="AJ770">
        <v>7.8</v>
      </c>
      <c r="AK770">
        <v>4.5260439999999997</v>
      </c>
    </row>
    <row r="771" spans="1:37" x14ac:dyDescent="0.2">
      <c r="A771" s="6">
        <v>43497</v>
      </c>
      <c r="B771">
        <v>4.9563259999999998</v>
      </c>
      <c r="D771">
        <v>5.5</v>
      </c>
      <c r="E771">
        <v>5.9</v>
      </c>
      <c r="F771">
        <v>7.2494160000000001</v>
      </c>
      <c r="G771">
        <v>1.8</v>
      </c>
      <c r="H771">
        <v>3.2</v>
      </c>
      <c r="I771">
        <v>5.2</v>
      </c>
      <c r="J771">
        <v>14.2</v>
      </c>
      <c r="K771">
        <v>4.5999999999999996</v>
      </c>
      <c r="L771">
        <v>6.9</v>
      </c>
      <c r="M771">
        <v>8.6999999999999993</v>
      </c>
      <c r="N771">
        <v>3.8178010000000002</v>
      </c>
      <c r="O771">
        <v>18.600000000000001</v>
      </c>
      <c r="P771">
        <v>3.4</v>
      </c>
      <c r="Q771">
        <v>5</v>
      </c>
      <c r="R771">
        <v>3.4</v>
      </c>
      <c r="S771">
        <v>4.0706540000000002</v>
      </c>
      <c r="T771">
        <v>10.5</v>
      </c>
      <c r="U771">
        <v>2.4</v>
      </c>
      <c r="V771">
        <v>3.8</v>
      </c>
      <c r="W771">
        <v>5.4</v>
      </c>
      <c r="X771">
        <v>6.6</v>
      </c>
      <c r="Y771">
        <v>3.3538600000000001</v>
      </c>
      <c r="Z771">
        <v>3.4</v>
      </c>
      <c r="AA771">
        <v>3.8</v>
      </c>
      <c r="AC771">
        <v>3.8</v>
      </c>
      <c r="AD771">
        <v>6.7</v>
      </c>
      <c r="AE771">
        <v>5.9</v>
      </c>
      <c r="AF771">
        <v>4.5999999999999996</v>
      </c>
      <c r="AG771">
        <v>6.7</v>
      </c>
      <c r="AH771">
        <v>13.6</v>
      </c>
      <c r="AI771">
        <v>3.8</v>
      </c>
      <c r="AJ771">
        <v>7.8</v>
      </c>
      <c r="AK771">
        <v>4.392252</v>
      </c>
    </row>
    <row r="772" spans="1:37" x14ac:dyDescent="0.2">
      <c r="A772" s="6">
        <v>43525</v>
      </c>
      <c r="B772">
        <v>5.0793080000000002</v>
      </c>
      <c r="D772">
        <v>5.5</v>
      </c>
      <c r="E772">
        <v>5.8</v>
      </c>
      <c r="F772">
        <v>7.1599950000000003</v>
      </c>
      <c r="G772">
        <v>2</v>
      </c>
      <c r="H772">
        <v>3.2</v>
      </c>
      <c r="I772">
        <v>5.5</v>
      </c>
      <c r="J772">
        <v>14.2</v>
      </c>
      <c r="K772">
        <v>4.5999999999999996</v>
      </c>
      <c r="L772">
        <v>6.5</v>
      </c>
      <c r="M772">
        <v>8.6</v>
      </c>
      <c r="N772">
        <v>3.8302740000000002</v>
      </c>
      <c r="O772">
        <v>17.8</v>
      </c>
      <c r="P772">
        <v>3.2</v>
      </c>
      <c r="Q772">
        <v>5.0999999999999996</v>
      </c>
      <c r="R772">
        <v>3.6</v>
      </c>
      <c r="S772">
        <v>3.9565679999999999</v>
      </c>
      <c r="T772">
        <v>10.1</v>
      </c>
      <c r="U772">
        <v>2.5</v>
      </c>
      <c r="V772">
        <v>3.8</v>
      </c>
      <c r="W772">
        <v>5.6</v>
      </c>
      <c r="X772">
        <v>6.4</v>
      </c>
      <c r="Y772">
        <v>3.5569609999999998</v>
      </c>
      <c r="Z772">
        <v>3.3</v>
      </c>
      <c r="AA772">
        <v>3.6</v>
      </c>
      <c r="AC772">
        <v>3.6</v>
      </c>
      <c r="AD772">
        <v>6.6</v>
      </c>
      <c r="AE772">
        <v>5.8</v>
      </c>
      <c r="AF772">
        <v>4.4000000000000004</v>
      </c>
      <c r="AG772">
        <v>7.2</v>
      </c>
      <c r="AH772">
        <v>13.8</v>
      </c>
      <c r="AI772">
        <v>3.8</v>
      </c>
      <c r="AJ772">
        <v>7.7</v>
      </c>
      <c r="AK772">
        <v>4.3964780000000001</v>
      </c>
    </row>
    <row r="773" spans="1:37" x14ac:dyDescent="0.2">
      <c r="A773" s="6">
        <v>43556</v>
      </c>
      <c r="B773">
        <v>5.2166769999999998</v>
      </c>
      <c r="D773">
        <v>5.5</v>
      </c>
      <c r="E773">
        <v>5.8</v>
      </c>
      <c r="F773">
        <v>7.0093860000000001</v>
      </c>
      <c r="G773">
        <v>2.1</v>
      </c>
      <c r="H773">
        <v>3.1</v>
      </c>
      <c r="I773">
        <v>5.2</v>
      </c>
      <c r="J773">
        <v>14.2</v>
      </c>
      <c r="K773">
        <v>5</v>
      </c>
      <c r="L773">
        <v>7.2</v>
      </c>
      <c r="M773">
        <v>8.5</v>
      </c>
      <c r="N773">
        <v>3.7956110000000001</v>
      </c>
      <c r="O773">
        <v>17.899999999999999</v>
      </c>
      <c r="P773">
        <v>3.4</v>
      </c>
      <c r="Q773">
        <v>5.3</v>
      </c>
      <c r="R773">
        <v>3.7</v>
      </c>
      <c r="S773">
        <v>3.904309</v>
      </c>
      <c r="T773">
        <v>10.4</v>
      </c>
      <c r="U773">
        <v>2.4</v>
      </c>
      <c r="V773">
        <v>4</v>
      </c>
      <c r="W773">
        <v>5.7</v>
      </c>
      <c r="X773">
        <v>6.3</v>
      </c>
      <c r="Y773">
        <v>3.5750660000000001</v>
      </c>
      <c r="Z773">
        <v>3.3</v>
      </c>
      <c r="AA773">
        <v>3.3</v>
      </c>
      <c r="AC773">
        <v>3.4</v>
      </c>
      <c r="AD773">
        <v>6.7</v>
      </c>
      <c r="AE773">
        <v>5.8</v>
      </c>
      <c r="AF773">
        <v>4.3</v>
      </c>
      <c r="AG773">
        <v>6.4</v>
      </c>
      <c r="AH773">
        <v>13.8</v>
      </c>
      <c r="AI773">
        <v>3.7</v>
      </c>
      <c r="AJ773">
        <v>7.7</v>
      </c>
      <c r="AK773">
        <v>4.3315919999999997</v>
      </c>
    </row>
    <row r="774" spans="1:37" x14ac:dyDescent="0.2">
      <c r="A774" s="6">
        <v>43586</v>
      </c>
      <c r="B774">
        <v>5.2245879999999998</v>
      </c>
      <c r="D774">
        <v>5.5</v>
      </c>
      <c r="E774">
        <v>5.4</v>
      </c>
      <c r="F774">
        <v>6.9748669999999997</v>
      </c>
      <c r="G774">
        <v>2.1</v>
      </c>
      <c r="H774">
        <v>3.1</v>
      </c>
      <c r="I774">
        <v>5</v>
      </c>
      <c r="J774">
        <v>14.2</v>
      </c>
      <c r="K774">
        <v>4.8</v>
      </c>
      <c r="L774">
        <v>6.8</v>
      </c>
      <c r="M774">
        <v>8.5</v>
      </c>
      <c r="N774">
        <v>3.8928379999999998</v>
      </c>
      <c r="O774">
        <v>17.100000000000001</v>
      </c>
      <c r="P774">
        <v>3.3</v>
      </c>
      <c r="Q774">
        <v>5.3</v>
      </c>
      <c r="R774">
        <v>3.8</v>
      </c>
      <c r="S774">
        <v>3.7199239999999998</v>
      </c>
      <c r="T774">
        <v>10.1</v>
      </c>
      <c r="U774">
        <v>2.2999999999999998</v>
      </c>
      <c r="V774">
        <v>3.8</v>
      </c>
      <c r="W774">
        <v>5.7</v>
      </c>
      <c r="X774">
        <v>6.3</v>
      </c>
      <c r="Y774">
        <v>3.6496620000000002</v>
      </c>
      <c r="Z774">
        <v>3.3</v>
      </c>
      <c r="AA774">
        <v>3.4</v>
      </c>
      <c r="AC774">
        <v>3.3</v>
      </c>
      <c r="AD774">
        <v>6.8</v>
      </c>
      <c r="AE774">
        <v>5.7</v>
      </c>
      <c r="AF774">
        <v>4.2</v>
      </c>
      <c r="AG774">
        <v>6.5</v>
      </c>
      <c r="AH774">
        <v>13.9</v>
      </c>
      <c r="AI774">
        <v>3.7</v>
      </c>
      <c r="AJ774">
        <v>7.6</v>
      </c>
      <c r="AK774">
        <v>4.2813189999999999</v>
      </c>
    </row>
    <row r="775" spans="1:37" x14ac:dyDescent="0.2">
      <c r="A775" s="6">
        <v>43617</v>
      </c>
      <c r="B775">
        <v>5.248259</v>
      </c>
      <c r="D775">
        <v>5.4</v>
      </c>
      <c r="E775">
        <v>5.6</v>
      </c>
      <c r="F775">
        <v>7.1086410000000004</v>
      </c>
      <c r="G775">
        <v>1.8</v>
      </c>
      <c r="H775">
        <v>3</v>
      </c>
      <c r="I775">
        <v>4.5999999999999996</v>
      </c>
      <c r="J775">
        <v>14.2</v>
      </c>
      <c r="K775">
        <v>4.4000000000000004</v>
      </c>
      <c r="L775">
        <v>6.3</v>
      </c>
      <c r="M775">
        <v>8.5</v>
      </c>
      <c r="N775">
        <v>3.7970489999999999</v>
      </c>
      <c r="O775">
        <v>16.899999999999999</v>
      </c>
      <c r="P775">
        <v>3.1</v>
      </c>
      <c r="Q775">
        <v>5.2</v>
      </c>
      <c r="R775">
        <v>3.9</v>
      </c>
      <c r="S775">
        <v>3.944715</v>
      </c>
      <c r="T775">
        <v>9.6999999999999993</v>
      </c>
      <c r="U775">
        <v>2.2999999999999998</v>
      </c>
      <c r="V775">
        <v>3.9</v>
      </c>
      <c r="W775">
        <v>5.7</v>
      </c>
      <c r="X775">
        <v>6.4</v>
      </c>
      <c r="Y775">
        <v>3.525531</v>
      </c>
      <c r="Z775">
        <v>3.4</v>
      </c>
      <c r="AA775">
        <v>3.6</v>
      </c>
      <c r="AC775">
        <v>3.3</v>
      </c>
      <c r="AD775">
        <v>6.7</v>
      </c>
      <c r="AE775">
        <v>5.8</v>
      </c>
      <c r="AF775">
        <v>4.4000000000000004</v>
      </c>
      <c r="AG775">
        <v>6.4</v>
      </c>
      <c r="AH775">
        <v>13.9</v>
      </c>
      <c r="AI775">
        <v>3.6</v>
      </c>
      <c r="AJ775">
        <v>7.5</v>
      </c>
      <c r="AK775">
        <v>4.2216529999999999</v>
      </c>
    </row>
    <row r="776" spans="1:37" x14ac:dyDescent="0.2">
      <c r="A776" s="6">
        <v>43647</v>
      </c>
      <c r="B776">
        <v>5.2455230000000004</v>
      </c>
      <c r="D776">
        <v>5.3</v>
      </c>
      <c r="E776">
        <v>5.8</v>
      </c>
      <c r="F776">
        <v>7.2064060000000003</v>
      </c>
      <c r="G776">
        <v>2.1</v>
      </c>
      <c r="H776">
        <v>3</v>
      </c>
      <c r="I776">
        <v>4.5999999999999996</v>
      </c>
      <c r="J776">
        <v>14.3</v>
      </c>
      <c r="K776">
        <v>4.0999999999999996</v>
      </c>
      <c r="L776">
        <v>6.5</v>
      </c>
      <c r="M776">
        <v>8.5</v>
      </c>
      <c r="N776">
        <v>3.8627410000000002</v>
      </c>
      <c r="O776">
        <v>17.2</v>
      </c>
      <c r="P776">
        <v>3.4</v>
      </c>
      <c r="Q776">
        <v>5</v>
      </c>
      <c r="R776">
        <v>4</v>
      </c>
      <c r="S776">
        <v>3.5834429999999999</v>
      </c>
      <c r="T776">
        <v>9.6999999999999993</v>
      </c>
      <c r="U776">
        <v>2.2999999999999998</v>
      </c>
      <c r="V776">
        <v>3.9</v>
      </c>
      <c r="W776">
        <v>5.7</v>
      </c>
      <c r="X776">
        <v>6.3</v>
      </c>
      <c r="Y776">
        <v>3.4794489999999998</v>
      </c>
      <c r="Z776">
        <v>3.4</v>
      </c>
      <c r="AA776">
        <v>3.8</v>
      </c>
      <c r="AC776">
        <v>3.2</v>
      </c>
      <c r="AD776">
        <v>6.6</v>
      </c>
      <c r="AE776">
        <v>5.8</v>
      </c>
      <c r="AF776">
        <v>4.8</v>
      </c>
      <c r="AG776">
        <v>7</v>
      </c>
      <c r="AH776">
        <v>14.2</v>
      </c>
      <c r="AI776">
        <v>3.6</v>
      </c>
      <c r="AJ776">
        <v>7.5</v>
      </c>
      <c r="AK776">
        <v>4.2341230000000003</v>
      </c>
    </row>
    <row r="777" spans="1:37" x14ac:dyDescent="0.2">
      <c r="A777" s="6">
        <v>43678</v>
      </c>
      <c r="B777">
        <v>5.2444740000000003</v>
      </c>
      <c r="D777">
        <v>5.2</v>
      </c>
      <c r="E777">
        <v>5.8</v>
      </c>
      <c r="F777">
        <v>7.1163460000000001</v>
      </c>
      <c r="G777">
        <v>2.1</v>
      </c>
      <c r="H777">
        <v>3</v>
      </c>
      <c r="I777">
        <v>4.8</v>
      </c>
      <c r="J777">
        <v>14.3</v>
      </c>
      <c r="K777">
        <v>4.2</v>
      </c>
      <c r="L777">
        <v>7</v>
      </c>
      <c r="M777">
        <v>8.5</v>
      </c>
      <c r="N777">
        <v>3.8331979999999999</v>
      </c>
      <c r="O777">
        <v>16.7</v>
      </c>
      <c r="P777">
        <v>3.2</v>
      </c>
      <c r="Q777">
        <v>4.8</v>
      </c>
      <c r="R777">
        <v>4.0999999999999996</v>
      </c>
      <c r="S777">
        <v>3.6338189999999999</v>
      </c>
      <c r="T777">
        <v>9.6</v>
      </c>
      <c r="U777">
        <v>2.2999999999999998</v>
      </c>
      <c r="V777">
        <v>3.2</v>
      </c>
      <c r="W777">
        <v>5.7</v>
      </c>
      <c r="X777">
        <v>6.2</v>
      </c>
      <c r="Y777">
        <v>3.5048379999999999</v>
      </c>
      <c r="Z777">
        <v>3.5</v>
      </c>
      <c r="AA777">
        <v>3.7</v>
      </c>
      <c r="AC777">
        <v>3.1</v>
      </c>
      <c r="AD777">
        <v>6.5</v>
      </c>
      <c r="AE777">
        <v>5.8</v>
      </c>
      <c r="AF777">
        <v>4.9000000000000004</v>
      </c>
      <c r="AG777">
        <v>7.1</v>
      </c>
      <c r="AH777">
        <v>14.1</v>
      </c>
      <c r="AI777">
        <v>3.7</v>
      </c>
      <c r="AJ777">
        <v>7.5</v>
      </c>
      <c r="AK777">
        <v>4.2266159999999999</v>
      </c>
    </row>
    <row r="778" spans="1:37" x14ac:dyDescent="0.2">
      <c r="A778" s="6">
        <v>43709</v>
      </c>
      <c r="B778">
        <v>5.1993130000000001</v>
      </c>
      <c r="D778">
        <v>5.2</v>
      </c>
      <c r="E778">
        <v>5.6</v>
      </c>
      <c r="F778">
        <v>7.1048980000000004</v>
      </c>
      <c r="G778">
        <v>2</v>
      </c>
      <c r="H778">
        <v>3.1</v>
      </c>
      <c r="I778">
        <v>5.0999999999999996</v>
      </c>
      <c r="J778">
        <v>14.1</v>
      </c>
      <c r="K778">
        <v>4.7</v>
      </c>
      <c r="L778">
        <v>6.8</v>
      </c>
      <c r="M778">
        <v>8.4</v>
      </c>
      <c r="N778">
        <v>3.7571340000000002</v>
      </c>
      <c r="O778">
        <v>16.7</v>
      </c>
      <c r="P778">
        <v>3.3</v>
      </c>
      <c r="Q778">
        <v>4.7</v>
      </c>
      <c r="R778">
        <v>4.0999999999999996</v>
      </c>
      <c r="S778">
        <v>3.5565180000000001</v>
      </c>
      <c r="T778">
        <v>9.8000000000000007</v>
      </c>
      <c r="U778">
        <v>2.4</v>
      </c>
      <c r="V778">
        <v>3.5</v>
      </c>
      <c r="W778">
        <v>5.5</v>
      </c>
      <c r="X778">
        <v>6</v>
      </c>
      <c r="Y778">
        <v>3.5184679999999999</v>
      </c>
      <c r="Z778">
        <v>3.5</v>
      </c>
      <c r="AA778">
        <v>3.9</v>
      </c>
      <c r="AC778">
        <v>3.1</v>
      </c>
      <c r="AD778">
        <v>6.7</v>
      </c>
      <c r="AE778">
        <v>5.7</v>
      </c>
      <c r="AF778">
        <v>4.8</v>
      </c>
      <c r="AG778">
        <v>6.7</v>
      </c>
      <c r="AH778">
        <v>13.9</v>
      </c>
      <c r="AI778">
        <v>3.5</v>
      </c>
      <c r="AJ778">
        <v>7.5</v>
      </c>
      <c r="AK778">
        <v>4.1830949999999998</v>
      </c>
    </row>
    <row r="779" spans="1:37" x14ac:dyDescent="0.2">
      <c r="A779" s="6">
        <v>43739</v>
      </c>
      <c r="B779">
        <v>5.2977809999999996</v>
      </c>
      <c r="D779">
        <v>5.2</v>
      </c>
      <c r="E779">
        <v>5.6</v>
      </c>
      <c r="F779">
        <v>7.2341069999999998</v>
      </c>
      <c r="G779">
        <v>2.2000000000000002</v>
      </c>
      <c r="H779">
        <v>3.1</v>
      </c>
      <c r="I779">
        <v>5.2</v>
      </c>
      <c r="J779">
        <v>14</v>
      </c>
      <c r="K779">
        <v>4.7</v>
      </c>
      <c r="L779">
        <v>6.8</v>
      </c>
      <c r="M779">
        <v>8.3000000000000007</v>
      </c>
      <c r="N779">
        <v>3.8185630000000002</v>
      </c>
      <c r="O779">
        <v>16.899999999999999</v>
      </c>
      <c r="P779">
        <v>3.6</v>
      </c>
      <c r="Q779">
        <v>4.5999999999999996</v>
      </c>
      <c r="R779">
        <v>4.2</v>
      </c>
      <c r="S779">
        <v>3.5546389999999999</v>
      </c>
      <c r="T779">
        <v>9.6999999999999993</v>
      </c>
      <c r="U779">
        <v>2.4</v>
      </c>
      <c r="V779">
        <v>3.5</v>
      </c>
      <c r="W779">
        <v>5.5</v>
      </c>
      <c r="X779">
        <v>5.8</v>
      </c>
      <c r="Y779">
        <v>3.5713599999999999</v>
      </c>
      <c r="Z779">
        <v>3.5</v>
      </c>
      <c r="AA779">
        <v>3.8</v>
      </c>
      <c r="AC779">
        <v>3</v>
      </c>
      <c r="AD779">
        <v>6.6</v>
      </c>
      <c r="AE779">
        <v>5.7</v>
      </c>
      <c r="AF779">
        <v>4.4000000000000004</v>
      </c>
      <c r="AG779">
        <v>6.8</v>
      </c>
      <c r="AH779">
        <v>13.6</v>
      </c>
      <c r="AI779">
        <v>3.6</v>
      </c>
      <c r="AJ779">
        <v>7.4</v>
      </c>
      <c r="AK779">
        <v>4.2153830000000001</v>
      </c>
    </row>
    <row r="780" spans="1:37" x14ac:dyDescent="0.2">
      <c r="A780" s="6">
        <v>43770</v>
      </c>
      <c r="B780">
        <v>5.1394510000000002</v>
      </c>
      <c r="D780">
        <v>5.2</v>
      </c>
      <c r="E780">
        <v>5.9</v>
      </c>
      <c r="F780">
        <v>7.5855560000000004</v>
      </c>
      <c r="G780">
        <v>2.1</v>
      </c>
      <c r="H780">
        <v>3.2</v>
      </c>
      <c r="I780">
        <v>5.0999999999999996</v>
      </c>
      <c r="J780">
        <v>13.8</v>
      </c>
      <c r="K780">
        <v>4.4000000000000004</v>
      </c>
      <c r="L780">
        <v>6.8</v>
      </c>
      <c r="M780">
        <v>8.1999999999999993</v>
      </c>
      <c r="N780">
        <v>3.768513</v>
      </c>
      <c r="O780">
        <v>16.600000000000001</v>
      </c>
      <c r="P780">
        <v>3.3</v>
      </c>
      <c r="Q780">
        <v>4.7</v>
      </c>
      <c r="R780">
        <v>4.3</v>
      </c>
      <c r="S780">
        <v>3.9651480000000001</v>
      </c>
      <c r="T780">
        <v>9.9</v>
      </c>
      <c r="U780">
        <v>2.2999999999999998</v>
      </c>
      <c r="V780">
        <v>3.7</v>
      </c>
      <c r="W780">
        <v>5.6</v>
      </c>
      <c r="X780">
        <v>6</v>
      </c>
      <c r="Y780">
        <v>3.545963</v>
      </c>
      <c r="Z780">
        <v>3.5</v>
      </c>
      <c r="AA780">
        <v>4</v>
      </c>
      <c r="AC780">
        <v>2.9</v>
      </c>
      <c r="AD780">
        <v>6.8</v>
      </c>
      <c r="AE780">
        <v>5.6</v>
      </c>
      <c r="AF780">
        <v>4.0999999999999996</v>
      </c>
      <c r="AG780">
        <v>7.5</v>
      </c>
      <c r="AH780">
        <v>13.2</v>
      </c>
      <c r="AI780">
        <v>3.6</v>
      </c>
      <c r="AJ780">
        <v>7.4</v>
      </c>
      <c r="AK780">
        <v>4.2232640000000004</v>
      </c>
    </row>
    <row r="781" spans="1:37" x14ac:dyDescent="0.2">
      <c r="A781" s="6">
        <v>43800</v>
      </c>
      <c r="B781">
        <v>5.0500569999999998</v>
      </c>
      <c r="D781">
        <v>5.2</v>
      </c>
      <c r="E781">
        <v>5.7</v>
      </c>
      <c r="F781">
        <v>7.8484189999999998</v>
      </c>
      <c r="G781">
        <v>2</v>
      </c>
      <c r="H781">
        <v>3.3</v>
      </c>
      <c r="I781">
        <v>4.9000000000000004</v>
      </c>
      <c r="J781">
        <v>13.7</v>
      </c>
      <c r="K781">
        <v>4.5999999999999996</v>
      </c>
      <c r="L781">
        <v>6.7</v>
      </c>
      <c r="M781">
        <v>8.1999999999999993</v>
      </c>
      <c r="N781">
        <v>3.912849</v>
      </c>
      <c r="O781">
        <v>16.399999999999999</v>
      </c>
      <c r="P781">
        <v>2.9</v>
      </c>
      <c r="Q781">
        <v>4.8</v>
      </c>
      <c r="R781">
        <v>4.5</v>
      </c>
      <c r="S781">
        <v>3.5970080000000002</v>
      </c>
      <c r="T781">
        <v>9.9</v>
      </c>
      <c r="U781">
        <v>2.2000000000000002</v>
      </c>
      <c r="V781">
        <v>3.7</v>
      </c>
      <c r="W781">
        <v>5.6</v>
      </c>
      <c r="X781">
        <v>6.6</v>
      </c>
      <c r="Y781">
        <v>3.2463090000000001</v>
      </c>
      <c r="Z781">
        <v>3.2</v>
      </c>
      <c r="AA781">
        <v>3.9</v>
      </c>
      <c r="AC781">
        <v>2.9</v>
      </c>
      <c r="AD781">
        <v>6.8</v>
      </c>
      <c r="AE781">
        <v>5.6</v>
      </c>
      <c r="AF781">
        <v>4</v>
      </c>
      <c r="AG781">
        <v>6.7</v>
      </c>
      <c r="AH781">
        <v>13.1</v>
      </c>
      <c r="AI781">
        <v>3.6</v>
      </c>
      <c r="AJ781">
        <v>7.4</v>
      </c>
      <c r="AK781">
        <v>4.2069999999999999</v>
      </c>
    </row>
    <row r="782" spans="1:37" x14ac:dyDescent="0.2">
      <c r="A782" s="6">
        <v>43831</v>
      </c>
      <c r="B782">
        <v>5.2633929999999998</v>
      </c>
      <c r="D782">
        <v>5.0999999999999996</v>
      </c>
      <c r="E782">
        <v>5.6</v>
      </c>
      <c r="F782">
        <v>8.1174309999999998</v>
      </c>
      <c r="G782">
        <v>1.9</v>
      </c>
      <c r="H782">
        <v>3.4</v>
      </c>
      <c r="I782">
        <v>5</v>
      </c>
      <c r="J782">
        <v>13.8</v>
      </c>
      <c r="K782">
        <v>5</v>
      </c>
      <c r="L782">
        <v>6.9</v>
      </c>
      <c r="M782">
        <v>8.1999999999999993</v>
      </c>
      <c r="N782">
        <v>3.9612129999999999</v>
      </c>
      <c r="O782">
        <v>16.7</v>
      </c>
      <c r="P782">
        <v>3.8</v>
      </c>
      <c r="Q782">
        <v>5.0999999999999996</v>
      </c>
      <c r="R782">
        <v>4.7</v>
      </c>
      <c r="S782">
        <v>3.7049099999999999</v>
      </c>
      <c r="T782">
        <v>9.6999999999999993</v>
      </c>
      <c r="U782">
        <v>2.4</v>
      </c>
      <c r="V782">
        <v>3.9</v>
      </c>
      <c r="W782">
        <v>5.7</v>
      </c>
      <c r="X782">
        <v>7.2</v>
      </c>
      <c r="Y782">
        <v>3.6267900000000002</v>
      </c>
      <c r="Z782">
        <v>3</v>
      </c>
      <c r="AA782">
        <v>3.7</v>
      </c>
      <c r="AC782">
        <v>3</v>
      </c>
      <c r="AD782">
        <v>6.8</v>
      </c>
      <c r="AE782">
        <v>6</v>
      </c>
      <c r="AF782">
        <v>4.0999999999999996</v>
      </c>
      <c r="AG782">
        <v>7.2</v>
      </c>
      <c r="AH782">
        <v>12.6</v>
      </c>
      <c r="AI782">
        <v>3.5</v>
      </c>
      <c r="AJ782">
        <v>7.5</v>
      </c>
      <c r="AK782">
        <v>4.222334</v>
      </c>
    </row>
    <row r="783" spans="1:37" x14ac:dyDescent="0.2">
      <c r="A783" s="6">
        <v>43862</v>
      </c>
      <c r="B783">
        <v>5.0765250000000002</v>
      </c>
      <c r="D783">
        <v>5</v>
      </c>
      <c r="E783">
        <v>5.7</v>
      </c>
      <c r="F783">
        <v>8.2482889999999998</v>
      </c>
      <c r="G783">
        <v>1.8</v>
      </c>
      <c r="H783">
        <v>3.6</v>
      </c>
      <c r="I783">
        <v>5</v>
      </c>
      <c r="J783">
        <v>13.6</v>
      </c>
      <c r="K783">
        <v>5</v>
      </c>
      <c r="L783">
        <v>6.5</v>
      </c>
      <c r="M783">
        <v>7.7</v>
      </c>
      <c r="N783">
        <v>3.972413</v>
      </c>
      <c r="O783">
        <v>15.4</v>
      </c>
      <c r="P783">
        <v>3.5</v>
      </c>
      <c r="Q783">
        <v>5</v>
      </c>
      <c r="R783">
        <v>5</v>
      </c>
      <c r="S783">
        <v>3.3702800000000002</v>
      </c>
      <c r="T783">
        <v>9.8000000000000007</v>
      </c>
      <c r="U783">
        <v>2.4</v>
      </c>
      <c r="V783">
        <v>3.4</v>
      </c>
      <c r="W783">
        <v>5.7</v>
      </c>
      <c r="X783">
        <v>7.2</v>
      </c>
      <c r="Y783">
        <v>3.6250849999999999</v>
      </c>
      <c r="Z783">
        <v>2.9</v>
      </c>
      <c r="AA783">
        <v>3.5</v>
      </c>
      <c r="AC783">
        <v>3</v>
      </c>
      <c r="AD783">
        <v>6.5</v>
      </c>
      <c r="AE783">
        <v>6</v>
      </c>
      <c r="AF783">
        <v>4.2</v>
      </c>
      <c r="AG783">
        <v>7.6</v>
      </c>
      <c r="AH783">
        <v>12.6</v>
      </c>
      <c r="AI783">
        <v>3.5</v>
      </c>
      <c r="AJ783">
        <v>7.3</v>
      </c>
      <c r="AK783">
        <v>4.1972779999999998</v>
      </c>
    </row>
    <row r="784" spans="1:37" x14ac:dyDescent="0.2">
      <c r="A784" s="6">
        <v>43891</v>
      </c>
      <c r="B784">
        <v>5.2187520000000003</v>
      </c>
      <c r="D784">
        <v>4.9000000000000004</v>
      </c>
      <c r="E784">
        <v>7.9</v>
      </c>
      <c r="F784">
        <v>9.1296579999999992</v>
      </c>
      <c r="G784">
        <v>1.9</v>
      </c>
      <c r="H784">
        <v>3.8</v>
      </c>
      <c r="I784">
        <v>4.9000000000000004</v>
      </c>
      <c r="J784">
        <v>14.5</v>
      </c>
      <c r="K784">
        <v>5.0999999999999996</v>
      </c>
      <c r="L784">
        <v>6.9</v>
      </c>
      <c r="M784">
        <v>7.4</v>
      </c>
      <c r="N784">
        <v>3.9950739999999998</v>
      </c>
      <c r="O784">
        <v>15.9</v>
      </c>
      <c r="P784">
        <v>3.4</v>
      </c>
      <c r="Q784">
        <v>5</v>
      </c>
      <c r="R784">
        <v>5.3</v>
      </c>
      <c r="S784">
        <v>3.5604520000000002</v>
      </c>
      <c r="T784">
        <v>7.5</v>
      </c>
      <c r="U784">
        <v>2.5</v>
      </c>
      <c r="V784">
        <v>3.8</v>
      </c>
      <c r="W784">
        <v>6.5</v>
      </c>
      <c r="X784">
        <v>7.4</v>
      </c>
      <c r="Y784">
        <v>3.2418179999999999</v>
      </c>
      <c r="Z784">
        <v>2.9</v>
      </c>
      <c r="AA784">
        <v>3.6</v>
      </c>
      <c r="AC784">
        <v>3</v>
      </c>
      <c r="AD784">
        <v>6.3</v>
      </c>
      <c r="AE784">
        <v>6</v>
      </c>
      <c r="AF784">
        <v>4.5</v>
      </c>
      <c r="AG784">
        <v>6.6</v>
      </c>
      <c r="AH784">
        <v>12.9</v>
      </c>
      <c r="AI784">
        <v>4.4000000000000004</v>
      </c>
      <c r="AJ784">
        <v>7.1</v>
      </c>
      <c r="AK784">
        <v>4.5603420000000003</v>
      </c>
    </row>
    <row r="785" spans="1:37" x14ac:dyDescent="0.2">
      <c r="A785" s="6">
        <v>43922</v>
      </c>
      <c r="B785">
        <v>6.352233</v>
      </c>
      <c r="D785">
        <v>4.9000000000000004</v>
      </c>
      <c r="E785">
        <v>13.1</v>
      </c>
      <c r="F785">
        <v>10.94434</v>
      </c>
      <c r="G785">
        <v>2.2000000000000002</v>
      </c>
      <c r="H785">
        <v>4</v>
      </c>
      <c r="I785">
        <v>4.9000000000000004</v>
      </c>
      <c r="J785">
        <v>15.2</v>
      </c>
      <c r="K785">
        <v>5.9</v>
      </c>
      <c r="L785">
        <v>7.2</v>
      </c>
      <c r="M785">
        <v>7.4</v>
      </c>
      <c r="N785">
        <v>4.0548010000000003</v>
      </c>
      <c r="O785">
        <v>16.3</v>
      </c>
      <c r="P785">
        <v>4.0999999999999996</v>
      </c>
      <c r="Q785">
        <v>4.7</v>
      </c>
      <c r="R785">
        <v>5.6</v>
      </c>
      <c r="S785">
        <v>3.644593</v>
      </c>
      <c r="T785">
        <v>7.6</v>
      </c>
      <c r="U785">
        <v>2.6</v>
      </c>
      <c r="V785">
        <v>3.8</v>
      </c>
      <c r="W785">
        <v>7.4</v>
      </c>
      <c r="X785">
        <v>8.3000000000000007</v>
      </c>
      <c r="Y785">
        <v>4.8014840000000003</v>
      </c>
      <c r="Z785">
        <v>3.4</v>
      </c>
      <c r="AA785">
        <v>4.0999999999999996</v>
      </c>
      <c r="AC785">
        <v>3.1</v>
      </c>
      <c r="AD785">
        <v>6.4</v>
      </c>
      <c r="AE785">
        <v>6.6</v>
      </c>
      <c r="AF785">
        <v>5.2</v>
      </c>
      <c r="AG785">
        <v>7.9</v>
      </c>
      <c r="AH785">
        <v>13.6</v>
      </c>
      <c r="AI785">
        <v>14.8</v>
      </c>
      <c r="AJ785">
        <v>7.3</v>
      </c>
      <c r="AK785">
        <v>9.196707</v>
      </c>
    </row>
    <row r="786" spans="1:37" x14ac:dyDescent="0.2">
      <c r="A786" s="6">
        <v>43952</v>
      </c>
      <c r="B786">
        <v>7.0606369999999998</v>
      </c>
      <c r="D786">
        <v>4.9000000000000004</v>
      </c>
      <c r="E786">
        <v>13.7</v>
      </c>
      <c r="F786">
        <v>11.808160000000001</v>
      </c>
      <c r="G786">
        <v>2.5</v>
      </c>
      <c r="H786">
        <v>4.2</v>
      </c>
      <c r="I786">
        <v>5.5</v>
      </c>
      <c r="J786">
        <v>15.3</v>
      </c>
      <c r="K786">
        <v>7</v>
      </c>
      <c r="L786">
        <v>8.3000000000000007</v>
      </c>
      <c r="M786">
        <v>6.8</v>
      </c>
      <c r="N786">
        <v>4.0547110000000002</v>
      </c>
      <c r="O786">
        <v>16.7</v>
      </c>
      <c r="P786">
        <v>4.4000000000000004</v>
      </c>
      <c r="Q786">
        <v>4.8</v>
      </c>
      <c r="R786">
        <v>6</v>
      </c>
      <c r="S786">
        <v>4.2384789999999999</v>
      </c>
      <c r="T786">
        <v>8.5</v>
      </c>
      <c r="U786">
        <v>2.8</v>
      </c>
      <c r="V786">
        <v>4.3</v>
      </c>
      <c r="W786">
        <v>7.7</v>
      </c>
      <c r="X786">
        <v>8.6</v>
      </c>
      <c r="Y786">
        <v>4.3488199999999999</v>
      </c>
      <c r="Z786">
        <v>3.6</v>
      </c>
      <c r="AA786">
        <v>4.5999999999999996</v>
      </c>
      <c r="AC786">
        <v>3.3</v>
      </c>
      <c r="AD786">
        <v>6</v>
      </c>
      <c r="AE786">
        <v>6.7</v>
      </c>
      <c r="AF786">
        <v>5.4</v>
      </c>
      <c r="AG786">
        <v>8.4</v>
      </c>
      <c r="AH786">
        <v>14</v>
      </c>
      <c r="AI786">
        <v>13.3</v>
      </c>
      <c r="AJ786">
        <v>7.5</v>
      </c>
      <c r="AK786">
        <v>8.6982549999999996</v>
      </c>
    </row>
    <row r="787" spans="1:37" x14ac:dyDescent="0.2">
      <c r="A787" s="6">
        <v>43983</v>
      </c>
      <c r="B787">
        <v>7.4337049999999998</v>
      </c>
      <c r="D787">
        <v>5.4</v>
      </c>
      <c r="E787">
        <v>12.5</v>
      </c>
      <c r="F787">
        <v>12.35873</v>
      </c>
      <c r="G787">
        <v>2.6</v>
      </c>
      <c r="H787">
        <v>4.3</v>
      </c>
      <c r="I787">
        <v>6</v>
      </c>
      <c r="J787">
        <v>16</v>
      </c>
      <c r="K787">
        <v>7.9</v>
      </c>
      <c r="L787">
        <v>7.7</v>
      </c>
      <c r="M787">
        <v>7.3</v>
      </c>
      <c r="N787">
        <v>4.252618</v>
      </c>
      <c r="O787">
        <v>17.8</v>
      </c>
      <c r="P787">
        <v>5</v>
      </c>
      <c r="Q787">
        <v>5.3</v>
      </c>
      <c r="R787">
        <v>6.2</v>
      </c>
      <c r="S787">
        <v>4.633051</v>
      </c>
      <c r="T787">
        <v>9.3000000000000007</v>
      </c>
      <c r="U787">
        <v>2.8</v>
      </c>
      <c r="V787">
        <v>4.2</v>
      </c>
      <c r="W787">
        <v>7.7</v>
      </c>
      <c r="X787">
        <v>8.8000000000000007</v>
      </c>
      <c r="Y787">
        <v>5.4671510000000003</v>
      </c>
      <c r="Z787">
        <v>4.3</v>
      </c>
      <c r="AA787">
        <v>5.2</v>
      </c>
      <c r="AC787">
        <v>3.4</v>
      </c>
      <c r="AD787">
        <v>7.5</v>
      </c>
      <c r="AE787">
        <v>6.8</v>
      </c>
      <c r="AF787">
        <v>5.3</v>
      </c>
      <c r="AG787">
        <v>9.1</v>
      </c>
      <c r="AH787">
        <v>14.3</v>
      </c>
      <c r="AI787">
        <v>11.1</v>
      </c>
      <c r="AJ787">
        <v>8</v>
      </c>
      <c r="AK787">
        <v>7.8546810000000002</v>
      </c>
    </row>
    <row r="788" spans="1:37" x14ac:dyDescent="0.2">
      <c r="A788" s="6">
        <v>44013</v>
      </c>
      <c r="B788">
        <v>7.4782349999999997</v>
      </c>
      <c r="D788">
        <v>6</v>
      </c>
      <c r="E788">
        <v>10.9</v>
      </c>
      <c r="F788">
        <v>12.30256</v>
      </c>
      <c r="G788">
        <v>3</v>
      </c>
      <c r="H788">
        <v>4.4000000000000004</v>
      </c>
      <c r="I788">
        <v>6.3</v>
      </c>
      <c r="J788">
        <v>16.399999999999999</v>
      </c>
      <c r="K788">
        <v>7.7</v>
      </c>
      <c r="L788">
        <v>8.4</v>
      </c>
      <c r="M788">
        <v>8.8000000000000007</v>
      </c>
      <c r="N788">
        <v>4.4624069999999998</v>
      </c>
      <c r="O788">
        <v>16.8</v>
      </c>
      <c r="P788">
        <v>4.5</v>
      </c>
      <c r="Q788">
        <v>6.2</v>
      </c>
      <c r="R788">
        <v>6.4</v>
      </c>
      <c r="S788">
        <v>4.660882</v>
      </c>
      <c r="T788">
        <v>9.9</v>
      </c>
      <c r="U788">
        <v>2.9</v>
      </c>
      <c r="V788">
        <v>4.0999999999999996</v>
      </c>
      <c r="W788">
        <v>7.2</v>
      </c>
      <c r="X788">
        <v>8.8000000000000007</v>
      </c>
      <c r="Y788">
        <v>5.1201999999999996</v>
      </c>
      <c r="Z788">
        <v>4.5</v>
      </c>
      <c r="AA788">
        <v>5.2</v>
      </c>
      <c r="AC788">
        <v>3.4</v>
      </c>
      <c r="AD788">
        <v>8</v>
      </c>
      <c r="AE788">
        <v>7.1</v>
      </c>
      <c r="AF788">
        <v>5.2</v>
      </c>
      <c r="AG788">
        <v>9.1</v>
      </c>
      <c r="AH788">
        <v>13.8</v>
      </c>
      <c r="AI788">
        <v>10.199999999999999</v>
      </c>
      <c r="AJ788">
        <v>8.5</v>
      </c>
      <c r="AK788">
        <v>7.5974640000000004</v>
      </c>
    </row>
    <row r="789" spans="1:37" x14ac:dyDescent="0.2">
      <c r="A789" s="6">
        <v>44044</v>
      </c>
      <c r="B789">
        <v>6.8046980000000001</v>
      </c>
      <c r="D789">
        <v>6.5</v>
      </c>
      <c r="E789">
        <v>10.199999999999999</v>
      </c>
      <c r="F789">
        <v>11.97439</v>
      </c>
      <c r="G789">
        <v>2.7</v>
      </c>
      <c r="H789">
        <v>4.5</v>
      </c>
      <c r="I789">
        <v>6.2</v>
      </c>
      <c r="J789">
        <v>16.7</v>
      </c>
      <c r="K789">
        <v>7.7</v>
      </c>
      <c r="L789">
        <v>8.6999999999999993</v>
      </c>
      <c r="M789">
        <v>9.3000000000000007</v>
      </c>
      <c r="N789">
        <v>4.756812</v>
      </c>
      <c r="O789">
        <v>16.899999999999999</v>
      </c>
      <c r="P789">
        <v>3.8</v>
      </c>
      <c r="Q789">
        <v>6.6</v>
      </c>
      <c r="R789">
        <v>6.6</v>
      </c>
      <c r="S789">
        <v>4.9360239999999997</v>
      </c>
      <c r="T789">
        <v>9.9</v>
      </c>
      <c r="U789">
        <v>3</v>
      </c>
      <c r="V789">
        <v>3.3</v>
      </c>
      <c r="W789">
        <v>6.8</v>
      </c>
      <c r="X789">
        <v>8.6</v>
      </c>
      <c r="Y789">
        <v>4.9452299999999996</v>
      </c>
      <c r="Z789">
        <v>4.5999999999999996</v>
      </c>
      <c r="AA789">
        <v>5.3</v>
      </c>
      <c r="AC789">
        <v>3.3</v>
      </c>
      <c r="AD789">
        <v>8.1</v>
      </c>
      <c r="AE789">
        <v>7.2</v>
      </c>
      <c r="AF789">
        <v>5.2</v>
      </c>
      <c r="AG789">
        <v>9</v>
      </c>
      <c r="AH789">
        <v>13.3</v>
      </c>
      <c r="AI789">
        <v>8.4</v>
      </c>
      <c r="AJ789">
        <v>8.6999999999999993</v>
      </c>
      <c r="AK789">
        <v>6.9251579999999997</v>
      </c>
    </row>
    <row r="790" spans="1:37" x14ac:dyDescent="0.2">
      <c r="A790" s="6">
        <v>44075</v>
      </c>
      <c r="B790">
        <v>6.9095719999999998</v>
      </c>
      <c r="D790">
        <v>6.4</v>
      </c>
      <c r="E790">
        <v>9.1999999999999993</v>
      </c>
      <c r="F790">
        <v>11.520350000000001</v>
      </c>
      <c r="G790">
        <v>2.8</v>
      </c>
      <c r="H790">
        <v>4.5</v>
      </c>
      <c r="I790">
        <v>6</v>
      </c>
      <c r="J790">
        <v>16.600000000000001</v>
      </c>
      <c r="K790">
        <v>8.1</v>
      </c>
      <c r="L790">
        <v>8.1</v>
      </c>
      <c r="M790">
        <v>9.3000000000000007</v>
      </c>
      <c r="N790">
        <v>4.9442430000000002</v>
      </c>
      <c r="O790">
        <v>16.600000000000001</v>
      </c>
      <c r="P790">
        <v>4.5</v>
      </c>
      <c r="Q790">
        <v>6.8</v>
      </c>
      <c r="R790">
        <v>6.8</v>
      </c>
      <c r="S790">
        <v>4.5824889999999998</v>
      </c>
      <c r="T790">
        <v>9.9</v>
      </c>
      <c r="U790">
        <v>3</v>
      </c>
      <c r="V790">
        <v>4</v>
      </c>
      <c r="W790">
        <v>6.7</v>
      </c>
      <c r="X790">
        <v>8.3000000000000007</v>
      </c>
      <c r="Y790">
        <v>4.7191109999999998</v>
      </c>
      <c r="Z790">
        <v>4.4000000000000004</v>
      </c>
      <c r="AA790">
        <v>5.0999999999999996</v>
      </c>
      <c r="AC790">
        <v>3.3</v>
      </c>
      <c r="AD790">
        <v>8</v>
      </c>
      <c r="AE790">
        <v>7</v>
      </c>
      <c r="AF790">
        <v>5.0999999999999996</v>
      </c>
      <c r="AG790">
        <v>8.9</v>
      </c>
      <c r="AH790">
        <v>12.7</v>
      </c>
      <c r="AI790">
        <v>7.8</v>
      </c>
      <c r="AJ790">
        <v>8.6999999999999993</v>
      </c>
      <c r="AK790">
        <v>6.6436820000000001</v>
      </c>
    </row>
    <row r="791" spans="1:37" x14ac:dyDescent="0.2">
      <c r="A791" s="6">
        <v>44105</v>
      </c>
      <c r="B791">
        <v>6.9803059999999997</v>
      </c>
      <c r="D791">
        <v>6</v>
      </c>
      <c r="E791">
        <v>9</v>
      </c>
      <c r="F791">
        <v>11.178229999999999</v>
      </c>
      <c r="G791">
        <v>3.2</v>
      </c>
      <c r="H791">
        <v>4.5</v>
      </c>
      <c r="I791">
        <v>6</v>
      </c>
      <c r="J791">
        <v>16.3</v>
      </c>
      <c r="K791">
        <v>7.8</v>
      </c>
      <c r="L791">
        <v>8.1</v>
      </c>
      <c r="M791">
        <v>8.5</v>
      </c>
      <c r="N791">
        <v>5.0382470000000001</v>
      </c>
      <c r="O791">
        <v>16.399999999999999</v>
      </c>
      <c r="P791">
        <v>4.4000000000000004</v>
      </c>
      <c r="Q791">
        <v>6.2</v>
      </c>
      <c r="R791">
        <v>7</v>
      </c>
      <c r="S791">
        <v>4.679119</v>
      </c>
      <c r="T791">
        <v>10</v>
      </c>
      <c r="U791">
        <v>3.1</v>
      </c>
      <c r="V791">
        <v>4.2</v>
      </c>
      <c r="W791">
        <v>6.5</v>
      </c>
      <c r="X791">
        <v>8</v>
      </c>
      <c r="Y791">
        <v>4.6065370000000003</v>
      </c>
      <c r="Z791">
        <v>4.3</v>
      </c>
      <c r="AA791">
        <v>5.2</v>
      </c>
      <c r="AC791">
        <v>3.2</v>
      </c>
      <c r="AD791">
        <v>7.6</v>
      </c>
      <c r="AE791">
        <v>7</v>
      </c>
      <c r="AF791">
        <v>5.2</v>
      </c>
      <c r="AG791">
        <v>8.6</v>
      </c>
      <c r="AH791">
        <v>12.9</v>
      </c>
      <c r="AI791">
        <v>6.9</v>
      </c>
      <c r="AJ791">
        <v>8.5</v>
      </c>
      <c r="AK791">
        <v>6.2054859999999996</v>
      </c>
    </row>
    <row r="792" spans="1:37" x14ac:dyDescent="0.2">
      <c r="A792" s="6">
        <v>44136</v>
      </c>
      <c r="B792">
        <v>6.8175150000000002</v>
      </c>
      <c r="D792">
        <v>5.8</v>
      </c>
      <c r="E792">
        <v>8.6</v>
      </c>
      <c r="F792">
        <v>11.04264</v>
      </c>
      <c r="G792">
        <v>3</v>
      </c>
      <c r="H792">
        <v>4.5999999999999996</v>
      </c>
      <c r="I792">
        <v>5.9</v>
      </c>
      <c r="J792">
        <v>16.100000000000001</v>
      </c>
      <c r="K792">
        <v>7.3</v>
      </c>
      <c r="L792">
        <v>8.1</v>
      </c>
      <c r="M792">
        <v>8.1</v>
      </c>
      <c r="N792">
        <v>5.109324</v>
      </c>
      <c r="O792">
        <v>16.2</v>
      </c>
      <c r="P792">
        <v>4</v>
      </c>
      <c r="Q792">
        <v>6</v>
      </c>
      <c r="R792">
        <v>7.2</v>
      </c>
      <c r="S792">
        <v>4.7691689999999998</v>
      </c>
      <c r="T792">
        <v>9.6</v>
      </c>
      <c r="U792">
        <v>3</v>
      </c>
      <c r="V792">
        <v>4.2</v>
      </c>
      <c r="W792">
        <v>6.6</v>
      </c>
      <c r="X792">
        <v>8.1</v>
      </c>
      <c r="Y792">
        <v>4.5174719999999997</v>
      </c>
      <c r="Z792">
        <v>4</v>
      </c>
      <c r="AA792">
        <v>5</v>
      </c>
      <c r="AC792">
        <v>3.2</v>
      </c>
      <c r="AD792">
        <v>7.2</v>
      </c>
      <c r="AE792">
        <v>6.9</v>
      </c>
      <c r="AF792">
        <v>5.3</v>
      </c>
      <c r="AG792">
        <v>8.4</v>
      </c>
      <c r="AH792">
        <v>12.9</v>
      </c>
      <c r="AI792">
        <v>6.7</v>
      </c>
      <c r="AJ792">
        <v>8.3000000000000007</v>
      </c>
      <c r="AK792">
        <v>6.0353089999999998</v>
      </c>
    </row>
    <row r="793" spans="1:37" x14ac:dyDescent="0.2">
      <c r="A793" s="6">
        <v>44166</v>
      </c>
      <c r="B793">
        <v>6.5898649999999996</v>
      </c>
      <c r="D793">
        <v>5.7</v>
      </c>
      <c r="E793">
        <v>8.8000000000000007</v>
      </c>
      <c r="F793">
        <v>10.819050000000001</v>
      </c>
      <c r="G793">
        <v>3</v>
      </c>
      <c r="H793">
        <v>4.5999999999999996</v>
      </c>
      <c r="I793">
        <v>6</v>
      </c>
      <c r="J793">
        <v>16.100000000000001</v>
      </c>
      <c r="K793">
        <v>6.7</v>
      </c>
      <c r="L793">
        <v>8.1999999999999993</v>
      </c>
      <c r="M793">
        <v>7.8</v>
      </c>
      <c r="N793">
        <v>4.9969029999999997</v>
      </c>
      <c r="O793">
        <v>15.8</v>
      </c>
      <c r="P793">
        <v>4.0999999999999996</v>
      </c>
      <c r="Q793">
        <v>5.8</v>
      </c>
      <c r="R793">
        <v>7.2</v>
      </c>
      <c r="S793">
        <v>4.7952709999999996</v>
      </c>
      <c r="T793">
        <v>9.8000000000000007</v>
      </c>
      <c r="U793">
        <v>3</v>
      </c>
      <c r="V793">
        <v>4.5</v>
      </c>
      <c r="W793">
        <v>6.7</v>
      </c>
      <c r="X793">
        <v>8.1999999999999993</v>
      </c>
      <c r="Y793">
        <v>4.264475</v>
      </c>
      <c r="Z793">
        <v>3.9</v>
      </c>
      <c r="AC793">
        <v>3.2</v>
      </c>
      <c r="AD793">
        <v>6.9</v>
      </c>
      <c r="AE793">
        <v>6.9</v>
      </c>
      <c r="AF793">
        <v>5.2</v>
      </c>
      <c r="AG793">
        <v>8.8000000000000007</v>
      </c>
      <c r="AH793">
        <v>12.5</v>
      </c>
      <c r="AI793">
        <v>6.7</v>
      </c>
      <c r="AJ793">
        <v>8.1999999999999993</v>
      </c>
      <c r="AK793">
        <v>6.036759</v>
      </c>
    </row>
    <row r="794" spans="1:37" x14ac:dyDescent="0.2">
      <c r="A794" s="6">
        <v>44197</v>
      </c>
      <c r="B794">
        <v>6.3440820000000002</v>
      </c>
      <c r="D794">
        <v>5.6</v>
      </c>
      <c r="E794">
        <v>9.4</v>
      </c>
      <c r="F794">
        <v>10.74671</v>
      </c>
      <c r="G794">
        <v>3.2</v>
      </c>
      <c r="H794">
        <v>4.5</v>
      </c>
      <c r="I794">
        <v>6</v>
      </c>
      <c r="J794">
        <v>15.7</v>
      </c>
      <c r="K794">
        <v>7.1</v>
      </c>
      <c r="L794">
        <v>8.1999999999999993</v>
      </c>
      <c r="M794">
        <v>7.9</v>
      </c>
      <c r="N794">
        <v>4.911003</v>
      </c>
      <c r="P794">
        <v>4.9000000000000004</v>
      </c>
      <c r="Q794">
        <v>5.8</v>
      </c>
      <c r="R794">
        <v>7.1</v>
      </c>
      <c r="S794">
        <v>4.6090229999999996</v>
      </c>
      <c r="T794">
        <v>10.3</v>
      </c>
      <c r="U794">
        <v>2.9</v>
      </c>
      <c r="V794">
        <v>5.4</v>
      </c>
      <c r="W794">
        <v>6.8</v>
      </c>
      <c r="X794">
        <v>8.5</v>
      </c>
      <c r="Y794">
        <v>4.500159</v>
      </c>
      <c r="Z794">
        <v>3.6</v>
      </c>
      <c r="AC794">
        <v>3.1</v>
      </c>
      <c r="AD794">
        <v>6.9</v>
      </c>
      <c r="AE794">
        <v>7.2</v>
      </c>
      <c r="AF794">
        <v>5.0999999999999996</v>
      </c>
      <c r="AG794">
        <v>9</v>
      </c>
      <c r="AH794">
        <v>12.2</v>
      </c>
      <c r="AI794">
        <v>6.3</v>
      </c>
      <c r="AJ794">
        <v>8.1999999999999993</v>
      </c>
      <c r="AK794">
        <v>5.9158179999999998</v>
      </c>
    </row>
    <row r="795" spans="1:37" x14ac:dyDescent="0.2">
      <c r="A795" s="6">
        <v>44228</v>
      </c>
      <c r="B795">
        <v>5.8296429999999999</v>
      </c>
      <c r="D795">
        <v>5.7</v>
      </c>
      <c r="E795">
        <v>8.1999999999999993</v>
      </c>
      <c r="F795">
        <v>10.46799</v>
      </c>
      <c r="G795">
        <v>3.2</v>
      </c>
      <c r="H795">
        <v>4.5</v>
      </c>
      <c r="I795">
        <v>6</v>
      </c>
      <c r="J795">
        <v>15.5</v>
      </c>
      <c r="K795">
        <v>6.8</v>
      </c>
      <c r="L795">
        <v>7.9</v>
      </c>
      <c r="M795">
        <v>8</v>
      </c>
      <c r="P795">
        <v>4.5</v>
      </c>
      <c r="Q795">
        <v>5.8</v>
      </c>
      <c r="R795">
        <v>7.1</v>
      </c>
      <c r="S795">
        <v>5.1489729999999998</v>
      </c>
      <c r="T795">
        <v>10.199999999999999</v>
      </c>
      <c r="U795">
        <v>2.9</v>
      </c>
      <c r="V795">
        <v>4</v>
      </c>
      <c r="W795">
        <v>6.7</v>
      </c>
      <c r="X795">
        <v>8.6999999999999993</v>
      </c>
      <c r="Y795">
        <v>4.4536990000000003</v>
      </c>
      <c r="Z795">
        <v>3.6</v>
      </c>
      <c r="AC795">
        <v>3.1</v>
      </c>
      <c r="AD795">
        <v>6.8</v>
      </c>
      <c r="AE795">
        <v>7.3</v>
      </c>
      <c r="AF795">
        <v>4.9000000000000004</v>
      </c>
      <c r="AG795">
        <v>9</v>
      </c>
      <c r="AI795">
        <v>6.2</v>
      </c>
      <c r="AJ795">
        <v>8.1999999999999993</v>
      </c>
      <c r="AK795">
        <v>5.816541</v>
      </c>
    </row>
    <row r="796" spans="1:37" x14ac:dyDescent="0.2">
      <c r="A796" s="6">
        <v>44256</v>
      </c>
      <c r="B796">
        <v>5.6156810000000004</v>
      </c>
      <c r="D796">
        <v>5.8</v>
      </c>
      <c r="E796">
        <v>7.5</v>
      </c>
      <c r="G796">
        <v>3.2</v>
      </c>
      <c r="H796">
        <v>4.5</v>
      </c>
      <c r="I796">
        <v>6</v>
      </c>
      <c r="J796">
        <v>15.3</v>
      </c>
      <c r="K796">
        <v>6.8</v>
      </c>
      <c r="L796">
        <v>7.7</v>
      </c>
      <c r="M796">
        <v>7.9</v>
      </c>
      <c r="P796">
        <v>3.9</v>
      </c>
      <c r="Q796">
        <v>5.8</v>
      </c>
      <c r="R796">
        <v>7.2</v>
      </c>
      <c r="S796">
        <v>5.391858</v>
      </c>
      <c r="T796">
        <v>10.1</v>
      </c>
      <c r="U796">
        <v>2.6</v>
      </c>
      <c r="V796">
        <v>3.9</v>
      </c>
      <c r="W796">
        <v>6.6</v>
      </c>
      <c r="X796">
        <v>8.6999999999999993</v>
      </c>
      <c r="Y796">
        <v>4.3094130000000002</v>
      </c>
      <c r="Z796">
        <v>3.5</v>
      </c>
      <c r="AC796">
        <v>3.1</v>
      </c>
      <c r="AD796">
        <v>6.5</v>
      </c>
      <c r="AE796">
        <v>7.4</v>
      </c>
      <c r="AF796">
        <v>4.8</v>
      </c>
      <c r="AG796">
        <v>9.5</v>
      </c>
      <c r="AI796">
        <v>6</v>
      </c>
      <c r="AJ796">
        <v>8.1</v>
      </c>
      <c r="AK796">
        <v>5.6318900000000003</v>
      </c>
    </row>
    <row r="797" spans="1:37" x14ac:dyDescent="0.2">
      <c r="A797" s="6">
        <v>44287</v>
      </c>
      <c r="E797">
        <v>8.1</v>
      </c>
      <c r="AI797">
        <v>6.1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9" tint="-0.249977111117893"/>
  </sheetPr>
  <dimension ref="A1:AN330"/>
  <sheetViews>
    <sheetView zoomScale="140" zoomScaleNormal="140" workbookViewId="0">
      <pane xSplit="2" ySplit="3" topLeftCell="C58" activePane="bottomRight" state="frozen"/>
      <selection activeCell="AI835" sqref="AI835"/>
      <selection pane="topRight" activeCell="AI835" sqref="AI835"/>
      <selection pane="bottomLeft" activeCell="AI835" sqref="AI835"/>
      <selection pane="bottomRight" activeCell="W16" sqref="W16"/>
    </sheetView>
  </sheetViews>
  <sheetFormatPr baseColWidth="10" defaultColWidth="8.83203125" defaultRowHeight="15" x14ac:dyDescent="0.2"/>
  <cols>
    <col min="1" max="1" width="9.1640625" style="60" customWidth="1"/>
    <col min="2" max="2" width="13.6640625" style="51" customWidth="1"/>
    <col min="3" max="20" width="6.1640625" style="51" customWidth="1"/>
    <col min="21" max="21" width="6.1640625" style="60" customWidth="1"/>
    <col min="22" max="40" width="9.1640625" style="60" customWidth="1"/>
  </cols>
  <sheetData>
    <row r="1" spans="2:20" x14ac:dyDescent="0.2">
      <c r="C1" t="s">
        <v>86</v>
      </c>
      <c r="D1" t="s">
        <v>87</v>
      </c>
      <c r="E1" t="s">
        <v>72</v>
      </c>
      <c r="F1" t="s">
        <v>59</v>
      </c>
      <c r="G1" t="s">
        <v>64</v>
      </c>
      <c r="H1" t="s">
        <v>65</v>
      </c>
      <c r="I1" t="s">
        <v>71</v>
      </c>
      <c r="J1" t="s">
        <v>61</v>
      </c>
      <c r="K1" t="s">
        <v>84</v>
      </c>
      <c r="L1" t="s">
        <v>76</v>
      </c>
      <c r="M1" t="s">
        <v>56</v>
      </c>
      <c r="N1" t="s">
        <v>53</v>
      </c>
      <c r="O1" t="s">
        <v>73</v>
      </c>
      <c r="P1" t="s">
        <v>66</v>
      </c>
      <c r="Q1" t="s">
        <v>68</v>
      </c>
      <c r="R1" t="s">
        <v>85</v>
      </c>
      <c r="S1" t="s">
        <v>58</v>
      </c>
      <c r="T1" t="s">
        <v>80</v>
      </c>
    </row>
    <row r="2" spans="2:20" s="60" customFormat="1" x14ac:dyDescent="0.2"/>
    <row r="3" spans="2:20" ht="75.75" customHeight="1" x14ac:dyDescent="0.2">
      <c r="B3" s="7"/>
      <c r="C3" s="8" t="s">
        <v>90</v>
      </c>
      <c r="D3" s="9" t="s">
        <v>91</v>
      </c>
      <c r="E3" s="10" t="s">
        <v>92</v>
      </c>
      <c r="F3" s="11" t="s">
        <v>93</v>
      </c>
      <c r="G3" s="11" t="s">
        <v>94</v>
      </c>
      <c r="H3" s="11" t="s">
        <v>95</v>
      </c>
      <c r="I3" s="11" t="s">
        <v>96</v>
      </c>
      <c r="J3" s="11" t="s">
        <v>97</v>
      </c>
      <c r="K3" s="11" t="s">
        <v>98</v>
      </c>
      <c r="L3" s="11" t="s">
        <v>99</v>
      </c>
      <c r="M3" s="11" t="s">
        <v>100</v>
      </c>
      <c r="N3" s="11" t="s">
        <v>101</v>
      </c>
      <c r="O3" s="11" t="s">
        <v>102</v>
      </c>
      <c r="P3" s="11" t="s">
        <v>103</v>
      </c>
      <c r="Q3" s="11" t="s">
        <v>104</v>
      </c>
      <c r="R3" s="11" t="s">
        <v>105</v>
      </c>
      <c r="S3" s="11" t="s">
        <v>106</v>
      </c>
      <c r="T3" s="11" t="s">
        <v>107</v>
      </c>
    </row>
    <row r="4" spans="2:20" x14ac:dyDescent="0.2">
      <c r="B4" s="7"/>
      <c r="C4" s="12"/>
      <c r="D4" s="12"/>
      <c r="E4" s="12"/>
      <c r="F4" s="12"/>
      <c r="G4" s="12"/>
      <c r="H4" s="12"/>
      <c r="I4" s="12"/>
      <c r="J4" s="12"/>
      <c r="K4" s="12"/>
      <c r="L4" s="12"/>
      <c r="M4" s="12"/>
      <c r="N4" s="12"/>
      <c r="O4" s="12"/>
      <c r="P4" s="12"/>
      <c r="Q4" s="12"/>
      <c r="R4" s="12"/>
      <c r="S4" s="12"/>
      <c r="T4" s="12"/>
    </row>
    <row r="5" spans="2:20" x14ac:dyDescent="0.2">
      <c r="B5" s="13">
        <v>42094</v>
      </c>
      <c r="C5" s="14">
        <f>VLOOKUP(B5,'Data World'!$A:$AL,MATCH(World!$C$1,'Data World'!$A$1:$AL$1,))</f>
        <v>5.4</v>
      </c>
      <c r="D5" s="14">
        <f>VLOOKUP(B5,'Data World'!$A:$AL,MATCH(World!$D$1,'Data World'!$A$1:$AL$1,))</f>
        <v>11.2</v>
      </c>
      <c r="E5" s="14">
        <f>VLOOKUP(B5,'Data World'!$A:$AL,MATCH(World!$E$1,'Data World'!$A$1:$AL$1,))</f>
        <v>3.4</v>
      </c>
      <c r="F5" s="14">
        <f>VLOOKUP(B5,'Data World'!$A:$AL,MATCH(World!$F$1,'Data World'!$A$1:$AL$1,))</f>
        <v>4.7</v>
      </c>
      <c r="G5" s="14">
        <f>VLOOKUP(B5,'Data World'!$A:$AL,MATCH(World!$G$1,'Data World'!$A$1:$AL$1,))</f>
        <v>10.4</v>
      </c>
      <c r="H5" s="14">
        <f>VLOOKUP(B5,'Data World'!$A:$AL,MATCH(World!$H$1,'Data World'!$A$1:$AL$1,))</f>
        <v>5.5039170000000004</v>
      </c>
      <c r="I5" s="14">
        <f>VLOOKUP(B5,'Data World'!$A:$AL,MATCH(World!$I$1,'Data World'!$A$1:$AL$1,))</f>
        <v>12.6</v>
      </c>
      <c r="J5" s="14">
        <f>VLOOKUP(B5,'Data World'!$A:$AL,MATCH(World!$J$1,'Data World'!$A$1:$AL$1,))</f>
        <v>22.9</v>
      </c>
      <c r="K5" s="14">
        <f>VLOOKUP(B5,'Data World'!$A:$AL,MATCH(World!$K$1,'Data World'!$A$1:$AL$1,))</f>
        <v>7.5</v>
      </c>
      <c r="L5" s="14">
        <f>VLOOKUP(B5,'Data World'!$A:$AL,MATCH(World!$L$1,'Data World'!$A$1:$AL$1,))</f>
        <v>4.226</v>
      </c>
      <c r="M5" s="14">
        <f>VLOOKUP(B5,'Data World'!$A:$AL,MATCH(World!$M$1,'Data World'!$A$1:$AL$1,))</f>
        <v>6.9</v>
      </c>
      <c r="N5" s="14">
        <f>VLOOKUP(B5,'Data World'!$A:$AL,MATCH(World!$N$1,'Data World'!$A$1:$AL$1,))</f>
        <v>6.0910310000000001</v>
      </c>
      <c r="O5" s="14">
        <f>VLOOKUP(B5,'Data World'!$A:$AL,MATCH(World!$O$1,'Data World'!$A$1:$AL$1,))</f>
        <v>3.5</v>
      </c>
      <c r="P5" s="14">
        <f>VLOOKUP(B5,'Data World'!$A:$AL,MATCH(World!$P$1,'Data World'!$A$1:$AL$1,))</f>
        <v>26.2</v>
      </c>
      <c r="Q5" s="14">
        <f>VLOOKUP(B5,'Data World'!$A:$AL,MATCH(World!$Q$1,'Data World'!$A$1:$AL$1,))</f>
        <v>10.6</v>
      </c>
      <c r="R5" s="14">
        <f>VLOOKUP(B5,'Data World'!$A:$AL,MATCH(World!$R$1,'Data World'!$A$1:$AL$1,))</f>
        <v>10.3</v>
      </c>
      <c r="S5" s="14">
        <f>VLOOKUP(B5,'Data World'!$A:$AL,MATCH(World!$S$1,'Data World'!$A$1:$AL$1,))</f>
        <v>5.7</v>
      </c>
      <c r="T5" s="14">
        <f>VLOOKUP(B5,'Data World'!$A:$AL,MATCH(World!$T$1,'Data World'!$A$1:$AL$1,))</f>
        <v>7.9</v>
      </c>
    </row>
    <row r="6" spans="2:20" x14ac:dyDescent="0.2">
      <c r="B6" s="13">
        <v>42124</v>
      </c>
      <c r="C6" s="14">
        <f>VLOOKUP(B6,'Data World'!$A:$AL,MATCH(World!$C$1,'Data World'!$A$1:$AL$1,))</f>
        <v>5.4</v>
      </c>
      <c r="D6" s="14">
        <f>VLOOKUP(B6,'Data World'!$A:$AL,MATCH(World!$D$1,'Data World'!$A$1:$AL$1,))</f>
        <v>11.1</v>
      </c>
      <c r="E6" s="14">
        <f>VLOOKUP(B6,'Data World'!$A:$AL,MATCH(World!$E$1,'Data World'!$A$1:$AL$1,))</f>
        <v>3.4</v>
      </c>
      <c r="F6" s="14">
        <f>VLOOKUP(B6,'Data World'!$A:$AL,MATCH(World!$F$1,'Data World'!$A$1:$AL$1,))</f>
        <v>4.7</v>
      </c>
      <c r="G6" s="14">
        <f>VLOOKUP(B6,'Data World'!$A:$AL,MATCH(World!$G$1,'Data World'!$A$1:$AL$1,))</f>
        <v>10.5</v>
      </c>
      <c r="H6" s="14">
        <f>VLOOKUP(B6,'Data World'!$A:$AL,MATCH(World!$H$1,'Data World'!$A$1:$AL$1,))</f>
        <v>5.6174460000000002</v>
      </c>
      <c r="I6" s="14">
        <f>VLOOKUP(B6,'Data World'!$A:$AL,MATCH(World!$I$1,'Data World'!$A$1:$AL$1,))</f>
        <v>12.2</v>
      </c>
      <c r="J6" s="14">
        <f>VLOOKUP(B6,'Data World'!$A:$AL,MATCH(World!$J$1,'Data World'!$A$1:$AL$1,))</f>
        <v>22.7</v>
      </c>
      <c r="K6" s="14">
        <f>VLOOKUP(B6,'Data World'!$A:$AL,MATCH(World!$K$1,'Data World'!$A$1:$AL$1,))</f>
        <v>7.8</v>
      </c>
      <c r="L6" s="14">
        <f>VLOOKUP(B6,'Data World'!$A:$AL,MATCH(World!$L$1,'Data World'!$A$1:$AL$1,))</f>
        <v>4.3980040000000002</v>
      </c>
      <c r="M6" s="14">
        <f>VLOOKUP(B6,'Data World'!$A:$AL,MATCH(World!$M$1,'Data World'!$A$1:$AL$1,))</f>
        <v>6.9</v>
      </c>
      <c r="N6" s="14">
        <f>VLOOKUP(B6,'Data World'!$A:$AL,MATCH(World!$N$1,'Data World'!$A$1:$AL$1,))</f>
        <v>6.1058669999999999</v>
      </c>
      <c r="O6" s="14">
        <f>VLOOKUP(B6,'Data World'!$A:$AL,MATCH(World!$O$1,'Data World'!$A$1:$AL$1,))</f>
        <v>3.6</v>
      </c>
      <c r="P6" s="14">
        <f>VLOOKUP(B6,'Data World'!$A:$AL,MATCH(World!$P$1,'Data World'!$A$1:$AL$1,))</f>
        <v>25</v>
      </c>
      <c r="Q6" s="14">
        <f>VLOOKUP(B6,'Data World'!$A:$AL,MATCH(World!$Q$1,'Data World'!$A$1:$AL$1,))</f>
        <v>10.4</v>
      </c>
      <c r="R6" s="14">
        <f>VLOOKUP(B6,'Data World'!$A:$AL,MATCH(World!$R$1,'Data World'!$A$1:$AL$1,))</f>
        <v>10.199999999999999</v>
      </c>
      <c r="S6" s="14">
        <f>VLOOKUP(B6,'Data World'!$A:$AL,MATCH(World!$S$1,'Data World'!$A$1:$AL$1,))</f>
        <v>5.3</v>
      </c>
      <c r="T6" s="14">
        <f>VLOOKUP(B6,'Data World'!$A:$AL,MATCH(World!$T$1,'Data World'!$A$1:$AL$1,))</f>
        <v>7.7</v>
      </c>
    </row>
    <row r="7" spans="2:20" x14ac:dyDescent="0.2">
      <c r="B7" s="13">
        <v>42155</v>
      </c>
      <c r="C7" s="14">
        <f>VLOOKUP(B7,'Data World'!$A:$AL,MATCH(World!$C$1,'Data World'!$A$1:$AL$1,))</f>
        <v>5.6</v>
      </c>
      <c r="D7" s="14">
        <f>VLOOKUP(B7,'Data World'!$A:$AL,MATCH(World!$D$1,'Data World'!$A$1:$AL$1,))</f>
        <v>11.1</v>
      </c>
      <c r="E7" s="14">
        <f>VLOOKUP(B7,'Data World'!$A:$AL,MATCH(World!$E$1,'Data World'!$A$1:$AL$1,))</f>
        <v>3.3</v>
      </c>
      <c r="F7" s="14">
        <f>VLOOKUP(B7,'Data World'!$A:$AL,MATCH(World!$F$1,'Data World'!$A$1:$AL$1,))</f>
        <v>4.7</v>
      </c>
      <c r="G7" s="14">
        <f>VLOOKUP(B7,'Data World'!$A:$AL,MATCH(World!$G$1,'Data World'!$A$1:$AL$1,))</f>
        <v>10.5</v>
      </c>
      <c r="H7" s="14">
        <f>VLOOKUP(B7,'Data World'!$A:$AL,MATCH(World!$H$1,'Data World'!$A$1:$AL$1,))</f>
        <v>5.6087600000000002</v>
      </c>
      <c r="I7" s="14">
        <f>VLOOKUP(B7,'Data World'!$A:$AL,MATCH(World!$I$1,'Data World'!$A$1:$AL$1,))</f>
        <v>12.3</v>
      </c>
      <c r="J7" s="14">
        <f>VLOOKUP(B7,'Data World'!$A:$AL,MATCH(World!$J$1,'Data World'!$A$1:$AL$1,))</f>
        <v>22.5</v>
      </c>
      <c r="K7" s="14">
        <f>VLOOKUP(B7,'Data World'!$A:$AL,MATCH(World!$K$1,'Data World'!$A$1:$AL$1,))</f>
        <v>7.6</v>
      </c>
      <c r="L7" s="14">
        <f>VLOOKUP(B7,'Data World'!$A:$AL,MATCH(World!$L$1,'Data World'!$A$1:$AL$1,))</f>
        <v>4.5111400000000001</v>
      </c>
      <c r="M7" s="14">
        <f>VLOOKUP(B7,'Data World'!$A:$AL,MATCH(World!$M$1,'Data World'!$A$1:$AL$1,))</f>
        <v>6.9</v>
      </c>
      <c r="N7" s="14">
        <f>VLOOKUP(B7,'Data World'!$A:$AL,MATCH(World!$N$1,'Data World'!$A$1:$AL$1,))</f>
        <v>5.9358019999999998</v>
      </c>
      <c r="O7" s="14">
        <f>VLOOKUP(B7,'Data World'!$A:$AL,MATCH(World!$O$1,'Data World'!$A$1:$AL$1,))</f>
        <v>3.7</v>
      </c>
      <c r="P7" s="14">
        <f>VLOOKUP(B7,'Data World'!$A:$AL,MATCH(World!$P$1,'Data World'!$A$1:$AL$1,))</f>
        <v>25</v>
      </c>
      <c r="Q7" s="14">
        <f>VLOOKUP(B7,'Data World'!$A:$AL,MATCH(World!$Q$1,'Data World'!$A$1:$AL$1,))</f>
        <v>10.1</v>
      </c>
      <c r="R7" s="14">
        <f>VLOOKUP(B7,'Data World'!$A:$AL,MATCH(World!$R$1,'Data World'!$A$1:$AL$1,))</f>
        <v>10.3</v>
      </c>
      <c r="S7" s="14">
        <f>VLOOKUP(B7,'Data World'!$A:$AL,MATCH(World!$S$1,'Data World'!$A$1:$AL$1,))</f>
        <v>4.9000000000000004</v>
      </c>
      <c r="T7" s="14">
        <f>VLOOKUP(B7,'Data World'!$A:$AL,MATCH(World!$T$1,'Data World'!$A$1:$AL$1,))</f>
        <v>7.6</v>
      </c>
    </row>
    <row r="8" spans="2:20" x14ac:dyDescent="0.2">
      <c r="B8" s="13">
        <v>42185</v>
      </c>
      <c r="C8" s="14">
        <f>VLOOKUP(B8,'Data World'!$A:$AL,MATCH(World!$C$1,'Data World'!$A$1:$AL$1,))</f>
        <v>5.3</v>
      </c>
      <c r="D8" s="14">
        <f>VLOOKUP(B8,'Data World'!$A:$AL,MATCH(World!$D$1,'Data World'!$A$1:$AL$1,))</f>
        <v>11</v>
      </c>
      <c r="E8" s="14">
        <f>VLOOKUP(B8,'Data World'!$A:$AL,MATCH(World!$E$1,'Data World'!$A$1:$AL$1,))</f>
        <v>3.4</v>
      </c>
      <c r="F8" s="14">
        <f>VLOOKUP(B8,'Data World'!$A:$AL,MATCH(World!$F$1,'Data World'!$A$1:$AL$1,))</f>
        <v>4.7</v>
      </c>
      <c r="G8" s="14">
        <f>VLOOKUP(B8,'Data World'!$A:$AL,MATCH(World!$G$1,'Data World'!$A$1:$AL$1,))</f>
        <v>10.5</v>
      </c>
      <c r="H8" s="14">
        <f>VLOOKUP(B8,'Data World'!$A:$AL,MATCH(World!$H$1,'Data World'!$A$1:$AL$1,))</f>
        <v>5.5188030000000001</v>
      </c>
      <c r="I8" s="14">
        <f>VLOOKUP(B8,'Data World'!$A:$AL,MATCH(World!$I$1,'Data World'!$A$1:$AL$1,))</f>
        <v>12.4</v>
      </c>
      <c r="J8" s="14">
        <f>VLOOKUP(B8,'Data World'!$A:$AL,MATCH(World!$J$1,'Data World'!$A$1:$AL$1,))</f>
        <v>22.3</v>
      </c>
      <c r="K8" s="14">
        <f>VLOOKUP(B8,'Data World'!$A:$AL,MATCH(World!$K$1,'Data World'!$A$1:$AL$1,))</f>
        <v>7.5</v>
      </c>
      <c r="L8" s="14">
        <f>VLOOKUP(B8,'Data World'!$A:$AL,MATCH(World!$L$1,'Data World'!$A$1:$AL$1,))</f>
        <v>4.4119000000000002</v>
      </c>
      <c r="M8" s="14">
        <f>VLOOKUP(B8,'Data World'!$A:$AL,MATCH(World!$M$1,'Data World'!$A$1:$AL$1,))</f>
        <v>6.9</v>
      </c>
      <c r="N8" s="14">
        <f>VLOOKUP(B8,'Data World'!$A:$AL,MATCH(World!$N$1,'Data World'!$A$1:$AL$1,))</f>
        <v>6.0072570000000001</v>
      </c>
      <c r="O8" s="14">
        <f>VLOOKUP(B8,'Data World'!$A:$AL,MATCH(World!$O$1,'Data World'!$A$1:$AL$1,))</f>
        <v>3.8</v>
      </c>
      <c r="P8" s="14">
        <f>VLOOKUP(B8,'Data World'!$A:$AL,MATCH(World!$P$1,'Data World'!$A$1:$AL$1,))</f>
        <v>25.2</v>
      </c>
      <c r="Q8" s="14">
        <f>VLOOKUP(B8,'Data World'!$A:$AL,MATCH(World!$Q$1,'Data World'!$A$1:$AL$1,))</f>
        <v>9.9</v>
      </c>
      <c r="R8" s="14">
        <f>VLOOKUP(B8,'Data World'!$A:$AL,MATCH(World!$R$1,'Data World'!$A$1:$AL$1,))</f>
        <v>10.4</v>
      </c>
      <c r="S8" s="14">
        <f>VLOOKUP(B8,'Data World'!$A:$AL,MATCH(World!$S$1,'Data World'!$A$1:$AL$1,))</f>
        <v>5</v>
      </c>
      <c r="T8" s="14">
        <f>VLOOKUP(B8,'Data World'!$A:$AL,MATCH(World!$T$1,'Data World'!$A$1:$AL$1,))</f>
        <v>7.4</v>
      </c>
    </row>
    <row r="9" spans="2:20" x14ac:dyDescent="0.2">
      <c r="B9" s="13">
        <v>42216</v>
      </c>
      <c r="C9" s="14">
        <f>VLOOKUP(B9,'Data World'!$A:$AL,MATCH(World!$C$1,'Data World'!$A$1:$AL$1,))</f>
        <v>5.2</v>
      </c>
      <c r="D9" s="14">
        <f>VLOOKUP(B9,'Data World'!$A:$AL,MATCH(World!$D$1,'Data World'!$A$1:$AL$1,))</f>
        <v>10.8</v>
      </c>
      <c r="E9" s="14">
        <f>VLOOKUP(B9,'Data World'!$A:$AL,MATCH(World!$E$1,'Data World'!$A$1:$AL$1,))</f>
        <v>3.3</v>
      </c>
      <c r="F9" s="14">
        <f>VLOOKUP(B9,'Data World'!$A:$AL,MATCH(World!$F$1,'Data World'!$A$1:$AL$1,))</f>
        <v>4.5999999999999996</v>
      </c>
      <c r="G9" s="14">
        <f>VLOOKUP(B9,'Data World'!$A:$AL,MATCH(World!$G$1,'Data World'!$A$1:$AL$1,))</f>
        <v>10.4</v>
      </c>
      <c r="H9" s="14">
        <f>VLOOKUP(B9,'Data World'!$A:$AL,MATCH(World!$H$1,'Data World'!$A$1:$AL$1,))</f>
        <v>5.3921169999999998</v>
      </c>
      <c r="I9" s="14">
        <f>VLOOKUP(B9,'Data World'!$A:$AL,MATCH(World!$I$1,'Data World'!$A$1:$AL$1,))</f>
        <v>11.8</v>
      </c>
      <c r="J9" s="14">
        <f>VLOOKUP(B9,'Data World'!$A:$AL,MATCH(World!$J$1,'Data World'!$A$1:$AL$1,))</f>
        <v>21.9</v>
      </c>
      <c r="K9" s="14">
        <f>VLOOKUP(B9,'Data World'!$A:$AL,MATCH(World!$K$1,'Data World'!$A$1:$AL$1,))</f>
        <v>7.1</v>
      </c>
      <c r="L9" s="14">
        <f>VLOOKUP(B9,'Data World'!$A:$AL,MATCH(World!$L$1,'Data World'!$A$1:$AL$1,))</f>
        <v>4.4360910000000002</v>
      </c>
      <c r="M9" s="14">
        <f>VLOOKUP(B9,'Data World'!$A:$AL,MATCH(World!$M$1,'Data World'!$A$1:$AL$1,))</f>
        <v>6.9</v>
      </c>
      <c r="N9" s="14">
        <f>VLOOKUP(B9,'Data World'!$A:$AL,MATCH(World!$N$1,'Data World'!$A$1:$AL$1,))</f>
        <v>6.2719279999999999</v>
      </c>
      <c r="O9" s="14">
        <f>VLOOKUP(B9,'Data World'!$A:$AL,MATCH(World!$O$1,'Data World'!$A$1:$AL$1,))</f>
        <v>3.7</v>
      </c>
      <c r="P9" s="14">
        <f>VLOOKUP(B9,'Data World'!$A:$AL,MATCH(World!$P$1,'Data World'!$A$1:$AL$1,))</f>
        <v>25</v>
      </c>
      <c r="Q9" s="14">
        <f>VLOOKUP(B9,'Data World'!$A:$AL,MATCH(World!$Q$1,'Data World'!$A$1:$AL$1,))</f>
        <v>9.6</v>
      </c>
      <c r="R9" s="14">
        <f>VLOOKUP(B9,'Data World'!$A:$AL,MATCH(World!$R$1,'Data World'!$A$1:$AL$1,))</f>
        <v>10.199999999999999</v>
      </c>
      <c r="S9" s="14">
        <f>VLOOKUP(B9,'Data World'!$A:$AL,MATCH(World!$S$1,'Data World'!$A$1:$AL$1,))</f>
        <v>4.9000000000000004</v>
      </c>
      <c r="T9" s="14">
        <f>VLOOKUP(B9,'Data World'!$A:$AL,MATCH(World!$T$1,'Data World'!$A$1:$AL$1,))</f>
        <v>7.4</v>
      </c>
    </row>
    <row r="10" spans="2:20" x14ac:dyDescent="0.2">
      <c r="B10" s="13">
        <v>42247</v>
      </c>
      <c r="C10" s="14">
        <f>VLOOKUP(B10,'Data World'!$A:$AL,MATCH(World!$C$1,'Data World'!$A$1:$AL$1,))</f>
        <v>5.0999999999999996</v>
      </c>
      <c r="D10" s="14">
        <f>VLOOKUP(B10,'Data World'!$A:$AL,MATCH(World!$D$1,'Data World'!$A$1:$AL$1,))</f>
        <v>10.7</v>
      </c>
      <c r="E10" s="14">
        <f>VLOOKUP(B10,'Data World'!$A:$AL,MATCH(World!$E$1,'Data World'!$A$1:$AL$1,))</f>
        <v>3.4</v>
      </c>
      <c r="F10" s="14">
        <f>VLOOKUP(B10,'Data World'!$A:$AL,MATCH(World!$F$1,'Data World'!$A$1:$AL$1,))</f>
        <v>4.5999999999999996</v>
      </c>
      <c r="G10" s="14">
        <f>VLOOKUP(B10,'Data World'!$A:$AL,MATCH(World!$G$1,'Data World'!$A$1:$AL$1,))</f>
        <v>10.3</v>
      </c>
      <c r="H10" s="14">
        <f>VLOOKUP(B10,'Data World'!$A:$AL,MATCH(World!$H$1,'Data World'!$A$1:$AL$1,))</f>
        <v>5.3193219999999997</v>
      </c>
      <c r="I10" s="14">
        <f>VLOOKUP(B10,'Data World'!$A:$AL,MATCH(World!$I$1,'Data World'!$A$1:$AL$1,))</f>
        <v>11.7</v>
      </c>
      <c r="J10" s="14">
        <f>VLOOKUP(B10,'Data World'!$A:$AL,MATCH(World!$J$1,'Data World'!$A$1:$AL$1,))</f>
        <v>21.7</v>
      </c>
      <c r="K10" s="14">
        <f>VLOOKUP(B10,'Data World'!$A:$AL,MATCH(World!$K$1,'Data World'!$A$1:$AL$1,))</f>
        <v>6.9</v>
      </c>
      <c r="L10" s="14">
        <f>VLOOKUP(B10,'Data World'!$A:$AL,MATCH(World!$L$1,'Data World'!$A$1:$AL$1,))</f>
        <v>4.389831</v>
      </c>
      <c r="M10" s="14">
        <f>VLOOKUP(B10,'Data World'!$A:$AL,MATCH(World!$M$1,'Data World'!$A$1:$AL$1,))</f>
        <v>7</v>
      </c>
      <c r="N10" s="14">
        <f>VLOOKUP(B10,'Data World'!$A:$AL,MATCH(World!$N$1,'Data World'!$A$1:$AL$1,))</f>
        <v>6.0800549999999998</v>
      </c>
      <c r="O10" s="14">
        <f>VLOOKUP(B10,'Data World'!$A:$AL,MATCH(World!$O$1,'Data World'!$A$1:$AL$1,))</f>
        <v>3.6</v>
      </c>
      <c r="P10" s="14">
        <f>VLOOKUP(B10,'Data World'!$A:$AL,MATCH(World!$P$1,'Data World'!$A$1:$AL$1,))</f>
        <v>24.7</v>
      </c>
      <c r="Q10" s="14">
        <f>VLOOKUP(B10,'Data World'!$A:$AL,MATCH(World!$Q$1,'Data World'!$A$1:$AL$1,))</f>
        <v>9.5</v>
      </c>
      <c r="R10" s="14">
        <f>VLOOKUP(B10,'Data World'!$A:$AL,MATCH(World!$R$1,'Data World'!$A$1:$AL$1,))</f>
        <v>10.199999999999999</v>
      </c>
      <c r="S10" s="14">
        <f>VLOOKUP(B10,'Data World'!$A:$AL,MATCH(World!$S$1,'Data World'!$A$1:$AL$1,))</f>
        <v>4.7</v>
      </c>
      <c r="T10" s="14">
        <f>VLOOKUP(B10,'Data World'!$A:$AL,MATCH(World!$T$1,'Data World'!$A$1:$AL$1,))</f>
        <v>7.3</v>
      </c>
    </row>
    <row r="11" spans="2:20" x14ac:dyDescent="0.2">
      <c r="B11" s="13">
        <v>42277</v>
      </c>
      <c r="C11" s="14">
        <f>VLOOKUP(B11,'Data World'!$A:$AL,MATCH(World!$C$1,'Data World'!$A$1:$AL$1,))</f>
        <v>5</v>
      </c>
      <c r="D11" s="14">
        <f>VLOOKUP(B11,'Data World'!$A:$AL,MATCH(World!$D$1,'Data World'!$A$1:$AL$1,))</f>
        <v>10.7</v>
      </c>
      <c r="E11" s="14">
        <f>VLOOKUP(B11,'Data World'!$A:$AL,MATCH(World!$E$1,'Data World'!$A$1:$AL$1,))</f>
        <v>3.4</v>
      </c>
      <c r="F11" s="14">
        <f>VLOOKUP(B11,'Data World'!$A:$AL,MATCH(World!$F$1,'Data World'!$A$1:$AL$1,))</f>
        <v>4.5</v>
      </c>
      <c r="G11" s="14">
        <f>VLOOKUP(B11,'Data World'!$A:$AL,MATCH(World!$G$1,'Data World'!$A$1:$AL$1,))</f>
        <v>10.3</v>
      </c>
      <c r="H11" s="14">
        <f>VLOOKUP(B11,'Data World'!$A:$AL,MATCH(World!$H$1,'Data World'!$A$1:$AL$1,))</f>
        <v>5.1742730000000003</v>
      </c>
      <c r="I11" s="14">
        <f>VLOOKUP(B11,'Data World'!$A:$AL,MATCH(World!$I$1,'Data World'!$A$1:$AL$1,))</f>
        <v>11.6</v>
      </c>
      <c r="J11" s="14">
        <f>VLOOKUP(B11,'Data World'!$A:$AL,MATCH(World!$J$1,'Data World'!$A$1:$AL$1,))</f>
        <v>21.4</v>
      </c>
      <c r="K11" s="14">
        <f>VLOOKUP(B11,'Data World'!$A:$AL,MATCH(World!$K$1,'Data World'!$A$1:$AL$1,))</f>
        <v>7.3</v>
      </c>
      <c r="L11" s="14">
        <f>VLOOKUP(B11,'Data World'!$A:$AL,MATCH(World!$L$1,'Data World'!$A$1:$AL$1,))</f>
        <v>4.1901869999999999</v>
      </c>
      <c r="M11" s="14">
        <f>VLOOKUP(B11,'Data World'!$A:$AL,MATCH(World!$M$1,'Data World'!$A$1:$AL$1,))</f>
        <v>7.1</v>
      </c>
      <c r="N11" s="14">
        <f>VLOOKUP(B11,'Data World'!$A:$AL,MATCH(World!$N$1,'Data World'!$A$1:$AL$1,))</f>
        <v>6.1630409999999998</v>
      </c>
      <c r="O11" s="14">
        <f>VLOOKUP(B11,'Data World'!$A:$AL,MATCH(World!$O$1,'Data World'!$A$1:$AL$1,))</f>
        <v>3.5</v>
      </c>
      <c r="P11" s="14">
        <f>VLOOKUP(B11,'Data World'!$A:$AL,MATCH(World!$P$1,'Data World'!$A$1:$AL$1,))</f>
        <v>24.8</v>
      </c>
      <c r="Q11" s="14">
        <f>VLOOKUP(B11,'Data World'!$A:$AL,MATCH(World!$Q$1,'Data World'!$A$1:$AL$1,))</f>
        <v>9.6</v>
      </c>
      <c r="R11" s="14">
        <f>VLOOKUP(B11,'Data World'!$A:$AL,MATCH(World!$R$1,'Data World'!$A$1:$AL$1,))</f>
        <v>10.3</v>
      </c>
      <c r="S11" s="14">
        <f>VLOOKUP(B11,'Data World'!$A:$AL,MATCH(World!$S$1,'Data World'!$A$1:$AL$1,))</f>
        <v>4.8</v>
      </c>
      <c r="T11" s="14">
        <f>VLOOKUP(B11,'Data World'!$A:$AL,MATCH(World!$T$1,'Data World'!$A$1:$AL$1,))</f>
        <v>7.2</v>
      </c>
    </row>
    <row r="12" spans="2:20" x14ac:dyDescent="0.2">
      <c r="B12" s="13">
        <v>42308</v>
      </c>
      <c r="C12" s="14">
        <f>VLOOKUP(B12,'Data World'!$A:$AL,MATCH(World!$C$1,'Data World'!$A$1:$AL$1,))</f>
        <v>5</v>
      </c>
      <c r="D12" s="14">
        <f>VLOOKUP(B12,'Data World'!$A:$AL,MATCH(World!$D$1,'Data World'!$A$1:$AL$1,))</f>
        <v>10.6</v>
      </c>
      <c r="E12" s="14">
        <f>VLOOKUP(B12,'Data World'!$A:$AL,MATCH(World!$E$1,'Data World'!$A$1:$AL$1,))</f>
        <v>3.2</v>
      </c>
      <c r="F12" s="14">
        <f>VLOOKUP(B12,'Data World'!$A:$AL,MATCH(World!$F$1,'Data World'!$A$1:$AL$1,))</f>
        <v>4.5</v>
      </c>
      <c r="G12" s="14">
        <f>VLOOKUP(B12,'Data World'!$A:$AL,MATCH(World!$G$1,'Data World'!$A$1:$AL$1,))</f>
        <v>10.3</v>
      </c>
      <c r="H12" s="14">
        <f>VLOOKUP(B12,'Data World'!$A:$AL,MATCH(World!$H$1,'Data World'!$A$1:$AL$1,))</f>
        <v>5.0813969999999999</v>
      </c>
      <c r="I12" s="14">
        <f>VLOOKUP(B12,'Data World'!$A:$AL,MATCH(World!$I$1,'Data World'!$A$1:$AL$1,))</f>
        <v>11.8</v>
      </c>
      <c r="J12" s="14">
        <f>VLOOKUP(B12,'Data World'!$A:$AL,MATCH(World!$J$1,'Data World'!$A$1:$AL$1,))</f>
        <v>21.2</v>
      </c>
      <c r="K12" s="14">
        <f>VLOOKUP(B12,'Data World'!$A:$AL,MATCH(World!$K$1,'Data World'!$A$1:$AL$1,))</f>
        <v>7.2</v>
      </c>
      <c r="L12" s="14">
        <f>VLOOKUP(B12,'Data World'!$A:$AL,MATCH(World!$L$1,'Data World'!$A$1:$AL$1,))</f>
        <v>4.4593769999999999</v>
      </c>
      <c r="M12" s="14">
        <f>VLOOKUP(B12,'Data World'!$A:$AL,MATCH(World!$M$1,'Data World'!$A$1:$AL$1,))</f>
        <v>6.9</v>
      </c>
      <c r="N12" s="14">
        <f>VLOOKUP(B12,'Data World'!$A:$AL,MATCH(World!$N$1,'Data World'!$A$1:$AL$1,))</f>
        <v>5.9237060000000001</v>
      </c>
      <c r="O12" s="14">
        <f>VLOOKUP(B12,'Data World'!$A:$AL,MATCH(World!$O$1,'Data World'!$A$1:$AL$1,))</f>
        <v>3.5</v>
      </c>
      <c r="P12" s="14">
        <f>VLOOKUP(B12,'Data World'!$A:$AL,MATCH(World!$P$1,'Data World'!$A$1:$AL$1,))</f>
        <v>24.6</v>
      </c>
      <c r="Q12" s="14">
        <f>VLOOKUP(B12,'Data World'!$A:$AL,MATCH(World!$Q$1,'Data World'!$A$1:$AL$1,))</f>
        <v>9.6</v>
      </c>
      <c r="R12" s="14">
        <f>VLOOKUP(B12,'Data World'!$A:$AL,MATCH(World!$R$1,'Data World'!$A$1:$AL$1,))</f>
        <v>10.5</v>
      </c>
      <c r="S12" s="14">
        <f>VLOOKUP(B12,'Data World'!$A:$AL,MATCH(World!$S$1,'Data World'!$A$1:$AL$1,))</f>
        <v>4.5</v>
      </c>
      <c r="T12" s="14">
        <f>VLOOKUP(B12,'Data World'!$A:$AL,MATCH(World!$T$1,'Data World'!$A$1:$AL$1,))</f>
        <v>7.1</v>
      </c>
    </row>
    <row r="13" spans="2:20" x14ac:dyDescent="0.2">
      <c r="B13" s="13">
        <v>42338</v>
      </c>
      <c r="C13" s="14">
        <f>VLOOKUP(B13,'Data World'!$A:$AL,MATCH(World!$C$1,'Data World'!$A$1:$AL$1,))</f>
        <v>5.0999999999999996</v>
      </c>
      <c r="D13" s="14">
        <f>VLOOKUP(B13,'Data World'!$A:$AL,MATCH(World!$D$1,'Data World'!$A$1:$AL$1,))</f>
        <v>10.5</v>
      </c>
      <c r="E13" s="14">
        <f>VLOOKUP(B13,'Data World'!$A:$AL,MATCH(World!$E$1,'Data World'!$A$1:$AL$1,))</f>
        <v>3.3</v>
      </c>
      <c r="F13" s="14">
        <f>VLOOKUP(B13,'Data World'!$A:$AL,MATCH(World!$F$1,'Data World'!$A$1:$AL$1,))</f>
        <v>4.5</v>
      </c>
      <c r="G13" s="14">
        <f>VLOOKUP(B13,'Data World'!$A:$AL,MATCH(World!$G$1,'Data World'!$A$1:$AL$1,))</f>
        <v>10.199999999999999</v>
      </c>
      <c r="H13" s="14">
        <f>VLOOKUP(B13,'Data World'!$A:$AL,MATCH(World!$H$1,'Data World'!$A$1:$AL$1,))</f>
        <v>5.0788419999999999</v>
      </c>
      <c r="I13" s="14">
        <f>VLOOKUP(B13,'Data World'!$A:$AL,MATCH(World!$I$1,'Data World'!$A$1:$AL$1,))</f>
        <v>11.5</v>
      </c>
      <c r="J13" s="14">
        <f>VLOOKUP(B13,'Data World'!$A:$AL,MATCH(World!$J$1,'Data World'!$A$1:$AL$1,))</f>
        <v>20.9</v>
      </c>
      <c r="K13" s="14">
        <f>VLOOKUP(B13,'Data World'!$A:$AL,MATCH(World!$K$1,'Data World'!$A$1:$AL$1,))</f>
        <v>6.9</v>
      </c>
      <c r="L13" s="14">
        <f>VLOOKUP(B13,'Data World'!$A:$AL,MATCH(World!$L$1,'Data World'!$A$1:$AL$1,))</f>
        <v>4.0957650000000001</v>
      </c>
      <c r="M13" s="14">
        <f>VLOOKUP(B13,'Data World'!$A:$AL,MATCH(World!$M$1,'Data World'!$A$1:$AL$1,))</f>
        <v>7.1</v>
      </c>
      <c r="N13" s="14">
        <f>VLOOKUP(B13,'Data World'!$A:$AL,MATCH(World!$N$1,'Data World'!$A$1:$AL$1,))</f>
        <v>5.8508740000000001</v>
      </c>
      <c r="O13" s="14">
        <f>VLOOKUP(B13,'Data World'!$A:$AL,MATCH(World!$O$1,'Data World'!$A$1:$AL$1,))</f>
        <v>3.6</v>
      </c>
      <c r="P13" s="14">
        <f>VLOOKUP(B13,'Data World'!$A:$AL,MATCH(World!$P$1,'Data World'!$A$1:$AL$1,))</f>
        <v>24.4</v>
      </c>
      <c r="Q13" s="14">
        <f>VLOOKUP(B13,'Data World'!$A:$AL,MATCH(World!$Q$1,'Data World'!$A$1:$AL$1,))</f>
        <v>9.6</v>
      </c>
      <c r="R13" s="14">
        <f>VLOOKUP(B13,'Data World'!$A:$AL,MATCH(World!$R$1,'Data World'!$A$1:$AL$1,))</f>
        <v>10.4</v>
      </c>
      <c r="S13" s="14">
        <f>VLOOKUP(B13,'Data World'!$A:$AL,MATCH(World!$S$1,'Data World'!$A$1:$AL$1,))</f>
        <v>4.5</v>
      </c>
      <c r="T13" s="14">
        <f>VLOOKUP(B13,'Data World'!$A:$AL,MATCH(World!$T$1,'Data World'!$A$1:$AL$1,))</f>
        <v>7</v>
      </c>
    </row>
    <row r="14" spans="2:20" x14ac:dyDescent="0.2">
      <c r="B14" s="13">
        <v>42369</v>
      </c>
      <c r="C14" s="14">
        <f>VLOOKUP(B14,'Data World'!$A:$AL,MATCH(World!$C$1,'Data World'!$A$1:$AL$1,))</f>
        <v>5</v>
      </c>
      <c r="D14" s="14">
        <f>VLOOKUP(B14,'Data World'!$A:$AL,MATCH(World!$D$1,'Data World'!$A$1:$AL$1,))</f>
        <v>10.5</v>
      </c>
      <c r="E14" s="14">
        <f>VLOOKUP(B14,'Data World'!$A:$AL,MATCH(World!$E$1,'Data World'!$A$1:$AL$1,))</f>
        <v>3.3</v>
      </c>
      <c r="F14" s="14">
        <f>VLOOKUP(B14,'Data World'!$A:$AL,MATCH(World!$F$1,'Data World'!$A$1:$AL$1,))</f>
        <v>4.5</v>
      </c>
      <c r="G14" s="14">
        <f>VLOOKUP(B14,'Data World'!$A:$AL,MATCH(World!$G$1,'Data World'!$A$1:$AL$1,))</f>
        <v>10.199999999999999</v>
      </c>
      <c r="H14" s="14">
        <f>VLOOKUP(B14,'Data World'!$A:$AL,MATCH(World!$H$1,'Data World'!$A$1:$AL$1,))</f>
        <v>5.0692279999999998</v>
      </c>
      <c r="I14" s="14">
        <f>VLOOKUP(B14,'Data World'!$A:$AL,MATCH(World!$I$1,'Data World'!$A$1:$AL$1,))</f>
        <v>11.7</v>
      </c>
      <c r="J14" s="14">
        <f>VLOOKUP(B14,'Data World'!$A:$AL,MATCH(World!$J$1,'Data World'!$A$1:$AL$1,))</f>
        <v>20.8</v>
      </c>
      <c r="K14" s="14">
        <f>VLOOKUP(B14,'Data World'!$A:$AL,MATCH(World!$K$1,'Data World'!$A$1:$AL$1,))</f>
        <v>7.2</v>
      </c>
      <c r="L14" s="14">
        <f>VLOOKUP(B14,'Data World'!$A:$AL,MATCH(World!$L$1,'Data World'!$A$1:$AL$1,))</f>
        <v>4.3847740000000002</v>
      </c>
      <c r="M14" s="14">
        <f>VLOOKUP(B14,'Data World'!$A:$AL,MATCH(World!$M$1,'Data World'!$A$1:$AL$1,))</f>
        <v>7.2</v>
      </c>
      <c r="N14" s="14">
        <f>VLOOKUP(B14,'Data World'!$A:$AL,MATCH(World!$N$1,'Data World'!$A$1:$AL$1,))</f>
        <v>5.7458539999999996</v>
      </c>
      <c r="O14" s="14">
        <f>VLOOKUP(B14,'Data World'!$A:$AL,MATCH(World!$O$1,'Data World'!$A$1:$AL$1,))</f>
        <v>3.5</v>
      </c>
      <c r="P14" s="14">
        <f>VLOOKUP(B14,'Data World'!$A:$AL,MATCH(World!$P$1,'Data World'!$A$1:$AL$1,))</f>
        <v>24</v>
      </c>
      <c r="Q14" s="14">
        <f>VLOOKUP(B14,'Data World'!$A:$AL,MATCH(World!$Q$1,'Data World'!$A$1:$AL$1,))</f>
        <v>9.1</v>
      </c>
      <c r="R14" s="14">
        <f>VLOOKUP(B14,'Data World'!$A:$AL,MATCH(World!$R$1,'Data World'!$A$1:$AL$1,))</f>
        <v>10.199999999999999</v>
      </c>
      <c r="S14" s="14">
        <f>VLOOKUP(B14,'Data World'!$A:$AL,MATCH(World!$S$1,'Data World'!$A$1:$AL$1,))</f>
        <v>4.5999999999999996</v>
      </c>
      <c r="T14" s="14">
        <f>VLOOKUP(B14,'Data World'!$A:$AL,MATCH(World!$T$1,'Data World'!$A$1:$AL$1,))</f>
        <v>6.9</v>
      </c>
    </row>
    <row r="15" spans="2:20" x14ac:dyDescent="0.2">
      <c r="B15" s="13">
        <v>42400</v>
      </c>
      <c r="C15" s="14">
        <f>VLOOKUP(B15,'Data World'!$A:$AL,MATCH(World!$C$1,'Data World'!$A$1:$AL$1,))</f>
        <v>4.8</v>
      </c>
      <c r="D15" s="14">
        <f>VLOOKUP(B15,'Data World'!$A:$AL,MATCH(World!$D$1,'Data World'!$A$1:$AL$1,))</f>
        <v>10.4</v>
      </c>
      <c r="E15" s="14">
        <f>VLOOKUP(B15,'Data World'!$A:$AL,MATCH(World!$E$1,'Data World'!$A$1:$AL$1,))</f>
        <v>3.2</v>
      </c>
      <c r="F15" s="14">
        <f>VLOOKUP(B15,'Data World'!$A:$AL,MATCH(World!$F$1,'Data World'!$A$1:$AL$1,))</f>
        <v>4.4000000000000004</v>
      </c>
      <c r="G15" s="14">
        <f>VLOOKUP(B15,'Data World'!$A:$AL,MATCH(World!$G$1,'Data World'!$A$1:$AL$1,))</f>
        <v>10.199999999999999</v>
      </c>
      <c r="H15" s="14">
        <f>VLOOKUP(B15,'Data World'!$A:$AL,MATCH(World!$H$1,'Data World'!$A$1:$AL$1,))</f>
        <v>5.1131789999999997</v>
      </c>
      <c r="I15" s="14">
        <f>VLOOKUP(B15,'Data World'!$A:$AL,MATCH(World!$I$1,'Data World'!$A$1:$AL$1,))</f>
        <v>11.6</v>
      </c>
      <c r="J15" s="14">
        <f>VLOOKUP(B15,'Data World'!$A:$AL,MATCH(World!$J$1,'Data World'!$A$1:$AL$1,))</f>
        <v>20.5</v>
      </c>
      <c r="K15" s="14">
        <f>VLOOKUP(B15,'Data World'!$A:$AL,MATCH(World!$K$1,'Data World'!$A$1:$AL$1,))</f>
        <v>7</v>
      </c>
      <c r="L15" s="14">
        <f>VLOOKUP(B15,'Data World'!$A:$AL,MATCH(World!$L$1,'Data World'!$A$1:$AL$1,))</f>
        <v>4.0974180000000002</v>
      </c>
      <c r="M15" s="14">
        <f>VLOOKUP(B15,'Data World'!$A:$AL,MATCH(World!$M$1,'Data World'!$A$1:$AL$1,))</f>
        <v>7.2</v>
      </c>
      <c r="N15" s="14">
        <f>VLOOKUP(B15,'Data World'!$A:$AL,MATCH(World!$N$1,'Data World'!$A$1:$AL$1,))</f>
        <v>6.0209060000000001</v>
      </c>
      <c r="O15" s="14">
        <f>VLOOKUP(B15,'Data World'!$A:$AL,MATCH(World!$O$1,'Data World'!$A$1:$AL$1,))</f>
        <v>3.6</v>
      </c>
      <c r="P15" s="14">
        <f>VLOOKUP(B15,'Data World'!$A:$AL,MATCH(World!$P$1,'Data World'!$A$1:$AL$1,))</f>
        <v>24.3</v>
      </c>
      <c r="Q15" s="14">
        <f>VLOOKUP(B15,'Data World'!$A:$AL,MATCH(World!$Q$1,'Data World'!$A$1:$AL$1,))</f>
        <v>9.1</v>
      </c>
      <c r="R15" s="14">
        <f>VLOOKUP(B15,'Data World'!$A:$AL,MATCH(World!$R$1,'Data World'!$A$1:$AL$1,))</f>
        <v>10.1</v>
      </c>
      <c r="S15" s="14">
        <f>VLOOKUP(B15,'Data World'!$A:$AL,MATCH(World!$S$1,'Data World'!$A$1:$AL$1,))</f>
        <v>4.3</v>
      </c>
      <c r="T15" s="14">
        <f>VLOOKUP(B15,'Data World'!$A:$AL,MATCH(World!$T$1,'Data World'!$A$1:$AL$1,))</f>
        <v>6.7</v>
      </c>
    </row>
    <row r="16" spans="2:20" x14ac:dyDescent="0.2">
      <c r="B16" s="13">
        <v>42429</v>
      </c>
      <c r="C16" s="14">
        <f>VLOOKUP(B16,'Data World'!$A:$AL,MATCH(World!$C$1,'Data World'!$A$1:$AL$1,))</f>
        <v>4.9000000000000004</v>
      </c>
      <c r="D16" s="14">
        <f>VLOOKUP(B16,'Data World'!$A:$AL,MATCH(World!$D$1,'Data World'!$A$1:$AL$1,))</f>
        <v>10.4</v>
      </c>
      <c r="E16" s="14">
        <f>VLOOKUP(B16,'Data World'!$A:$AL,MATCH(World!$E$1,'Data World'!$A$1:$AL$1,))</f>
        <v>3.3</v>
      </c>
      <c r="F16" s="14">
        <f>VLOOKUP(B16,'Data World'!$A:$AL,MATCH(World!$F$1,'Data World'!$A$1:$AL$1,))</f>
        <v>4.4000000000000004</v>
      </c>
      <c r="G16" s="14">
        <f>VLOOKUP(B16,'Data World'!$A:$AL,MATCH(World!$G$1,'Data World'!$A$1:$AL$1,))</f>
        <v>10.3</v>
      </c>
      <c r="H16" s="14">
        <f>VLOOKUP(B16,'Data World'!$A:$AL,MATCH(World!$H$1,'Data World'!$A$1:$AL$1,))</f>
        <v>5.0710350000000002</v>
      </c>
      <c r="I16" s="14">
        <f>VLOOKUP(B16,'Data World'!$A:$AL,MATCH(World!$I$1,'Data World'!$A$1:$AL$1,))</f>
        <v>11.7</v>
      </c>
      <c r="J16" s="14">
        <f>VLOOKUP(B16,'Data World'!$A:$AL,MATCH(World!$J$1,'Data World'!$A$1:$AL$1,))</f>
        <v>20.399999999999999</v>
      </c>
      <c r="K16" s="14">
        <f>VLOOKUP(B16,'Data World'!$A:$AL,MATCH(World!$K$1,'Data World'!$A$1:$AL$1,))</f>
        <v>7.1</v>
      </c>
      <c r="L16" s="14">
        <f>VLOOKUP(B16,'Data World'!$A:$AL,MATCH(World!$L$1,'Data World'!$A$1:$AL$1,))</f>
        <v>4.1999930000000001</v>
      </c>
      <c r="M16" s="14">
        <f>VLOOKUP(B16,'Data World'!$A:$AL,MATCH(World!$M$1,'Data World'!$A$1:$AL$1,))</f>
        <v>7.3</v>
      </c>
      <c r="N16" s="14">
        <f>VLOOKUP(B16,'Data World'!$A:$AL,MATCH(World!$N$1,'Data World'!$A$1:$AL$1,))</f>
        <v>5.6743790000000001</v>
      </c>
      <c r="O16" s="14">
        <f>VLOOKUP(B16,'Data World'!$A:$AL,MATCH(World!$O$1,'Data World'!$A$1:$AL$1,))</f>
        <v>3.9</v>
      </c>
      <c r="P16" s="14">
        <f>VLOOKUP(B16,'Data World'!$A:$AL,MATCH(World!$P$1,'Data World'!$A$1:$AL$1,))</f>
        <v>23.6</v>
      </c>
      <c r="Q16" s="14">
        <f>VLOOKUP(B16,'Data World'!$A:$AL,MATCH(World!$Q$1,'Data World'!$A$1:$AL$1,))</f>
        <v>9</v>
      </c>
      <c r="R16" s="14">
        <f>VLOOKUP(B16,'Data World'!$A:$AL,MATCH(World!$R$1,'Data World'!$A$1:$AL$1,))</f>
        <v>10</v>
      </c>
      <c r="S16" s="14">
        <f>VLOOKUP(B16,'Data World'!$A:$AL,MATCH(World!$S$1,'Data World'!$A$1:$AL$1,))</f>
        <v>4.3</v>
      </c>
      <c r="T16" s="14">
        <f>VLOOKUP(B16,'Data World'!$A:$AL,MATCH(World!$T$1,'Data World'!$A$1:$AL$1,))</f>
        <v>6.6</v>
      </c>
    </row>
    <row r="17" spans="2:20" x14ac:dyDescent="0.2">
      <c r="B17" s="13">
        <v>42460</v>
      </c>
      <c r="C17" s="14">
        <f>VLOOKUP(B17,'Data World'!$A:$AL,MATCH(World!$C$1,'Data World'!$A$1:$AL$1,))</f>
        <v>5</v>
      </c>
      <c r="D17" s="14">
        <f>VLOOKUP(B17,'Data World'!$A:$AL,MATCH(World!$D$1,'Data World'!$A$1:$AL$1,))</f>
        <v>10.3</v>
      </c>
      <c r="E17" s="14">
        <f>VLOOKUP(B17,'Data World'!$A:$AL,MATCH(World!$E$1,'Data World'!$A$1:$AL$1,))</f>
        <v>3.2</v>
      </c>
      <c r="F17" s="14">
        <f>VLOOKUP(B17,'Data World'!$A:$AL,MATCH(World!$F$1,'Data World'!$A$1:$AL$1,))</f>
        <v>4.3</v>
      </c>
      <c r="G17" s="14">
        <f>VLOOKUP(B17,'Data World'!$A:$AL,MATCH(World!$G$1,'Data World'!$A$1:$AL$1,))</f>
        <v>10.199999999999999</v>
      </c>
      <c r="H17" s="14">
        <f>VLOOKUP(B17,'Data World'!$A:$AL,MATCH(World!$H$1,'Data World'!$A$1:$AL$1,))</f>
        <v>5.0070499999999996</v>
      </c>
      <c r="I17" s="14">
        <f>VLOOKUP(B17,'Data World'!$A:$AL,MATCH(World!$I$1,'Data World'!$A$1:$AL$1,))</f>
        <v>11.6</v>
      </c>
      <c r="J17" s="14">
        <f>VLOOKUP(B17,'Data World'!$A:$AL,MATCH(World!$J$1,'Data World'!$A$1:$AL$1,))</f>
        <v>20.2</v>
      </c>
      <c r="K17" s="14">
        <f>VLOOKUP(B17,'Data World'!$A:$AL,MATCH(World!$K$1,'Data World'!$A$1:$AL$1,))</f>
        <v>7.3</v>
      </c>
      <c r="L17" s="14">
        <f>VLOOKUP(B17,'Data World'!$A:$AL,MATCH(World!$L$1,'Data World'!$A$1:$AL$1,))</f>
        <v>4.083628</v>
      </c>
      <c r="M17" s="14">
        <f>VLOOKUP(B17,'Data World'!$A:$AL,MATCH(World!$M$1,'Data World'!$A$1:$AL$1,))</f>
        <v>7.1</v>
      </c>
      <c r="N17" s="14">
        <f>VLOOKUP(B17,'Data World'!$A:$AL,MATCH(World!$N$1,'Data World'!$A$1:$AL$1,))</f>
        <v>5.6422040000000004</v>
      </c>
      <c r="O17" s="14">
        <f>VLOOKUP(B17,'Data World'!$A:$AL,MATCH(World!$O$1,'Data World'!$A$1:$AL$1,))</f>
        <v>3.7</v>
      </c>
      <c r="P17" s="14">
        <f>VLOOKUP(B17,'Data World'!$A:$AL,MATCH(World!$P$1,'Data World'!$A$1:$AL$1,))</f>
        <v>23.9</v>
      </c>
      <c r="Q17" s="14">
        <f>VLOOKUP(B17,'Data World'!$A:$AL,MATCH(World!$Q$1,'Data World'!$A$1:$AL$1,))</f>
        <v>8.9</v>
      </c>
      <c r="R17" s="14">
        <f>VLOOKUP(B17,'Data World'!$A:$AL,MATCH(World!$R$1,'Data World'!$A$1:$AL$1,))</f>
        <v>9.8000000000000007</v>
      </c>
      <c r="S17" s="14">
        <f>VLOOKUP(B17,'Data World'!$A:$AL,MATCH(World!$S$1,'Data World'!$A$1:$AL$1,))</f>
        <v>4.0999999999999996</v>
      </c>
      <c r="T17" s="14">
        <f>VLOOKUP(B17,'Data World'!$A:$AL,MATCH(World!$T$1,'Data World'!$A$1:$AL$1,))</f>
        <v>6.5</v>
      </c>
    </row>
    <row r="18" spans="2:20" x14ac:dyDescent="0.2">
      <c r="B18" s="13">
        <v>42490</v>
      </c>
      <c r="C18" s="14">
        <f>VLOOKUP(B18,'Data World'!$A:$AL,MATCH(World!$C$1,'Data World'!$A$1:$AL$1,))</f>
        <v>5.0999999999999996</v>
      </c>
      <c r="D18" s="14">
        <f>VLOOKUP(B18,'Data World'!$A:$AL,MATCH(World!$D$1,'Data World'!$A$1:$AL$1,))</f>
        <v>10.199999999999999</v>
      </c>
      <c r="E18" s="14">
        <f>VLOOKUP(B18,'Data World'!$A:$AL,MATCH(World!$E$1,'Data World'!$A$1:$AL$1,))</f>
        <v>3.2</v>
      </c>
      <c r="F18" s="14">
        <f>VLOOKUP(B18,'Data World'!$A:$AL,MATCH(World!$F$1,'Data World'!$A$1:$AL$1,))</f>
        <v>4.3</v>
      </c>
      <c r="G18" s="14">
        <f>VLOOKUP(B18,'Data World'!$A:$AL,MATCH(World!$G$1,'Data World'!$A$1:$AL$1,))</f>
        <v>10.1</v>
      </c>
      <c r="H18" s="14">
        <f>VLOOKUP(B18,'Data World'!$A:$AL,MATCH(World!$H$1,'Data World'!$A$1:$AL$1,))</f>
        <v>4.9389659999999997</v>
      </c>
      <c r="I18" s="14">
        <f>VLOOKUP(B18,'Data World'!$A:$AL,MATCH(World!$I$1,'Data World'!$A$1:$AL$1,))</f>
        <v>11.8</v>
      </c>
      <c r="J18" s="14">
        <f>VLOOKUP(B18,'Data World'!$A:$AL,MATCH(World!$J$1,'Data World'!$A$1:$AL$1,))</f>
        <v>20.3</v>
      </c>
      <c r="K18" s="14">
        <f>VLOOKUP(B18,'Data World'!$A:$AL,MATCH(World!$K$1,'Data World'!$A$1:$AL$1,))</f>
        <v>6.7</v>
      </c>
      <c r="L18" s="14">
        <f>VLOOKUP(B18,'Data World'!$A:$AL,MATCH(World!$L$1,'Data World'!$A$1:$AL$1,))</f>
        <v>3.8919609999999998</v>
      </c>
      <c r="M18" s="14">
        <f>VLOOKUP(B18,'Data World'!$A:$AL,MATCH(World!$M$1,'Data World'!$A$1:$AL$1,))</f>
        <v>7.2</v>
      </c>
      <c r="N18" s="14">
        <f>VLOOKUP(B18,'Data World'!$A:$AL,MATCH(World!$N$1,'Data World'!$A$1:$AL$1,))</f>
        <v>5.6389469999999999</v>
      </c>
      <c r="O18" s="14">
        <f>VLOOKUP(B18,'Data World'!$A:$AL,MATCH(World!$O$1,'Data World'!$A$1:$AL$1,))</f>
        <v>3.6</v>
      </c>
      <c r="P18" s="14">
        <f>VLOOKUP(B18,'Data World'!$A:$AL,MATCH(World!$P$1,'Data World'!$A$1:$AL$1,))</f>
        <v>23.4</v>
      </c>
      <c r="Q18" s="14">
        <f>VLOOKUP(B18,'Data World'!$A:$AL,MATCH(World!$Q$1,'Data World'!$A$1:$AL$1,))</f>
        <v>9</v>
      </c>
      <c r="R18" s="14">
        <f>VLOOKUP(B18,'Data World'!$A:$AL,MATCH(World!$R$1,'Data World'!$A$1:$AL$1,))</f>
        <v>9.9</v>
      </c>
      <c r="S18" s="14">
        <f>VLOOKUP(B18,'Data World'!$A:$AL,MATCH(World!$S$1,'Data World'!$A$1:$AL$1,))</f>
        <v>3.9</v>
      </c>
      <c r="T18" s="14">
        <f>VLOOKUP(B18,'Data World'!$A:$AL,MATCH(World!$T$1,'Data World'!$A$1:$AL$1,))</f>
        <v>6.4</v>
      </c>
    </row>
    <row r="19" spans="2:20" x14ac:dyDescent="0.2">
      <c r="B19" s="13">
        <v>42521</v>
      </c>
      <c r="C19" s="14">
        <f>VLOOKUP(B19,'Data World'!$A:$AL,MATCH(World!$C$1,'Data World'!$A$1:$AL$1,))</f>
        <v>4.8</v>
      </c>
      <c r="D19" s="14">
        <f>VLOOKUP(B19,'Data World'!$A:$AL,MATCH(World!$D$1,'Data World'!$A$1:$AL$1,))</f>
        <v>10.199999999999999</v>
      </c>
      <c r="E19" s="14">
        <f>VLOOKUP(B19,'Data World'!$A:$AL,MATCH(World!$E$1,'Data World'!$A$1:$AL$1,))</f>
        <v>3.2</v>
      </c>
      <c r="F19" s="14">
        <f>VLOOKUP(B19,'Data World'!$A:$AL,MATCH(World!$F$1,'Data World'!$A$1:$AL$1,))</f>
        <v>4.2</v>
      </c>
      <c r="G19" s="14">
        <f>VLOOKUP(B19,'Data World'!$A:$AL,MATCH(World!$G$1,'Data World'!$A$1:$AL$1,))</f>
        <v>10</v>
      </c>
      <c r="H19" s="14">
        <f>VLOOKUP(B19,'Data World'!$A:$AL,MATCH(World!$H$1,'Data World'!$A$1:$AL$1,))</f>
        <v>4.9213630000000004</v>
      </c>
      <c r="I19" s="14">
        <f>VLOOKUP(B19,'Data World'!$A:$AL,MATCH(World!$I$1,'Data World'!$A$1:$AL$1,))</f>
        <v>11.6</v>
      </c>
      <c r="J19" s="14">
        <f>VLOOKUP(B19,'Data World'!$A:$AL,MATCH(World!$J$1,'Data World'!$A$1:$AL$1,))</f>
        <v>20.100000000000001</v>
      </c>
      <c r="K19" s="14">
        <f>VLOOKUP(B19,'Data World'!$A:$AL,MATCH(World!$K$1,'Data World'!$A$1:$AL$1,))</f>
        <v>7.2</v>
      </c>
      <c r="L19" s="14">
        <f>VLOOKUP(B19,'Data World'!$A:$AL,MATCH(World!$L$1,'Data World'!$A$1:$AL$1,))</f>
        <v>4.0975270000000004</v>
      </c>
      <c r="M19" s="14">
        <f>VLOOKUP(B19,'Data World'!$A:$AL,MATCH(World!$M$1,'Data World'!$A$1:$AL$1,))</f>
        <v>7</v>
      </c>
      <c r="N19" s="14">
        <f>VLOOKUP(B19,'Data World'!$A:$AL,MATCH(World!$N$1,'Data World'!$A$1:$AL$1,))</f>
        <v>5.7261829999999998</v>
      </c>
      <c r="O19" s="14">
        <f>VLOOKUP(B19,'Data World'!$A:$AL,MATCH(World!$O$1,'Data World'!$A$1:$AL$1,))</f>
        <v>3.6</v>
      </c>
      <c r="P19" s="14">
        <f>VLOOKUP(B19,'Data World'!$A:$AL,MATCH(World!$P$1,'Data World'!$A$1:$AL$1,))</f>
        <v>23.6</v>
      </c>
      <c r="Q19" s="14">
        <f>VLOOKUP(B19,'Data World'!$A:$AL,MATCH(World!$Q$1,'Data World'!$A$1:$AL$1,))</f>
        <v>8.9</v>
      </c>
      <c r="R19" s="14">
        <f>VLOOKUP(B19,'Data World'!$A:$AL,MATCH(World!$R$1,'Data World'!$A$1:$AL$1,))</f>
        <v>10.3</v>
      </c>
      <c r="S19" s="14">
        <f>VLOOKUP(B19,'Data World'!$A:$AL,MATCH(World!$S$1,'Data World'!$A$1:$AL$1,))</f>
        <v>4</v>
      </c>
      <c r="T19" s="14">
        <f>VLOOKUP(B19,'Data World'!$A:$AL,MATCH(World!$T$1,'Data World'!$A$1:$AL$1,))</f>
        <v>6.3</v>
      </c>
    </row>
    <row r="20" spans="2:20" x14ac:dyDescent="0.2">
      <c r="B20" s="13">
        <v>42551</v>
      </c>
      <c r="C20" s="14">
        <f>VLOOKUP(B20,'Data World'!$A:$AL,MATCH(World!$C$1,'Data World'!$A$1:$AL$1,))</f>
        <v>4.9000000000000004</v>
      </c>
      <c r="D20" s="14">
        <f>VLOOKUP(B20,'Data World'!$A:$AL,MATCH(World!$D$1,'Data World'!$A$1:$AL$1,))</f>
        <v>10.1</v>
      </c>
      <c r="E20" s="14">
        <f>VLOOKUP(B20,'Data World'!$A:$AL,MATCH(World!$E$1,'Data World'!$A$1:$AL$1,))</f>
        <v>3.1</v>
      </c>
      <c r="F20" s="14">
        <f>VLOOKUP(B20,'Data World'!$A:$AL,MATCH(World!$F$1,'Data World'!$A$1:$AL$1,))</f>
        <v>4.2</v>
      </c>
      <c r="G20" s="14">
        <f>VLOOKUP(B20,'Data World'!$A:$AL,MATCH(World!$G$1,'Data World'!$A$1:$AL$1,))</f>
        <v>10</v>
      </c>
      <c r="H20" s="14">
        <f>VLOOKUP(B20,'Data World'!$A:$AL,MATCH(World!$H$1,'Data World'!$A$1:$AL$1,))</f>
        <v>4.8936799999999998</v>
      </c>
      <c r="I20" s="14">
        <f>VLOOKUP(B20,'Data World'!$A:$AL,MATCH(World!$I$1,'Data World'!$A$1:$AL$1,))</f>
        <v>11.7</v>
      </c>
      <c r="J20" s="14">
        <f>VLOOKUP(B20,'Data World'!$A:$AL,MATCH(World!$J$1,'Data World'!$A$1:$AL$1,))</f>
        <v>19.899999999999999</v>
      </c>
      <c r="K20" s="14">
        <f>VLOOKUP(B20,'Data World'!$A:$AL,MATCH(World!$K$1,'Data World'!$A$1:$AL$1,))</f>
        <v>6.7</v>
      </c>
      <c r="L20" s="14">
        <f>VLOOKUP(B20,'Data World'!$A:$AL,MATCH(World!$L$1,'Data World'!$A$1:$AL$1,))</f>
        <v>3.9352130000000001</v>
      </c>
      <c r="M20" s="14">
        <f>VLOOKUP(B20,'Data World'!$A:$AL,MATCH(World!$M$1,'Data World'!$A$1:$AL$1,))</f>
        <v>6.9</v>
      </c>
      <c r="N20" s="14">
        <f>VLOOKUP(B20,'Data World'!$A:$AL,MATCH(World!$N$1,'Data World'!$A$1:$AL$1,))</f>
        <v>5.6941699999999997</v>
      </c>
      <c r="O20" s="14">
        <f>VLOOKUP(B20,'Data World'!$A:$AL,MATCH(World!$O$1,'Data World'!$A$1:$AL$1,))</f>
        <v>3.6</v>
      </c>
      <c r="P20" s="14">
        <f>VLOOKUP(B20,'Data World'!$A:$AL,MATCH(World!$P$1,'Data World'!$A$1:$AL$1,))</f>
        <v>23.7</v>
      </c>
      <c r="Q20" s="14">
        <f>VLOOKUP(B20,'Data World'!$A:$AL,MATCH(World!$Q$1,'Data World'!$A$1:$AL$1,))</f>
        <v>8.6999999999999993</v>
      </c>
      <c r="R20" s="14">
        <f>VLOOKUP(B20,'Data World'!$A:$AL,MATCH(World!$R$1,'Data World'!$A$1:$AL$1,))</f>
        <v>11</v>
      </c>
      <c r="S20" s="14">
        <f>VLOOKUP(B20,'Data World'!$A:$AL,MATCH(World!$S$1,'Data World'!$A$1:$AL$1,))</f>
        <v>4.2</v>
      </c>
      <c r="T20" s="14">
        <f>VLOOKUP(B20,'Data World'!$A:$AL,MATCH(World!$T$1,'Data World'!$A$1:$AL$1,))</f>
        <v>6.3</v>
      </c>
    </row>
    <row r="21" spans="2:20" x14ac:dyDescent="0.2">
      <c r="B21" s="13">
        <v>42582</v>
      </c>
      <c r="C21" s="14">
        <f>VLOOKUP(B21,'Data World'!$A:$AL,MATCH(World!$C$1,'Data World'!$A$1:$AL$1,))</f>
        <v>4.8</v>
      </c>
      <c r="D21" s="14">
        <f>VLOOKUP(B21,'Data World'!$A:$AL,MATCH(World!$D$1,'Data World'!$A$1:$AL$1,))</f>
        <v>10</v>
      </c>
      <c r="E21" s="14">
        <f>VLOOKUP(B21,'Data World'!$A:$AL,MATCH(World!$E$1,'Data World'!$A$1:$AL$1,))</f>
        <v>3</v>
      </c>
      <c r="F21" s="14">
        <f>VLOOKUP(B21,'Data World'!$A:$AL,MATCH(World!$F$1,'Data World'!$A$1:$AL$1,))</f>
        <v>4.2</v>
      </c>
      <c r="G21" s="14">
        <f>VLOOKUP(B21,'Data World'!$A:$AL,MATCH(World!$G$1,'Data World'!$A$1:$AL$1,))</f>
        <v>9.8000000000000007</v>
      </c>
      <c r="H21" s="14">
        <f>VLOOKUP(B21,'Data World'!$A:$AL,MATCH(World!$H$1,'Data World'!$A$1:$AL$1,))</f>
        <v>4.9831630000000002</v>
      </c>
      <c r="I21" s="14">
        <f>VLOOKUP(B21,'Data World'!$A:$AL,MATCH(World!$I$1,'Data World'!$A$1:$AL$1,))</f>
        <v>11.7</v>
      </c>
      <c r="J21" s="14">
        <f>VLOOKUP(B21,'Data World'!$A:$AL,MATCH(World!$J$1,'Data World'!$A$1:$AL$1,))</f>
        <v>19.600000000000001</v>
      </c>
      <c r="K21" s="14">
        <f>VLOOKUP(B21,'Data World'!$A:$AL,MATCH(World!$K$1,'Data World'!$A$1:$AL$1,))</f>
        <v>6.8</v>
      </c>
      <c r="L21" s="14">
        <f>VLOOKUP(B21,'Data World'!$A:$AL,MATCH(World!$L$1,'Data World'!$A$1:$AL$1,))</f>
        <v>3.779369</v>
      </c>
      <c r="M21" s="14">
        <f>VLOOKUP(B21,'Data World'!$A:$AL,MATCH(World!$M$1,'Data World'!$A$1:$AL$1,))</f>
        <v>7</v>
      </c>
      <c r="N21" s="14">
        <f>VLOOKUP(B21,'Data World'!$A:$AL,MATCH(World!$N$1,'Data World'!$A$1:$AL$1,))</f>
        <v>5.6913289999999996</v>
      </c>
      <c r="O21" s="14">
        <f>VLOOKUP(B21,'Data World'!$A:$AL,MATCH(World!$O$1,'Data World'!$A$1:$AL$1,))</f>
        <v>3.6</v>
      </c>
      <c r="P21" s="14">
        <f>VLOOKUP(B21,'Data World'!$A:$AL,MATCH(World!$P$1,'Data World'!$A$1:$AL$1,))</f>
        <v>23.4</v>
      </c>
      <c r="Q21" s="14">
        <f>VLOOKUP(B21,'Data World'!$A:$AL,MATCH(World!$Q$1,'Data World'!$A$1:$AL$1,))</f>
        <v>8.5</v>
      </c>
      <c r="R21" s="14">
        <f>VLOOKUP(B21,'Data World'!$A:$AL,MATCH(World!$R$1,'Data World'!$A$1:$AL$1,))</f>
        <v>11.1</v>
      </c>
      <c r="S21" s="14">
        <f>VLOOKUP(B21,'Data World'!$A:$AL,MATCH(World!$S$1,'Data World'!$A$1:$AL$1,))</f>
        <v>4.0999999999999996</v>
      </c>
      <c r="T21" s="14">
        <f>VLOOKUP(B21,'Data World'!$A:$AL,MATCH(World!$T$1,'Data World'!$A$1:$AL$1,))</f>
        <v>6.2</v>
      </c>
    </row>
    <row r="22" spans="2:20" x14ac:dyDescent="0.2">
      <c r="B22" s="13">
        <v>42613</v>
      </c>
      <c r="C22" s="14">
        <f>VLOOKUP(B22,'Data World'!$A:$AL,MATCH(World!$C$1,'Data World'!$A$1:$AL$1,))</f>
        <v>4.9000000000000004</v>
      </c>
      <c r="D22" s="14">
        <f>VLOOKUP(B22,'Data World'!$A:$AL,MATCH(World!$D$1,'Data World'!$A$1:$AL$1,))</f>
        <v>9.9</v>
      </c>
      <c r="E22" s="14">
        <f>VLOOKUP(B22,'Data World'!$A:$AL,MATCH(World!$E$1,'Data World'!$A$1:$AL$1,))</f>
        <v>3.1</v>
      </c>
      <c r="F22" s="14">
        <f>VLOOKUP(B22,'Data World'!$A:$AL,MATCH(World!$F$1,'Data World'!$A$1:$AL$1,))</f>
        <v>4.0999999999999996</v>
      </c>
      <c r="G22" s="14">
        <f>VLOOKUP(B22,'Data World'!$A:$AL,MATCH(World!$G$1,'Data World'!$A$1:$AL$1,))</f>
        <v>9.9</v>
      </c>
      <c r="H22" s="14">
        <f>VLOOKUP(B22,'Data World'!$A:$AL,MATCH(World!$H$1,'Data World'!$A$1:$AL$1,))</f>
        <v>4.838883</v>
      </c>
      <c r="I22" s="14">
        <f>VLOOKUP(B22,'Data World'!$A:$AL,MATCH(World!$I$1,'Data World'!$A$1:$AL$1,))</f>
        <v>11.6</v>
      </c>
      <c r="J22" s="14">
        <f>VLOOKUP(B22,'Data World'!$A:$AL,MATCH(World!$J$1,'Data World'!$A$1:$AL$1,))</f>
        <v>19.3</v>
      </c>
      <c r="K22" s="14">
        <f>VLOOKUP(B22,'Data World'!$A:$AL,MATCH(World!$K$1,'Data World'!$A$1:$AL$1,))</f>
        <v>7.1</v>
      </c>
      <c r="L22" s="14">
        <f>VLOOKUP(B22,'Data World'!$A:$AL,MATCH(World!$L$1,'Data World'!$A$1:$AL$1,))</f>
        <v>3.752672</v>
      </c>
      <c r="M22" s="14">
        <f>VLOOKUP(B22,'Data World'!$A:$AL,MATCH(World!$M$1,'Data World'!$A$1:$AL$1,))</f>
        <v>7</v>
      </c>
      <c r="N22" s="14">
        <f>VLOOKUP(B22,'Data World'!$A:$AL,MATCH(World!$N$1,'Data World'!$A$1:$AL$1,))</f>
        <v>5.6008490000000002</v>
      </c>
      <c r="O22" s="14">
        <f>VLOOKUP(B22,'Data World'!$A:$AL,MATCH(World!$O$1,'Data World'!$A$1:$AL$1,))</f>
        <v>3.8</v>
      </c>
      <c r="P22" s="14">
        <f>VLOOKUP(B22,'Data World'!$A:$AL,MATCH(World!$P$1,'Data World'!$A$1:$AL$1,))</f>
        <v>23.4</v>
      </c>
      <c r="Q22" s="14">
        <f>VLOOKUP(B22,'Data World'!$A:$AL,MATCH(World!$Q$1,'Data World'!$A$1:$AL$1,))</f>
        <v>8.3000000000000007</v>
      </c>
      <c r="R22" s="14">
        <f>VLOOKUP(B22,'Data World'!$A:$AL,MATCH(World!$R$1,'Data World'!$A$1:$AL$1,))</f>
        <v>11.4</v>
      </c>
      <c r="S22" s="14">
        <f>VLOOKUP(B22,'Data World'!$A:$AL,MATCH(World!$S$1,'Data World'!$A$1:$AL$1,))</f>
        <v>3.8</v>
      </c>
      <c r="T22" s="14">
        <f>VLOOKUP(B22,'Data World'!$A:$AL,MATCH(World!$T$1,'Data World'!$A$1:$AL$1,))</f>
        <v>6.1</v>
      </c>
    </row>
    <row r="23" spans="2:20" x14ac:dyDescent="0.2">
      <c r="B23" s="13">
        <v>42643</v>
      </c>
      <c r="C23" s="14">
        <f>VLOOKUP(B23,'Data World'!$A:$AL,MATCH(World!$C$1,'Data World'!$A$1:$AL$1,))</f>
        <v>5</v>
      </c>
      <c r="D23" s="14">
        <f>VLOOKUP(B23,'Data World'!$A:$AL,MATCH(World!$D$1,'Data World'!$A$1:$AL$1,))</f>
        <v>9.9</v>
      </c>
      <c r="E23" s="14">
        <f>VLOOKUP(B23,'Data World'!$A:$AL,MATCH(World!$E$1,'Data World'!$A$1:$AL$1,))</f>
        <v>3</v>
      </c>
      <c r="F23" s="14">
        <f>VLOOKUP(B23,'Data World'!$A:$AL,MATCH(World!$F$1,'Data World'!$A$1:$AL$1,))</f>
        <v>4</v>
      </c>
      <c r="G23" s="14">
        <f>VLOOKUP(B23,'Data World'!$A:$AL,MATCH(World!$G$1,'Data World'!$A$1:$AL$1,))</f>
        <v>9.9</v>
      </c>
      <c r="H23" s="14">
        <f>VLOOKUP(B23,'Data World'!$A:$AL,MATCH(World!$H$1,'Data World'!$A$1:$AL$1,))</f>
        <v>4.828989</v>
      </c>
      <c r="I23" s="14">
        <f>VLOOKUP(B23,'Data World'!$A:$AL,MATCH(World!$I$1,'Data World'!$A$1:$AL$1,))</f>
        <v>11.9</v>
      </c>
      <c r="J23" s="14">
        <f>VLOOKUP(B23,'Data World'!$A:$AL,MATCH(World!$J$1,'Data World'!$A$1:$AL$1,))</f>
        <v>19.100000000000001</v>
      </c>
      <c r="K23" s="14">
        <f>VLOOKUP(B23,'Data World'!$A:$AL,MATCH(World!$K$1,'Data World'!$A$1:$AL$1,))</f>
        <v>6.7</v>
      </c>
      <c r="L23" s="14">
        <f>VLOOKUP(B23,'Data World'!$A:$AL,MATCH(World!$L$1,'Data World'!$A$1:$AL$1,))</f>
        <v>3.8516210000000002</v>
      </c>
      <c r="M23" s="14">
        <f>VLOOKUP(B23,'Data World'!$A:$AL,MATCH(World!$M$1,'Data World'!$A$1:$AL$1,))</f>
        <v>7</v>
      </c>
      <c r="N23" s="14">
        <f>VLOOKUP(B23,'Data World'!$A:$AL,MATCH(World!$N$1,'Data World'!$A$1:$AL$1,))</f>
        <v>5.6459140000000003</v>
      </c>
      <c r="O23" s="14">
        <f>VLOOKUP(B23,'Data World'!$A:$AL,MATCH(World!$O$1,'Data World'!$A$1:$AL$1,))</f>
        <v>3.9</v>
      </c>
      <c r="P23" s="14">
        <f>VLOOKUP(B23,'Data World'!$A:$AL,MATCH(World!$P$1,'Data World'!$A$1:$AL$1,))</f>
        <v>23.3</v>
      </c>
      <c r="Q23" s="14">
        <f>VLOOKUP(B23,'Data World'!$A:$AL,MATCH(World!$Q$1,'Data World'!$A$1:$AL$1,))</f>
        <v>7.9</v>
      </c>
      <c r="R23" s="14">
        <f>VLOOKUP(B23,'Data World'!$A:$AL,MATCH(World!$R$1,'Data World'!$A$1:$AL$1,))</f>
        <v>11.4</v>
      </c>
      <c r="S23" s="14">
        <f>VLOOKUP(B23,'Data World'!$A:$AL,MATCH(World!$S$1,'Data World'!$A$1:$AL$1,))</f>
        <v>3.9</v>
      </c>
      <c r="T23" s="14">
        <f>VLOOKUP(B23,'Data World'!$A:$AL,MATCH(World!$T$1,'Data World'!$A$1:$AL$1,))</f>
        <v>6</v>
      </c>
    </row>
    <row r="24" spans="2:20" x14ac:dyDescent="0.2">
      <c r="B24" s="13">
        <v>42674</v>
      </c>
      <c r="C24" s="14">
        <f>VLOOKUP(B24,'Data World'!$A:$AL,MATCH(World!$C$1,'Data World'!$A$1:$AL$1,))</f>
        <v>4.9000000000000004</v>
      </c>
      <c r="D24" s="14">
        <f>VLOOKUP(B24,'Data World'!$A:$AL,MATCH(World!$D$1,'Data World'!$A$1:$AL$1,))</f>
        <v>9.8000000000000007</v>
      </c>
      <c r="E24" s="14">
        <f>VLOOKUP(B24,'Data World'!$A:$AL,MATCH(World!$E$1,'Data World'!$A$1:$AL$1,))</f>
        <v>3</v>
      </c>
      <c r="F24" s="14">
        <f>VLOOKUP(B24,'Data World'!$A:$AL,MATCH(World!$F$1,'Data World'!$A$1:$AL$1,))</f>
        <v>4</v>
      </c>
      <c r="G24" s="14">
        <f>VLOOKUP(B24,'Data World'!$A:$AL,MATCH(World!$G$1,'Data World'!$A$1:$AL$1,))</f>
        <v>10.1</v>
      </c>
      <c r="H24" s="14">
        <f>VLOOKUP(B24,'Data World'!$A:$AL,MATCH(World!$H$1,'Data World'!$A$1:$AL$1,))</f>
        <v>4.7941200000000004</v>
      </c>
      <c r="I24" s="14">
        <f>VLOOKUP(B24,'Data World'!$A:$AL,MATCH(World!$I$1,'Data World'!$A$1:$AL$1,))</f>
        <v>11.7</v>
      </c>
      <c r="J24" s="14">
        <f>VLOOKUP(B24,'Data World'!$A:$AL,MATCH(World!$J$1,'Data World'!$A$1:$AL$1,))</f>
        <v>18.8</v>
      </c>
      <c r="K24" s="14">
        <f>VLOOKUP(B24,'Data World'!$A:$AL,MATCH(World!$K$1,'Data World'!$A$1:$AL$1,))</f>
        <v>6.9</v>
      </c>
      <c r="L24" s="14">
        <f>VLOOKUP(B24,'Data World'!$A:$AL,MATCH(World!$L$1,'Data World'!$A$1:$AL$1,))</f>
        <v>3.5886049999999998</v>
      </c>
      <c r="M24" s="14">
        <f>VLOOKUP(B24,'Data World'!$A:$AL,MATCH(World!$M$1,'Data World'!$A$1:$AL$1,))</f>
        <v>7</v>
      </c>
      <c r="N24" s="14">
        <f>VLOOKUP(B24,'Data World'!$A:$AL,MATCH(World!$N$1,'Data World'!$A$1:$AL$1,))</f>
        <v>5.5870179999999996</v>
      </c>
      <c r="O24" s="14">
        <f>VLOOKUP(B24,'Data World'!$A:$AL,MATCH(World!$O$1,'Data World'!$A$1:$AL$1,))</f>
        <v>3.8</v>
      </c>
      <c r="P24" s="14">
        <f>VLOOKUP(B24,'Data World'!$A:$AL,MATCH(World!$P$1,'Data World'!$A$1:$AL$1,))</f>
        <v>23.1</v>
      </c>
      <c r="Q24" s="14">
        <f>VLOOKUP(B24,'Data World'!$A:$AL,MATCH(World!$Q$1,'Data World'!$A$1:$AL$1,))</f>
        <v>7.6</v>
      </c>
      <c r="R24" s="14">
        <f>VLOOKUP(B24,'Data World'!$A:$AL,MATCH(World!$R$1,'Data World'!$A$1:$AL$1,))</f>
        <v>11.8</v>
      </c>
      <c r="S24" s="14">
        <f>VLOOKUP(B24,'Data World'!$A:$AL,MATCH(World!$S$1,'Data World'!$A$1:$AL$1,))</f>
        <v>3.7</v>
      </c>
      <c r="T24" s="14">
        <f>VLOOKUP(B24,'Data World'!$A:$AL,MATCH(World!$T$1,'Data World'!$A$1:$AL$1,))</f>
        <v>5.8</v>
      </c>
    </row>
    <row r="25" spans="2:20" x14ac:dyDescent="0.2">
      <c r="B25" s="13">
        <v>42704</v>
      </c>
      <c r="C25" s="14">
        <f>VLOOKUP(B25,'Data World'!$A:$AL,MATCH(World!$C$1,'Data World'!$A$1:$AL$1,))</f>
        <v>4.7</v>
      </c>
      <c r="D25" s="14">
        <f>VLOOKUP(B25,'Data World'!$A:$AL,MATCH(World!$D$1,'Data World'!$A$1:$AL$1,))</f>
        <v>9.8000000000000007</v>
      </c>
      <c r="E25" s="14">
        <f>VLOOKUP(B25,'Data World'!$A:$AL,MATCH(World!$E$1,'Data World'!$A$1:$AL$1,))</f>
        <v>3</v>
      </c>
      <c r="F25" s="14">
        <f>VLOOKUP(B25,'Data World'!$A:$AL,MATCH(World!$F$1,'Data World'!$A$1:$AL$1,))</f>
        <v>3.9</v>
      </c>
      <c r="G25" s="14">
        <f>VLOOKUP(B25,'Data World'!$A:$AL,MATCH(World!$G$1,'Data World'!$A$1:$AL$1,))</f>
        <v>10.1</v>
      </c>
      <c r="H25" s="14">
        <f>VLOOKUP(B25,'Data World'!$A:$AL,MATCH(World!$H$1,'Data World'!$A$1:$AL$1,))</f>
        <v>4.7421059999999997</v>
      </c>
      <c r="I25" s="14">
        <f>VLOOKUP(B25,'Data World'!$A:$AL,MATCH(World!$I$1,'Data World'!$A$1:$AL$1,))</f>
        <v>12</v>
      </c>
      <c r="J25" s="14">
        <f>VLOOKUP(B25,'Data World'!$A:$AL,MATCH(World!$J$1,'Data World'!$A$1:$AL$1,))</f>
        <v>18.8</v>
      </c>
      <c r="K25" s="14">
        <f>VLOOKUP(B25,'Data World'!$A:$AL,MATCH(World!$K$1,'Data World'!$A$1:$AL$1,))</f>
        <v>6.8</v>
      </c>
      <c r="L25" s="14">
        <f>VLOOKUP(B25,'Data World'!$A:$AL,MATCH(World!$L$1,'Data World'!$A$1:$AL$1,))</f>
        <v>3.62765</v>
      </c>
      <c r="M25" s="14">
        <f>VLOOKUP(B25,'Data World'!$A:$AL,MATCH(World!$M$1,'Data World'!$A$1:$AL$1,))</f>
        <v>6.9</v>
      </c>
      <c r="N25" s="14">
        <f>VLOOKUP(B25,'Data World'!$A:$AL,MATCH(World!$N$1,'Data World'!$A$1:$AL$1,))</f>
        <v>5.7571260000000004</v>
      </c>
      <c r="O25" s="14">
        <f>VLOOKUP(B25,'Data World'!$A:$AL,MATCH(World!$O$1,'Data World'!$A$1:$AL$1,))</f>
        <v>3.7</v>
      </c>
      <c r="P25" s="14">
        <f>VLOOKUP(B25,'Data World'!$A:$AL,MATCH(World!$P$1,'Data World'!$A$1:$AL$1,))</f>
        <v>23.2</v>
      </c>
      <c r="Q25" s="14">
        <f>VLOOKUP(B25,'Data World'!$A:$AL,MATCH(World!$Q$1,'Data World'!$A$1:$AL$1,))</f>
        <v>7.4</v>
      </c>
      <c r="R25" s="14">
        <f>VLOOKUP(B25,'Data World'!$A:$AL,MATCH(World!$R$1,'Data World'!$A$1:$AL$1,))</f>
        <v>11.9</v>
      </c>
      <c r="S25" s="14">
        <f>VLOOKUP(B25,'Data World'!$A:$AL,MATCH(World!$S$1,'Data World'!$A$1:$AL$1,))</f>
        <v>3.6</v>
      </c>
      <c r="T25" s="14">
        <f>VLOOKUP(B25,'Data World'!$A:$AL,MATCH(World!$T$1,'Data World'!$A$1:$AL$1,))</f>
        <v>5.6</v>
      </c>
    </row>
    <row r="26" spans="2:20" x14ac:dyDescent="0.2">
      <c r="B26" s="13">
        <v>42735</v>
      </c>
      <c r="C26" s="14">
        <f>VLOOKUP(B26,'Data World'!$A:$AL,MATCH(World!$C$1,'Data World'!$A$1:$AL$1,))</f>
        <v>4.7</v>
      </c>
      <c r="D26" s="14">
        <f>VLOOKUP(B26,'Data World'!$A:$AL,MATCH(World!$D$1,'Data World'!$A$1:$AL$1,))</f>
        <v>9.6999999999999993</v>
      </c>
      <c r="E26" s="14">
        <f>VLOOKUP(B26,'Data World'!$A:$AL,MATCH(World!$E$1,'Data World'!$A$1:$AL$1,))</f>
        <v>3</v>
      </c>
      <c r="F26" s="14">
        <f>VLOOKUP(B26,'Data World'!$A:$AL,MATCH(World!$F$1,'Data World'!$A$1:$AL$1,))</f>
        <v>3.9</v>
      </c>
      <c r="G26" s="14">
        <f>VLOOKUP(B26,'Data World'!$A:$AL,MATCH(World!$G$1,'Data World'!$A$1:$AL$1,))</f>
        <v>9.9</v>
      </c>
      <c r="H26" s="14">
        <f>VLOOKUP(B26,'Data World'!$A:$AL,MATCH(World!$H$1,'Data World'!$A$1:$AL$1,))</f>
        <v>4.7071170000000002</v>
      </c>
      <c r="I26" s="14">
        <f>VLOOKUP(B26,'Data World'!$A:$AL,MATCH(World!$I$1,'Data World'!$A$1:$AL$1,))</f>
        <v>11.8</v>
      </c>
      <c r="J26" s="14">
        <f>VLOOKUP(B26,'Data World'!$A:$AL,MATCH(World!$J$1,'Data World'!$A$1:$AL$1,))</f>
        <v>18.5</v>
      </c>
      <c r="K26" s="14">
        <f>VLOOKUP(B26,'Data World'!$A:$AL,MATCH(World!$K$1,'Data World'!$A$1:$AL$1,))</f>
        <v>6.9</v>
      </c>
      <c r="L26" s="14">
        <f>VLOOKUP(B26,'Data World'!$A:$AL,MATCH(World!$L$1,'Data World'!$A$1:$AL$1,))</f>
        <v>3.7179950000000002</v>
      </c>
      <c r="M26" s="14">
        <f>VLOOKUP(B26,'Data World'!$A:$AL,MATCH(World!$M$1,'Data World'!$A$1:$AL$1,))</f>
        <v>7</v>
      </c>
      <c r="N26" s="14">
        <f>VLOOKUP(B26,'Data World'!$A:$AL,MATCH(World!$N$1,'Data World'!$A$1:$AL$1,))</f>
        <v>5.8337490000000001</v>
      </c>
      <c r="O26" s="14">
        <f>VLOOKUP(B26,'Data World'!$A:$AL,MATCH(World!$O$1,'Data World'!$A$1:$AL$1,))</f>
        <v>3.5</v>
      </c>
      <c r="P26" s="14">
        <f>VLOOKUP(B26,'Data World'!$A:$AL,MATCH(World!$P$1,'Data World'!$A$1:$AL$1,))</f>
        <v>23.6</v>
      </c>
      <c r="Q26" s="14">
        <f>VLOOKUP(B26,'Data World'!$A:$AL,MATCH(World!$Q$1,'Data World'!$A$1:$AL$1,))</f>
        <v>7.4</v>
      </c>
      <c r="R26" s="14">
        <f>VLOOKUP(B26,'Data World'!$A:$AL,MATCH(World!$R$1,'Data World'!$A$1:$AL$1,))</f>
        <v>12</v>
      </c>
      <c r="S26" s="14">
        <f>VLOOKUP(B26,'Data World'!$A:$AL,MATCH(World!$S$1,'Data World'!$A$1:$AL$1,))</f>
        <v>3.6</v>
      </c>
      <c r="T26" s="14">
        <f>VLOOKUP(B26,'Data World'!$A:$AL,MATCH(World!$T$1,'Data World'!$A$1:$AL$1,))</f>
        <v>5.4</v>
      </c>
    </row>
    <row r="27" spans="2:20" x14ac:dyDescent="0.2">
      <c r="B27" s="13">
        <v>42766</v>
      </c>
      <c r="C27" s="14">
        <f>VLOOKUP(B27,'Data World'!$A:$AL,MATCH(World!$C$1,'Data World'!$A$1:$AL$1,))</f>
        <v>4.7</v>
      </c>
      <c r="D27" s="14">
        <f>VLOOKUP(B27,'Data World'!$A:$AL,MATCH(World!$D$1,'Data World'!$A$1:$AL$1,))</f>
        <v>9.6</v>
      </c>
      <c r="E27" s="14">
        <f>VLOOKUP(B27,'Data World'!$A:$AL,MATCH(World!$E$1,'Data World'!$A$1:$AL$1,))</f>
        <v>3</v>
      </c>
      <c r="F27" s="14">
        <f>VLOOKUP(B27,'Data World'!$A:$AL,MATCH(World!$F$1,'Data World'!$A$1:$AL$1,))</f>
        <v>3.9</v>
      </c>
      <c r="G27" s="14">
        <f>VLOOKUP(B27,'Data World'!$A:$AL,MATCH(World!$G$1,'Data World'!$A$1:$AL$1,))</f>
        <v>9.6999999999999993</v>
      </c>
      <c r="H27" s="14">
        <f>VLOOKUP(B27,'Data World'!$A:$AL,MATCH(World!$H$1,'Data World'!$A$1:$AL$1,))</f>
        <v>4.6404860000000001</v>
      </c>
      <c r="I27" s="14">
        <f>VLOOKUP(B27,'Data World'!$A:$AL,MATCH(World!$I$1,'Data World'!$A$1:$AL$1,))</f>
        <v>11.7</v>
      </c>
      <c r="J27" s="14">
        <f>VLOOKUP(B27,'Data World'!$A:$AL,MATCH(World!$J$1,'Data World'!$A$1:$AL$1,))</f>
        <v>18.3</v>
      </c>
      <c r="K27" s="14">
        <f>VLOOKUP(B27,'Data World'!$A:$AL,MATCH(World!$K$1,'Data World'!$A$1:$AL$1,))</f>
        <v>6.8</v>
      </c>
      <c r="L27" s="14">
        <f>VLOOKUP(B27,'Data World'!$A:$AL,MATCH(World!$L$1,'Data World'!$A$1:$AL$1,))</f>
        <v>3.4613900000000002</v>
      </c>
      <c r="M27" s="14">
        <f>VLOOKUP(B27,'Data World'!$A:$AL,MATCH(World!$M$1,'Data World'!$A$1:$AL$1,))</f>
        <v>6.8</v>
      </c>
      <c r="N27" s="14">
        <f>VLOOKUP(B27,'Data World'!$A:$AL,MATCH(World!$N$1,'Data World'!$A$1:$AL$1,))</f>
        <v>5.6797800000000001</v>
      </c>
      <c r="O27" s="14">
        <f>VLOOKUP(B27,'Data World'!$A:$AL,MATCH(World!$O$1,'Data World'!$A$1:$AL$1,))</f>
        <v>3.6</v>
      </c>
      <c r="P27" s="14">
        <f>VLOOKUP(B27,'Data World'!$A:$AL,MATCH(World!$P$1,'Data World'!$A$1:$AL$1,))</f>
        <v>22.7</v>
      </c>
      <c r="Q27" s="14">
        <f>VLOOKUP(B27,'Data World'!$A:$AL,MATCH(World!$Q$1,'Data World'!$A$1:$AL$1,))</f>
        <v>7.5</v>
      </c>
      <c r="R27" s="14">
        <f>VLOOKUP(B27,'Data World'!$A:$AL,MATCH(World!$R$1,'Data World'!$A$1:$AL$1,))</f>
        <v>11.8</v>
      </c>
      <c r="S27" s="14">
        <f>VLOOKUP(B27,'Data World'!$A:$AL,MATCH(World!$S$1,'Data World'!$A$1:$AL$1,))</f>
        <v>3.5</v>
      </c>
      <c r="T27" s="14">
        <f>VLOOKUP(B27,'Data World'!$A:$AL,MATCH(World!$T$1,'Data World'!$A$1:$AL$1,))</f>
        <v>5.2</v>
      </c>
    </row>
    <row r="28" spans="2:20" x14ac:dyDescent="0.2">
      <c r="B28" s="13">
        <v>42794</v>
      </c>
      <c r="C28" s="14">
        <f>VLOOKUP(B28,'Data World'!$A:$AL,MATCH(World!$C$1,'Data World'!$A$1:$AL$1,))</f>
        <v>4.5999999999999996</v>
      </c>
      <c r="D28" s="14">
        <f>VLOOKUP(B28,'Data World'!$A:$AL,MATCH(World!$D$1,'Data World'!$A$1:$AL$1,))</f>
        <v>9.4</v>
      </c>
      <c r="E28" s="14">
        <f>VLOOKUP(B28,'Data World'!$A:$AL,MATCH(World!$E$1,'Data World'!$A$1:$AL$1,))</f>
        <v>2.9</v>
      </c>
      <c r="F28" s="14">
        <f>VLOOKUP(B28,'Data World'!$A:$AL,MATCH(World!$F$1,'Data World'!$A$1:$AL$1,))</f>
        <v>3.9</v>
      </c>
      <c r="G28" s="14">
        <f>VLOOKUP(B28,'Data World'!$A:$AL,MATCH(World!$G$1,'Data World'!$A$1:$AL$1,))</f>
        <v>9.6</v>
      </c>
      <c r="H28" s="14">
        <f>VLOOKUP(B28,'Data World'!$A:$AL,MATCH(World!$H$1,'Data World'!$A$1:$AL$1,))</f>
        <v>4.5632999999999999</v>
      </c>
      <c r="I28" s="14">
        <f>VLOOKUP(B28,'Data World'!$A:$AL,MATCH(World!$I$1,'Data World'!$A$1:$AL$1,))</f>
        <v>11.5</v>
      </c>
      <c r="J28" s="14">
        <f>VLOOKUP(B28,'Data World'!$A:$AL,MATCH(World!$J$1,'Data World'!$A$1:$AL$1,))</f>
        <v>18.2</v>
      </c>
      <c r="K28" s="14">
        <f>VLOOKUP(B28,'Data World'!$A:$AL,MATCH(World!$K$1,'Data World'!$A$1:$AL$1,))</f>
        <v>6.9</v>
      </c>
      <c r="L28" s="14">
        <f>VLOOKUP(B28,'Data World'!$A:$AL,MATCH(World!$L$1,'Data World'!$A$1:$AL$1,))</f>
        <v>3.426132</v>
      </c>
      <c r="M28" s="14">
        <f>VLOOKUP(B28,'Data World'!$A:$AL,MATCH(World!$M$1,'Data World'!$A$1:$AL$1,))</f>
        <v>6.6</v>
      </c>
      <c r="N28" s="14">
        <f>VLOOKUP(B28,'Data World'!$A:$AL,MATCH(World!$N$1,'Data World'!$A$1:$AL$1,))</f>
        <v>5.8392179999999998</v>
      </c>
      <c r="O28" s="14">
        <f>VLOOKUP(B28,'Data World'!$A:$AL,MATCH(World!$O$1,'Data World'!$A$1:$AL$1,))</f>
        <v>3.9</v>
      </c>
      <c r="P28" s="14">
        <f>VLOOKUP(B28,'Data World'!$A:$AL,MATCH(World!$P$1,'Data World'!$A$1:$AL$1,))</f>
        <v>22.4</v>
      </c>
      <c r="Q28" s="14">
        <f>VLOOKUP(B28,'Data World'!$A:$AL,MATCH(World!$Q$1,'Data World'!$A$1:$AL$1,))</f>
        <v>7.4</v>
      </c>
      <c r="R28" s="14">
        <f>VLOOKUP(B28,'Data World'!$A:$AL,MATCH(World!$R$1,'Data World'!$A$1:$AL$1,))</f>
        <v>11.7</v>
      </c>
      <c r="S28" s="14">
        <f>VLOOKUP(B28,'Data World'!$A:$AL,MATCH(World!$S$1,'Data World'!$A$1:$AL$1,))</f>
        <v>3.3</v>
      </c>
      <c r="T28" s="14">
        <f>VLOOKUP(B28,'Data World'!$A:$AL,MATCH(World!$T$1,'Data World'!$A$1:$AL$1,))</f>
        <v>5.0999999999999996</v>
      </c>
    </row>
    <row r="29" spans="2:20" x14ac:dyDescent="0.2">
      <c r="B29" s="13">
        <v>42825</v>
      </c>
      <c r="C29" s="14">
        <f>VLOOKUP(B29,'Data World'!$A:$AL,MATCH(World!$C$1,'Data World'!$A$1:$AL$1,))</f>
        <v>4.4000000000000004</v>
      </c>
      <c r="D29" s="14">
        <f>VLOOKUP(B29,'Data World'!$A:$AL,MATCH(World!$D$1,'Data World'!$A$1:$AL$1,))</f>
        <v>9.4</v>
      </c>
      <c r="E29" s="14">
        <f>VLOOKUP(B29,'Data World'!$A:$AL,MATCH(World!$E$1,'Data World'!$A$1:$AL$1,))</f>
        <v>2.8</v>
      </c>
      <c r="F29" s="14">
        <f>VLOOKUP(B29,'Data World'!$A:$AL,MATCH(World!$F$1,'Data World'!$A$1:$AL$1,))</f>
        <v>3.9</v>
      </c>
      <c r="G29" s="14">
        <f>VLOOKUP(B29,'Data World'!$A:$AL,MATCH(World!$G$1,'Data World'!$A$1:$AL$1,))</f>
        <v>9.5</v>
      </c>
      <c r="H29" s="14">
        <f>VLOOKUP(B29,'Data World'!$A:$AL,MATCH(World!$H$1,'Data World'!$A$1:$AL$1,))</f>
        <v>4.5402870000000002</v>
      </c>
      <c r="I29" s="14">
        <f>VLOOKUP(B29,'Data World'!$A:$AL,MATCH(World!$I$1,'Data World'!$A$1:$AL$1,))</f>
        <v>11.7</v>
      </c>
      <c r="J29" s="14">
        <f>VLOOKUP(B29,'Data World'!$A:$AL,MATCH(World!$J$1,'Data World'!$A$1:$AL$1,))</f>
        <v>18</v>
      </c>
      <c r="K29" s="14">
        <f>VLOOKUP(B29,'Data World'!$A:$AL,MATCH(World!$K$1,'Data World'!$A$1:$AL$1,))</f>
        <v>6.4</v>
      </c>
      <c r="L29" s="14">
        <f>VLOOKUP(B29,'Data World'!$A:$AL,MATCH(World!$L$1,'Data World'!$A$1:$AL$1,))</f>
        <v>3.4813610000000001</v>
      </c>
      <c r="M29" s="14">
        <f>VLOOKUP(B29,'Data World'!$A:$AL,MATCH(World!$M$1,'Data World'!$A$1:$AL$1,))</f>
        <v>6.7</v>
      </c>
      <c r="N29" s="14">
        <f>VLOOKUP(B29,'Data World'!$A:$AL,MATCH(World!$N$1,'Data World'!$A$1:$AL$1,))</f>
        <v>5.8415889999999999</v>
      </c>
      <c r="O29" s="14">
        <f>VLOOKUP(B29,'Data World'!$A:$AL,MATCH(World!$O$1,'Data World'!$A$1:$AL$1,))</f>
        <v>3.6</v>
      </c>
      <c r="P29" s="14">
        <f>VLOOKUP(B29,'Data World'!$A:$AL,MATCH(World!$P$1,'Data World'!$A$1:$AL$1,))</f>
        <v>22.3</v>
      </c>
      <c r="Q29" s="14">
        <f>VLOOKUP(B29,'Data World'!$A:$AL,MATCH(World!$Q$1,'Data World'!$A$1:$AL$1,))</f>
        <v>7.2</v>
      </c>
      <c r="R29" s="14">
        <f>VLOOKUP(B29,'Data World'!$A:$AL,MATCH(World!$R$1,'Data World'!$A$1:$AL$1,))</f>
        <v>11.5</v>
      </c>
      <c r="S29" s="14">
        <f>VLOOKUP(B29,'Data World'!$A:$AL,MATCH(World!$S$1,'Data World'!$A$1:$AL$1,))</f>
        <v>3.3</v>
      </c>
      <c r="T29" s="14">
        <f>VLOOKUP(B29,'Data World'!$A:$AL,MATCH(World!$T$1,'Data World'!$A$1:$AL$1,))</f>
        <v>5</v>
      </c>
    </row>
    <row r="30" spans="2:20" x14ac:dyDescent="0.2">
      <c r="B30" s="13">
        <v>42855</v>
      </c>
      <c r="C30" s="14">
        <f>VLOOKUP(B30,'Data World'!$A:$AL,MATCH(World!$C$1,'Data World'!$A$1:$AL$1,))</f>
        <v>4.5</v>
      </c>
      <c r="D30" s="14">
        <f>VLOOKUP(B30,'Data World'!$A:$AL,MATCH(World!$D$1,'Data World'!$A$1:$AL$1,))</f>
        <v>9.1999999999999993</v>
      </c>
      <c r="E30" s="14">
        <f>VLOOKUP(B30,'Data World'!$A:$AL,MATCH(World!$E$1,'Data World'!$A$1:$AL$1,))</f>
        <v>2.8</v>
      </c>
      <c r="F30" s="14">
        <f>VLOOKUP(B30,'Data World'!$A:$AL,MATCH(World!$F$1,'Data World'!$A$1:$AL$1,))</f>
        <v>3.8</v>
      </c>
      <c r="G30" s="14">
        <f>VLOOKUP(B30,'Data World'!$A:$AL,MATCH(World!$G$1,'Data World'!$A$1:$AL$1,))</f>
        <v>9.5</v>
      </c>
      <c r="H30" s="14">
        <f>VLOOKUP(B30,'Data World'!$A:$AL,MATCH(World!$H$1,'Data World'!$A$1:$AL$1,))</f>
        <v>4.4453719999999999</v>
      </c>
      <c r="I30" s="14">
        <f>VLOOKUP(B30,'Data World'!$A:$AL,MATCH(World!$I$1,'Data World'!$A$1:$AL$1,))</f>
        <v>11.2</v>
      </c>
      <c r="J30" s="14">
        <f>VLOOKUP(B30,'Data World'!$A:$AL,MATCH(World!$J$1,'Data World'!$A$1:$AL$1,))</f>
        <v>17.600000000000001</v>
      </c>
      <c r="K30" s="14">
        <f>VLOOKUP(B30,'Data World'!$A:$AL,MATCH(World!$K$1,'Data World'!$A$1:$AL$1,))</f>
        <v>6.8</v>
      </c>
      <c r="L30" s="14">
        <f>VLOOKUP(B30,'Data World'!$A:$AL,MATCH(World!$L$1,'Data World'!$A$1:$AL$1,))</f>
        <v>3.5367649999999999</v>
      </c>
      <c r="M30" s="14">
        <f>VLOOKUP(B30,'Data World'!$A:$AL,MATCH(World!$M$1,'Data World'!$A$1:$AL$1,))</f>
        <v>6.5</v>
      </c>
      <c r="N30" s="14">
        <f>VLOOKUP(B30,'Data World'!$A:$AL,MATCH(World!$N$1,'Data World'!$A$1:$AL$1,))</f>
        <v>5.6112109999999999</v>
      </c>
      <c r="O30" s="14">
        <f>VLOOKUP(B30,'Data World'!$A:$AL,MATCH(World!$O$1,'Data World'!$A$1:$AL$1,))</f>
        <v>3.8</v>
      </c>
      <c r="P30" s="14">
        <f>VLOOKUP(B30,'Data World'!$A:$AL,MATCH(World!$P$1,'Data World'!$A$1:$AL$1,))</f>
        <v>21.4</v>
      </c>
      <c r="Q30" s="14">
        <f>VLOOKUP(B30,'Data World'!$A:$AL,MATCH(World!$Q$1,'Data World'!$A$1:$AL$1,))</f>
        <v>6.9</v>
      </c>
      <c r="R30" s="14">
        <f>VLOOKUP(B30,'Data World'!$A:$AL,MATCH(World!$R$1,'Data World'!$A$1:$AL$1,))</f>
        <v>11.2</v>
      </c>
      <c r="S30" s="14">
        <f>VLOOKUP(B30,'Data World'!$A:$AL,MATCH(World!$S$1,'Data World'!$A$1:$AL$1,))</f>
        <v>3.3</v>
      </c>
      <c r="T30" s="14">
        <f>VLOOKUP(B30,'Data World'!$A:$AL,MATCH(World!$T$1,'Data World'!$A$1:$AL$1,))</f>
        <v>5.0999999999999996</v>
      </c>
    </row>
    <row r="31" spans="2:20" x14ac:dyDescent="0.2">
      <c r="B31" s="13">
        <v>42886</v>
      </c>
      <c r="C31" s="14">
        <f>VLOOKUP(B31,'Data World'!$A:$AL,MATCH(World!$C$1,'Data World'!$A$1:$AL$1,))</f>
        <v>4.4000000000000004</v>
      </c>
      <c r="D31" s="14">
        <f>VLOOKUP(B31,'Data World'!$A:$AL,MATCH(World!$D$1,'Data World'!$A$1:$AL$1,))</f>
        <v>9.1999999999999993</v>
      </c>
      <c r="E31" s="14">
        <f>VLOOKUP(B31,'Data World'!$A:$AL,MATCH(World!$E$1,'Data World'!$A$1:$AL$1,))</f>
        <v>3</v>
      </c>
      <c r="F31" s="14">
        <f>VLOOKUP(B31,'Data World'!$A:$AL,MATCH(World!$F$1,'Data World'!$A$1:$AL$1,))</f>
        <v>3.8</v>
      </c>
      <c r="G31" s="14">
        <f>VLOOKUP(B31,'Data World'!$A:$AL,MATCH(World!$G$1,'Data World'!$A$1:$AL$1,))</f>
        <v>9.5</v>
      </c>
      <c r="H31" s="14">
        <f>VLOOKUP(B31,'Data World'!$A:$AL,MATCH(World!$H$1,'Data World'!$A$1:$AL$1,))</f>
        <v>4.4254020000000001</v>
      </c>
      <c r="I31" s="14">
        <f>VLOOKUP(B31,'Data World'!$A:$AL,MATCH(World!$I$1,'Data World'!$A$1:$AL$1,))</f>
        <v>11.5</v>
      </c>
      <c r="J31" s="14">
        <f>VLOOKUP(B31,'Data World'!$A:$AL,MATCH(World!$J$1,'Data World'!$A$1:$AL$1,))</f>
        <v>17.399999999999999</v>
      </c>
      <c r="K31" s="14">
        <f>VLOOKUP(B31,'Data World'!$A:$AL,MATCH(World!$K$1,'Data World'!$A$1:$AL$1,))</f>
        <v>6.7</v>
      </c>
      <c r="L31" s="14">
        <f>VLOOKUP(B31,'Data World'!$A:$AL,MATCH(World!$L$1,'Data World'!$A$1:$AL$1,))</f>
        <v>3.6188470000000001</v>
      </c>
      <c r="M31" s="14">
        <f>VLOOKUP(B31,'Data World'!$A:$AL,MATCH(World!$M$1,'Data World'!$A$1:$AL$1,))</f>
        <v>6.6</v>
      </c>
      <c r="N31" s="14">
        <f>VLOOKUP(B31,'Data World'!$A:$AL,MATCH(World!$N$1,'Data World'!$A$1:$AL$1,))</f>
        <v>5.553464</v>
      </c>
      <c r="O31" s="14">
        <f>VLOOKUP(B31,'Data World'!$A:$AL,MATCH(World!$O$1,'Data World'!$A$1:$AL$1,))</f>
        <v>3.4</v>
      </c>
      <c r="P31" s="14">
        <f>VLOOKUP(B31,'Data World'!$A:$AL,MATCH(World!$P$1,'Data World'!$A$1:$AL$1,))</f>
        <v>21.9</v>
      </c>
      <c r="Q31" s="14">
        <f>VLOOKUP(B31,'Data World'!$A:$AL,MATCH(World!$Q$1,'Data World'!$A$1:$AL$1,))</f>
        <v>6.6</v>
      </c>
      <c r="R31" s="14">
        <f>VLOOKUP(B31,'Data World'!$A:$AL,MATCH(World!$R$1,'Data World'!$A$1:$AL$1,))</f>
        <v>11.1</v>
      </c>
      <c r="S31" s="14">
        <f>VLOOKUP(B31,'Data World'!$A:$AL,MATCH(World!$S$1,'Data World'!$A$1:$AL$1,))</f>
        <v>2.9</v>
      </c>
      <c r="T31" s="14">
        <f>VLOOKUP(B31,'Data World'!$A:$AL,MATCH(World!$T$1,'Data World'!$A$1:$AL$1,))</f>
        <v>5.0999999999999996</v>
      </c>
    </row>
    <row r="32" spans="2:20" x14ac:dyDescent="0.2">
      <c r="B32" s="13">
        <v>42916</v>
      </c>
      <c r="C32" s="14">
        <f>VLOOKUP(B32,'Data World'!$A:$AL,MATCH(World!$C$1,'Data World'!$A$1:$AL$1,))</f>
        <v>4.3</v>
      </c>
      <c r="D32" s="14">
        <f>VLOOKUP(B32,'Data World'!$A:$AL,MATCH(World!$D$1,'Data World'!$A$1:$AL$1,))</f>
        <v>9.1</v>
      </c>
      <c r="E32" s="14">
        <f>VLOOKUP(B32,'Data World'!$A:$AL,MATCH(World!$E$1,'Data World'!$A$1:$AL$1,))</f>
        <v>2.8</v>
      </c>
      <c r="F32" s="14">
        <f>VLOOKUP(B32,'Data World'!$A:$AL,MATCH(World!$F$1,'Data World'!$A$1:$AL$1,))</f>
        <v>3.8</v>
      </c>
      <c r="G32" s="14">
        <f>VLOOKUP(B32,'Data World'!$A:$AL,MATCH(World!$G$1,'Data World'!$A$1:$AL$1,))</f>
        <v>9.5</v>
      </c>
      <c r="H32" s="14">
        <f>VLOOKUP(B32,'Data World'!$A:$AL,MATCH(World!$H$1,'Data World'!$A$1:$AL$1,))</f>
        <v>4.3376950000000001</v>
      </c>
      <c r="I32" s="14">
        <f>VLOOKUP(B32,'Data World'!$A:$AL,MATCH(World!$I$1,'Data World'!$A$1:$AL$1,))</f>
        <v>11.2</v>
      </c>
      <c r="J32" s="14">
        <f>VLOOKUP(B32,'Data World'!$A:$AL,MATCH(World!$J$1,'Data World'!$A$1:$AL$1,))</f>
        <v>17.100000000000001</v>
      </c>
      <c r="K32" s="14">
        <f>VLOOKUP(B32,'Data World'!$A:$AL,MATCH(World!$K$1,'Data World'!$A$1:$AL$1,))</f>
        <v>6.6</v>
      </c>
      <c r="L32" s="14">
        <f>VLOOKUP(B32,'Data World'!$A:$AL,MATCH(World!$L$1,'Data World'!$A$1:$AL$1,))</f>
        <v>3.2606700000000002</v>
      </c>
      <c r="M32" s="14">
        <f>VLOOKUP(B32,'Data World'!$A:$AL,MATCH(World!$M$1,'Data World'!$A$1:$AL$1,))</f>
        <v>6.5</v>
      </c>
      <c r="N32" s="14">
        <f>VLOOKUP(B32,'Data World'!$A:$AL,MATCH(World!$N$1,'Data World'!$A$1:$AL$1,))</f>
        <v>5.5982960000000004</v>
      </c>
      <c r="O32" s="14">
        <f>VLOOKUP(B32,'Data World'!$A:$AL,MATCH(World!$O$1,'Data World'!$A$1:$AL$1,))</f>
        <v>3.7</v>
      </c>
      <c r="P32" s="14">
        <f>VLOOKUP(B32,'Data World'!$A:$AL,MATCH(World!$P$1,'Data World'!$A$1:$AL$1,))</f>
        <v>21.6</v>
      </c>
      <c r="Q32" s="14">
        <f>VLOOKUP(B32,'Data World'!$A:$AL,MATCH(World!$Q$1,'Data World'!$A$1:$AL$1,))</f>
        <v>6.6</v>
      </c>
      <c r="R32" s="14">
        <f>VLOOKUP(B32,'Data World'!$A:$AL,MATCH(World!$R$1,'Data World'!$A$1:$AL$1,))</f>
        <v>10.9</v>
      </c>
      <c r="S32" s="14">
        <f>VLOOKUP(B32,'Data World'!$A:$AL,MATCH(World!$S$1,'Data World'!$A$1:$AL$1,))</f>
        <v>2.9</v>
      </c>
      <c r="T32" s="14">
        <f>VLOOKUP(B32,'Data World'!$A:$AL,MATCH(World!$T$1,'Data World'!$A$1:$AL$1,))</f>
        <v>5</v>
      </c>
    </row>
    <row r="33" spans="2:20" x14ac:dyDescent="0.2">
      <c r="B33" s="13">
        <v>42947</v>
      </c>
      <c r="C33" s="14">
        <f>VLOOKUP(B33,'Data World'!$A:$AL,MATCH(World!$C$1,'Data World'!$A$1:$AL$1,))</f>
        <v>4.3</v>
      </c>
      <c r="D33" s="14">
        <f>VLOOKUP(B33,'Data World'!$A:$AL,MATCH(World!$D$1,'Data World'!$A$1:$AL$1,))</f>
        <v>9.1</v>
      </c>
      <c r="E33" s="14">
        <f>VLOOKUP(B33,'Data World'!$A:$AL,MATCH(World!$E$1,'Data World'!$A$1:$AL$1,))</f>
        <v>2.8</v>
      </c>
      <c r="F33" s="14">
        <f>VLOOKUP(B33,'Data World'!$A:$AL,MATCH(World!$F$1,'Data World'!$A$1:$AL$1,))</f>
        <v>3.7</v>
      </c>
      <c r="G33" s="14">
        <f>VLOOKUP(B33,'Data World'!$A:$AL,MATCH(World!$G$1,'Data World'!$A$1:$AL$1,))</f>
        <v>9.6</v>
      </c>
      <c r="H33" s="14">
        <f>VLOOKUP(B33,'Data World'!$A:$AL,MATCH(World!$H$1,'Data World'!$A$1:$AL$1,))</f>
        <v>4.3280399999999997</v>
      </c>
      <c r="I33" s="14">
        <f>VLOOKUP(B33,'Data World'!$A:$AL,MATCH(World!$I$1,'Data World'!$A$1:$AL$1,))</f>
        <v>11.4</v>
      </c>
      <c r="J33" s="14">
        <f>VLOOKUP(B33,'Data World'!$A:$AL,MATCH(World!$J$1,'Data World'!$A$1:$AL$1,))</f>
        <v>16.899999999999999</v>
      </c>
      <c r="K33" s="14">
        <f>VLOOKUP(B33,'Data World'!$A:$AL,MATCH(World!$K$1,'Data World'!$A$1:$AL$1,))</f>
        <v>6.9</v>
      </c>
      <c r="L33" s="14">
        <f>VLOOKUP(B33,'Data World'!$A:$AL,MATCH(World!$L$1,'Data World'!$A$1:$AL$1,))</f>
        <v>3.2257220000000002</v>
      </c>
      <c r="M33" s="14">
        <f>VLOOKUP(B33,'Data World'!$A:$AL,MATCH(World!$M$1,'Data World'!$A$1:$AL$1,))</f>
        <v>6.3</v>
      </c>
      <c r="N33" s="14">
        <f>VLOOKUP(B33,'Data World'!$A:$AL,MATCH(World!$N$1,'Data World'!$A$1:$AL$1,))</f>
        <v>5.5851220000000001</v>
      </c>
      <c r="O33" s="14">
        <f>VLOOKUP(B33,'Data World'!$A:$AL,MATCH(World!$O$1,'Data World'!$A$1:$AL$1,))</f>
        <v>3.5</v>
      </c>
      <c r="P33" s="14">
        <f>VLOOKUP(B33,'Data World'!$A:$AL,MATCH(World!$P$1,'Data World'!$A$1:$AL$1,))</f>
        <v>20.9</v>
      </c>
      <c r="Q33" s="14">
        <f>VLOOKUP(B33,'Data World'!$A:$AL,MATCH(World!$Q$1,'Data World'!$A$1:$AL$1,))</f>
        <v>6.6</v>
      </c>
      <c r="R33" s="14">
        <f>VLOOKUP(B33,'Data World'!$A:$AL,MATCH(World!$R$1,'Data World'!$A$1:$AL$1,))</f>
        <v>11</v>
      </c>
      <c r="S33" s="14">
        <f>VLOOKUP(B33,'Data World'!$A:$AL,MATCH(World!$S$1,'Data World'!$A$1:$AL$1,))</f>
        <v>2.8</v>
      </c>
      <c r="T33" s="14">
        <f>VLOOKUP(B33,'Data World'!$A:$AL,MATCH(World!$T$1,'Data World'!$A$1:$AL$1,))</f>
        <v>4.9000000000000004</v>
      </c>
    </row>
    <row r="34" spans="2:20" x14ac:dyDescent="0.2">
      <c r="B34" s="13">
        <v>42978</v>
      </c>
      <c r="C34" s="14">
        <f>VLOOKUP(B34,'Data World'!$A:$AL,MATCH(World!$C$1,'Data World'!$A$1:$AL$1,))</f>
        <v>4.4000000000000004</v>
      </c>
      <c r="D34" s="14">
        <f>VLOOKUP(B34,'Data World'!$A:$AL,MATCH(World!$D$1,'Data World'!$A$1:$AL$1,))</f>
        <v>9</v>
      </c>
      <c r="E34" s="14">
        <f>VLOOKUP(B34,'Data World'!$A:$AL,MATCH(World!$E$1,'Data World'!$A$1:$AL$1,))</f>
        <v>2.8</v>
      </c>
      <c r="F34" s="14">
        <f>VLOOKUP(B34,'Data World'!$A:$AL,MATCH(World!$F$1,'Data World'!$A$1:$AL$1,))</f>
        <v>3.7</v>
      </c>
      <c r="G34" s="14">
        <f>VLOOKUP(B34,'Data World'!$A:$AL,MATCH(World!$G$1,'Data World'!$A$1:$AL$1,))</f>
        <v>9.6</v>
      </c>
      <c r="H34" s="14">
        <f>VLOOKUP(B34,'Data World'!$A:$AL,MATCH(World!$H$1,'Data World'!$A$1:$AL$1,))</f>
        <v>4.2668150000000002</v>
      </c>
      <c r="I34" s="14">
        <f>VLOOKUP(B34,'Data World'!$A:$AL,MATCH(World!$I$1,'Data World'!$A$1:$AL$1,))</f>
        <v>11.4</v>
      </c>
      <c r="J34" s="14">
        <f>VLOOKUP(B34,'Data World'!$A:$AL,MATCH(World!$J$1,'Data World'!$A$1:$AL$1,))</f>
        <v>16.8</v>
      </c>
      <c r="K34" s="14">
        <f>VLOOKUP(B34,'Data World'!$A:$AL,MATCH(World!$K$1,'Data World'!$A$1:$AL$1,))</f>
        <v>6.4</v>
      </c>
      <c r="L34" s="14">
        <f>VLOOKUP(B34,'Data World'!$A:$AL,MATCH(World!$L$1,'Data World'!$A$1:$AL$1,))</f>
        <v>3.2980079999999998</v>
      </c>
      <c r="M34" s="14">
        <f>VLOOKUP(B34,'Data World'!$A:$AL,MATCH(World!$M$1,'Data World'!$A$1:$AL$1,))</f>
        <v>6.2</v>
      </c>
      <c r="N34" s="14">
        <f>VLOOKUP(B34,'Data World'!$A:$AL,MATCH(World!$N$1,'Data World'!$A$1:$AL$1,))</f>
        <v>5.5061140000000002</v>
      </c>
      <c r="O34" s="14">
        <f>VLOOKUP(B34,'Data World'!$A:$AL,MATCH(World!$O$1,'Data World'!$A$1:$AL$1,))</f>
        <v>3.8</v>
      </c>
      <c r="P34" s="14">
        <f>VLOOKUP(B34,'Data World'!$A:$AL,MATCH(World!$P$1,'Data World'!$A$1:$AL$1,))</f>
        <v>20.9</v>
      </c>
      <c r="Q34" s="14">
        <f>VLOOKUP(B34,'Data World'!$A:$AL,MATCH(World!$Q$1,'Data World'!$A$1:$AL$1,))</f>
        <v>6.6</v>
      </c>
      <c r="R34" s="14">
        <f>VLOOKUP(B34,'Data World'!$A:$AL,MATCH(World!$R$1,'Data World'!$A$1:$AL$1,))</f>
        <v>10.6</v>
      </c>
      <c r="S34" s="14">
        <f>VLOOKUP(B34,'Data World'!$A:$AL,MATCH(World!$S$1,'Data World'!$A$1:$AL$1,))</f>
        <v>2.7</v>
      </c>
      <c r="T34" s="14">
        <f>VLOOKUP(B34,'Data World'!$A:$AL,MATCH(World!$T$1,'Data World'!$A$1:$AL$1,))</f>
        <v>4.8</v>
      </c>
    </row>
    <row r="35" spans="2:20" x14ac:dyDescent="0.2">
      <c r="B35" s="13">
        <v>43008</v>
      </c>
      <c r="C35" s="14">
        <f>VLOOKUP(B35,'Data World'!$A:$AL,MATCH(World!$C$1,'Data World'!$A$1:$AL$1,))</f>
        <v>4.2</v>
      </c>
      <c r="D35" s="14">
        <f>VLOOKUP(B35,'Data World'!$A:$AL,MATCH(World!$D$1,'Data World'!$A$1:$AL$1,))</f>
        <v>8.9</v>
      </c>
      <c r="E35" s="14">
        <f>VLOOKUP(B35,'Data World'!$A:$AL,MATCH(World!$E$1,'Data World'!$A$1:$AL$1,))</f>
        <v>2.8</v>
      </c>
      <c r="F35" s="14">
        <f>VLOOKUP(B35,'Data World'!$A:$AL,MATCH(World!$F$1,'Data World'!$A$1:$AL$1,))</f>
        <v>3.7</v>
      </c>
      <c r="G35" s="14">
        <f>VLOOKUP(B35,'Data World'!$A:$AL,MATCH(World!$G$1,'Data World'!$A$1:$AL$1,))</f>
        <v>9.4</v>
      </c>
      <c r="H35" s="14">
        <f>VLOOKUP(B35,'Data World'!$A:$AL,MATCH(World!$H$1,'Data World'!$A$1:$AL$1,))</f>
        <v>4.2433370000000004</v>
      </c>
      <c r="I35" s="14">
        <f>VLOOKUP(B35,'Data World'!$A:$AL,MATCH(World!$I$1,'Data World'!$A$1:$AL$1,))</f>
        <v>11.2</v>
      </c>
      <c r="J35" s="14">
        <f>VLOOKUP(B35,'Data World'!$A:$AL,MATCH(World!$J$1,'Data World'!$A$1:$AL$1,))</f>
        <v>16.7</v>
      </c>
      <c r="K35" s="14">
        <f>VLOOKUP(B35,'Data World'!$A:$AL,MATCH(World!$K$1,'Data World'!$A$1:$AL$1,))</f>
        <v>6.8</v>
      </c>
      <c r="L35" s="14">
        <f>VLOOKUP(B35,'Data World'!$A:$AL,MATCH(World!$L$1,'Data World'!$A$1:$AL$1,))</f>
        <v>3.3380519999999998</v>
      </c>
      <c r="M35" s="14">
        <f>VLOOKUP(B35,'Data World'!$A:$AL,MATCH(World!$M$1,'Data World'!$A$1:$AL$1,))</f>
        <v>6.2</v>
      </c>
      <c r="N35" s="14">
        <f>VLOOKUP(B35,'Data World'!$A:$AL,MATCH(World!$N$1,'Data World'!$A$1:$AL$1,))</f>
        <v>5.447813</v>
      </c>
      <c r="O35" s="14">
        <f>VLOOKUP(B35,'Data World'!$A:$AL,MATCH(World!$O$1,'Data World'!$A$1:$AL$1,))</f>
        <v>3.7</v>
      </c>
      <c r="P35" s="14">
        <f>VLOOKUP(B35,'Data World'!$A:$AL,MATCH(World!$P$1,'Data World'!$A$1:$AL$1,))</f>
        <v>21</v>
      </c>
      <c r="Q35" s="14">
        <f>VLOOKUP(B35,'Data World'!$A:$AL,MATCH(World!$Q$1,'Data World'!$A$1:$AL$1,))</f>
        <v>6.6</v>
      </c>
      <c r="R35" s="14">
        <f>VLOOKUP(B35,'Data World'!$A:$AL,MATCH(World!$R$1,'Data World'!$A$1:$AL$1,))</f>
        <v>10.6</v>
      </c>
      <c r="S35" s="14">
        <f>VLOOKUP(B35,'Data World'!$A:$AL,MATCH(World!$S$1,'Data World'!$A$1:$AL$1,))</f>
        <v>2.7</v>
      </c>
      <c r="T35" s="14">
        <f>VLOOKUP(B35,'Data World'!$A:$AL,MATCH(World!$T$1,'Data World'!$A$1:$AL$1,))</f>
        <v>4.8</v>
      </c>
    </row>
    <row r="36" spans="2:20" x14ac:dyDescent="0.2">
      <c r="B36" s="13">
        <v>43039</v>
      </c>
      <c r="C36" s="14">
        <f>VLOOKUP(B36,'Data World'!$A:$AL,MATCH(World!$C$1,'Data World'!$A$1:$AL$1,))</f>
        <v>4.0999999999999996</v>
      </c>
      <c r="D36" s="14">
        <f>VLOOKUP(B36,'Data World'!$A:$AL,MATCH(World!$D$1,'Data World'!$A$1:$AL$1,))</f>
        <v>8.8000000000000007</v>
      </c>
      <c r="E36" s="14">
        <f>VLOOKUP(B36,'Data World'!$A:$AL,MATCH(World!$E$1,'Data World'!$A$1:$AL$1,))</f>
        <v>2.7</v>
      </c>
      <c r="F36" s="14">
        <f>VLOOKUP(B36,'Data World'!$A:$AL,MATCH(World!$F$1,'Data World'!$A$1:$AL$1,))</f>
        <v>3.7</v>
      </c>
      <c r="G36" s="14">
        <f>VLOOKUP(B36,'Data World'!$A:$AL,MATCH(World!$G$1,'Data World'!$A$1:$AL$1,))</f>
        <v>9.1999999999999993</v>
      </c>
      <c r="H36" s="14">
        <f>VLOOKUP(B36,'Data World'!$A:$AL,MATCH(World!$H$1,'Data World'!$A$1:$AL$1,))</f>
        <v>4.2718559999999997</v>
      </c>
      <c r="I36" s="14">
        <f>VLOOKUP(B36,'Data World'!$A:$AL,MATCH(World!$I$1,'Data World'!$A$1:$AL$1,))</f>
        <v>11.1</v>
      </c>
      <c r="J36" s="14">
        <f>VLOOKUP(B36,'Data World'!$A:$AL,MATCH(World!$J$1,'Data World'!$A$1:$AL$1,))</f>
        <v>16.7</v>
      </c>
      <c r="K36" s="14">
        <f>VLOOKUP(B36,'Data World'!$A:$AL,MATCH(World!$K$1,'Data World'!$A$1:$AL$1,))</f>
        <v>6.8</v>
      </c>
      <c r="L36" s="14">
        <f>VLOOKUP(B36,'Data World'!$A:$AL,MATCH(World!$L$1,'Data World'!$A$1:$AL$1,))</f>
        <v>3.440833</v>
      </c>
      <c r="M36" s="14">
        <f>VLOOKUP(B36,'Data World'!$A:$AL,MATCH(World!$M$1,'Data World'!$A$1:$AL$1,))</f>
        <v>6.3</v>
      </c>
      <c r="N36" s="14">
        <f>VLOOKUP(B36,'Data World'!$A:$AL,MATCH(World!$N$1,'Data World'!$A$1:$AL$1,))</f>
        <v>5.3683699999999996</v>
      </c>
      <c r="O36" s="14">
        <f>VLOOKUP(B36,'Data World'!$A:$AL,MATCH(World!$O$1,'Data World'!$A$1:$AL$1,))</f>
        <v>3.7</v>
      </c>
      <c r="P36" s="14">
        <f>VLOOKUP(B36,'Data World'!$A:$AL,MATCH(World!$P$1,'Data World'!$A$1:$AL$1,))</f>
        <v>21</v>
      </c>
      <c r="Q36" s="14">
        <f>VLOOKUP(B36,'Data World'!$A:$AL,MATCH(World!$Q$1,'Data World'!$A$1:$AL$1,))</f>
        <v>6.4</v>
      </c>
      <c r="R36" s="14">
        <f>VLOOKUP(B36,'Data World'!$A:$AL,MATCH(World!$R$1,'Data World'!$A$1:$AL$1,))</f>
        <v>10.4</v>
      </c>
      <c r="S36" s="14">
        <f>VLOOKUP(B36,'Data World'!$A:$AL,MATCH(World!$S$1,'Data World'!$A$1:$AL$1,))</f>
        <v>2.6</v>
      </c>
      <c r="T36" s="14">
        <f>VLOOKUP(B36,'Data World'!$A:$AL,MATCH(World!$T$1,'Data World'!$A$1:$AL$1,))</f>
        <v>4.5999999999999996</v>
      </c>
    </row>
    <row r="37" spans="2:20" x14ac:dyDescent="0.2">
      <c r="B37" s="13">
        <v>43069</v>
      </c>
      <c r="C37" s="14">
        <f>VLOOKUP(B37,'Data World'!$A:$AL,MATCH(World!$C$1,'Data World'!$A$1:$AL$1,))</f>
        <v>4.2</v>
      </c>
      <c r="D37" s="14">
        <f>VLOOKUP(B37,'Data World'!$A:$AL,MATCH(World!$D$1,'Data World'!$A$1:$AL$1,))</f>
        <v>8.6999999999999993</v>
      </c>
      <c r="E37" s="14">
        <f>VLOOKUP(B37,'Data World'!$A:$AL,MATCH(World!$E$1,'Data World'!$A$1:$AL$1,))</f>
        <v>2.7</v>
      </c>
      <c r="F37" s="14">
        <f>VLOOKUP(B37,'Data World'!$A:$AL,MATCH(World!$F$1,'Data World'!$A$1:$AL$1,))</f>
        <v>3.6</v>
      </c>
      <c r="G37" s="14">
        <f>VLOOKUP(B37,'Data World'!$A:$AL,MATCH(World!$G$1,'Data World'!$A$1:$AL$1,))</f>
        <v>9</v>
      </c>
      <c r="H37" s="14">
        <f>VLOOKUP(B37,'Data World'!$A:$AL,MATCH(World!$H$1,'Data World'!$A$1:$AL$1,))</f>
        <v>4.3522169999999996</v>
      </c>
      <c r="I37" s="14">
        <f>VLOOKUP(B37,'Data World'!$A:$AL,MATCH(World!$I$1,'Data World'!$A$1:$AL$1,))</f>
        <v>11</v>
      </c>
      <c r="J37" s="14">
        <f>VLOOKUP(B37,'Data World'!$A:$AL,MATCH(World!$J$1,'Data World'!$A$1:$AL$1,))</f>
        <v>16.600000000000001</v>
      </c>
      <c r="K37" s="14">
        <f>VLOOKUP(B37,'Data World'!$A:$AL,MATCH(World!$K$1,'Data World'!$A$1:$AL$1,))</f>
        <v>6.4</v>
      </c>
      <c r="L37" s="14">
        <f>VLOOKUP(B37,'Data World'!$A:$AL,MATCH(World!$L$1,'Data World'!$A$1:$AL$1,))</f>
        <v>3.5033910000000001</v>
      </c>
      <c r="M37" s="14">
        <f>VLOOKUP(B37,'Data World'!$A:$AL,MATCH(World!$M$1,'Data World'!$A$1:$AL$1,))</f>
        <v>6</v>
      </c>
      <c r="N37" s="14">
        <f>VLOOKUP(B37,'Data World'!$A:$AL,MATCH(World!$N$1,'Data World'!$A$1:$AL$1,))</f>
        <v>5.4138299999999999</v>
      </c>
      <c r="O37" s="14">
        <f>VLOOKUP(B37,'Data World'!$A:$AL,MATCH(World!$O$1,'Data World'!$A$1:$AL$1,))</f>
        <v>3.7</v>
      </c>
      <c r="P37" s="14">
        <f>VLOOKUP(B37,'Data World'!$A:$AL,MATCH(World!$P$1,'Data World'!$A$1:$AL$1,))</f>
        <v>21</v>
      </c>
      <c r="Q37" s="14">
        <f>VLOOKUP(B37,'Data World'!$A:$AL,MATCH(World!$Q$1,'Data World'!$A$1:$AL$1,))</f>
        <v>6.3</v>
      </c>
      <c r="R37" s="14">
        <f>VLOOKUP(B37,'Data World'!$A:$AL,MATCH(World!$R$1,'Data World'!$A$1:$AL$1,))</f>
        <v>10.199999999999999</v>
      </c>
      <c r="S37" s="14">
        <f>VLOOKUP(B37,'Data World'!$A:$AL,MATCH(World!$S$1,'Data World'!$A$1:$AL$1,))</f>
        <v>2.4</v>
      </c>
      <c r="T37" s="14">
        <f>VLOOKUP(B37,'Data World'!$A:$AL,MATCH(World!$T$1,'Data World'!$A$1:$AL$1,))</f>
        <v>4.5</v>
      </c>
    </row>
    <row r="38" spans="2:20" x14ac:dyDescent="0.2">
      <c r="B38" s="13">
        <v>43100</v>
      </c>
      <c r="C38" s="14">
        <f>VLOOKUP(B38,'Data World'!$A:$AL,MATCH(World!$C$1,'Data World'!$A$1:$AL$1,))</f>
        <v>4.0999999999999996</v>
      </c>
      <c r="D38" s="14">
        <f>VLOOKUP(B38,'Data World'!$A:$AL,MATCH(World!$D$1,'Data World'!$A$1:$AL$1,))</f>
        <v>8.6999999999999993</v>
      </c>
      <c r="E38" s="14">
        <f>VLOOKUP(B38,'Data World'!$A:$AL,MATCH(World!$E$1,'Data World'!$A$1:$AL$1,))</f>
        <v>2.7</v>
      </c>
      <c r="F38" s="14">
        <f>VLOOKUP(B38,'Data World'!$A:$AL,MATCH(World!$F$1,'Data World'!$A$1:$AL$1,))</f>
        <v>3.6</v>
      </c>
      <c r="G38" s="14">
        <f>VLOOKUP(B38,'Data World'!$A:$AL,MATCH(World!$G$1,'Data World'!$A$1:$AL$1,))</f>
        <v>9</v>
      </c>
      <c r="H38" s="14">
        <f>VLOOKUP(B38,'Data World'!$A:$AL,MATCH(World!$H$1,'Data World'!$A$1:$AL$1,))</f>
        <v>4.3060479999999997</v>
      </c>
      <c r="I38" s="14">
        <f>VLOOKUP(B38,'Data World'!$A:$AL,MATCH(World!$I$1,'Data World'!$A$1:$AL$1,))</f>
        <v>10.9</v>
      </c>
      <c r="J38" s="14">
        <f>VLOOKUP(B38,'Data World'!$A:$AL,MATCH(World!$J$1,'Data World'!$A$1:$AL$1,))</f>
        <v>16.5</v>
      </c>
      <c r="K38" s="14">
        <f>VLOOKUP(B38,'Data World'!$A:$AL,MATCH(World!$K$1,'Data World'!$A$1:$AL$1,))</f>
        <v>6.6</v>
      </c>
      <c r="L38" s="14">
        <f>VLOOKUP(B38,'Data World'!$A:$AL,MATCH(World!$L$1,'Data World'!$A$1:$AL$1,))</f>
        <v>3.434097</v>
      </c>
      <c r="M38" s="14">
        <f>VLOOKUP(B38,'Data World'!$A:$AL,MATCH(World!$M$1,'Data World'!$A$1:$AL$1,))</f>
        <v>5.9</v>
      </c>
      <c r="N38" s="14">
        <f>VLOOKUP(B38,'Data World'!$A:$AL,MATCH(World!$N$1,'Data World'!$A$1:$AL$1,))</f>
        <v>5.609648</v>
      </c>
      <c r="O38" s="14">
        <f>VLOOKUP(B38,'Data World'!$A:$AL,MATCH(World!$O$1,'Data World'!$A$1:$AL$1,))</f>
        <v>3.7</v>
      </c>
      <c r="P38" s="14">
        <f>VLOOKUP(B38,'Data World'!$A:$AL,MATCH(World!$P$1,'Data World'!$A$1:$AL$1,))</f>
        <v>21</v>
      </c>
      <c r="Q38" s="14">
        <f>VLOOKUP(B38,'Data World'!$A:$AL,MATCH(World!$Q$1,'Data World'!$A$1:$AL$1,))</f>
        <v>6.2</v>
      </c>
      <c r="R38" s="14">
        <f>VLOOKUP(B38,'Data World'!$A:$AL,MATCH(World!$R$1,'Data World'!$A$1:$AL$1,))</f>
        <v>9.9</v>
      </c>
      <c r="S38" s="14">
        <f>VLOOKUP(B38,'Data World'!$A:$AL,MATCH(World!$S$1,'Data World'!$A$1:$AL$1,))</f>
        <v>2.2999999999999998</v>
      </c>
      <c r="T38" s="14">
        <f>VLOOKUP(B38,'Data World'!$A:$AL,MATCH(World!$T$1,'Data World'!$A$1:$AL$1,))</f>
        <v>4.3</v>
      </c>
    </row>
    <row r="39" spans="2:20" x14ac:dyDescent="0.2">
      <c r="B39" s="13">
        <v>43131</v>
      </c>
      <c r="C39" s="14">
        <f>VLOOKUP(B39,'Data World'!$A:$AL,MATCH(World!$C$1,'Data World'!$A$1:$AL$1,))</f>
        <v>4</v>
      </c>
      <c r="D39" s="14">
        <f>VLOOKUP(B39,'Data World'!$A:$AL,MATCH(World!$D$1,'Data World'!$A$1:$AL$1,))</f>
        <v>8.6</v>
      </c>
      <c r="E39" s="14">
        <f>VLOOKUP(B39,'Data World'!$A:$AL,MATCH(World!$E$1,'Data World'!$A$1:$AL$1,))</f>
        <v>2.4</v>
      </c>
      <c r="F39" s="14">
        <f>VLOOKUP(B39,'Data World'!$A:$AL,MATCH(World!$F$1,'Data World'!$A$1:$AL$1,))</f>
        <v>3.6</v>
      </c>
      <c r="G39" s="14">
        <f>VLOOKUP(B39,'Data World'!$A:$AL,MATCH(World!$G$1,'Data World'!$A$1:$AL$1,))</f>
        <v>9.1999999999999993</v>
      </c>
      <c r="H39" s="14">
        <f>VLOOKUP(B39,'Data World'!$A:$AL,MATCH(World!$H$1,'Data World'!$A$1:$AL$1,))</f>
        <v>4.2130970000000003</v>
      </c>
      <c r="I39" s="14">
        <f>VLOOKUP(B39,'Data World'!$A:$AL,MATCH(World!$I$1,'Data World'!$A$1:$AL$1,))</f>
        <v>11.1</v>
      </c>
      <c r="J39" s="14">
        <f>VLOOKUP(B39,'Data World'!$A:$AL,MATCH(World!$J$1,'Data World'!$A$1:$AL$1,))</f>
        <v>16.399999999999999</v>
      </c>
      <c r="K39" s="14">
        <f>VLOOKUP(B39,'Data World'!$A:$AL,MATCH(World!$K$1,'Data World'!$A$1:$AL$1,))</f>
        <v>6.6</v>
      </c>
      <c r="L39" s="14">
        <f>VLOOKUP(B39,'Data World'!$A:$AL,MATCH(World!$L$1,'Data World'!$A$1:$AL$1,))</f>
        <v>3.2660209999999998</v>
      </c>
      <c r="M39" s="14">
        <f>VLOOKUP(B39,'Data World'!$A:$AL,MATCH(World!$M$1,'Data World'!$A$1:$AL$1,))</f>
        <v>6</v>
      </c>
      <c r="N39" s="14">
        <f>VLOOKUP(B39,'Data World'!$A:$AL,MATCH(World!$N$1,'Data World'!$A$1:$AL$1,))</f>
        <v>5.5010849999999998</v>
      </c>
      <c r="O39" s="14">
        <f>VLOOKUP(B39,'Data World'!$A:$AL,MATCH(World!$O$1,'Data World'!$A$1:$AL$1,))</f>
        <v>3.6</v>
      </c>
      <c r="P39" s="14">
        <f>VLOOKUP(B39,'Data World'!$A:$AL,MATCH(World!$P$1,'Data World'!$A$1:$AL$1,))</f>
        <v>20.3</v>
      </c>
      <c r="Q39" s="14">
        <f>VLOOKUP(B39,'Data World'!$A:$AL,MATCH(World!$Q$1,'Data World'!$A$1:$AL$1,))</f>
        <v>6.1</v>
      </c>
      <c r="R39" s="14">
        <f>VLOOKUP(B39,'Data World'!$A:$AL,MATCH(World!$R$1,'Data World'!$A$1:$AL$1,))</f>
        <v>9.9</v>
      </c>
      <c r="S39" s="14">
        <f>VLOOKUP(B39,'Data World'!$A:$AL,MATCH(World!$S$1,'Data World'!$A$1:$AL$1,))</f>
        <v>2.6</v>
      </c>
      <c r="T39" s="14">
        <f>VLOOKUP(B39,'Data World'!$A:$AL,MATCH(World!$T$1,'Data World'!$A$1:$AL$1,))</f>
        <v>4.0999999999999996</v>
      </c>
    </row>
    <row r="40" spans="2:20" x14ac:dyDescent="0.2">
      <c r="B40" s="13">
        <v>43159</v>
      </c>
      <c r="C40" s="14">
        <f>VLOOKUP(B40,'Data World'!$A:$AL,MATCH(World!$C$1,'Data World'!$A$1:$AL$1,))</f>
        <v>4.0999999999999996</v>
      </c>
      <c r="D40" s="14">
        <f>VLOOKUP(B40,'Data World'!$A:$AL,MATCH(World!$D$1,'Data World'!$A$1:$AL$1,))</f>
        <v>8.5</v>
      </c>
      <c r="E40" s="14">
        <f>VLOOKUP(B40,'Data World'!$A:$AL,MATCH(World!$E$1,'Data World'!$A$1:$AL$1,))</f>
        <v>2.5</v>
      </c>
      <c r="F40" s="14">
        <f>VLOOKUP(B40,'Data World'!$A:$AL,MATCH(World!$F$1,'Data World'!$A$1:$AL$1,))</f>
        <v>3.5</v>
      </c>
      <c r="G40" s="14">
        <f>VLOOKUP(B40,'Data World'!$A:$AL,MATCH(World!$G$1,'Data World'!$A$1:$AL$1,))</f>
        <v>9.1999999999999993</v>
      </c>
      <c r="H40" s="14">
        <f>VLOOKUP(B40,'Data World'!$A:$AL,MATCH(World!$H$1,'Data World'!$A$1:$AL$1,))</f>
        <v>4.198035</v>
      </c>
      <c r="I40" s="14">
        <f>VLOOKUP(B40,'Data World'!$A:$AL,MATCH(World!$I$1,'Data World'!$A$1:$AL$1,))</f>
        <v>10.8</v>
      </c>
      <c r="J40" s="14">
        <f>VLOOKUP(B40,'Data World'!$A:$AL,MATCH(World!$J$1,'Data World'!$A$1:$AL$1,))</f>
        <v>16.2</v>
      </c>
      <c r="K40" s="14">
        <f>VLOOKUP(B40,'Data World'!$A:$AL,MATCH(World!$K$1,'Data World'!$A$1:$AL$1,))</f>
        <v>5.7</v>
      </c>
      <c r="L40" s="14">
        <f>VLOOKUP(B40,'Data World'!$A:$AL,MATCH(World!$L$1,'Data World'!$A$1:$AL$1,))</f>
        <v>3.2528359999999998</v>
      </c>
      <c r="M40" s="14">
        <f>VLOOKUP(B40,'Data World'!$A:$AL,MATCH(World!$M$1,'Data World'!$A$1:$AL$1,))</f>
        <v>5.9</v>
      </c>
      <c r="N40" s="14">
        <f>VLOOKUP(B40,'Data World'!$A:$AL,MATCH(World!$N$1,'Data World'!$A$1:$AL$1,))</f>
        <v>5.5593389999999996</v>
      </c>
      <c r="O40" s="14">
        <f>VLOOKUP(B40,'Data World'!$A:$AL,MATCH(World!$O$1,'Data World'!$A$1:$AL$1,))</f>
        <v>3.7</v>
      </c>
      <c r="P40" s="14">
        <f>VLOOKUP(B40,'Data World'!$A:$AL,MATCH(World!$P$1,'Data World'!$A$1:$AL$1,))</f>
        <v>20.5</v>
      </c>
      <c r="Q40" s="14">
        <f>VLOOKUP(B40,'Data World'!$A:$AL,MATCH(World!$Q$1,'Data World'!$A$1:$AL$1,))</f>
        <v>6</v>
      </c>
      <c r="R40" s="14">
        <f>VLOOKUP(B40,'Data World'!$A:$AL,MATCH(World!$R$1,'Data World'!$A$1:$AL$1,))</f>
        <v>9.8000000000000007</v>
      </c>
      <c r="S40" s="14">
        <f>VLOOKUP(B40,'Data World'!$A:$AL,MATCH(World!$S$1,'Data World'!$A$1:$AL$1,))</f>
        <v>2.2999999999999998</v>
      </c>
      <c r="T40" s="14">
        <f>VLOOKUP(B40,'Data World'!$A:$AL,MATCH(World!$T$1,'Data World'!$A$1:$AL$1,))</f>
        <v>3.9</v>
      </c>
    </row>
    <row r="41" spans="2:20" x14ac:dyDescent="0.2">
      <c r="B41" s="13">
        <v>43190</v>
      </c>
      <c r="C41" s="14">
        <f>VLOOKUP(B41,'Data World'!$A:$AL,MATCH(World!$C$1,'Data World'!$A$1:$AL$1,))</f>
        <v>4</v>
      </c>
      <c r="D41" s="14">
        <f>VLOOKUP(B41,'Data World'!$A:$AL,MATCH(World!$D$1,'Data World'!$A$1:$AL$1,))</f>
        <v>8.5</v>
      </c>
      <c r="E41" s="14">
        <f>VLOOKUP(B41,'Data World'!$A:$AL,MATCH(World!$E$1,'Data World'!$A$1:$AL$1,))</f>
        <v>2.5</v>
      </c>
      <c r="F41" s="14">
        <f>VLOOKUP(B41,'Data World'!$A:$AL,MATCH(World!$F$1,'Data World'!$A$1:$AL$1,))</f>
        <v>3.5</v>
      </c>
      <c r="G41" s="14">
        <f>VLOOKUP(B41,'Data World'!$A:$AL,MATCH(World!$G$1,'Data World'!$A$1:$AL$1,))</f>
        <v>9.1999999999999993</v>
      </c>
      <c r="H41" s="14">
        <f>VLOOKUP(B41,'Data World'!$A:$AL,MATCH(World!$H$1,'Data World'!$A$1:$AL$1,))</f>
        <v>4.1889440000000002</v>
      </c>
      <c r="I41" s="14">
        <f>VLOOKUP(B41,'Data World'!$A:$AL,MATCH(World!$I$1,'Data World'!$A$1:$AL$1,))</f>
        <v>11</v>
      </c>
      <c r="J41" s="14">
        <f>VLOOKUP(B41,'Data World'!$A:$AL,MATCH(World!$J$1,'Data World'!$A$1:$AL$1,))</f>
        <v>15.9</v>
      </c>
      <c r="K41" s="14">
        <f>VLOOKUP(B41,'Data World'!$A:$AL,MATCH(World!$K$1,'Data World'!$A$1:$AL$1,))</f>
        <v>6.1</v>
      </c>
      <c r="L41" s="14">
        <f>VLOOKUP(B41,'Data World'!$A:$AL,MATCH(World!$L$1,'Data World'!$A$1:$AL$1,))</f>
        <v>3.21156</v>
      </c>
      <c r="M41" s="14">
        <f>VLOOKUP(B41,'Data World'!$A:$AL,MATCH(World!$M$1,'Data World'!$A$1:$AL$1,))</f>
        <v>5.9</v>
      </c>
      <c r="N41" s="14">
        <f>VLOOKUP(B41,'Data World'!$A:$AL,MATCH(World!$N$1,'Data World'!$A$1:$AL$1,))</f>
        <v>5.5051050000000004</v>
      </c>
      <c r="O41" s="14">
        <f>VLOOKUP(B41,'Data World'!$A:$AL,MATCH(World!$O$1,'Data World'!$A$1:$AL$1,))</f>
        <v>4</v>
      </c>
      <c r="P41" s="14">
        <f>VLOOKUP(B41,'Data World'!$A:$AL,MATCH(World!$P$1,'Data World'!$A$1:$AL$1,))</f>
        <v>20.2</v>
      </c>
      <c r="Q41" s="14">
        <f>VLOOKUP(B41,'Data World'!$A:$AL,MATCH(World!$Q$1,'Data World'!$A$1:$AL$1,))</f>
        <v>5.9</v>
      </c>
      <c r="R41" s="14">
        <f>VLOOKUP(B41,'Data World'!$A:$AL,MATCH(World!$R$1,'Data World'!$A$1:$AL$1,))</f>
        <v>9.9</v>
      </c>
      <c r="S41" s="14">
        <f>VLOOKUP(B41,'Data World'!$A:$AL,MATCH(World!$S$1,'Data World'!$A$1:$AL$1,))</f>
        <v>2.1</v>
      </c>
      <c r="T41" s="14">
        <f>VLOOKUP(B41,'Data World'!$A:$AL,MATCH(World!$T$1,'Data World'!$A$1:$AL$1,))</f>
        <v>3.8</v>
      </c>
    </row>
    <row r="42" spans="2:20" x14ac:dyDescent="0.2">
      <c r="B42" s="13">
        <v>43220</v>
      </c>
      <c r="C42" s="14">
        <f>VLOOKUP(B42,'Data World'!$A:$AL,MATCH(World!$C$1,'Data World'!$A$1:$AL$1,))</f>
        <v>4</v>
      </c>
      <c r="D42" s="14">
        <f>VLOOKUP(B42,'Data World'!$A:$AL,MATCH(World!$D$1,'Data World'!$A$1:$AL$1,))</f>
        <v>8.4</v>
      </c>
      <c r="E42" s="14">
        <f>VLOOKUP(B42,'Data World'!$A:$AL,MATCH(World!$E$1,'Data World'!$A$1:$AL$1,))</f>
        <v>2.5</v>
      </c>
      <c r="F42" s="14">
        <f>VLOOKUP(B42,'Data World'!$A:$AL,MATCH(World!$F$1,'Data World'!$A$1:$AL$1,))</f>
        <v>3.4</v>
      </c>
      <c r="G42" s="14">
        <f>VLOOKUP(B42,'Data World'!$A:$AL,MATCH(World!$G$1,'Data World'!$A$1:$AL$1,))</f>
        <v>9.1</v>
      </c>
      <c r="H42" s="14">
        <f>VLOOKUP(B42,'Data World'!$A:$AL,MATCH(World!$H$1,'Data World'!$A$1:$AL$1,))</f>
        <v>4.1653599999999997</v>
      </c>
      <c r="I42" s="14">
        <f>VLOOKUP(B42,'Data World'!$A:$AL,MATCH(World!$I$1,'Data World'!$A$1:$AL$1,))</f>
        <v>11.1</v>
      </c>
      <c r="J42" s="14">
        <f>VLOOKUP(B42,'Data World'!$A:$AL,MATCH(World!$J$1,'Data World'!$A$1:$AL$1,))</f>
        <v>15.7</v>
      </c>
      <c r="K42" s="14">
        <f>VLOOKUP(B42,'Data World'!$A:$AL,MATCH(World!$K$1,'Data World'!$A$1:$AL$1,))</f>
        <v>6.4</v>
      </c>
      <c r="L42" s="14">
        <f>VLOOKUP(B42,'Data World'!$A:$AL,MATCH(World!$L$1,'Data World'!$A$1:$AL$1,))</f>
        <v>3.472232</v>
      </c>
      <c r="M42" s="14">
        <f>VLOOKUP(B42,'Data World'!$A:$AL,MATCH(World!$M$1,'Data World'!$A$1:$AL$1,))</f>
        <v>5.9</v>
      </c>
      <c r="N42" s="14">
        <f>VLOOKUP(B42,'Data World'!$A:$AL,MATCH(World!$N$1,'Data World'!$A$1:$AL$1,))</f>
        <v>5.5342669999999998</v>
      </c>
      <c r="O42" s="14">
        <f>VLOOKUP(B42,'Data World'!$A:$AL,MATCH(World!$O$1,'Data World'!$A$1:$AL$1,))</f>
        <v>3.8</v>
      </c>
      <c r="P42" s="14">
        <f>VLOOKUP(B42,'Data World'!$A:$AL,MATCH(World!$P$1,'Data World'!$A$1:$AL$1,))</f>
        <v>19.899999999999999</v>
      </c>
      <c r="Q42" s="14">
        <f>VLOOKUP(B42,'Data World'!$A:$AL,MATCH(World!$Q$1,'Data World'!$A$1:$AL$1,))</f>
        <v>6</v>
      </c>
      <c r="R42" s="14">
        <f>VLOOKUP(B42,'Data World'!$A:$AL,MATCH(World!$R$1,'Data World'!$A$1:$AL$1,))</f>
        <v>10.3</v>
      </c>
      <c r="S42" s="14">
        <f>VLOOKUP(B42,'Data World'!$A:$AL,MATCH(World!$S$1,'Data World'!$A$1:$AL$1,))</f>
        <v>2.2999999999999998</v>
      </c>
      <c r="T42" s="14">
        <f>VLOOKUP(B42,'Data World'!$A:$AL,MATCH(World!$T$1,'Data World'!$A$1:$AL$1,))</f>
        <v>3.7</v>
      </c>
    </row>
    <row r="43" spans="2:20" s="60" customFormat="1" x14ac:dyDescent="0.2">
      <c r="B43" s="13">
        <v>43251</v>
      </c>
      <c r="C43" s="14">
        <f>VLOOKUP(B43,'Data World'!$A:$AL,MATCH(World!$C$1,'Data World'!$A$1:$AL$1,))</f>
        <v>3.8</v>
      </c>
      <c r="D43" s="14">
        <f>VLOOKUP(B43,'Data World'!$A:$AL,MATCH(World!$D$1,'Data World'!$A$1:$AL$1,))</f>
        <v>8.3000000000000007</v>
      </c>
      <c r="E43" s="14">
        <f>VLOOKUP(B43,'Data World'!$A:$AL,MATCH(World!$E$1,'Data World'!$A$1:$AL$1,))</f>
        <v>2.2000000000000002</v>
      </c>
      <c r="F43" s="14">
        <f>VLOOKUP(B43,'Data World'!$A:$AL,MATCH(World!$F$1,'Data World'!$A$1:$AL$1,))</f>
        <v>3.4</v>
      </c>
      <c r="G43" s="14">
        <f>VLOOKUP(B43,'Data World'!$A:$AL,MATCH(World!$G$1,'Data World'!$A$1:$AL$1,))</f>
        <v>9.1</v>
      </c>
      <c r="H43" s="14">
        <f>VLOOKUP(B43,'Data World'!$A:$AL,MATCH(World!$H$1,'Data World'!$A$1:$AL$1,))</f>
        <v>4.036543</v>
      </c>
      <c r="I43" s="14">
        <f>VLOOKUP(B43,'Data World'!$A:$AL,MATCH(World!$I$1,'Data World'!$A$1:$AL$1,))</f>
        <v>10.6</v>
      </c>
      <c r="J43" s="14">
        <f>VLOOKUP(B43,'Data World'!$A:$AL,MATCH(World!$J$1,'Data World'!$A$1:$AL$1,))</f>
        <v>15.4</v>
      </c>
      <c r="K43" s="14">
        <f>VLOOKUP(B43,'Data World'!$A:$AL,MATCH(World!$K$1,'Data World'!$A$1:$AL$1,))</f>
        <v>5.9</v>
      </c>
      <c r="L43" s="14">
        <f>VLOOKUP(B43,'Data World'!$A:$AL,MATCH(World!$L$1,'Data World'!$A$1:$AL$1,))</f>
        <v>3.3089339999999998</v>
      </c>
      <c r="M43" s="14">
        <f>VLOOKUP(B43,'Data World'!$A:$AL,MATCH(World!$M$1,'Data World'!$A$1:$AL$1,))</f>
        <v>6</v>
      </c>
      <c r="N43" s="14">
        <f>VLOOKUP(B43,'Data World'!$A:$AL,MATCH(World!$N$1,'Data World'!$A$1:$AL$1,))</f>
        <v>5.4064420000000002</v>
      </c>
      <c r="O43" s="14">
        <f>VLOOKUP(B43,'Data World'!$A:$AL,MATCH(World!$O$1,'Data World'!$A$1:$AL$1,))</f>
        <v>3.8</v>
      </c>
      <c r="P43" s="14">
        <f>VLOOKUP(B43,'Data World'!$A:$AL,MATCH(World!$P$1,'Data World'!$A$1:$AL$1,))</f>
        <v>19.399999999999999</v>
      </c>
      <c r="Q43" s="14">
        <f>VLOOKUP(B43,'Data World'!$A:$AL,MATCH(World!$Q$1,'Data World'!$A$1:$AL$1,))</f>
        <v>5.9</v>
      </c>
      <c r="R43" s="14">
        <f>VLOOKUP(B43,'Data World'!$A:$AL,MATCH(World!$R$1,'Data World'!$A$1:$AL$1,))</f>
        <v>10.6</v>
      </c>
      <c r="S43" s="14">
        <f>VLOOKUP(B43,'Data World'!$A:$AL,MATCH(World!$S$1,'Data World'!$A$1:$AL$1,))</f>
        <v>2.2999999999999998</v>
      </c>
      <c r="T43" s="14">
        <f>VLOOKUP(B43,'Data World'!$A:$AL,MATCH(World!$T$1,'Data World'!$A$1:$AL$1,))</f>
        <v>3.7</v>
      </c>
    </row>
    <row r="44" spans="2:20" s="60" customFormat="1" x14ac:dyDescent="0.2">
      <c r="B44" s="13">
        <v>43281</v>
      </c>
      <c r="C44" s="14">
        <f>VLOOKUP(B44,'Data World'!$A:$AL,MATCH(World!$C$1,'Data World'!$A$1:$AL$1,))</f>
        <v>4</v>
      </c>
      <c r="D44" s="14">
        <f>VLOOKUP(B44,'Data World'!$A:$AL,MATCH(World!$D$1,'Data World'!$A$1:$AL$1,))</f>
        <v>8.1999999999999993</v>
      </c>
      <c r="E44" s="14">
        <f>VLOOKUP(B44,'Data World'!$A:$AL,MATCH(World!$E$1,'Data World'!$A$1:$AL$1,))</f>
        <v>2.4</v>
      </c>
      <c r="F44" s="14">
        <f>VLOOKUP(B44,'Data World'!$A:$AL,MATCH(World!$F$1,'Data World'!$A$1:$AL$1,))</f>
        <v>3.4</v>
      </c>
      <c r="G44" s="14">
        <f>VLOOKUP(B44,'Data World'!$A:$AL,MATCH(World!$G$1,'Data World'!$A$1:$AL$1,))</f>
        <v>9</v>
      </c>
      <c r="H44" s="14">
        <f>VLOOKUP(B44,'Data World'!$A:$AL,MATCH(World!$H$1,'Data World'!$A$1:$AL$1,))</f>
        <v>4.0211969999999999</v>
      </c>
      <c r="I44" s="14">
        <f>VLOOKUP(B44,'Data World'!$A:$AL,MATCH(World!$I$1,'Data World'!$A$1:$AL$1,))</f>
        <v>10.9</v>
      </c>
      <c r="J44" s="14">
        <f>VLOOKUP(B44,'Data World'!$A:$AL,MATCH(World!$J$1,'Data World'!$A$1:$AL$1,))</f>
        <v>15.2</v>
      </c>
      <c r="K44" s="14">
        <f>VLOOKUP(B44,'Data World'!$A:$AL,MATCH(World!$K$1,'Data World'!$A$1:$AL$1,))</f>
        <v>6.5</v>
      </c>
      <c r="L44" s="14">
        <f>VLOOKUP(B44,'Data World'!$A:$AL,MATCH(World!$L$1,'Data World'!$A$1:$AL$1,))</f>
        <v>3.3409710000000001</v>
      </c>
      <c r="M44" s="14">
        <f>VLOOKUP(B44,'Data World'!$A:$AL,MATCH(World!$M$1,'Data World'!$A$1:$AL$1,))</f>
        <v>6.1</v>
      </c>
      <c r="N44" s="14">
        <f>VLOOKUP(B44,'Data World'!$A:$AL,MATCH(World!$N$1,'Data World'!$A$1:$AL$1,))</f>
        <v>5.3185799999999999</v>
      </c>
      <c r="O44" s="14">
        <f>VLOOKUP(B44,'Data World'!$A:$AL,MATCH(World!$O$1,'Data World'!$A$1:$AL$1,))</f>
        <v>3.6</v>
      </c>
      <c r="P44" s="14">
        <f>VLOOKUP(B44,'Data World'!$A:$AL,MATCH(World!$P$1,'Data World'!$A$1:$AL$1,))</f>
        <v>19.3</v>
      </c>
      <c r="Q44" s="14">
        <f>VLOOKUP(B44,'Data World'!$A:$AL,MATCH(World!$Q$1,'Data World'!$A$1:$AL$1,))</f>
        <v>5.8</v>
      </c>
      <c r="R44" s="14">
        <f>VLOOKUP(B44,'Data World'!$A:$AL,MATCH(World!$R$1,'Data World'!$A$1:$AL$1,))</f>
        <v>10.9</v>
      </c>
      <c r="S44" s="14">
        <f>VLOOKUP(B44,'Data World'!$A:$AL,MATCH(World!$S$1,'Data World'!$A$1:$AL$1,))</f>
        <v>2.2000000000000002</v>
      </c>
      <c r="T44" s="14">
        <f>VLOOKUP(B44,'Data World'!$A:$AL,MATCH(World!$T$1,'Data World'!$A$1:$AL$1,))</f>
        <v>3.8</v>
      </c>
    </row>
    <row r="45" spans="2:20" s="60" customFormat="1" x14ac:dyDescent="0.2">
      <c r="B45" s="13">
        <v>43312</v>
      </c>
      <c r="C45" s="14">
        <f>VLOOKUP(B45,'Data World'!$A:$AL,MATCH(World!$C$1,'Data World'!$A$1:$AL$1,))</f>
        <v>3.8</v>
      </c>
      <c r="D45" s="14">
        <f>VLOOKUP(B45,'Data World'!$A:$AL,MATCH(World!$D$1,'Data World'!$A$1:$AL$1,))</f>
        <v>8.1</v>
      </c>
      <c r="E45" s="14">
        <f>VLOOKUP(B45,'Data World'!$A:$AL,MATCH(World!$E$1,'Data World'!$A$1:$AL$1,))</f>
        <v>2.5</v>
      </c>
      <c r="F45" s="14">
        <f>VLOOKUP(B45,'Data World'!$A:$AL,MATCH(World!$F$1,'Data World'!$A$1:$AL$1,))</f>
        <v>3.4</v>
      </c>
      <c r="G45" s="14">
        <f>VLOOKUP(B45,'Data World'!$A:$AL,MATCH(World!$G$1,'Data World'!$A$1:$AL$1,))</f>
        <v>9</v>
      </c>
      <c r="H45" s="14">
        <f>VLOOKUP(B45,'Data World'!$A:$AL,MATCH(World!$H$1,'Data World'!$A$1:$AL$1,))</f>
        <v>4.0346690000000001</v>
      </c>
      <c r="I45" s="14">
        <f>VLOOKUP(B45,'Data World'!$A:$AL,MATCH(World!$I$1,'Data World'!$A$1:$AL$1,))</f>
        <v>10.5</v>
      </c>
      <c r="J45" s="14">
        <f>VLOOKUP(B45,'Data World'!$A:$AL,MATCH(World!$J$1,'Data World'!$A$1:$AL$1,))</f>
        <v>15</v>
      </c>
      <c r="K45" s="14">
        <f>VLOOKUP(B45,'Data World'!$A:$AL,MATCH(World!$K$1,'Data World'!$A$1:$AL$1,))</f>
        <v>6.3</v>
      </c>
      <c r="L45" s="14">
        <f>VLOOKUP(B45,'Data World'!$A:$AL,MATCH(World!$L$1,'Data World'!$A$1:$AL$1,))</f>
        <v>3.2854380000000001</v>
      </c>
      <c r="M45" s="14">
        <f>VLOOKUP(B45,'Data World'!$A:$AL,MATCH(World!$M$1,'Data World'!$A$1:$AL$1,))</f>
        <v>5.8</v>
      </c>
      <c r="N45" s="14">
        <f>VLOOKUP(B45,'Data World'!$A:$AL,MATCH(World!$N$1,'Data World'!$A$1:$AL$1,))</f>
        <v>5.2758149999999997</v>
      </c>
      <c r="O45" s="14">
        <f>VLOOKUP(B45,'Data World'!$A:$AL,MATCH(World!$O$1,'Data World'!$A$1:$AL$1,))</f>
        <v>3.8</v>
      </c>
      <c r="P45" s="14">
        <f>VLOOKUP(B45,'Data World'!$A:$AL,MATCH(World!$P$1,'Data World'!$A$1:$AL$1,))</f>
        <v>19.100000000000001</v>
      </c>
      <c r="Q45" s="14">
        <f>VLOOKUP(B45,'Data World'!$A:$AL,MATCH(World!$Q$1,'Data World'!$A$1:$AL$1,))</f>
        <v>5.6</v>
      </c>
      <c r="R45" s="14">
        <f>VLOOKUP(B45,'Data World'!$A:$AL,MATCH(World!$R$1,'Data World'!$A$1:$AL$1,))</f>
        <v>11.1</v>
      </c>
      <c r="S45" s="14">
        <f>VLOOKUP(B45,'Data World'!$A:$AL,MATCH(World!$S$1,'Data World'!$A$1:$AL$1,))</f>
        <v>2.2999999999999998</v>
      </c>
      <c r="T45" s="14">
        <f>VLOOKUP(B45,'Data World'!$A:$AL,MATCH(World!$T$1,'Data World'!$A$1:$AL$1,))</f>
        <v>3.9</v>
      </c>
    </row>
    <row r="46" spans="2:20" s="60" customFormat="1" x14ac:dyDescent="0.2">
      <c r="B46" s="13">
        <v>43343</v>
      </c>
      <c r="C46" s="14">
        <f>VLOOKUP(B46,'Data World'!$A:$AL,MATCH(World!$C$1,'Data World'!$A$1:$AL$1,))</f>
        <v>3.8</v>
      </c>
      <c r="D46" s="14">
        <f>VLOOKUP(B46,'Data World'!$A:$AL,MATCH(World!$D$1,'Data World'!$A$1:$AL$1,))</f>
        <v>8</v>
      </c>
      <c r="E46" s="14">
        <f>VLOOKUP(B46,'Data World'!$A:$AL,MATCH(World!$E$1,'Data World'!$A$1:$AL$1,))</f>
        <v>2.5</v>
      </c>
      <c r="F46" s="14">
        <f>VLOOKUP(B46,'Data World'!$A:$AL,MATCH(World!$F$1,'Data World'!$A$1:$AL$1,))</f>
        <v>3.4</v>
      </c>
      <c r="G46" s="14">
        <f>VLOOKUP(B46,'Data World'!$A:$AL,MATCH(World!$G$1,'Data World'!$A$1:$AL$1,))</f>
        <v>9</v>
      </c>
      <c r="H46" s="14">
        <f>VLOOKUP(B46,'Data World'!$A:$AL,MATCH(World!$H$1,'Data World'!$A$1:$AL$1,))</f>
        <v>4.0733689999999996</v>
      </c>
      <c r="I46" s="14">
        <f>VLOOKUP(B46,'Data World'!$A:$AL,MATCH(World!$I$1,'Data World'!$A$1:$AL$1,))</f>
        <v>10.199999999999999</v>
      </c>
      <c r="J46" s="14">
        <f>VLOOKUP(B46,'Data World'!$A:$AL,MATCH(World!$J$1,'Data World'!$A$1:$AL$1,))</f>
        <v>14.9</v>
      </c>
      <c r="K46" s="14">
        <f>VLOOKUP(B46,'Data World'!$A:$AL,MATCH(World!$K$1,'Data World'!$A$1:$AL$1,))</f>
        <v>6.3</v>
      </c>
      <c r="L46" s="14">
        <f>VLOOKUP(B46,'Data World'!$A:$AL,MATCH(World!$L$1,'Data World'!$A$1:$AL$1,))</f>
        <v>3.2504230000000001</v>
      </c>
      <c r="M46" s="14">
        <f>VLOOKUP(B46,'Data World'!$A:$AL,MATCH(World!$M$1,'Data World'!$A$1:$AL$1,))</f>
        <v>6</v>
      </c>
      <c r="N46" s="14">
        <f>VLOOKUP(B46,'Data World'!$A:$AL,MATCH(World!$N$1,'Data World'!$A$1:$AL$1,))</f>
        <v>5.2571349999999999</v>
      </c>
      <c r="O46" s="14">
        <f>VLOOKUP(B46,'Data World'!$A:$AL,MATCH(World!$O$1,'Data World'!$A$1:$AL$1,))</f>
        <v>4.3</v>
      </c>
      <c r="P46" s="14">
        <f>VLOOKUP(B46,'Data World'!$A:$AL,MATCH(World!$P$1,'Data World'!$A$1:$AL$1,))</f>
        <v>19</v>
      </c>
      <c r="Q46" s="14">
        <f>VLOOKUP(B46,'Data World'!$A:$AL,MATCH(World!$Q$1,'Data World'!$A$1:$AL$1,))</f>
        <v>5.6</v>
      </c>
      <c r="R46" s="14">
        <f>VLOOKUP(B46,'Data World'!$A:$AL,MATCH(World!$R$1,'Data World'!$A$1:$AL$1,))</f>
        <v>11.2</v>
      </c>
      <c r="S46" s="14">
        <f>VLOOKUP(B46,'Data World'!$A:$AL,MATCH(World!$S$1,'Data World'!$A$1:$AL$1,))</f>
        <v>2.4</v>
      </c>
      <c r="T46" s="14">
        <f>VLOOKUP(B46,'Data World'!$A:$AL,MATCH(World!$T$1,'Data World'!$A$1:$AL$1,))</f>
        <v>3.9</v>
      </c>
    </row>
    <row r="47" spans="2:20" s="60" customFormat="1" x14ac:dyDescent="0.2">
      <c r="B47" s="13">
        <v>43373</v>
      </c>
      <c r="C47" s="14">
        <f>VLOOKUP(B47,'Data World'!$A:$AL,MATCH(World!$C$1,'Data World'!$A$1:$AL$1,))</f>
        <v>3.7</v>
      </c>
      <c r="D47" s="14">
        <f>VLOOKUP(B47,'Data World'!$A:$AL,MATCH(World!$D$1,'Data World'!$A$1:$AL$1,))</f>
        <v>8</v>
      </c>
      <c r="E47" s="14">
        <f>VLOOKUP(B47,'Data World'!$A:$AL,MATCH(World!$E$1,'Data World'!$A$1:$AL$1,))</f>
        <v>2.2999999999999998</v>
      </c>
      <c r="F47" s="14">
        <f>VLOOKUP(B47,'Data World'!$A:$AL,MATCH(World!$F$1,'Data World'!$A$1:$AL$1,))</f>
        <v>3.4</v>
      </c>
      <c r="G47" s="14">
        <f>VLOOKUP(B47,'Data World'!$A:$AL,MATCH(World!$G$1,'Data World'!$A$1:$AL$1,))</f>
        <v>9</v>
      </c>
      <c r="H47" s="14">
        <f>VLOOKUP(B47,'Data World'!$A:$AL,MATCH(World!$H$1,'Data World'!$A$1:$AL$1,))</f>
        <v>4.0553179999999998</v>
      </c>
      <c r="I47" s="14">
        <f>VLOOKUP(B47,'Data World'!$A:$AL,MATCH(World!$I$1,'Data World'!$A$1:$AL$1,))</f>
        <v>10.4</v>
      </c>
      <c r="J47" s="14">
        <f>VLOOKUP(B47,'Data World'!$A:$AL,MATCH(World!$J$1,'Data World'!$A$1:$AL$1,))</f>
        <v>14.8</v>
      </c>
      <c r="K47" s="14">
        <f>VLOOKUP(B47,'Data World'!$A:$AL,MATCH(World!$K$1,'Data World'!$A$1:$AL$1,))</f>
        <v>6.5</v>
      </c>
      <c r="L47" s="14">
        <f>VLOOKUP(B47,'Data World'!$A:$AL,MATCH(World!$L$1,'Data World'!$A$1:$AL$1,))</f>
        <v>3.3217560000000002</v>
      </c>
      <c r="M47" s="14">
        <f>VLOOKUP(B47,'Data World'!$A:$AL,MATCH(World!$M$1,'Data World'!$A$1:$AL$1,))</f>
        <v>5.9</v>
      </c>
      <c r="N47" s="14">
        <f>VLOOKUP(B47,'Data World'!$A:$AL,MATCH(World!$N$1,'Data World'!$A$1:$AL$1,))</f>
        <v>5.01553</v>
      </c>
      <c r="O47" s="14">
        <f>VLOOKUP(B47,'Data World'!$A:$AL,MATCH(World!$O$1,'Data World'!$A$1:$AL$1,))</f>
        <v>4.0999999999999996</v>
      </c>
      <c r="P47" s="14">
        <f>VLOOKUP(B47,'Data World'!$A:$AL,MATCH(World!$P$1,'Data World'!$A$1:$AL$1,))</f>
        <v>18.8</v>
      </c>
      <c r="Q47" s="14">
        <f>VLOOKUP(B47,'Data World'!$A:$AL,MATCH(World!$Q$1,'Data World'!$A$1:$AL$1,))</f>
        <v>5.6</v>
      </c>
      <c r="R47" s="14">
        <f>VLOOKUP(B47,'Data World'!$A:$AL,MATCH(World!$R$1,'Data World'!$A$1:$AL$1,))</f>
        <v>11.5</v>
      </c>
      <c r="S47" s="14">
        <f>VLOOKUP(B47,'Data World'!$A:$AL,MATCH(World!$S$1,'Data World'!$A$1:$AL$1,))</f>
        <v>2.2000000000000002</v>
      </c>
      <c r="T47" s="14">
        <f>VLOOKUP(B47,'Data World'!$A:$AL,MATCH(World!$T$1,'Data World'!$A$1:$AL$1,))</f>
        <v>3.9</v>
      </c>
    </row>
    <row r="48" spans="2:20" s="60" customFormat="1" x14ac:dyDescent="0.2">
      <c r="B48" s="13">
        <v>43404</v>
      </c>
      <c r="C48" s="14">
        <f>VLOOKUP(B48,'Data World'!$A:$AL,MATCH(World!$C$1,'Data World'!$A$1:$AL$1,))</f>
        <v>3.8</v>
      </c>
      <c r="D48" s="14">
        <f>VLOOKUP(B48,'Data World'!$A:$AL,MATCH(World!$D$1,'Data World'!$A$1:$AL$1,))</f>
        <v>8</v>
      </c>
      <c r="E48" s="14">
        <f>VLOOKUP(B48,'Data World'!$A:$AL,MATCH(World!$E$1,'Data World'!$A$1:$AL$1,))</f>
        <v>2.4</v>
      </c>
      <c r="F48" s="14">
        <f>VLOOKUP(B48,'Data World'!$A:$AL,MATCH(World!$F$1,'Data World'!$A$1:$AL$1,))</f>
        <v>3.3</v>
      </c>
      <c r="G48" s="14">
        <f>VLOOKUP(B48,'Data World'!$A:$AL,MATCH(World!$G$1,'Data World'!$A$1:$AL$1,))</f>
        <v>8.9</v>
      </c>
      <c r="H48" s="14">
        <f>VLOOKUP(B48,'Data World'!$A:$AL,MATCH(World!$H$1,'Data World'!$A$1:$AL$1,))</f>
        <v>4.0390870000000003</v>
      </c>
      <c r="I48" s="14">
        <f>VLOOKUP(B48,'Data World'!$A:$AL,MATCH(World!$I$1,'Data World'!$A$1:$AL$1,))</f>
        <v>10.8</v>
      </c>
      <c r="J48" s="14">
        <f>VLOOKUP(B48,'Data World'!$A:$AL,MATCH(World!$J$1,'Data World'!$A$1:$AL$1,))</f>
        <v>14.6</v>
      </c>
      <c r="K48" s="14">
        <f>VLOOKUP(B48,'Data World'!$A:$AL,MATCH(World!$K$1,'Data World'!$A$1:$AL$1,))</f>
        <v>6.4</v>
      </c>
      <c r="L48" s="14">
        <f>VLOOKUP(B48,'Data World'!$A:$AL,MATCH(World!$L$1,'Data World'!$A$1:$AL$1,))</f>
        <v>3.168634</v>
      </c>
      <c r="M48" s="14">
        <f>VLOOKUP(B48,'Data World'!$A:$AL,MATCH(World!$M$1,'Data World'!$A$1:$AL$1,))</f>
        <v>5.9</v>
      </c>
      <c r="N48" s="14">
        <f>VLOOKUP(B48,'Data World'!$A:$AL,MATCH(World!$N$1,'Data World'!$A$1:$AL$1,))</f>
        <v>5.0026869999999999</v>
      </c>
      <c r="O48" s="14">
        <f>VLOOKUP(B48,'Data World'!$A:$AL,MATCH(World!$O$1,'Data World'!$A$1:$AL$1,))</f>
        <v>4</v>
      </c>
      <c r="P48" s="14">
        <f>VLOOKUP(B48,'Data World'!$A:$AL,MATCH(World!$P$1,'Data World'!$A$1:$AL$1,))</f>
        <v>18.600000000000001</v>
      </c>
      <c r="Q48" s="14">
        <f>VLOOKUP(B48,'Data World'!$A:$AL,MATCH(World!$Q$1,'Data World'!$A$1:$AL$1,))</f>
        <v>5.7</v>
      </c>
      <c r="R48" s="14">
        <f>VLOOKUP(B48,'Data World'!$A:$AL,MATCH(World!$R$1,'Data World'!$A$1:$AL$1,))</f>
        <v>11.7</v>
      </c>
      <c r="S48" s="14">
        <f>VLOOKUP(B48,'Data World'!$A:$AL,MATCH(World!$S$1,'Data World'!$A$1:$AL$1,))</f>
        <v>2.1</v>
      </c>
      <c r="T48" s="14">
        <f>VLOOKUP(B48,'Data World'!$A:$AL,MATCH(World!$T$1,'Data World'!$A$1:$AL$1,))</f>
        <v>3.8</v>
      </c>
    </row>
    <row r="49" spans="2:20" s="60" customFormat="1" x14ac:dyDescent="0.2">
      <c r="B49" s="13">
        <v>43434</v>
      </c>
      <c r="C49" s="14">
        <f>VLOOKUP(B49,'Data World'!$A:$AL,MATCH(World!$C$1,'Data World'!$A$1:$AL$1,))</f>
        <v>3.8</v>
      </c>
      <c r="D49" s="14">
        <f>VLOOKUP(B49,'Data World'!$A:$AL,MATCH(World!$D$1,'Data World'!$A$1:$AL$1,))</f>
        <v>7.9</v>
      </c>
      <c r="E49" s="14">
        <f>VLOOKUP(B49,'Data World'!$A:$AL,MATCH(World!$E$1,'Data World'!$A$1:$AL$1,))</f>
        <v>2.5</v>
      </c>
      <c r="F49" s="14">
        <f>VLOOKUP(B49,'Data World'!$A:$AL,MATCH(World!$F$1,'Data World'!$A$1:$AL$1,))</f>
        <v>3.3</v>
      </c>
      <c r="G49" s="14">
        <f>VLOOKUP(B49,'Data World'!$A:$AL,MATCH(World!$G$1,'Data World'!$A$1:$AL$1,))</f>
        <v>8.8000000000000007</v>
      </c>
      <c r="H49" s="14">
        <f>VLOOKUP(B49,'Data World'!$A:$AL,MATCH(World!$H$1,'Data World'!$A$1:$AL$1,))</f>
        <v>4.0135420000000002</v>
      </c>
      <c r="I49" s="14">
        <f>VLOOKUP(B49,'Data World'!$A:$AL,MATCH(World!$I$1,'Data World'!$A$1:$AL$1,))</f>
        <v>10.6</v>
      </c>
      <c r="J49" s="14">
        <f>VLOOKUP(B49,'Data World'!$A:$AL,MATCH(World!$J$1,'Data World'!$A$1:$AL$1,))</f>
        <v>14.5</v>
      </c>
      <c r="K49" s="14">
        <f>VLOOKUP(B49,'Data World'!$A:$AL,MATCH(World!$K$1,'Data World'!$A$1:$AL$1,))</f>
        <v>6.5</v>
      </c>
      <c r="L49" s="14">
        <f>VLOOKUP(B49,'Data World'!$A:$AL,MATCH(World!$L$1,'Data World'!$A$1:$AL$1,))</f>
        <v>3.3668990000000001</v>
      </c>
      <c r="M49" s="14">
        <f>VLOOKUP(B49,'Data World'!$A:$AL,MATCH(World!$M$1,'Data World'!$A$1:$AL$1,))</f>
        <v>5.7</v>
      </c>
      <c r="N49" s="14">
        <f>VLOOKUP(B49,'Data World'!$A:$AL,MATCH(World!$N$1,'Data World'!$A$1:$AL$1,))</f>
        <v>5.0986089999999997</v>
      </c>
      <c r="O49" s="14">
        <f>VLOOKUP(B49,'Data World'!$A:$AL,MATCH(World!$O$1,'Data World'!$A$1:$AL$1,))</f>
        <v>3.9</v>
      </c>
      <c r="P49" s="14">
        <f>VLOOKUP(B49,'Data World'!$A:$AL,MATCH(World!$P$1,'Data World'!$A$1:$AL$1,))</f>
        <v>18.5</v>
      </c>
      <c r="Q49" s="14">
        <f>VLOOKUP(B49,'Data World'!$A:$AL,MATCH(World!$Q$1,'Data World'!$A$1:$AL$1,))</f>
        <v>5.6</v>
      </c>
      <c r="R49" s="14">
        <f>VLOOKUP(B49,'Data World'!$A:$AL,MATCH(World!$R$1,'Data World'!$A$1:$AL$1,))</f>
        <v>12.3</v>
      </c>
      <c r="S49" s="14">
        <f>VLOOKUP(B49,'Data World'!$A:$AL,MATCH(World!$S$1,'Data World'!$A$1:$AL$1,))</f>
        <v>2</v>
      </c>
      <c r="T49" s="14">
        <f>VLOOKUP(B49,'Data World'!$A:$AL,MATCH(World!$T$1,'Data World'!$A$1:$AL$1,))</f>
        <v>3.8</v>
      </c>
    </row>
    <row r="50" spans="2:20" s="60" customFormat="1" x14ac:dyDescent="0.2">
      <c r="B50" s="13">
        <v>43465</v>
      </c>
      <c r="C50" s="14">
        <f>VLOOKUP(B50,'Data World'!$A:$AL,MATCH(World!$C$1,'Data World'!$A$1:$AL$1,))</f>
        <v>3.9</v>
      </c>
      <c r="D50" s="14">
        <f>VLOOKUP(B50,'Data World'!$A:$AL,MATCH(World!$D$1,'Data World'!$A$1:$AL$1,))</f>
        <v>7.8</v>
      </c>
      <c r="E50" s="14">
        <f>VLOOKUP(B50,'Data World'!$A:$AL,MATCH(World!$E$1,'Data World'!$A$1:$AL$1,))</f>
        <v>2.5</v>
      </c>
      <c r="F50" s="14">
        <f>VLOOKUP(B50,'Data World'!$A:$AL,MATCH(World!$F$1,'Data World'!$A$1:$AL$1,))</f>
        <v>3.3</v>
      </c>
      <c r="G50" s="14">
        <f>VLOOKUP(B50,'Data World'!$A:$AL,MATCH(World!$G$1,'Data World'!$A$1:$AL$1,))</f>
        <v>8.8000000000000007</v>
      </c>
      <c r="H50" s="14">
        <f>VLOOKUP(B50,'Data World'!$A:$AL,MATCH(World!$H$1,'Data World'!$A$1:$AL$1,))</f>
        <v>3.9305620000000001</v>
      </c>
      <c r="I50" s="14">
        <f>VLOOKUP(B50,'Data World'!$A:$AL,MATCH(World!$I$1,'Data World'!$A$1:$AL$1,))</f>
        <v>10.3</v>
      </c>
      <c r="J50" s="14">
        <f>VLOOKUP(B50,'Data World'!$A:$AL,MATCH(World!$J$1,'Data World'!$A$1:$AL$1,))</f>
        <v>14.4</v>
      </c>
      <c r="K50" s="14">
        <f>VLOOKUP(B50,'Data World'!$A:$AL,MATCH(World!$K$1,'Data World'!$A$1:$AL$1,))</f>
        <v>6.6</v>
      </c>
      <c r="L50" s="14">
        <f>VLOOKUP(B50,'Data World'!$A:$AL,MATCH(World!$L$1,'Data World'!$A$1:$AL$1,))</f>
        <v>3.6995870000000002</v>
      </c>
      <c r="M50" s="14">
        <f>VLOOKUP(B50,'Data World'!$A:$AL,MATCH(World!$M$1,'Data World'!$A$1:$AL$1,))</f>
        <v>5.8</v>
      </c>
      <c r="N50" s="14">
        <f>VLOOKUP(B50,'Data World'!$A:$AL,MATCH(World!$N$1,'Data World'!$A$1:$AL$1,))</f>
        <v>5.0095000000000001</v>
      </c>
      <c r="O50" s="14">
        <f>VLOOKUP(B50,'Data World'!$A:$AL,MATCH(World!$O$1,'Data World'!$A$1:$AL$1,))</f>
        <v>3.8</v>
      </c>
      <c r="P50" s="14">
        <f>VLOOKUP(B50,'Data World'!$A:$AL,MATCH(World!$P$1,'Data World'!$A$1:$AL$1,))</f>
        <v>18.399999999999999</v>
      </c>
      <c r="Q50" s="14">
        <f>VLOOKUP(B50,'Data World'!$A:$AL,MATCH(World!$Q$1,'Data World'!$A$1:$AL$1,))</f>
        <v>5.5</v>
      </c>
      <c r="R50" s="14">
        <f>VLOOKUP(B50,'Data World'!$A:$AL,MATCH(World!$R$1,'Data World'!$A$1:$AL$1,))</f>
        <v>12.8</v>
      </c>
      <c r="S50" s="14">
        <f>VLOOKUP(B50,'Data World'!$A:$AL,MATCH(World!$S$1,'Data World'!$A$1:$AL$1,))</f>
        <v>2.2000000000000002</v>
      </c>
      <c r="T50" s="14">
        <f>VLOOKUP(B50,'Data World'!$A:$AL,MATCH(World!$T$1,'Data World'!$A$1:$AL$1,))</f>
        <v>3.8</v>
      </c>
    </row>
    <row r="51" spans="2:20" s="60" customFormat="1" x14ac:dyDescent="0.2">
      <c r="B51" s="13">
        <v>43496</v>
      </c>
      <c r="C51" s="14">
        <f>VLOOKUP(B51,'Data World'!$A:$AL,MATCH(World!$C$1,'Data World'!$A$1:$AL$1,))</f>
        <v>4</v>
      </c>
      <c r="D51" s="14">
        <f>VLOOKUP(B51,'Data World'!$A:$AL,MATCH(World!$D$1,'Data World'!$A$1:$AL$1,))</f>
        <v>7.8</v>
      </c>
      <c r="E51" s="14">
        <f>VLOOKUP(B51,'Data World'!$A:$AL,MATCH(World!$E$1,'Data World'!$A$1:$AL$1,))</f>
        <v>2.5</v>
      </c>
      <c r="F51" s="14">
        <f>VLOOKUP(B51,'Data World'!$A:$AL,MATCH(World!$F$1,'Data World'!$A$1:$AL$1,))</f>
        <v>3.3</v>
      </c>
      <c r="G51" s="14">
        <f>VLOOKUP(B51,'Data World'!$A:$AL,MATCH(World!$G$1,'Data World'!$A$1:$AL$1,))</f>
        <v>8.6999999999999993</v>
      </c>
      <c r="H51" s="14">
        <f>VLOOKUP(B51,'Data World'!$A:$AL,MATCH(World!$H$1,'Data World'!$A$1:$AL$1,))</f>
        <v>3.9415309999999999</v>
      </c>
      <c r="I51" s="14">
        <f>VLOOKUP(B51,'Data World'!$A:$AL,MATCH(World!$I$1,'Data World'!$A$1:$AL$1,))</f>
        <v>10.5</v>
      </c>
      <c r="J51" s="14">
        <f>VLOOKUP(B51,'Data World'!$A:$AL,MATCH(World!$J$1,'Data World'!$A$1:$AL$1,))</f>
        <v>14.3</v>
      </c>
      <c r="K51" s="14">
        <f>VLOOKUP(B51,'Data World'!$A:$AL,MATCH(World!$K$1,'Data World'!$A$1:$AL$1,))</f>
        <v>6.2</v>
      </c>
      <c r="L51" s="14">
        <f>VLOOKUP(B51,'Data World'!$A:$AL,MATCH(World!$L$1,'Data World'!$A$1:$AL$1,))</f>
        <v>3.4083139999999998</v>
      </c>
      <c r="M51" s="14">
        <f>VLOOKUP(B51,'Data World'!$A:$AL,MATCH(World!$M$1,'Data World'!$A$1:$AL$1,))</f>
        <v>5.9</v>
      </c>
      <c r="N51" s="14">
        <f>VLOOKUP(B51,'Data World'!$A:$AL,MATCH(World!$N$1,'Data World'!$A$1:$AL$1,))</f>
        <v>5.0411640000000002</v>
      </c>
      <c r="O51" s="14">
        <f>VLOOKUP(B51,'Data World'!$A:$AL,MATCH(World!$O$1,'Data World'!$A$1:$AL$1,))</f>
        <v>4.3</v>
      </c>
      <c r="P51" s="14">
        <f>VLOOKUP(B51,'Data World'!$A:$AL,MATCH(World!$P$1,'Data World'!$A$1:$AL$1,))</f>
        <v>18.7</v>
      </c>
      <c r="Q51" s="14">
        <f>VLOOKUP(B51,'Data World'!$A:$AL,MATCH(World!$Q$1,'Data World'!$A$1:$AL$1,))</f>
        <v>5.2</v>
      </c>
      <c r="R51" s="14">
        <f>VLOOKUP(B51,'Data World'!$A:$AL,MATCH(World!$R$1,'Data World'!$A$1:$AL$1,))</f>
        <v>13.4</v>
      </c>
      <c r="S51" s="14">
        <f>VLOOKUP(B51,'Data World'!$A:$AL,MATCH(World!$S$1,'Data World'!$A$1:$AL$1,))</f>
        <v>2.1</v>
      </c>
      <c r="T51" s="14">
        <f>VLOOKUP(B51,'Data World'!$A:$AL,MATCH(World!$T$1,'Data World'!$A$1:$AL$1,))</f>
        <v>3.8</v>
      </c>
    </row>
    <row r="52" spans="2:20" s="60" customFormat="1" x14ac:dyDescent="0.2">
      <c r="B52" s="13">
        <v>43524</v>
      </c>
      <c r="C52" s="14">
        <f>VLOOKUP(B52,'Data World'!$A:$AL,MATCH(World!$C$1,'Data World'!$A$1:$AL$1,))</f>
        <v>3.8</v>
      </c>
      <c r="D52" s="14">
        <f>VLOOKUP(B52,'Data World'!$A:$AL,MATCH(World!$D$1,'Data World'!$A$1:$AL$1,))</f>
        <v>7.8</v>
      </c>
      <c r="E52" s="14">
        <f>VLOOKUP(B52,'Data World'!$A:$AL,MATCH(World!$E$1,'Data World'!$A$1:$AL$1,))</f>
        <v>2.4</v>
      </c>
      <c r="F52" s="14">
        <f>VLOOKUP(B52,'Data World'!$A:$AL,MATCH(World!$F$1,'Data World'!$A$1:$AL$1,))</f>
        <v>3.2</v>
      </c>
      <c r="G52" s="14">
        <f>VLOOKUP(B52,'Data World'!$A:$AL,MATCH(World!$G$1,'Data World'!$A$1:$AL$1,))</f>
        <v>8.6999999999999993</v>
      </c>
      <c r="H52" s="14">
        <f>VLOOKUP(B52,'Data World'!$A:$AL,MATCH(World!$H$1,'Data World'!$A$1:$AL$1,))</f>
        <v>3.8178010000000002</v>
      </c>
      <c r="I52" s="14">
        <f>VLOOKUP(B52,'Data World'!$A:$AL,MATCH(World!$I$1,'Data World'!$A$1:$AL$1,))</f>
        <v>10.5</v>
      </c>
      <c r="J52" s="14">
        <f>VLOOKUP(B52,'Data World'!$A:$AL,MATCH(World!$J$1,'Data World'!$A$1:$AL$1,))</f>
        <v>14.2</v>
      </c>
      <c r="K52" s="14">
        <f>VLOOKUP(B52,'Data World'!$A:$AL,MATCH(World!$K$1,'Data World'!$A$1:$AL$1,))</f>
        <v>6.7</v>
      </c>
      <c r="L52" s="14">
        <f>VLOOKUP(B52,'Data World'!$A:$AL,MATCH(World!$L$1,'Data World'!$A$1:$AL$1,))</f>
        <v>3.3538600000000001</v>
      </c>
      <c r="M52" s="14">
        <f>VLOOKUP(B52,'Data World'!$A:$AL,MATCH(World!$M$1,'Data World'!$A$1:$AL$1,))</f>
        <v>5.9</v>
      </c>
      <c r="N52" s="14">
        <f>VLOOKUP(B52,'Data World'!$A:$AL,MATCH(World!$N$1,'Data World'!$A$1:$AL$1,))</f>
        <v>4.9563259999999998</v>
      </c>
      <c r="O52" s="14">
        <f>VLOOKUP(B52,'Data World'!$A:$AL,MATCH(World!$O$1,'Data World'!$A$1:$AL$1,))</f>
        <v>3.8</v>
      </c>
      <c r="P52" s="14">
        <f>VLOOKUP(B52,'Data World'!$A:$AL,MATCH(World!$P$1,'Data World'!$A$1:$AL$1,))</f>
        <v>18.600000000000001</v>
      </c>
      <c r="Q52" s="14">
        <f>VLOOKUP(B52,'Data World'!$A:$AL,MATCH(World!$Q$1,'Data World'!$A$1:$AL$1,))</f>
        <v>5</v>
      </c>
      <c r="R52" s="14">
        <f>VLOOKUP(B52,'Data World'!$A:$AL,MATCH(World!$R$1,'Data World'!$A$1:$AL$1,))</f>
        <v>13.6</v>
      </c>
      <c r="S52" s="14">
        <f>VLOOKUP(B52,'Data World'!$A:$AL,MATCH(World!$S$1,'Data World'!$A$1:$AL$1,))</f>
        <v>1.8</v>
      </c>
      <c r="T52" s="14">
        <f>VLOOKUP(B52,'Data World'!$A:$AL,MATCH(World!$T$1,'Data World'!$A$1:$AL$1,))</f>
        <v>3.8</v>
      </c>
    </row>
    <row r="53" spans="2:20" s="60" customFormat="1" x14ac:dyDescent="0.2">
      <c r="B53" s="13">
        <v>43555</v>
      </c>
      <c r="C53" s="14">
        <f>VLOOKUP(B53,'Data World'!$A:$AL,MATCH(World!$C$1,'Data World'!$A$1:$AL$1,))</f>
        <v>3.8</v>
      </c>
      <c r="D53" s="14">
        <f>VLOOKUP(B53,'Data World'!$A:$AL,MATCH(World!$D$1,'Data World'!$A$1:$AL$1,))</f>
        <v>7.7</v>
      </c>
      <c r="E53" s="14">
        <f>VLOOKUP(B53,'Data World'!$A:$AL,MATCH(World!$E$1,'Data World'!$A$1:$AL$1,))</f>
        <v>2.5</v>
      </c>
      <c r="F53" s="14">
        <f>VLOOKUP(B53,'Data World'!$A:$AL,MATCH(World!$F$1,'Data World'!$A$1:$AL$1,))</f>
        <v>3.2</v>
      </c>
      <c r="G53" s="14">
        <f>VLOOKUP(B53,'Data World'!$A:$AL,MATCH(World!$G$1,'Data World'!$A$1:$AL$1,))</f>
        <v>8.6</v>
      </c>
      <c r="H53" s="14">
        <f>VLOOKUP(B53,'Data World'!$A:$AL,MATCH(World!$H$1,'Data World'!$A$1:$AL$1,))</f>
        <v>3.8302740000000002</v>
      </c>
      <c r="I53" s="14">
        <f>VLOOKUP(B53,'Data World'!$A:$AL,MATCH(World!$I$1,'Data World'!$A$1:$AL$1,))</f>
        <v>10.1</v>
      </c>
      <c r="J53" s="14">
        <f>VLOOKUP(B53,'Data World'!$A:$AL,MATCH(World!$J$1,'Data World'!$A$1:$AL$1,))</f>
        <v>14.2</v>
      </c>
      <c r="K53" s="14">
        <f>VLOOKUP(B53,'Data World'!$A:$AL,MATCH(World!$K$1,'Data World'!$A$1:$AL$1,))</f>
        <v>7.2</v>
      </c>
      <c r="L53" s="14">
        <f>VLOOKUP(B53,'Data World'!$A:$AL,MATCH(World!$L$1,'Data World'!$A$1:$AL$1,))</f>
        <v>3.5569609999999998</v>
      </c>
      <c r="M53" s="14">
        <f>VLOOKUP(B53,'Data World'!$A:$AL,MATCH(World!$M$1,'Data World'!$A$1:$AL$1,))</f>
        <v>5.8</v>
      </c>
      <c r="N53" s="14">
        <f>VLOOKUP(B53,'Data World'!$A:$AL,MATCH(World!$N$1,'Data World'!$A$1:$AL$1,))</f>
        <v>5.0793080000000002</v>
      </c>
      <c r="O53" s="14">
        <f>VLOOKUP(B53,'Data World'!$A:$AL,MATCH(World!$O$1,'Data World'!$A$1:$AL$1,))</f>
        <v>3.8</v>
      </c>
      <c r="P53" s="14">
        <f>VLOOKUP(B53,'Data World'!$A:$AL,MATCH(World!$P$1,'Data World'!$A$1:$AL$1,))</f>
        <v>17.8</v>
      </c>
      <c r="Q53" s="14">
        <f>VLOOKUP(B53,'Data World'!$A:$AL,MATCH(World!$Q$1,'Data World'!$A$1:$AL$1,))</f>
        <v>5.0999999999999996</v>
      </c>
      <c r="R53" s="14">
        <f>VLOOKUP(B53,'Data World'!$A:$AL,MATCH(World!$R$1,'Data World'!$A$1:$AL$1,))</f>
        <v>13.8</v>
      </c>
      <c r="S53" s="14">
        <f>VLOOKUP(B53,'Data World'!$A:$AL,MATCH(World!$S$1,'Data World'!$A$1:$AL$1,))</f>
        <v>2</v>
      </c>
      <c r="T53" s="14">
        <f>VLOOKUP(B53,'Data World'!$A:$AL,MATCH(World!$T$1,'Data World'!$A$1:$AL$1,))</f>
        <v>3.6</v>
      </c>
    </row>
    <row r="54" spans="2:20" s="60" customFormat="1" x14ac:dyDescent="0.2">
      <c r="B54" s="13">
        <v>43585</v>
      </c>
      <c r="C54" s="14">
        <f>VLOOKUP(B54,'Data World'!$A:$AL,MATCH(World!$C$1,'Data World'!$A$1:$AL$1,))</f>
        <v>3.7</v>
      </c>
      <c r="D54" s="14">
        <f>VLOOKUP(B54,'Data World'!$A:$AL,MATCH(World!$D$1,'Data World'!$A$1:$AL$1,))</f>
        <v>7.7</v>
      </c>
      <c r="E54" s="14">
        <f>VLOOKUP(B54,'Data World'!$A:$AL,MATCH(World!$E$1,'Data World'!$A$1:$AL$1,))</f>
        <v>2.4</v>
      </c>
      <c r="F54" s="14">
        <f>VLOOKUP(B54,'Data World'!$A:$AL,MATCH(World!$F$1,'Data World'!$A$1:$AL$1,))</f>
        <v>3.1</v>
      </c>
      <c r="G54" s="14">
        <f>VLOOKUP(B54,'Data World'!$A:$AL,MATCH(World!$G$1,'Data World'!$A$1:$AL$1,))</f>
        <v>8.5</v>
      </c>
      <c r="H54" s="14">
        <f>VLOOKUP(B54,'Data World'!$A:$AL,MATCH(World!$H$1,'Data World'!$A$1:$AL$1,))</f>
        <v>3.7956110000000001</v>
      </c>
      <c r="I54" s="14">
        <f>VLOOKUP(B54,'Data World'!$A:$AL,MATCH(World!$I$1,'Data World'!$A$1:$AL$1,))</f>
        <v>10.4</v>
      </c>
      <c r="J54" s="14">
        <f>VLOOKUP(B54,'Data World'!$A:$AL,MATCH(World!$J$1,'Data World'!$A$1:$AL$1,))</f>
        <v>14.2</v>
      </c>
      <c r="K54" s="14">
        <f>VLOOKUP(B54,'Data World'!$A:$AL,MATCH(World!$K$1,'Data World'!$A$1:$AL$1,))</f>
        <v>6.4</v>
      </c>
      <c r="L54" s="14">
        <f>VLOOKUP(B54,'Data World'!$A:$AL,MATCH(World!$L$1,'Data World'!$A$1:$AL$1,))</f>
        <v>3.5750660000000001</v>
      </c>
      <c r="M54" s="14">
        <f>VLOOKUP(B54,'Data World'!$A:$AL,MATCH(World!$M$1,'Data World'!$A$1:$AL$1,))</f>
        <v>5.8</v>
      </c>
      <c r="N54" s="14">
        <f>VLOOKUP(B54,'Data World'!$A:$AL,MATCH(World!$N$1,'Data World'!$A$1:$AL$1,))</f>
        <v>5.2166769999999998</v>
      </c>
      <c r="O54" s="14">
        <f>VLOOKUP(B54,'Data World'!$A:$AL,MATCH(World!$O$1,'Data World'!$A$1:$AL$1,))</f>
        <v>4</v>
      </c>
      <c r="P54" s="14">
        <f>VLOOKUP(B54,'Data World'!$A:$AL,MATCH(World!$P$1,'Data World'!$A$1:$AL$1,))</f>
        <v>17.899999999999999</v>
      </c>
      <c r="Q54" s="14">
        <f>VLOOKUP(B54,'Data World'!$A:$AL,MATCH(World!$Q$1,'Data World'!$A$1:$AL$1,))</f>
        <v>5.3</v>
      </c>
      <c r="R54" s="14">
        <f>VLOOKUP(B54,'Data World'!$A:$AL,MATCH(World!$R$1,'Data World'!$A$1:$AL$1,))</f>
        <v>13.8</v>
      </c>
      <c r="S54" s="14">
        <f>VLOOKUP(B54,'Data World'!$A:$AL,MATCH(World!$S$1,'Data World'!$A$1:$AL$1,))</f>
        <v>2.1</v>
      </c>
      <c r="T54" s="14">
        <f>VLOOKUP(B54,'Data World'!$A:$AL,MATCH(World!$T$1,'Data World'!$A$1:$AL$1,))</f>
        <v>3.4</v>
      </c>
    </row>
    <row r="55" spans="2:20" s="60" customFormat="1" x14ac:dyDescent="0.2">
      <c r="B55" s="13">
        <v>43616</v>
      </c>
      <c r="C55" s="14">
        <f>VLOOKUP(B55,'Data World'!$A:$AL,MATCH(World!$C$1,'Data World'!$A$1:$AL$1,))</f>
        <v>3.7</v>
      </c>
      <c r="D55" s="14">
        <f>VLOOKUP(B55,'Data World'!$A:$AL,MATCH(World!$D$1,'Data World'!$A$1:$AL$1,))</f>
        <v>7.6</v>
      </c>
      <c r="E55" s="14">
        <f>VLOOKUP(B55,'Data World'!$A:$AL,MATCH(World!$E$1,'Data World'!$A$1:$AL$1,))</f>
        <v>2.2999999999999998</v>
      </c>
      <c r="F55" s="14">
        <f>VLOOKUP(B55,'Data World'!$A:$AL,MATCH(World!$F$1,'Data World'!$A$1:$AL$1,))</f>
        <v>3.1</v>
      </c>
      <c r="G55" s="14">
        <f>VLOOKUP(B55,'Data World'!$A:$AL,MATCH(World!$G$1,'Data World'!$A$1:$AL$1,))</f>
        <v>8.5</v>
      </c>
      <c r="H55" s="14">
        <f>VLOOKUP(B55,'Data World'!$A:$AL,MATCH(World!$H$1,'Data World'!$A$1:$AL$1,))</f>
        <v>3.8928379999999998</v>
      </c>
      <c r="I55" s="14">
        <f>VLOOKUP(B55,'Data World'!$A:$AL,MATCH(World!$I$1,'Data World'!$A$1:$AL$1,))</f>
        <v>10.1</v>
      </c>
      <c r="J55" s="14">
        <f>VLOOKUP(B55,'Data World'!$A:$AL,MATCH(World!$J$1,'Data World'!$A$1:$AL$1,))</f>
        <v>14.2</v>
      </c>
      <c r="K55" s="14">
        <f>VLOOKUP(B55,'Data World'!$A:$AL,MATCH(World!$K$1,'Data World'!$A$1:$AL$1,))</f>
        <v>6.5</v>
      </c>
      <c r="L55" s="14">
        <f>VLOOKUP(B55,'Data World'!$A:$AL,MATCH(World!$L$1,'Data World'!$A$1:$AL$1,))</f>
        <v>3.6496620000000002</v>
      </c>
      <c r="M55" s="14">
        <f>VLOOKUP(B55,'Data World'!$A:$AL,MATCH(World!$M$1,'Data World'!$A$1:$AL$1,))</f>
        <v>5.4</v>
      </c>
      <c r="N55" s="14">
        <f>VLOOKUP(B55,'Data World'!$A:$AL,MATCH(World!$N$1,'Data World'!$A$1:$AL$1,))</f>
        <v>5.2245879999999998</v>
      </c>
      <c r="O55" s="14">
        <f>VLOOKUP(B55,'Data World'!$A:$AL,MATCH(World!$O$1,'Data World'!$A$1:$AL$1,))</f>
        <v>3.8</v>
      </c>
      <c r="P55" s="14">
        <f>VLOOKUP(B55,'Data World'!$A:$AL,MATCH(World!$P$1,'Data World'!$A$1:$AL$1,))</f>
        <v>17.100000000000001</v>
      </c>
      <c r="Q55" s="14">
        <f>VLOOKUP(B55,'Data World'!$A:$AL,MATCH(World!$Q$1,'Data World'!$A$1:$AL$1,))</f>
        <v>5.3</v>
      </c>
      <c r="R55" s="14">
        <f>VLOOKUP(B55,'Data World'!$A:$AL,MATCH(World!$R$1,'Data World'!$A$1:$AL$1,))</f>
        <v>13.9</v>
      </c>
      <c r="S55" s="14">
        <f>VLOOKUP(B55,'Data World'!$A:$AL,MATCH(World!$S$1,'Data World'!$A$1:$AL$1,))</f>
        <v>2.1</v>
      </c>
      <c r="T55" s="14">
        <f>VLOOKUP(B55,'Data World'!$A:$AL,MATCH(World!$T$1,'Data World'!$A$1:$AL$1,))</f>
        <v>3.3</v>
      </c>
    </row>
    <row r="56" spans="2:20" s="60" customFormat="1" x14ac:dyDescent="0.2">
      <c r="B56" s="13">
        <v>43646</v>
      </c>
      <c r="C56" s="14">
        <f>VLOOKUP(B56,'Data World'!$A:$AL,MATCH(World!$C$1,'Data World'!$A$1:$AL$1,))</f>
        <v>3.6</v>
      </c>
      <c r="D56" s="14">
        <f>VLOOKUP(B56,'Data World'!$A:$AL,MATCH(World!$D$1,'Data World'!$A$1:$AL$1,))</f>
        <v>7.5</v>
      </c>
      <c r="E56" s="14">
        <f>VLOOKUP(B56,'Data World'!$A:$AL,MATCH(World!$E$1,'Data World'!$A$1:$AL$1,))</f>
        <v>2.2999999999999998</v>
      </c>
      <c r="F56" s="14">
        <f>VLOOKUP(B56,'Data World'!$A:$AL,MATCH(World!$F$1,'Data World'!$A$1:$AL$1,))</f>
        <v>3</v>
      </c>
      <c r="G56" s="14">
        <f>VLOOKUP(B56,'Data World'!$A:$AL,MATCH(World!$G$1,'Data World'!$A$1:$AL$1,))</f>
        <v>8.5</v>
      </c>
      <c r="H56" s="14">
        <f>VLOOKUP(B56,'Data World'!$A:$AL,MATCH(World!$H$1,'Data World'!$A$1:$AL$1,))</f>
        <v>3.7970489999999999</v>
      </c>
      <c r="I56" s="14">
        <f>VLOOKUP(B56,'Data World'!$A:$AL,MATCH(World!$I$1,'Data World'!$A$1:$AL$1,))</f>
        <v>9.6999999999999993</v>
      </c>
      <c r="J56" s="14">
        <f>VLOOKUP(B56,'Data World'!$A:$AL,MATCH(World!$J$1,'Data World'!$A$1:$AL$1,))</f>
        <v>14.2</v>
      </c>
      <c r="K56" s="14">
        <f>VLOOKUP(B56,'Data World'!$A:$AL,MATCH(World!$K$1,'Data World'!$A$1:$AL$1,))</f>
        <v>6.4</v>
      </c>
      <c r="L56" s="14">
        <f>VLOOKUP(B56,'Data World'!$A:$AL,MATCH(World!$L$1,'Data World'!$A$1:$AL$1,))</f>
        <v>3.525531</v>
      </c>
      <c r="M56" s="14">
        <f>VLOOKUP(B56,'Data World'!$A:$AL,MATCH(World!$M$1,'Data World'!$A$1:$AL$1,))</f>
        <v>5.6</v>
      </c>
      <c r="N56" s="14">
        <f>VLOOKUP(B56,'Data World'!$A:$AL,MATCH(World!$N$1,'Data World'!$A$1:$AL$1,))</f>
        <v>5.248259</v>
      </c>
      <c r="O56" s="14">
        <f>VLOOKUP(B56,'Data World'!$A:$AL,MATCH(World!$O$1,'Data World'!$A$1:$AL$1,))</f>
        <v>3.9</v>
      </c>
      <c r="P56" s="14">
        <f>VLOOKUP(B56,'Data World'!$A:$AL,MATCH(World!$P$1,'Data World'!$A$1:$AL$1,))</f>
        <v>16.899999999999999</v>
      </c>
      <c r="Q56" s="14">
        <f>VLOOKUP(B56,'Data World'!$A:$AL,MATCH(World!$Q$1,'Data World'!$A$1:$AL$1,))</f>
        <v>5.2</v>
      </c>
      <c r="R56" s="14">
        <f>VLOOKUP(B56,'Data World'!$A:$AL,MATCH(World!$R$1,'Data World'!$A$1:$AL$1,))</f>
        <v>13.9</v>
      </c>
      <c r="S56" s="14">
        <f>VLOOKUP(B56,'Data World'!$A:$AL,MATCH(World!$S$1,'Data World'!$A$1:$AL$1,))</f>
        <v>1.8</v>
      </c>
      <c r="T56" s="14">
        <f>VLOOKUP(B56,'Data World'!$A:$AL,MATCH(World!$T$1,'Data World'!$A$1:$AL$1,))</f>
        <v>3.3</v>
      </c>
    </row>
    <row r="57" spans="2:20" s="60" customFormat="1" x14ac:dyDescent="0.2">
      <c r="B57" s="13">
        <v>43677</v>
      </c>
      <c r="C57" s="14">
        <f>VLOOKUP(B57,'Data World'!$A:$AL,MATCH(World!$C$1,'Data World'!$A$1:$AL$1,))</f>
        <v>3.6</v>
      </c>
      <c r="D57" s="14">
        <f>VLOOKUP(B57,'Data World'!$A:$AL,MATCH(World!$D$1,'Data World'!$A$1:$AL$1,))</f>
        <v>7.5</v>
      </c>
      <c r="E57" s="14">
        <f>VLOOKUP(B57,'Data World'!$A:$AL,MATCH(World!$E$1,'Data World'!$A$1:$AL$1,))</f>
        <v>2.2999999999999998</v>
      </c>
      <c r="F57" s="14">
        <f>VLOOKUP(B57,'Data World'!$A:$AL,MATCH(World!$F$1,'Data World'!$A$1:$AL$1,))</f>
        <v>3</v>
      </c>
      <c r="G57" s="14">
        <f>VLOOKUP(B57,'Data World'!$A:$AL,MATCH(World!$G$1,'Data World'!$A$1:$AL$1,))</f>
        <v>8.5</v>
      </c>
      <c r="H57" s="14">
        <f>VLOOKUP(B57,'Data World'!$A:$AL,MATCH(World!$H$1,'Data World'!$A$1:$AL$1,))</f>
        <v>3.8627410000000002</v>
      </c>
      <c r="I57" s="14">
        <f>VLOOKUP(B57,'Data World'!$A:$AL,MATCH(World!$I$1,'Data World'!$A$1:$AL$1,))</f>
        <v>9.6999999999999993</v>
      </c>
      <c r="J57" s="14">
        <f>VLOOKUP(B57,'Data World'!$A:$AL,MATCH(World!$J$1,'Data World'!$A$1:$AL$1,))</f>
        <v>14.3</v>
      </c>
      <c r="K57" s="14">
        <f>VLOOKUP(B57,'Data World'!$A:$AL,MATCH(World!$K$1,'Data World'!$A$1:$AL$1,))</f>
        <v>7</v>
      </c>
      <c r="L57" s="14">
        <f>VLOOKUP(B57,'Data World'!$A:$AL,MATCH(World!$L$1,'Data World'!$A$1:$AL$1,))</f>
        <v>3.4794489999999998</v>
      </c>
      <c r="M57" s="14">
        <f>VLOOKUP(B57,'Data World'!$A:$AL,MATCH(World!$M$1,'Data World'!$A$1:$AL$1,))</f>
        <v>5.8</v>
      </c>
      <c r="N57" s="14">
        <f>VLOOKUP(B57,'Data World'!$A:$AL,MATCH(World!$N$1,'Data World'!$A$1:$AL$1,))</f>
        <v>5.2455230000000004</v>
      </c>
      <c r="O57" s="14">
        <f>VLOOKUP(B57,'Data World'!$A:$AL,MATCH(World!$O$1,'Data World'!$A$1:$AL$1,))</f>
        <v>3.9</v>
      </c>
      <c r="P57" s="14">
        <f>VLOOKUP(B57,'Data World'!$A:$AL,MATCH(World!$P$1,'Data World'!$A$1:$AL$1,))</f>
        <v>17.2</v>
      </c>
      <c r="Q57" s="14">
        <f>VLOOKUP(B57,'Data World'!$A:$AL,MATCH(World!$Q$1,'Data World'!$A$1:$AL$1,))</f>
        <v>5</v>
      </c>
      <c r="R57" s="14">
        <f>VLOOKUP(B57,'Data World'!$A:$AL,MATCH(World!$R$1,'Data World'!$A$1:$AL$1,))</f>
        <v>14.2</v>
      </c>
      <c r="S57" s="14">
        <f>VLOOKUP(B57,'Data World'!$A:$AL,MATCH(World!$S$1,'Data World'!$A$1:$AL$1,))</f>
        <v>2.1</v>
      </c>
      <c r="T57" s="14">
        <f>VLOOKUP(B57,'Data World'!$A:$AL,MATCH(World!$T$1,'Data World'!$A$1:$AL$1,))</f>
        <v>3.2</v>
      </c>
    </row>
    <row r="58" spans="2:20" s="60" customFormat="1" x14ac:dyDescent="0.2">
      <c r="B58" s="13">
        <v>43708</v>
      </c>
      <c r="C58" s="14">
        <f>VLOOKUP(B58,'Data World'!$A:$AL,MATCH(World!$C$1,'Data World'!$A$1:$AL$1,))</f>
        <v>3.7</v>
      </c>
      <c r="D58" s="14">
        <f>VLOOKUP(B58,'Data World'!$A:$AL,MATCH(World!$D$1,'Data World'!$A$1:$AL$1,))</f>
        <v>7.5</v>
      </c>
      <c r="E58" s="14">
        <f>VLOOKUP(B58,'Data World'!$A:$AL,MATCH(World!$E$1,'Data World'!$A$1:$AL$1,))</f>
        <v>2.2999999999999998</v>
      </c>
      <c r="F58" s="14">
        <f>VLOOKUP(B58,'Data World'!$A:$AL,MATCH(World!$F$1,'Data World'!$A$1:$AL$1,))</f>
        <v>3</v>
      </c>
      <c r="G58" s="14">
        <f>VLOOKUP(B58,'Data World'!$A:$AL,MATCH(World!$G$1,'Data World'!$A$1:$AL$1,))</f>
        <v>8.5</v>
      </c>
      <c r="H58" s="14">
        <f>VLOOKUP(B58,'Data World'!$A:$AL,MATCH(World!$H$1,'Data World'!$A$1:$AL$1,))</f>
        <v>3.8331979999999999</v>
      </c>
      <c r="I58" s="14">
        <f>VLOOKUP(B58,'Data World'!$A:$AL,MATCH(World!$I$1,'Data World'!$A$1:$AL$1,))</f>
        <v>9.6</v>
      </c>
      <c r="J58" s="14">
        <f>VLOOKUP(B58,'Data World'!$A:$AL,MATCH(World!$J$1,'Data World'!$A$1:$AL$1,))</f>
        <v>14.3</v>
      </c>
      <c r="K58" s="14">
        <f>VLOOKUP(B58,'Data World'!$A:$AL,MATCH(World!$K$1,'Data World'!$A$1:$AL$1,))</f>
        <v>7.1</v>
      </c>
      <c r="L58" s="14">
        <f>VLOOKUP(B58,'Data World'!$A:$AL,MATCH(World!$L$1,'Data World'!$A$1:$AL$1,))</f>
        <v>3.5048379999999999</v>
      </c>
      <c r="M58" s="14">
        <f>VLOOKUP(B58,'Data World'!$A:$AL,MATCH(World!$M$1,'Data World'!$A$1:$AL$1,))</f>
        <v>5.8</v>
      </c>
      <c r="N58" s="14">
        <f>VLOOKUP(B58,'Data World'!$A:$AL,MATCH(World!$N$1,'Data World'!$A$1:$AL$1,))</f>
        <v>5.2444740000000003</v>
      </c>
      <c r="O58" s="14">
        <f>VLOOKUP(B58,'Data World'!$A:$AL,MATCH(World!$O$1,'Data World'!$A$1:$AL$1,))</f>
        <v>3.2</v>
      </c>
      <c r="P58" s="14">
        <f>VLOOKUP(B58,'Data World'!$A:$AL,MATCH(World!$P$1,'Data World'!$A$1:$AL$1,))</f>
        <v>16.7</v>
      </c>
      <c r="Q58" s="14">
        <f>VLOOKUP(B58,'Data World'!$A:$AL,MATCH(World!$Q$1,'Data World'!$A$1:$AL$1,))</f>
        <v>4.8</v>
      </c>
      <c r="R58" s="14">
        <f>VLOOKUP(B58,'Data World'!$A:$AL,MATCH(World!$R$1,'Data World'!$A$1:$AL$1,))</f>
        <v>14.1</v>
      </c>
      <c r="S58" s="14">
        <f>VLOOKUP(B58,'Data World'!$A:$AL,MATCH(World!$S$1,'Data World'!$A$1:$AL$1,))</f>
        <v>2.1</v>
      </c>
      <c r="T58" s="14">
        <f>VLOOKUP(B58,'Data World'!$A:$AL,MATCH(World!$T$1,'Data World'!$A$1:$AL$1,))</f>
        <v>3.1</v>
      </c>
    </row>
    <row r="59" spans="2:20" s="60" customFormat="1" x14ac:dyDescent="0.2">
      <c r="B59" s="13">
        <v>43738</v>
      </c>
      <c r="C59" s="14">
        <f>VLOOKUP(B59,'Data World'!$A:$AL,MATCH(World!$C$1,'Data World'!$A$1:$AL$1,))</f>
        <v>3.5</v>
      </c>
      <c r="D59" s="14">
        <f>VLOOKUP(B59,'Data World'!$A:$AL,MATCH(World!$D$1,'Data World'!$A$1:$AL$1,))</f>
        <v>7.5</v>
      </c>
      <c r="E59" s="14">
        <f>VLOOKUP(B59,'Data World'!$A:$AL,MATCH(World!$E$1,'Data World'!$A$1:$AL$1,))</f>
        <v>2.4</v>
      </c>
      <c r="F59" s="14">
        <f>VLOOKUP(B59,'Data World'!$A:$AL,MATCH(World!$F$1,'Data World'!$A$1:$AL$1,))</f>
        <v>3.1</v>
      </c>
      <c r="G59" s="14">
        <f>VLOOKUP(B59,'Data World'!$A:$AL,MATCH(World!$G$1,'Data World'!$A$1:$AL$1,))</f>
        <v>8.4</v>
      </c>
      <c r="H59" s="14">
        <f>VLOOKUP(B59,'Data World'!$A:$AL,MATCH(World!$H$1,'Data World'!$A$1:$AL$1,))</f>
        <v>3.7571340000000002</v>
      </c>
      <c r="I59" s="14">
        <f>VLOOKUP(B59,'Data World'!$A:$AL,MATCH(World!$I$1,'Data World'!$A$1:$AL$1,))</f>
        <v>9.8000000000000007</v>
      </c>
      <c r="J59" s="14">
        <f>VLOOKUP(B59,'Data World'!$A:$AL,MATCH(World!$J$1,'Data World'!$A$1:$AL$1,))</f>
        <v>14.1</v>
      </c>
      <c r="K59" s="14">
        <f>VLOOKUP(B59,'Data World'!$A:$AL,MATCH(World!$K$1,'Data World'!$A$1:$AL$1,))</f>
        <v>6.7</v>
      </c>
      <c r="L59" s="14">
        <f>VLOOKUP(B59,'Data World'!$A:$AL,MATCH(World!$L$1,'Data World'!$A$1:$AL$1,))</f>
        <v>3.5184679999999999</v>
      </c>
      <c r="M59" s="14">
        <f>VLOOKUP(B59,'Data World'!$A:$AL,MATCH(World!$M$1,'Data World'!$A$1:$AL$1,))</f>
        <v>5.6</v>
      </c>
      <c r="N59" s="14">
        <f>VLOOKUP(B59,'Data World'!$A:$AL,MATCH(World!$N$1,'Data World'!$A$1:$AL$1,))</f>
        <v>5.1993130000000001</v>
      </c>
      <c r="O59" s="14">
        <f>VLOOKUP(B59,'Data World'!$A:$AL,MATCH(World!$O$1,'Data World'!$A$1:$AL$1,))</f>
        <v>3.5</v>
      </c>
      <c r="P59" s="14">
        <f>VLOOKUP(B59,'Data World'!$A:$AL,MATCH(World!$P$1,'Data World'!$A$1:$AL$1,))</f>
        <v>16.7</v>
      </c>
      <c r="Q59" s="14">
        <f>VLOOKUP(B59,'Data World'!$A:$AL,MATCH(World!$Q$1,'Data World'!$A$1:$AL$1,))</f>
        <v>4.7</v>
      </c>
      <c r="R59" s="14">
        <f>VLOOKUP(B59,'Data World'!$A:$AL,MATCH(World!$R$1,'Data World'!$A$1:$AL$1,))</f>
        <v>13.9</v>
      </c>
      <c r="S59" s="14">
        <f>VLOOKUP(B59,'Data World'!$A:$AL,MATCH(World!$S$1,'Data World'!$A$1:$AL$1,))</f>
        <v>2</v>
      </c>
      <c r="T59" s="14">
        <f>VLOOKUP(B59,'Data World'!$A:$AL,MATCH(World!$T$1,'Data World'!$A$1:$AL$1,))</f>
        <v>3.1</v>
      </c>
    </row>
    <row r="60" spans="2:20" s="60" customFormat="1" x14ac:dyDescent="0.2">
      <c r="B60" s="13">
        <v>43769</v>
      </c>
      <c r="C60" s="14">
        <f>VLOOKUP(B60,'Data World'!$A:$AL,MATCH(World!$C$1,'Data World'!$A$1:$AL$1,))</f>
        <v>3.6</v>
      </c>
      <c r="D60" s="14">
        <f>VLOOKUP(B60,'Data World'!$A:$AL,MATCH(World!$D$1,'Data World'!$A$1:$AL$1,))</f>
        <v>7.4</v>
      </c>
      <c r="E60" s="14">
        <f>VLOOKUP(B60,'Data World'!$A:$AL,MATCH(World!$E$1,'Data World'!$A$1:$AL$1,))</f>
        <v>2.4</v>
      </c>
      <c r="F60" s="14">
        <f>VLOOKUP(B60,'Data World'!$A:$AL,MATCH(World!$F$1,'Data World'!$A$1:$AL$1,))</f>
        <v>3.1</v>
      </c>
      <c r="G60" s="14">
        <f>VLOOKUP(B60,'Data World'!$A:$AL,MATCH(World!$G$1,'Data World'!$A$1:$AL$1,))</f>
        <v>8.3000000000000007</v>
      </c>
      <c r="H60" s="14">
        <f>VLOOKUP(B60,'Data World'!$A:$AL,MATCH(World!$H$1,'Data World'!$A$1:$AL$1,))</f>
        <v>3.8185630000000002</v>
      </c>
      <c r="I60" s="14">
        <f>VLOOKUP(B60,'Data World'!$A:$AL,MATCH(World!$I$1,'Data World'!$A$1:$AL$1,))</f>
        <v>9.6999999999999993</v>
      </c>
      <c r="J60" s="14">
        <f>VLOOKUP(B60,'Data World'!$A:$AL,MATCH(World!$J$1,'Data World'!$A$1:$AL$1,))</f>
        <v>14</v>
      </c>
      <c r="K60" s="14">
        <f>VLOOKUP(B60,'Data World'!$A:$AL,MATCH(World!$K$1,'Data World'!$A$1:$AL$1,))</f>
        <v>6.8</v>
      </c>
      <c r="L60" s="14">
        <f>VLOOKUP(B60,'Data World'!$A:$AL,MATCH(World!$L$1,'Data World'!$A$1:$AL$1,))</f>
        <v>3.5713599999999999</v>
      </c>
      <c r="M60" s="14">
        <f>VLOOKUP(B60,'Data World'!$A:$AL,MATCH(World!$M$1,'Data World'!$A$1:$AL$1,))</f>
        <v>5.6</v>
      </c>
      <c r="N60" s="14">
        <f>VLOOKUP(B60,'Data World'!$A:$AL,MATCH(World!$N$1,'Data World'!$A$1:$AL$1,))</f>
        <v>5.2977809999999996</v>
      </c>
      <c r="O60" s="14">
        <f>VLOOKUP(B60,'Data World'!$A:$AL,MATCH(World!$O$1,'Data World'!$A$1:$AL$1,))</f>
        <v>3.5</v>
      </c>
      <c r="P60" s="14">
        <f>VLOOKUP(B60,'Data World'!$A:$AL,MATCH(World!$P$1,'Data World'!$A$1:$AL$1,))</f>
        <v>16.899999999999999</v>
      </c>
      <c r="Q60" s="14">
        <f>VLOOKUP(B60,'Data World'!$A:$AL,MATCH(World!$Q$1,'Data World'!$A$1:$AL$1,))</f>
        <v>4.5999999999999996</v>
      </c>
      <c r="R60" s="14">
        <f>VLOOKUP(B60,'Data World'!$A:$AL,MATCH(World!$R$1,'Data World'!$A$1:$AL$1,))</f>
        <v>13.6</v>
      </c>
      <c r="S60" s="14">
        <f>VLOOKUP(B60,'Data World'!$A:$AL,MATCH(World!$S$1,'Data World'!$A$1:$AL$1,))</f>
        <v>2.2000000000000002</v>
      </c>
      <c r="T60" s="14">
        <f>VLOOKUP(B60,'Data World'!$A:$AL,MATCH(World!$T$1,'Data World'!$A$1:$AL$1,))</f>
        <v>3</v>
      </c>
    </row>
    <row r="61" spans="2:20" s="60" customFormat="1" x14ac:dyDescent="0.2">
      <c r="B61" s="13">
        <v>43799</v>
      </c>
      <c r="C61" s="14">
        <f>VLOOKUP(B61,'Data World'!$A:$AL,MATCH(World!$C$1,'Data World'!$A$1:$AL$1,))</f>
        <v>3.6</v>
      </c>
      <c r="D61" s="14">
        <f>VLOOKUP(B61,'Data World'!$A:$AL,MATCH(World!$D$1,'Data World'!$A$1:$AL$1,))</f>
        <v>7.4</v>
      </c>
      <c r="E61" s="14">
        <f>VLOOKUP(B61,'Data World'!$A:$AL,MATCH(World!$E$1,'Data World'!$A$1:$AL$1,))</f>
        <v>2.2999999999999998</v>
      </c>
      <c r="F61" s="14">
        <f>VLOOKUP(B61,'Data World'!$A:$AL,MATCH(World!$F$1,'Data World'!$A$1:$AL$1,))</f>
        <v>3.2</v>
      </c>
      <c r="G61" s="14">
        <f>VLOOKUP(B61,'Data World'!$A:$AL,MATCH(World!$G$1,'Data World'!$A$1:$AL$1,))</f>
        <v>8.1999999999999993</v>
      </c>
      <c r="H61" s="14">
        <f>VLOOKUP(B61,'Data World'!$A:$AL,MATCH(World!$H$1,'Data World'!$A$1:$AL$1,))</f>
        <v>3.768513</v>
      </c>
      <c r="I61" s="14">
        <f>VLOOKUP(B61,'Data World'!$A:$AL,MATCH(World!$I$1,'Data World'!$A$1:$AL$1,))</f>
        <v>9.9</v>
      </c>
      <c r="J61" s="14">
        <f>VLOOKUP(B61,'Data World'!$A:$AL,MATCH(World!$J$1,'Data World'!$A$1:$AL$1,))</f>
        <v>13.8</v>
      </c>
      <c r="K61" s="14">
        <f>VLOOKUP(B61,'Data World'!$A:$AL,MATCH(World!$K$1,'Data World'!$A$1:$AL$1,))</f>
        <v>7.5</v>
      </c>
      <c r="L61" s="14">
        <f>VLOOKUP(B61,'Data World'!$A:$AL,MATCH(World!$L$1,'Data World'!$A$1:$AL$1,))</f>
        <v>3.545963</v>
      </c>
      <c r="M61" s="14">
        <f>VLOOKUP(B61,'Data World'!$A:$AL,MATCH(World!$M$1,'Data World'!$A$1:$AL$1,))</f>
        <v>5.9</v>
      </c>
      <c r="N61" s="14">
        <f>VLOOKUP(B61,'Data World'!$A:$AL,MATCH(World!$N$1,'Data World'!$A$1:$AL$1,))</f>
        <v>5.1394510000000002</v>
      </c>
      <c r="O61" s="14">
        <f>VLOOKUP(B61,'Data World'!$A:$AL,MATCH(World!$O$1,'Data World'!$A$1:$AL$1,))</f>
        <v>3.7</v>
      </c>
      <c r="P61" s="14">
        <f>VLOOKUP(B61,'Data World'!$A:$AL,MATCH(World!$P$1,'Data World'!$A$1:$AL$1,))</f>
        <v>16.600000000000001</v>
      </c>
      <c r="Q61" s="14">
        <f>VLOOKUP(B61,'Data World'!$A:$AL,MATCH(World!$Q$1,'Data World'!$A$1:$AL$1,))</f>
        <v>4.7</v>
      </c>
      <c r="R61" s="14">
        <f>VLOOKUP(B61,'Data World'!$A:$AL,MATCH(World!$R$1,'Data World'!$A$1:$AL$1,))</f>
        <v>13.2</v>
      </c>
      <c r="S61" s="14">
        <f>VLOOKUP(B61,'Data World'!$A:$AL,MATCH(World!$S$1,'Data World'!$A$1:$AL$1,))</f>
        <v>2.1</v>
      </c>
      <c r="T61" s="14">
        <f>VLOOKUP(B61,'Data World'!$A:$AL,MATCH(World!$T$1,'Data World'!$A$1:$AL$1,))</f>
        <v>2.9</v>
      </c>
    </row>
    <row r="62" spans="2:20" s="60" customFormat="1" x14ac:dyDescent="0.2">
      <c r="B62" s="13">
        <v>43830</v>
      </c>
      <c r="C62" s="14">
        <f>VLOOKUP(B62,'Data World'!$A:$AL,MATCH(World!$C$1,'Data World'!$A$1:$AL$1,))</f>
        <v>3.6</v>
      </c>
      <c r="D62" s="14">
        <f>VLOOKUP(B62,'Data World'!$A:$AL,MATCH(World!$D$1,'Data World'!$A$1:$AL$1,))</f>
        <v>7.4</v>
      </c>
      <c r="E62" s="14">
        <f>VLOOKUP(B62,'Data World'!$A:$AL,MATCH(World!$E$1,'Data World'!$A$1:$AL$1,))</f>
        <v>2.2000000000000002</v>
      </c>
      <c r="F62" s="14">
        <f>VLOOKUP(B62,'Data World'!$A:$AL,MATCH(World!$F$1,'Data World'!$A$1:$AL$1,))</f>
        <v>3.3</v>
      </c>
      <c r="G62" s="14">
        <f>VLOOKUP(B62,'Data World'!$A:$AL,MATCH(World!$G$1,'Data World'!$A$1:$AL$1,))</f>
        <v>8.1999999999999993</v>
      </c>
      <c r="H62" s="14">
        <f>VLOOKUP(B62,'Data World'!$A:$AL,MATCH(World!$H$1,'Data World'!$A$1:$AL$1,))</f>
        <v>3.912849</v>
      </c>
      <c r="I62" s="14">
        <f>VLOOKUP(B62,'Data World'!$A:$AL,MATCH(World!$I$1,'Data World'!$A$1:$AL$1,))</f>
        <v>9.9</v>
      </c>
      <c r="J62" s="14">
        <f>VLOOKUP(B62,'Data World'!$A:$AL,MATCH(World!$J$1,'Data World'!$A$1:$AL$1,))</f>
        <v>13.7</v>
      </c>
      <c r="K62" s="14">
        <f>VLOOKUP(B62,'Data World'!$A:$AL,MATCH(World!$K$1,'Data World'!$A$1:$AL$1,))</f>
        <v>6.7</v>
      </c>
      <c r="L62" s="14">
        <f>VLOOKUP(B62,'Data World'!$A:$AL,MATCH(World!$L$1,'Data World'!$A$1:$AL$1,))</f>
        <v>3.2463090000000001</v>
      </c>
      <c r="M62" s="14">
        <f>VLOOKUP(B62,'Data World'!$A:$AL,MATCH(World!$M$1,'Data World'!$A$1:$AL$1,))</f>
        <v>5.7</v>
      </c>
      <c r="N62" s="14">
        <f>VLOOKUP(B62,'Data World'!$A:$AL,MATCH(World!$N$1,'Data World'!$A$1:$AL$1,))</f>
        <v>5.0500569999999998</v>
      </c>
      <c r="O62" s="14">
        <f>VLOOKUP(B62,'Data World'!$A:$AL,MATCH(World!$O$1,'Data World'!$A$1:$AL$1,))</f>
        <v>3.7</v>
      </c>
      <c r="P62" s="14">
        <f>VLOOKUP(B62,'Data World'!$A:$AL,MATCH(World!$P$1,'Data World'!$A$1:$AL$1,))</f>
        <v>16.399999999999999</v>
      </c>
      <c r="Q62" s="14">
        <f>VLOOKUP(B62,'Data World'!$A:$AL,MATCH(World!$Q$1,'Data World'!$A$1:$AL$1,))</f>
        <v>4.8</v>
      </c>
      <c r="R62" s="14">
        <f>VLOOKUP(B62,'Data World'!$A:$AL,MATCH(World!$R$1,'Data World'!$A$1:$AL$1,))</f>
        <v>13.1</v>
      </c>
      <c r="S62" s="14">
        <f>VLOOKUP(B62,'Data World'!$A:$AL,MATCH(World!$S$1,'Data World'!$A$1:$AL$1,))</f>
        <v>2</v>
      </c>
      <c r="T62" s="14">
        <f>VLOOKUP(B62,'Data World'!$A:$AL,MATCH(World!$T$1,'Data World'!$A$1:$AL$1,))</f>
        <v>2.9</v>
      </c>
    </row>
    <row r="63" spans="2:20" s="60" customFormat="1" x14ac:dyDescent="0.2">
      <c r="B63" s="13">
        <v>43861</v>
      </c>
      <c r="C63" s="14">
        <f>VLOOKUP(B63,'Data World'!$A:$AL,MATCH(World!$C$1,'Data World'!$A$1:$AL$1,))</f>
        <v>3.5</v>
      </c>
      <c r="D63" s="14">
        <f>VLOOKUP(B63,'Data World'!$A:$AL,MATCH(World!$D$1,'Data World'!$A$1:$AL$1,))</f>
        <v>7.5</v>
      </c>
      <c r="E63" s="14">
        <f>VLOOKUP(B63,'Data World'!$A:$AL,MATCH(World!$E$1,'Data World'!$A$1:$AL$1,))</f>
        <v>2.4</v>
      </c>
      <c r="F63" s="14">
        <f>VLOOKUP(B63,'Data World'!$A:$AL,MATCH(World!$F$1,'Data World'!$A$1:$AL$1,))</f>
        <v>3.4</v>
      </c>
      <c r="G63" s="14">
        <f>VLOOKUP(B63,'Data World'!$A:$AL,MATCH(World!$G$1,'Data World'!$A$1:$AL$1,))</f>
        <v>8.1999999999999993</v>
      </c>
      <c r="H63" s="14">
        <f>VLOOKUP(B63,'Data World'!$A:$AL,MATCH(World!$H$1,'Data World'!$A$1:$AL$1,))</f>
        <v>3.9612129999999999</v>
      </c>
      <c r="I63" s="14">
        <f>VLOOKUP(B63,'Data World'!$A:$AL,MATCH(World!$I$1,'Data World'!$A$1:$AL$1,))</f>
        <v>9.6999999999999993</v>
      </c>
      <c r="J63" s="14">
        <f>VLOOKUP(B63,'Data World'!$A:$AL,MATCH(World!$J$1,'Data World'!$A$1:$AL$1,))</f>
        <v>13.8</v>
      </c>
      <c r="K63" s="14">
        <f>VLOOKUP(B63,'Data World'!$A:$AL,MATCH(World!$K$1,'Data World'!$A$1:$AL$1,))</f>
        <v>7.2</v>
      </c>
      <c r="L63" s="14">
        <f>VLOOKUP(B63,'Data World'!$A:$AL,MATCH(World!$L$1,'Data World'!$A$1:$AL$1,))</f>
        <v>3.6267900000000002</v>
      </c>
      <c r="M63" s="14">
        <f>VLOOKUP(B63,'Data World'!$A:$AL,MATCH(World!$M$1,'Data World'!$A$1:$AL$1,))</f>
        <v>5.6</v>
      </c>
      <c r="N63" s="14">
        <f>VLOOKUP(B63,'Data World'!$A:$AL,MATCH(World!$N$1,'Data World'!$A$1:$AL$1,))</f>
        <v>5.2633929999999998</v>
      </c>
      <c r="O63" s="14">
        <f>VLOOKUP(B63,'Data World'!$A:$AL,MATCH(World!$O$1,'Data World'!$A$1:$AL$1,))</f>
        <v>3.9</v>
      </c>
      <c r="P63" s="14">
        <f>VLOOKUP(B63,'Data World'!$A:$AL,MATCH(World!$P$1,'Data World'!$A$1:$AL$1,))</f>
        <v>16.7</v>
      </c>
      <c r="Q63" s="14">
        <f>VLOOKUP(B63,'Data World'!$A:$AL,MATCH(World!$Q$1,'Data World'!$A$1:$AL$1,))</f>
        <v>5.0999999999999996</v>
      </c>
      <c r="R63" s="14">
        <f>VLOOKUP(B63,'Data World'!$A:$AL,MATCH(World!$R$1,'Data World'!$A$1:$AL$1,))</f>
        <v>12.6</v>
      </c>
      <c r="S63" s="14">
        <f>VLOOKUP(B63,'Data World'!$A:$AL,MATCH(World!$S$1,'Data World'!$A$1:$AL$1,))</f>
        <v>1.9</v>
      </c>
      <c r="T63" s="14">
        <f>VLOOKUP(B63,'Data World'!$A:$AL,MATCH(World!$T$1,'Data World'!$A$1:$AL$1,))</f>
        <v>3</v>
      </c>
    </row>
    <row r="64" spans="2:20" s="60" customFormat="1" x14ac:dyDescent="0.2">
      <c r="B64" s="13">
        <v>43890</v>
      </c>
      <c r="C64" s="14">
        <f>VLOOKUP(B64,'Data World'!$A:$AL,MATCH(World!$C$1,'Data World'!$A$1:$AL$1,))</f>
        <v>3.5</v>
      </c>
      <c r="D64" s="14">
        <f>VLOOKUP(B64,'Data World'!$A:$AL,MATCH(World!$D$1,'Data World'!$A$1:$AL$1,))</f>
        <v>7.3</v>
      </c>
      <c r="E64" s="14">
        <f>VLOOKUP(B64,'Data World'!$A:$AL,MATCH(World!$E$1,'Data World'!$A$1:$AL$1,))</f>
        <v>2.4</v>
      </c>
      <c r="F64" s="14">
        <f>VLOOKUP(B64,'Data World'!$A:$AL,MATCH(World!$F$1,'Data World'!$A$1:$AL$1,))</f>
        <v>3.6</v>
      </c>
      <c r="G64" s="14">
        <f>VLOOKUP(B64,'Data World'!$A:$AL,MATCH(World!$G$1,'Data World'!$A$1:$AL$1,))</f>
        <v>7.7</v>
      </c>
      <c r="H64" s="14">
        <f>VLOOKUP(B64,'Data World'!$A:$AL,MATCH(World!$H$1,'Data World'!$A$1:$AL$1,))</f>
        <v>3.972413</v>
      </c>
      <c r="I64" s="14">
        <f>VLOOKUP(B64,'Data World'!$A:$AL,MATCH(World!$I$1,'Data World'!$A$1:$AL$1,))</f>
        <v>9.8000000000000007</v>
      </c>
      <c r="J64" s="14">
        <f>VLOOKUP(B64,'Data World'!$A:$AL,MATCH(World!$J$1,'Data World'!$A$1:$AL$1,))</f>
        <v>13.6</v>
      </c>
      <c r="K64" s="14">
        <f>VLOOKUP(B64,'Data World'!$A:$AL,MATCH(World!$K$1,'Data World'!$A$1:$AL$1,))</f>
        <v>7.6</v>
      </c>
      <c r="L64" s="14">
        <f>VLOOKUP(B64,'Data World'!$A:$AL,MATCH(World!$L$1,'Data World'!$A$1:$AL$1,))</f>
        <v>3.6250849999999999</v>
      </c>
      <c r="M64" s="14">
        <f>VLOOKUP(B64,'Data World'!$A:$AL,MATCH(World!$M$1,'Data World'!$A$1:$AL$1,))</f>
        <v>5.7</v>
      </c>
      <c r="N64" s="14">
        <f>VLOOKUP(B64,'Data World'!$A:$AL,MATCH(World!$N$1,'Data World'!$A$1:$AL$1,))</f>
        <v>5.0765250000000002</v>
      </c>
      <c r="O64" s="14">
        <f>VLOOKUP(B64,'Data World'!$A:$AL,MATCH(World!$O$1,'Data World'!$A$1:$AL$1,))</f>
        <v>3.4</v>
      </c>
      <c r="P64" s="14">
        <f>VLOOKUP(B64,'Data World'!$A:$AL,MATCH(World!$P$1,'Data World'!$A$1:$AL$1,))</f>
        <v>15.4</v>
      </c>
      <c r="Q64" s="14">
        <f>VLOOKUP(B64,'Data World'!$A:$AL,MATCH(World!$Q$1,'Data World'!$A$1:$AL$1,))</f>
        <v>5</v>
      </c>
      <c r="R64" s="14">
        <f>VLOOKUP(B64,'Data World'!$A:$AL,MATCH(World!$R$1,'Data World'!$A$1:$AL$1,))</f>
        <v>12.6</v>
      </c>
      <c r="S64" s="14">
        <f>VLOOKUP(B64,'Data World'!$A:$AL,MATCH(World!$S$1,'Data World'!$A$1:$AL$1,))</f>
        <v>1.8</v>
      </c>
      <c r="T64" s="14">
        <f>VLOOKUP(B64,'Data World'!$A:$AL,MATCH(World!$T$1,'Data World'!$A$1:$AL$1,))</f>
        <v>3</v>
      </c>
    </row>
    <row r="65" spans="2:20" s="60" customFormat="1" x14ac:dyDescent="0.2">
      <c r="B65" s="13">
        <v>43921</v>
      </c>
      <c r="C65" s="14">
        <f>VLOOKUP(B65,'Data World'!$A:$AL,MATCH(World!$C$1,'Data World'!$A$1:$AL$1,))</f>
        <v>4.4000000000000004</v>
      </c>
      <c r="D65" s="14">
        <f>VLOOKUP(B65,'Data World'!$A:$AL,MATCH(World!$D$1,'Data World'!$A$1:$AL$1,))</f>
        <v>7.1</v>
      </c>
      <c r="E65" s="14">
        <f>VLOOKUP(B65,'Data World'!$A:$AL,MATCH(World!$E$1,'Data World'!$A$1:$AL$1,))</f>
        <v>2.5</v>
      </c>
      <c r="F65" s="14">
        <f>VLOOKUP(B65,'Data World'!$A:$AL,MATCH(World!$F$1,'Data World'!$A$1:$AL$1,))</f>
        <v>3.8</v>
      </c>
      <c r="G65" s="14">
        <f>VLOOKUP(B65,'Data World'!$A:$AL,MATCH(World!$G$1,'Data World'!$A$1:$AL$1,))</f>
        <v>7.4</v>
      </c>
      <c r="H65" s="14">
        <f>VLOOKUP(B65,'Data World'!$A:$AL,MATCH(World!$H$1,'Data World'!$A$1:$AL$1,))</f>
        <v>3.9950739999999998</v>
      </c>
      <c r="I65" s="14">
        <f>VLOOKUP(B65,'Data World'!$A:$AL,MATCH(World!$I$1,'Data World'!$A$1:$AL$1,))</f>
        <v>7.5</v>
      </c>
      <c r="J65" s="14">
        <f>VLOOKUP(B65,'Data World'!$A:$AL,MATCH(World!$J$1,'Data World'!$A$1:$AL$1,))</f>
        <v>14.5</v>
      </c>
      <c r="K65" s="14">
        <f>VLOOKUP(B65,'Data World'!$A:$AL,MATCH(World!$K$1,'Data World'!$A$1:$AL$1,))</f>
        <v>6.6</v>
      </c>
      <c r="L65" s="14">
        <f>VLOOKUP(B65,'Data World'!$A:$AL,MATCH(World!$L$1,'Data World'!$A$1:$AL$1,))</f>
        <v>3.2418179999999999</v>
      </c>
      <c r="M65" s="14">
        <f>VLOOKUP(B65,'Data World'!$A:$AL,MATCH(World!$M$1,'Data World'!$A$1:$AL$1,))</f>
        <v>7.9</v>
      </c>
      <c r="N65" s="14">
        <f>VLOOKUP(B65,'Data World'!$A:$AL,MATCH(World!$N$1,'Data World'!$A$1:$AL$1,))</f>
        <v>5.2187520000000003</v>
      </c>
      <c r="O65" s="14">
        <f>VLOOKUP(B65,'Data World'!$A:$AL,MATCH(World!$O$1,'Data World'!$A$1:$AL$1,))</f>
        <v>3.8</v>
      </c>
      <c r="P65" s="14">
        <f>VLOOKUP(B65,'Data World'!$A:$AL,MATCH(World!$P$1,'Data World'!$A$1:$AL$1,))</f>
        <v>15.9</v>
      </c>
      <c r="Q65" s="14">
        <f>VLOOKUP(B65,'Data World'!$A:$AL,MATCH(World!$Q$1,'Data World'!$A$1:$AL$1,))</f>
        <v>5</v>
      </c>
      <c r="R65" s="14">
        <f>VLOOKUP(B65,'Data World'!$A:$AL,MATCH(World!$R$1,'Data World'!$A$1:$AL$1,))</f>
        <v>12.9</v>
      </c>
      <c r="S65" s="14">
        <f>VLOOKUP(B65,'Data World'!$A:$AL,MATCH(World!$S$1,'Data World'!$A$1:$AL$1,))</f>
        <v>1.9</v>
      </c>
      <c r="T65" s="14">
        <f>VLOOKUP(B65,'Data World'!$A:$AL,MATCH(World!$T$1,'Data World'!$A$1:$AL$1,))</f>
        <v>3</v>
      </c>
    </row>
    <row r="66" spans="2:20" s="60" customFormat="1" x14ac:dyDescent="0.2">
      <c r="B66" s="13">
        <v>43951</v>
      </c>
      <c r="C66" s="14">
        <f>VLOOKUP(B66,'Data World'!$A:$AL,MATCH(World!$C$1,'Data World'!$A$1:$AL$1,))</f>
        <v>14.8</v>
      </c>
      <c r="D66" s="14">
        <f>VLOOKUP(B66,'Data World'!$A:$AL,MATCH(World!$D$1,'Data World'!$A$1:$AL$1,))</f>
        <v>7.3</v>
      </c>
      <c r="E66" s="14">
        <f>VLOOKUP(B66,'Data World'!$A:$AL,MATCH(World!$E$1,'Data World'!$A$1:$AL$1,))</f>
        <v>2.6</v>
      </c>
      <c r="F66" s="14">
        <f>VLOOKUP(B66,'Data World'!$A:$AL,MATCH(World!$F$1,'Data World'!$A$1:$AL$1,))</f>
        <v>4</v>
      </c>
      <c r="G66" s="14">
        <f>VLOOKUP(B66,'Data World'!$A:$AL,MATCH(World!$G$1,'Data World'!$A$1:$AL$1,))</f>
        <v>7.4</v>
      </c>
      <c r="H66" s="14">
        <f>VLOOKUP(B66,'Data World'!$A:$AL,MATCH(World!$H$1,'Data World'!$A$1:$AL$1,))</f>
        <v>4.0548010000000003</v>
      </c>
      <c r="I66" s="14">
        <f>VLOOKUP(B66,'Data World'!$A:$AL,MATCH(World!$I$1,'Data World'!$A$1:$AL$1,))</f>
        <v>7.6</v>
      </c>
      <c r="J66" s="14">
        <f>VLOOKUP(B66,'Data World'!$A:$AL,MATCH(World!$J$1,'Data World'!$A$1:$AL$1,))</f>
        <v>15.2</v>
      </c>
      <c r="K66" s="14">
        <f>VLOOKUP(B66,'Data World'!$A:$AL,MATCH(World!$K$1,'Data World'!$A$1:$AL$1,))</f>
        <v>7.9</v>
      </c>
      <c r="L66" s="14">
        <f>VLOOKUP(B66,'Data World'!$A:$AL,MATCH(World!$L$1,'Data World'!$A$1:$AL$1,))</f>
        <v>4.8014840000000003</v>
      </c>
      <c r="M66" s="14">
        <f>VLOOKUP(B66,'Data World'!$A:$AL,MATCH(World!$M$1,'Data World'!$A$1:$AL$1,))</f>
        <v>13.1</v>
      </c>
      <c r="N66" s="14">
        <f>VLOOKUP(B66,'Data World'!$A:$AL,MATCH(World!$N$1,'Data World'!$A$1:$AL$1,))</f>
        <v>6.352233</v>
      </c>
      <c r="O66" s="14">
        <f>VLOOKUP(B66,'Data World'!$A:$AL,MATCH(World!$O$1,'Data World'!$A$1:$AL$1,))</f>
        <v>3.8</v>
      </c>
      <c r="P66" s="14">
        <f>VLOOKUP(B66,'Data World'!$A:$AL,MATCH(World!$P$1,'Data World'!$A$1:$AL$1,))</f>
        <v>16.3</v>
      </c>
      <c r="Q66" s="14">
        <f>VLOOKUP(B66,'Data World'!$A:$AL,MATCH(World!$Q$1,'Data World'!$A$1:$AL$1,))</f>
        <v>4.7</v>
      </c>
      <c r="R66" s="14">
        <f>VLOOKUP(B66,'Data World'!$A:$AL,MATCH(World!$R$1,'Data World'!$A$1:$AL$1,))</f>
        <v>13.6</v>
      </c>
      <c r="S66" s="14">
        <f>VLOOKUP(B66,'Data World'!$A:$AL,MATCH(World!$S$1,'Data World'!$A$1:$AL$1,))</f>
        <v>2.2000000000000002</v>
      </c>
      <c r="T66" s="14">
        <f>VLOOKUP(B66,'Data World'!$A:$AL,MATCH(World!$T$1,'Data World'!$A$1:$AL$1,))</f>
        <v>3.1</v>
      </c>
    </row>
    <row r="67" spans="2:20" s="60" customFormat="1" x14ac:dyDescent="0.2">
      <c r="B67" s="13">
        <v>43982</v>
      </c>
      <c r="C67" s="14">
        <f>VLOOKUP(B67,'Data World'!$A:$AL,MATCH(World!$C$1,'Data World'!$A$1:$AL$1,))</f>
        <v>13.3</v>
      </c>
      <c r="D67" s="14">
        <f>VLOOKUP(B67,'Data World'!$A:$AL,MATCH(World!$D$1,'Data World'!$A$1:$AL$1,))</f>
        <v>7.5</v>
      </c>
      <c r="E67" s="14">
        <f>VLOOKUP(B67,'Data World'!$A:$AL,MATCH(World!$E$1,'Data World'!$A$1:$AL$1,))</f>
        <v>2.8</v>
      </c>
      <c r="F67" s="14">
        <f>VLOOKUP(B67,'Data World'!$A:$AL,MATCH(World!$F$1,'Data World'!$A$1:$AL$1,))</f>
        <v>4.2</v>
      </c>
      <c r="G67" s="14">
        <f>VLOOKUP(B67,'Data World'!$A:$AL,MATCH(World!$G$1,'Data World'!$A$1:$AL$1,))</f>
        <v>6.8</v>
      </c>
      <c r="H67" s="14">
        <f>VLOOKUP(B67,'Data World'!$A:$AL,MATCH(World!$H$1,'Data World'!$A$1:$AL$1,))</f>
        <v>4.0547110000000002</v>
      </c>
      <c r="I67" s="14">
        <f>VLOOKUP(B67,'Data World'!$A:$AL,MATCH(World!$I$1,'Data World'!$A$1:$AL$1,))</f>
        <v>8.5</v>
      </c>
      <c r="J67" s="14">
        <f>VLOOKUP(B67,'Data World'!$A:$AL,MATCH(World!$J$1,'Data World'!$A$1:$AL$1,))</f>
        <v>15.3</v>
      </c>
      <c r="K67" s="14">
        <f>VLOOKUP(B67,'Data World'!$A:$AL,MATCH(World!$K$1,'Data World'!$A$1:$AL$1,))</f>
        <v>8.4</v>
      </c>
      <c r="L67" s="14">
        <f>VLOOKUP(B67,'Data World'!$A:$AL,MATCH(World!$L$1,'Data World'!$A$1:$AL$1,))</f>
        <v>4.3488199999999999</v>
      </c>
      <c r="M67" s="14">
        <f>VLOOKUP(B67,'Data World'!$A:$AL,MATCH(World!$M$1,'Data World'!$A$1:$AL$1,))</f>
        <v>13.7</v>
      </c>
      <c r="N67" s="14">
        <f>VLOOKUP(B67,'Data World'!$A:$AL,MATCH(World!$N$1,'Data World'!$A$1:$AL$1,))</f>
        <v>7.0606369999999998</v>
      </c>
      <c r="O67" s="14">
        <f>VLOOKUP(B67,'Data World'!$A:$AL,MATCH(World!$O$1,'Data World'!$A$1:$AL$1,))</f>
        <v>4.3</v>
      </c>
      <c r="P67" s="14">
        <f>VLOOKUP(B67,'Data World'!$A:$AL,MATCH(World!$P$1,'Data World'!$A$1:$AL$1,))</f>
        <v>16.7</v>
      </c>
      <c r="Q67" s="14">
        <f>VLOOKUP(B67,'Data World'!$A:$AL,MATCH(World!$Q$1,'Data World'!$A$1:$AL$1,))</f>
        <v>4.8</v>
      </c>
      <c r="R67" s="14">
        <f>VLOOKUP(B67,'Data World'!$A:$AL,MATCH(World!$R$1,'Data World'!$A$1:$AL$1,))</f>
        <v>14</v>
      </c>
      <c r="S67" s="14">
        <f>VLOOKUP(B67,'Data World'!$A:$AL,MATCH(World!$S$1,'Data World'!$A$1:$AL$1,))</f>
        <v>2.5</v>
      </c>
      <c r="T67" s="14">
        <f>VLOOKUP(B67,'Data World'!$A:$AL,MATCH(World!$T$1,'Data World'!$A$1:$AL$1,))</f>
        <v>3.3</v>
      </c>
    </row>
    <row r="68" spans="2:20" s="60" customFormat="1" x14ac:dyDescent="0.2">
      <c r="B68" s="13">
        <v>44012</v>
      </c>
      <c r="C68" s="14">
        <f>VLOOKUP(B68,'Data World'!$A:$AL,MATCH(World!$C$1,'Data World'!$A$1:$AL$1,))</f>
        <v>11.1</v>
      </c>
      <c r="D68" s="14">
        <f>VLOOKUP(B68,'Data World'!$A:$AL,MATCH(World!$D$1,'Data World'!$A$1:$AL$1,))</f>
        <v>8</v>
      </c>
      <c r="E68" s="14">
        <f>VLOOKUP(B68,'Data World'!$A:$AL,MATCH(World!$E$1,'Data World'!$A$1:$AL$1,))</f>
        <v>2.8</v>
      </c>
      <c r="F68" s="14">
        <f>VLOOKUP(B68,'Data World'!$A:$AL,MATCH(World!$F$1,'Data World'!$A$1:$AL$1,))</f>
        <v>4.3</v>
      </c>
      <c r="G68" s="14">
        <f>VLOOKUP(B68,'Data World'!$A:$AL,MATCH(World!$G$1,'Data World'!$A$1:$AL$1,))</f>
        <v>7.3</v>
      </c>
      <c r="H68" s="14">
        <f>VLOOKUP(B68,'Data World'!$A:$AL,MATCH(World!$H$1,'Data World'!$A$1:$AL$1,))</f>
        <v>4.252618</v>
      </c>
      <c r="I68" s="14">
        <f>VLOOKUP(B68,'Data World'!$A:$AL,MATCH(World!$I$1,'Data World'!$A$1:$AL$1,))</f>
        <v>9.3000000000000007</v>
      </c>
      <c r="J68" s="14">
        <f>VLOOKUP(B68,'Data World'!$A:$AL,MATCH(World!$J$1,'Data World'!$A$1:$AL$1,))</f>
        <v>16</v>
      </c>
      <c r="K68" s="14">
        <f>VLOOKUP(B68,'Data World'!$A:$AL,MATCH(World!$K$1,'Data World'!$A$1:$AL$1,))</f>
        <v>9.1</v>
      </c>
      <c r="L68" s="14">
        <f>VLOOKUP(B68,'Data World'!$A:$AL,MATCH(World!$L$1,'Data World'!$A$1:$AL$1,))</f>
        <v>5.4671510000000003</v>
      </c>
      <c r="M68" s="14">
        <f>VLOOKUP(B68,'Data World'!$A:$AL,MATCH(World!$M$1,'Data World'!$A$1:$AL$1,))</f>
        <v>12.5</v>
      </c>
      <c r="N68" s="14">
        <f>VLOOKUP(B68,'Data World'!$A:$AL,MATCH(World!$N$1,'Data World'!$A$1:$AL$1,))</f>
        <v>7.4337049999999998</v>
      </c>
      <c r="O68" s="14">
        <f>VLOOKUP(B68,'Data World'!$A:$AL,MATCH(World!$O$1,'Data World'!$A$1:$AL$1,))</f>
        <v>4.2</v>
      </c>
      <c r="P68" s="14">
        <f>VLOOKUP(B68,'Data World'!$A:$AL,MATCH(World!$P$1,'Data World'!$A$1:$AL$1,))</f>
        <v>17.8</v>
      </c>
      <c r="Q68" s="14">
        <f>VLOOKUP(B68,'Data World'!$A:$AL,MATCH(World!$Q$1,'Data World'!$A$1:$AL$1,))</f>
        <v>5.3</v>
      </c>
      <c r="R68" s="14">
        <f>VLOOKUP(B68,'Data World'!$A:$AL,MATCH(World!$R$1,'Data World'!$A$1:$AL$1,))</f>
        <v>14.3</v>
      </c>
      <c r="S68" s="14">
        <f>VLOOKUP(B68,'Data World'!$A:$AL,MATCH(World!$S$1,'Data World'!$A$1:$AL$1,))</f>
        <v>2.6</v>
      </c>
      <c r="T68" s="14">
        <f>VLOOKUP(B68,'Data World'!$A:$AL,MATCH(World!$T$1,'Data World'!$A$1:$AL$1,))</f>
        <v>3.4</v>
      </c>
    </row>
    <row r="69" spans="2:20" s="60" customFormat="1" x14ac:dyDescent="0.2">
      <c r="B69" s="13">
        <v>44043</v>
      </c>
      <c r="C69" s="14">
        <f>VLOOKUP(B69,'Data World'!$A:$AL,MATCH(World!$C$1,'Data World'!$A$1:$AL$1,))</f>
        <v>10.199999999999999</v>
      </c>
      <c r="D69" s="14">
        <f>VLOOKUP(B69,'Data World'!$A:$AL,MATCH(World!$D$1,'Data World'!$A$1:$AL$1,))</f>
        <v>8.5</v>
      </c>
      <c r="E69" s="14">
        <f>VLOOKUP(B69,'Data World'!$A:$AL,MATCH(World!$E$1,'Data World'!$A$1:$AL$1,))</f>
        <v>2.9</v>
      </c>
      <c r="F69" s="14">
        <f>VLOOKUP(B69,'Data World'!$A:$AL,MATCH(World!$F$1,'Data World'!$A$1:$AL$1,))</f>
        <v>4.4000000000000004</v>
      </c>
      <c r="G69" s="14">
        <f>VLOOKUP(B69,'Data World'!$A:$AL,MATCH(World!$G$1,'Data World'!$A$1:$AL$1,))</f>
        <v>8.8000000000000007</v>
      </c>
      <c r="H69" s="14">
        <f>VLOOKUP(B69,'Data World'!$A:$AL,MATCH(World!$H$1,'Data World'!$A$1:$AL$1,))</f>
        <v>4.4624069999999998</v>
      </c>
      <c r="I69" s="14">
        <f>VLOOKUP(B69,'Data World'!$A:$AL,MATCH(World!$I$1,'Data World'!$A$1:$AL$1,))</f>
        <v>9.9</v>
      </c>
      <c r="J69" s="14">
        <f>VLOOKUP(B69,'Data World'!$A:$AL,MATCH(World!$J$1,'Data World'!$A$1:$AL$1,))</f>
        <v>16.399999999999999</v>
      </c>
      <c r="K69" s="14">
        <f>VLOOKUP(B69,'Data World'!$A:$AL,MATCH(World!$K$1,'Data World'!$A$1:$AL$1,))</f>
        <v>9.1</v>
      </c>
      <c r="L69" s="14">
        <f>VLOOKUP(B69,'Data World'!$A:$AL,MATCH(World!$L$1,'Data World'!$A$1:$AL$1,))</f>
        <v>5.1201999999999996</v>
      </c>
      <c r="M69" s="14">
        <f>VLOOKUP(B69,'Data World'!$A:$AL,MATCH(World!$M$1,'Data World'!$A$1:$AL$1,))</f>
        <v>10.9</v>
      </c>
      <c r="N69" s="14">
        <f>VLOOKUP(B69,'Data World'!$A:$AL,MATCH(World!$N$1,'Data World'!$A$1:$AL$1,))</f>
        <v>7.4782349999999997</v>
      </c>
      <c r="O69" s="14">
        <f>VLOOKUP(B69,'Data World'!$A:$AL,MATCH(World!$O$1,'Data World'!$A$1:$AL$1,))</f>
        <v>4.0999999999999996</v>
      </c>
      <c r="P69" s="14">
        <f>VLOOKUP(B69,'Data World'!$A:$AL,MATCH(World!$P$1,'Data World'!$A$1:$AL$1,))</f>
        <v>16.8</v>
      </c>
      <c r="Q69" s="14">
        <f>VLOOKUP(B69,'Data World'!$A:$AL,MATCH(World!$Q$1,'Data World'!$A$1:$AL$1,))</f>
        <v>6.2</v>
      </c>
      <c r="R69" s="14">
        <f>VLOOKUP(B69,'Data World'!$A:$AL,MATCH(World!$R$1,'Data World'!$A$1:$AL$1,))</f>
        <v>13.8</v>
      </c>
      <c r="S69" s="14">
        <f>VLOOKUP(B69,'Data World'!$A:$AL,MATCH(World!$S$1,'Data World'!$A$1:$AL$1,))</f>
        <v>3</v>
      </c>
      <c r="T69" s="14">
        <f>VLOOKUP(B69,'Data World'!$A:$AL,MATCH(World!$T$1,'Data World'!$A$1:$AL$1,))</f>
        <v>3.4</v>
      </c>
    </row>
    <row r="70" spans="2:20" s="60" customFormat="1" x14ac:dyDescent="0.2">
      <c r="B70" s="13">
        <v>44074</v>
      </c>
      <c r="C70" s="14">
        <f>VLOOKUP(B70,'Data World'!$A:$AL,MATCH(World!$C$1,'Data World'!$A$1:$AL$1,))</f>
        <v>8.4</v>
      </c>
      <c r="D70" s="14">
        <f>VLOOKUP(B70,'Data World'!$A:$AL,MATCH(World!$D$1,'Data World'!$A$1:$AL$1,))</f>
        <v>8.6999999999999993</v>
      </c>
      <c r="E70" s="14">
        <f>VLOOKUP(B70,'Data World'!$A:$AL,MATCH(World!$E$1,'Data World'!$A$1:$AL$1,))</f>
        <v>3</v>
      </c>
      <c r="F70" s="14">
        <f>VLOOKUP(B70,'Data World'!$A:$AL,MATCH(World!$F$1,'Data World'!$A$1:$AL$1,))</f>
        <v>4.5</v>
      </c>
      <c r="G70" s="14">
        <f>VLOOKUP(B70,'Data World'!$A:$AL,MATCH(World!$G$1,'Data World'!$A$1:$AL$1,))</f>
        <v>9.3000000000000007</v>
      </c>
      <c r="H70" s="14">
        <f>VLOOKUP(B70,'Data World'!$A:$AL,MATCH(World!$H$1,'Data World'!$A$1:$AL$1,))</f>
        <v>4.756812</v>
      </c>
      <c r="I70" s="14">
        <f>VLOOKUP(B70,'Data World'!$A:$AL,MATCH(World!$I$1,'Data World'!$A$1:$AL$1,))</f>
        <v>9.9</v>
      </c>
      <c r="J70" s="14">
        <f>VLOOKUP(B70,'Data World'!$A:$AL,MATCH(World!$J$1,'Data World'!$A$1:$AL$1,))</f>
        <v>16.7</v>
      </c>
      <c r="K70" s="14">
        <f>VLOOKUP(B70,'Data World'!$A:$AL,MATCH(World!$K$1,'Data World'!$A$1:$AL$1,))</f>
        <v>9</v>
      </c>
      <c r="L70" s="14">
        <f>VLOOKUP(B70,'Data World'!$A:$AL,MATCH(World!$L$1,'Data World'!$A$1:$AL$1,))</f>
        <v>4.9452299999999996</v>
      </c>
      <c r="M70" s="14">
        <f>VLOOKUP(B70,'Data World'!$A:$AL,MATCH(World!$M$1,'Data World'!$A$1:$AL$1,))</f>
        <v>10.199999999999999</v>
      </c>
      <c r="N70" s="14">
        <f>VLOOKUP(B70,'Data World'!$A:$AL,MATCH(World!$N$1,'Data World'!$A$1:$AL$1,))</f>
        <v>6.8046980000000001</v>
      </c>
      <c r="O70" s="14">
        <f>VLOOKUP(B70,'Data World'!$A:$AL,MATCH(World!$O$1,'Data World'!$A$1:$AL$1,))</f>
        <v>3.3</v>
      </c>
      <c r="P70" s="14">
        <f>VLOOKUP(B70,'Data World'!$A:$AL,MATCH(World!$P$1,'Data World'!$A$1:$AL$1,))</f>
        <v>16.899999999999999</v>
      </c>
      <c r="Q70" s="14">
        <f>VLOOKUP(B70,'Data World'!$A:$AL,MATCH(World!$Q$1,'Data World'!$A$1:$AL$1,))</f>
        <v>6.6</v>
      </c>
      <c r="R70" s="14">
        <f>VLOOKUP(B70,'Data World'!$A:$AL,MATCH(World!$R$1,'Data World'!$A$1:$AL$1,))</f>
        <v>13.3</v>
      </c>
      <c r="S70" s="14">
        <f>VLOOKUP(B70,'Data World'!$A:$AL,MATCH(World!$S$1,'Data World'!$A$1:$AL$1,))</f>
        <v>2.7</v>
      </c>
      <c r="T70" s="14">
        <f>VLOOKUP(B70,'Data World'!$A:$AL,MATCH(World!$T$1,'Data World'!$A$1:$AL$1,))</f>
        <v>3.3</v>
      </c>
    </row>
    <row r="71" spans="2:20" s="60" customFormat="1" x14ac:dyDescent="0.2">
      <c r="B71" s="13">
        <v>44104</v>
      </c>
      <c r="C71" s="14">
        <f>VLOOKUP(B71,'Data World'!$A:$AL,MATCH(World!$C$1,'Data World'!$A$1:$AL$1,))</f>
        <v>7.8</v>
      </c>
      <c r="D71" s="14">
        <f>VLOOKUP(B71,'Data World'!$A:$AL,MATCH(World!$D$1,'Data World'!$A$1:$AL$1,))</f>
        <v>8.6999999999999993</v>
      </c>
      <c r="E71" s="14">
        <f>VLOOKUP(B71,'Data World'!$A:$AL,MATCH(World!$E$1,'Data World'!$A$1:$AL$1,))</f>
        <v>3</v>
      </c>
      <c r="F71" s="14">
        <f>VLOOKUP(B71,'Data World'!$A:$AL,MATCH(World!$F$1,'Data World'!$A$1:$AL$1,))</f>
        <v>4.5</v>
      </c>
      <c r="G71" s="14">
        <f>VLOOKUP(B71,'Data World'!$A:$AL,MATCH(World!$G$1,'Data World'!$A$1:$AL$1,))</f>
        <v>9.3000000000000007</v>
      </c>
      <c r="H71" s="14">
        <f>VLOOKUP(B71,'Data World'!$A:$AL,MATCH(World!$H$1,'Data World'!$A$1:$AL$1,))</f>
        <v>4.9442430000000002</v>
      </c>
      <c r="I71" s="14">
        <f>VLOOKUP(B71,'Data World'!$A:$AL,MATCH(World!$I$1,'Data World'!$A$1:$AL$1,))</f>
        <v>9.9</v>
      </c>
      <c r="J71" s="14">
        <f>VLOOKUP(B71,'Data World'!$A:$AL,MATCH(World!$J$1,'Data World'!$A$1:$AL$1,))</f>
        <v>16.600000000000001</v>
      </c>
      <c r="K71" s="14">
        <f>VLOOKUP(B71,'Data World'!$A:$AL,MATCH(World!$K$1,'Data World'!$A$1:$AL$1,))</f>
        <v>8.9</v>
      </c>
      <c r="L71" s="14">
        <f>VLOOKUP(B71,'Data World'!$A:$AL,MATCH(World!$L$1,'Data World'!$A$1:$AL$1,))</f>
        <v>4.7191109999999998</v>
      </c>
      <c r="M71" s="14">
        <f>VLOOKUP(B71,'Data World'!$A:$AL,MATCH(World!$M$1,'Data World'!$A$1:$AL$1,))</f>
        <v>9.1999999999999993</v>
      </c>
      <c r="N71" s="14">
        <f>VLOOKUP(B71,'Data World'!$A:$AL,MATCH(World!$N$1,'Data World'!$A$1:$AL$1,))</f>
        <v>6.9095719999999998</v>
      </c>
      <c r="O71" s="14">
        <f>VLOOKUP(B71,'Data World'!$A:$AL,MATCH(World!$O$1,'Data World'!$A$1:$AL$1,))</f>
        <v>4</v>
      </c>
      <c r="P71" s="14">
        <f>VLOOKUP(B71,'Data World'!$A:$AL,MATCH(World!$P$1,'Data World'!$A$1:$AL$1,))</f>
        <v>16.600000000000001</v>
      </c>
      <c r="Q71" s="14">
        <f>VLOOKUP(B71,'Data World'!$A:$AL,MATCH(World!$Q$1,'Data World'!$A$1:$AL$1,))</f>
        <v>6.8</v>
      </c>
      <c r="R71" s="14">
        <f>VLOOKUP(B71,'Data World'!$A:$AL,MATCH(World!$R$1,'Data World'!$A$1:$AL$1,))</f>
        <v>12.7</v>
      </c>
      <c r="S71" s="14">
        <f>VLOOKUP(B71,'Data World'!$A:$AL,MATCH(World!$S$1,'Data World'!$A$1:$AL$1,))</f>
        <v>2.8</v>
      </c>
      <c r="T71" s="14">
        <f>VLOOKUP(B71,'Data World'!$A:$AL,MATCH(World!$T$1,'Data World'!$A$1:$AL$1,))</f>
        <v>3.3</v>
      </c>
    </row>
    <row r="72" spans="2:20" s="60" customFormat="1" x14ac:dyDescent="0.2">
      <c r="B72" s="13">
        <v>44135</v>
      </c>
      <c r="C72" s="14">
        <f>VLOOKUP(B72,'Data World'!$A:$AL,MATCH(World!$C$1,'Data World'!$A$1:$AL$1,))</f>
        <v>6.9</v>
      </c>
      <c r="D72" s="14">
        <f>VLOOKUP(B72,'Data World'!$A:$AL,MATCH(World!$D$1,'Data World'!$A$1:$AL$1,))</f>
        <v>8.5</v>
      </c>
      <c r="E72" s="14">
        <f>VLOOKUP(B72,'Data World'!$A:$AL,MATCH(World!$E$1,'Data World'!$A$1:$AL$1,))</f>
        <v>3.1</v>
      </c>
      <c r="F72" s="14">
        <f>VLOOKUP(B72,'Data World'!$A:$AL,MATCH(World!$F$1,'Data World'!$A$1:$AL$1,))</f>
        <v>4.5</v>
      </c>
      <c r="G72" s="14">
        <f>VLOOKUP(B72,'Data World'!$A:$AL,MATCH(World!$G$1,'Data World'!$A$1:$AL$1,))</f>
        <v>8.5</v>
      </c>
      <c r="H72" s="14">
        <f>VLOOKUP(B72,'Data World'!$A:$AL,MATCH(World!$H$1,'Data World'!$A$1:$AL$1,))</f>
        <v>5.0382470000000001</v>
      </c>
      <c r="I72" s="14">
        <f>VLOOKUP(B72,'Data World'!$A:$AL,MATCH(World!$I$1,'Data World'!$A$1:$AL$1,))</f>
        <v>10</v>
      </c>
      <c r="J72" s="14">
        <f>VLOOKUP(B72,'Data World'!$A:$AL,MATCH(World!$J$1,'Data World'!$A$1:$AL$1,))</f>
        <v>16.3</v>
      </c>
      <c r="K72" s="14">
        <f>VLOOKUP(B72,'Data World'!$A:$AL,MATCH(World!$K$1,'Data World'!$A$1:$AL$1,))</f>
        <v>8.6</v>
      </c>
      <c r="L72" s="14">
        <f>VLOOKUP(B72,'Data World'!$A:$AL,MATCH(World!$L$1,'Data World'!$A$1:$AL$1,))</f>
        <v>4.6065370000000003</v>
      </c>
      <c r="M72" s="14">
        <f>VLOOKUP(B72,'Data World'!$A:$AL,MATCH(World!$M$1,'Data World'!$A$1:$AL$1,))</f>
        <v>9</v>
      </c>
      <c r="N72" s="14">
        <f>VLOOKUP(B72,'Data World'!$A:$AL,MATCH(World!$N$1,'Data World'!$A$1:$AL$1,))</f>
        <v>6.9803059999999997</v>
      </c>
      <c r="O72" s="14">
        <f>VLOOKUP(B72,'Data World'!$A:$AL,MATCH(World!$O$1,'Data World'!$A$1:$AL$1,))</f>
        <v>4.2</v>
      </c>
      <c r="P72" s="14">
        <f>VLOOKUP(B72,'Data World'!$A:$AL,MATCH(World!$P$1,'Data World'!$A$1:$AL$1,))</f>
        <v>16.399999999999999</v>
      </c>
      <c r="Q72" s="14">
        <f>VLOOKUP(B72,'Data World'!$A:$AL,MATCH(World!$Q$1,'Data World'!$A$1:$AL$1,))</f>
        <v>6.2</v>
      </c>
      <c r="R72" s="14">
        <f>VLOOKUP(B72,'Data World'!$A:$AL,MATCH(World!$R$1,'Data World'!$A$1:$AL$1,))</f>
        <v>12.9</v>
      </c>
      <c r="S72" s="14">
        <f>VLOOKUP(B72,'Data World'!$A:$AL,MATCH(World!$S$1,'Data World'!$A$1:$AL$1,))</f>
        <v>3.2</v>
      </c>
      <c r="T72" s="14">
        <f>VLOOKUP(B72,'Data World'!$A:$AL,MATCH(World!$T$1,'Data World'!$A$1:$AL$1,))</f>
        <v>3.2</v>
      </c>
    </row>
    <row r="73" spans="2:20" s="60" customFormat="1" x14ac:dyDescent="0.2">
      <c r="B73" s="13">
        <v>44165</v>
      </c>
      <c r="C73" s="14">
        <f>VLOOKUP(B73,'Data World'!$A:$AL,MATCH(World!$C$1,'Data World'!$A$1:$AL$1,))</f>
        <v>6.7</v>
      </c>
      <c r="D73" s="14">
        <f>VLOOKUP(B73,'Data World'!$A:$AL,MATCH(World!$D$1,'Data World'!$A$1:$AL$1,))</f>
        <v>8.3000000000000007</v>
      </c>
      <c r="E73" s="14">
        <f>VLOOKUP(B73,'Data World'!$A:$AL,MATCH(World!$E$1,'Data World'!$A$1:$AL$1,))</f>
        <v>3</v>
      </c>
      <c r="F73" s="14">
        <f>VLOOKUP(B73,'Data World'!$A:$AL,MATCH(World!$F$1,'Data World'!$A$1:$AL$1,))</f>
        <v>4.5999999999999996</v>
      </c>
      <c r="G73" s="14">
        <f>VLOOKUP(B73,'Data World'!$A:$AL,MATCH(World!$G$1,'Data World'!$A$1:$AL$1,))</f>
        <v>8.1</v>
      </c>
      <c r="H73" s="14">
        <f>VLOOKUP(B73,'Data World'!$A:$AL,MATCH(World!$H$1,'Data World'!$A$1:$AL$1,))</f>
        <v>5.109324</v>
      </c>
      <c r="I73" s="14">
        <f>VLOOKUP(B73,'Data World'!$A:$AL,MATCH(World!$I$1,'Data World'!$A$1:$AL$1,))</f>
        <v>9.6</v>
      </c>
      <c r="J73" s="14">
        <f>VLOOKUP(B73,'Data World'!$A:$AL,MATCH(World!$J$1,'Data World'!$A$1:$AL$1,))</f>
        <v>16.100000000000001</v>
      </c>
      <c r="K73" s="14">
        <f>VLOOKUP(B73,'Data World'!$A:$AL,MATCH(World!$K$1,'Data World'!$A$1:$AL$1,))</f>
        <v>8.4</v>
      </c>
      <c r="L73" s="14">
        <f>VLOOKUP(B73,'Data World'!$A:$AL,MATCH(World!$L$1,'Data World'!$A$1:$AL$1,))</f>
        <v>4.5174719999999997</v>
      </c>
      <c r="M73" s="14">
        <f>VLOOKUP(B73,'Data World'!$A:$AL,MATCH(World!$M$1,'Data World'!$A$1:$AL$1,))</f>
        <v>8.6</v>
      </c>
      <c r="N73" s="14">
        <f>VLOOKUP(B73,'Data World'!$A:$AL,MATCH(World!$N$1,'Data World'!$A$1:$AL$1,))</f>
        <v>6.8175150000000002</v>
      </c>
      <c r="O73" s="14">
        <f>VLOOKUP(B73,'Data World'!$A:$AL,MATCH(World!$O$1,'Data World'!$A$1:$AL$1,))</f>
        <v>4.2</v>
      </c>
      <c r="P73" s="14">
        <f>VLOOKUP(B73,'Data World'!$A:$AL,MATCH(World!$P$1,'Data World'!$A$1:$AL$1,))</f>
        <v>16.2</v>
      </c>
      <c r="Q73" s="14">
        <f>VLOOKUP(B73,'Data World'!$A:$AL,MATCH(World!$Q$1,'Data World'!$A$1:$AL$1,))</f>
        <v>6</v>
      </c>
      <c r="R73" s="14">
        <f>VLOOKUP(B73,'Data World'!$A:$AL,MATCH(World!$R$1,'Data World'!$A$1:$AL$1,))</f>
        <v>12.9</v>
      </c>
      <c r="S73" s="14">
        <f>VLOOKUP(B73,'Data World'!$A:$AL,MATCH(World!$S$1,'Data World'!$A$1:$AL$1,))</f>
        <v>3</v>
      </c>
      <c r="T73" s="14">
        <f>VLOOKUP(B73,'Data World'!$A:$AL,MATCH(World!$T$1,'Data World'!$A$1:$AL$1,))</f>
        <v>3.2</v>
      </c>
    </row>
    <row r="74" spans="2:20" s="60" customFormat="1" x14ac:dyDescent="0.2">
      <c r="B74" s="13">
        <v>44196</v>
      </c>
      <c r="C74" s="14">
        <f>VLOOKUP(B74,'Data World'!$A:$AL,MATCH(World!$C$1,'Data World'!$A$1:$AL$1,))</f>
        <v>6.7</v>
      </c>
      <c r="D74" s="14">
        <f>VLOOKUP(B74,'Data World'!$A:$AL,MATCH(World!$D$1,'Data World'!$A$1:$AL$1,))</f>
        <v>8.1999999999999993</v>
      </c>
      <c r="E74" s="14">
        <f>VLOOKUP(B74,'Data World'!$A:$AL,MATCH(World!$E$1,'Data World'!$A$1:$AL$1,))</f>
        <v>3</v>
      </c>
      <c r="F74" s="14">
        <f>VLOOKUP(B74,'Data World'!$A:$AL,MATCH(World!$F$1,'Data World'!$A$1:$AL$1,))</f>
        <v>4.5999999999999996</v>
      </c>
      <c r="G74" s="14">
        <f>VLOOKUP(B74,'Data World'!$A:$AL,MATCH(World!$G$1,'Data World'!$A$1:$AL$1,))</f>
        <v>7.8</v>
      </c>
      <c r="H74" s="14">
        <f>VLOOKUP(B74,'Data World'!$A:$AL,MATCH(World!$H$1,'Data World'!$A$1:$AL$1,))</f>
        <v>4.9969029999999997</v>
      </c>
      <c r="I74" s="14">
        <f>VLOOKUP(B74,'Data World'!$A:$AL,MATCH(World!$I$1,'Data World'!$A$1:$AL$1,))</f>
        <v>9.8000000000000007</v>
      </c>
      <c r="J74" s="14">
        <f>VLOOKUP(B74,'Data World'!$A:$AL,MATCH(World!$J$1,'Data World'!$A$1:$AL$1,))</f>
        <v>16.100000000000001</v>
      </c>
      <c r="K74" s="14">
        <f>VLOOKUP(B74,'Data World'!$A:$AL,MATCH(World!$K$1,'Data World'!$A$1:$AL$1,))</f>
        <v>8.8000000000000007</v>
      </c>
      <c r="L74" s="14">
        <f>VLOOKUP(B74,'Data World'!$A:$AL,MATCH(World!$L$1,'Data World'!$A$1:$AL$1,))</f>
        <v>4.264475</v>
      </c>
      <c r="M74" s="14">
        <f>VLOOKUP(B74,'Data World'!$A:$AL,MATCH(World!$M$1,'Data World'!$A$1:$AL$1,))</f>
        <v>8.8000000000000007</v>
      </c>
      <c r="N74" s="14">
        <f>VLOOKUP(B74,'Data World'!$A:$AL,MATCH(World!$N$1,'Data World'!$A$1:$AL$1,))</f>
        <v>6.5898649999999996</v>
      </c>
      <c r="O74" s="14">
        <f>VLOOKUP(B74,'Data World'!$A:$AL,MATCH(World!$O$1,'Data World'!$A$1:$AL$1,))</f>
        <v>4.5</v>
      </c>
      <c r="P74" s="14">
        <f>VLOOKUP(B74,'Data World'!$A:$AL,MATCH(World!$P$1,'Data World'!$A$1:$AL$1,))</f>
        <v>15.8</v>
      </c>
      <c r="Q74" s="14">
        <f>VLOOKUP(B74,'Data World'!$A:$AL,MATCH(World!$Q$1,'Data World'!$A$1:$AL$1,))</f>
        <v>5.8</v>
      </c>
      <c r="R74" s="14">
        <f>VLOOKUP(B74,'Data World'!$A:$AL,MATCH(World!$R$1,'Data World'!$A$1:$AL$1,))</f>
        <v>12.5</v>
      </c>
      <c r="S74" s="14">
        <f>VLOOKUP(B74,'Data World'!$A:$AL,MATCH(World!$S$1,'Data World'!$A$1:$AL$1,))</f>
        <v>3</v>
      </c>
      <c r="T74" s="14">
        <f>VLOOKUP(B74,'Data World'!$A:$AL,MATCH(World!$T$1,'Data World'!$A$1:$AL$1,))</f>
        <v>3.2</v>
      </c>
    </row>
    <row r="75" spans="2:20" s="60" customFormat="1" x14ac:dyDescent="0.2">
      <c r="B75" s="13">
        <v>44227</v>
      </c>
      <c r="C75" s="14">
        <f>VLOOKUP(B75,'Data World'!$A:$AL,MATCH(World!$C$1,'Data World'!$A$1:$AL$1,))</f>
        <v>6.3</v>
      </c>
      <c r="D75" s="14">
        <f>VLOOKUP(B75,'Data World'!$A:$AL,MATCH(World!$D$1,'Data World'!$A$1:$AL$1,))</f>
        <v>8.1999999999999993</v>
      </c>
      <c r="E75" s="14">
        <f>VLOOKUP(B75,'Data World'!$A:$AL,MATCH(World!$E$1,'Data World'!$A$1:$AL$1,))</f>
        <v>2.9</v>
      </c>
      <c r="F75" s="14">
        <f>VLOOKUP(B75,'Data World'!$A:$AL,MATCH(World!$F$1,'Data World'!$A$1:$AL$1,))</f>
        <v>4.5</v>
      </c>
      <c r="G75" s="14">
        <f>VLOOKUP(B75,'Data World'!$A:$AL,MATCH(World!$G$1,'Data World'!$A$1:$AL$1,))</f>
        <v>7.9</v>
      </c>
      <c r="H75" s="14">
        <f>VLOOKUP(B75,'Data World'!$A:$AL,MATCH(World!$H$1,'Data World'!$A$1:$AL$1,))</f>
        <v>4.911003</v>
      </c>
      <c r="I75" s="14">
        <f>VLOOKUP(B75,'Data World'!$A:$AL,MATCH(World!$I$1,'Data World'!$A$1:$AL$1,))</f>
        <v>10.3</v>
      </c>
      <c r="J75" s="14">
        <f>VLOOKUP(B75,'Data World'!$A:$AL,MATCH(World!$J$1,'Data World'!$A$1:$AL$1,))</f>
        <v>15.7</v>
      </c>
      <c r="K75" s="14">
        <f>VLOOKUP(B75,'Data World'!$A:$AL,MATCH(World!$K$1,'Data World'!$A$1:$AL$1,))</f>
        <v>9</v>
      </c>
      <c r="L75" s="14">
        <f>VLOOKUP(B75,'Data World'!$A:$AL,MATCH(World!$L$1,'Data World'!$A$1:$AL$1,))</f>
        <v>4.500159</v>
      </c>
      <c r="M75" s="14">
        <f>VLOOKUP(B75,'Data World'!$A:$AL,MATCH(World!$M$1,'Data World'!$A$1:$AL$1,))</f>
        <v>9.4</v>
      </c>
      <c r="N75" s="14">
        <f>VLOOKUP(B75,'Data World'!$A:$AL,MATCH(World!$N$1,'Data World'!$A$1:$AL$1,))</f>
        <v>6.3440820000000002</v>
      </c>
      <c r="O75" s="14">
        <f>VLOOKUP(B75,'Data World'!$A:$AL,MATCH(World!$O$1,'Data World'!$A$1:$AL$1,))</f>
        <v>5.4</v>
      </c>
      <c r="P75" s="14"/>
      <c r="Q75" s="14">
        <f>VLOOKUP(B75,'Data World'!$A:$AL,MATCH(World!$Q$1,'Data World'!$A$1:$AL$1,))</f>
        <v>5.8</v>
      </c>
      <c r="R75" s="14">
        <f>VLOOKUP(B75,'Data World'!$A:$AL,MATCH(World!$R$1,'Data World'!$A$1:$AL$1,))</f>
        <v>12.2</v>
      </c>
      <c r="S75" s="14">
        <f>VLOOKUP(B75,'Data World'!$A:$AL,MATCH(World!$S$1,'Data World'!$A$1:$AL$1,))</f>
        <v>3.2</v>
      </c>
      <c r="T75" s="14">
        <f>VLOOKUP(B75,'Data World'!$A:$AL,MATCH(World!$T$1,'Data World'!$A$1:$AL$1,))</f>
        <v>3.1</v>
      </c>
    </row>
    <row r="76" spans="2:20" s="60" customFormat="1" x14ac:dyDescent="0.2">
      <c r="B76" s="13">
        <v>44255</v>
      </c>
      <c r="C76" s="14">
        <f>VLOOKUP(B76,'Data World'!$A:$AL,MATCH(World!$C$1,'Data World'!$A$1:$AL$1,))</f>
        <v>6.2</v>
      </c>
      <c r="D76" s="14">
        <f>VLOOKUP(B76,'Data World'!$A:$AL,MATCH(World!$D$1,'Data World'!$A$1:$AL$1,))</f>
        <v>8.1999999999999993</v>
      </c>
      <c r="E76" s="14">
        <f>VLOOKUP(B76,'Data World'!$A:$AL,MATCH(World!$E$1,'Data World'!$A$1:$AL$1,))</f>
        <v>2.9</v>
      </c>
      <c r="F76" s="14">
        <f>VLOOKUP(B76,'Data World'!$A:$AL,MATCH(World!$F$1,'Data World'!$A$1:$AL$1,))</f>
        <v>4.5</v>
      </c>
      <c r="G76" s="14">
        <f>VLOOKUP(B76,'Data World'!$A:$AL,MATCH(World!$G$1,'Data World'!$A$1:$AL$1,))</f>
        <v>8</v>
      </c>
      <c r="H76" s="14"/>
      <c r="I76" s="14">
        <f>VLOOKUP(B76,'Data World'!$A:$AL,MATCH(World!$I$1,'Data World'!$A$1:$AL$1,))</f>
        <v>10.199999999999999</v>
      </c>
      <c r="J76" s="14">
        <f>VLOOKUP(B76,'Data World'!$A:$AL,MATCH(World!$J$1,'Data World'!$A$1:$AL$1,))</f>
        <v>15.5</v>
      </c>
      <c r="K76" s="14">
        <f>VLOOKUP(B76,'Data World'!$A:$AL,MATCH(World!$K$1,'Data World'!$A$1:$AL$1,))</f>
        <v>9</v>
      </c>
      <c r="L76" s="14">
        <f>VLOOKUP(B76,'Data World'!$A:$AL,MATCH(World!$L$1,'Data World'!$A$1:$AL$1,))</f>
        <v>4.4536990000000003</v>
      </c>
      <c r="M76" s="14">
        <f>VLOOKUP(B76,'Data World'!$A:$AL,MATCH(World!$M$1,'Data World'!$A$1:$AL$1,))</f>
        <v>8.1999999999999993</v>
      </c>
      <c r="N76" s="14">
        <f>VLOOKUP(B76,'Data World'!$A:$AL,MATCH(World!$N$1,'Data World'!$A$1:$AL$1,))</f>
        <v>5.8296429999999999</v>
      </c>
      <c r="O76" s="14">
        <f>VLOOKUP(B76,'Data World'!$A:$AL,MATCH(World!$O$1,'Data World'!$A$1:$AL$1,))</f>
        <v>4</v>
      </c>
      <c r="P76" s="14"/>
      <c r="Q76" s="14">
        <f>VLOOKUP(B76,'Data World'!$A:$AL,MATCH(World!$Q$1,'Data World'!$A$1:$AL$1,))</f>
        <v>5.8</v>
      </c>
      <c r="R76" s="14"/>
      <c r="S76" s="14">
        <f>VLOOKUP(B76,'Data World'!$A:$AL,MATCH(World!$S$1,'Data World'!$A$1:$AL$1,))</f>
        <v>3.2</v>
      </c>
      <c r="T76" s="14">
        <f>VLOOKUP(B76,'Data World'!$A:$AL,MATCH(World!$T$1,'Data World'!$A$1:$AL$1,))</f>
        <v>3.1</v>
      </c>
    </row>
    <row r="77" spans="2:20" s="60" customFormat="1" x14ac:dyDescent="0.2"/>
    <row r="78" spans="2:20" s="60" customFormat="1" x14ac:dyDescent="0.2"/>
    <row r="79" spans="2:20" s="60" customFormat="1" x14ac:dyDescent="0.2"/>
    <row r="80" spans="2:20" s="60" customFormat="1" x14ac:dyDescent="0.2"/>
    <row r="81" s="60" customFormat="1" x14ac:dyDescent="0.2"/>
    <row r="82" s="60" customFormat="1" x14ac:dyDescent="0.2"/>
    <row r="83" s="60" customFormat="1" x14ac:dyDescent="0.2"/>
    <row r="84" s="60" customFormat="1" x14ac:dyDescent="0.2"/>
    <row r="85" s="60" customFormat="1" x14ac:dyDescent="0.2"/>
    <row r="86" s="60" customFormat="1" x14ac:dyDescent="0.2"/>
    <row r="87" s="60" customFormat="1" x14ac:dyDescent="0.2"/>
    <row r="88" s="60" customFormat="1" x14ac:dyDescent="0.2"/>
    <row r="89" s="60" customFormat="1" x14ac:dyDescent="0.2"/>
    <row r="90" s="60" customFormat="1" x14ac:dyDescent="0.2"/>
    <row r="91" s="60" customFormat="1" x14ac:dyDescent="0.2"/>
    <row r="92" s="60" customFormat="1" x14ac:dyDescent="0.2"/>
    <row r="93" s="60" customFormat="1" x14ac:dyDescent="0.2"/>
    <row r="94" s="60" customFormat="1" x14ac:dyDescent="0.2"/>
    <row r="95" s="60" customFormat="1" x14ac:dyDescent="0.2"/>
    <row r="96" s="60" customFormat="1" x14ac:dyDescent="0.2"/>
    <row r="97" s="60" customFormat="1" x14ac:dyDescent="0.2"/>
    <row r="98" s="60" customFormat="1" x14ac:dyDescent="0.2"/>
    <row r="99" s="60" customFormat="1" x14ac:dyDescent="0.2"/>
    <row r="100" s="60" customFormat="1" x14ac:dyDescent="0.2"/>
    <row r="101" s="60" customFormat="1" x14ac:dyDescent="0.2"/>
    <row r="102" s="60" customFormat="1" x14ac:dyDescent="0.2"/>
    <row r="103" s="60" customFormat="1" x14ac:dyDescent="0.2"/>
    <row r="104" s="60" customFormat="1" x14ac:dyDescent="0.2"/>
    <row r="105" s="60" customFormat="1" x14ac:dyDescent="0.2"/>
    <row r="106" s="60" customFormat="1" x14ac:dyDescent="0.2"/>
    <row r="107" s="60" customFormat="1" x14ac:dyDescent="0.2"/>
    <row r="108" s="60" customFormat="1" x14ac:dyDescent="0.2"/>
    <row r="109" s="60" customFormat="1" x14ac:dyDescent="0.2"/>
    <row r="110" s="60" customFormat="1" x14ac:dyDescent="0.2"/>
    <row r="111" s="60" customFormat="1" x14ac:dyDescent="0.2"/>
    <row r="112" s="60" customFormat="1" x14ac:dyDescent="0.2"/>
    <row r="113" s="60" customFormat="1" x14ac:dyDescent="0.2"/>
    <row r="114" s="60" customFormat="1" x14ac:dyDescent="0.2"/>
    <row r="115" s="60" customFormat="1" x14ac:dyDescent="0.2"/>
    <row r="116" s="60" customFormat="1" x14ac:dyDescent="0.2"/>
    <row r="117" s="60" customFormat="1" x14ac:dyDescent="0.2"/>
    <row r="118" s="60" customFormat="1" x14ac:dyDescent="0.2"/>
    <row r="119" s="60" customFormat="1" x14ac:dyDescent="0.2"/>
    <row r="120" s="60" customFormat="1" x14ac:dyDescent="0.2"/>
    <row r="121" s="60" customFormat="1" x14ac:dyDescent="0.2"/>
    <row r="122" s="60" customFormat="1" x14ac:dyDescent="0.2"/>
    <row r="123" s="60" customFormat="1" x14ac:dyDescent="0.2"/>
    <row r="124" s="60" customFormat="1" x14ac:dyDescent="0.2"/>
    <row r="125" s="60" customFormat="1" x14ac:dyDescent="0.2"/>
    <row r="126" s="60" customFormat="1" x14ac:dyDescent="0.2"/>
    <row r="127" s="60" customFormat="1" x14ac:dyDescent="0.2"/>
    <row r="128" s="60" customFormat="1" x14ac:dyDescent="0.2"/>
    <row r="129" s="60" customFormat="1" x14ac:dyDescent="0.2"/>
    <row r="130" s="60" customFormat="1" x14ac:dyDescent="0.2"/>
    <row r="131" s="60" customFormat="1" x14ac:dyDescent="0.2"/>
    <row r="132" s="60" customFormat="1" x14ac:dyDescent="0.2"/>
    <row r="133" s="60" customFormat="1" x14ac:dyDescent="0.2"/>
    <row r="134" s="60" customFormat="1" x14ac:dyDescent="0.2"/>
    <row r="135" s="60" customFormat="1" x14ac:dyDescent="0.2"/>
    <row r="136" s="60" customFormat="1" x14ac:dyDescent="0.2"/>
    <row r="137" s="60" customFormat="1" x14ac:dyDescent="0.2"/>
    <row r="138" s="60" customFormat="1" x14ac:dyDescent="0.2"/>
    <row r="139" s="60" customFormat="1" x14ac:dyDescent="0.2"/>
    <row r="140" s="60" customFormat="1" x14ac:dyDescent="0.2"/>
    <row r="141" s="60" customFormat="1" x14ac:dyDescent="0.2"/>
    <row r="142" s="60" customFormat="1" x14ac:dyDescent="0.2"/>
    <row r="143" s="60" customFormat="1" x14ac:dyDescent="0.2"/>
    <row r="144" s="60" customFormat="1" x14ac:dyDescent="0.2"/>
    <row r="145" s="60" customFormat="1" x14ac:dyDescent="0.2"/>
    <row r="146" s="60" customFormat="1" x14ac:dyDescent="0.2"/>
    <row r="147" s="60" customFormat="1" x14ac:dyDescent="0.2"/>
    <row r="148" s="60" customFormat="1" x14ac:dyDescent="0.2"/>
    <row r="149" s="60" customFormat="1" x14ac:dyDescent="0.2"/>
    <row r="150" s="60" customFormat="1" x14ac:dyDescent="0.2"/>
    <row r="151" s="60" customFormat="1" x14ac:dyDescent="0.2"/>
    <row r="152" s="60" customFormat="1" x14ac:dyDescent="0.2"/>
    <row r="153" s="60" customFormat="1" x14ac:dyDescent="0.2"/>
    <row r="154" s="60" customFormat="1" x14ac:dyDescent="0.2"/>
    <row r="155" s="60" customFormat="1" x14ac:dyDescent="0.2"/>
    <row r="156" s="60" customFormat="1" x14ac:dyDescent="0.2"/>
    <row r="157" s="60" customFormat="1" x14ac:dyDescent="0.2"/>
    <row r="158" s="60" customFormat="1" x14ac:dyDescent="0.2"/>
    <row r="159" s="60" customFormat="1" x14ac:dyDescent="0.2"/>
    <row r="160" s="60" customFormat="1" x14ac:dyDescent="0.2"/>
    <row r="161" s="60" customFormat="1" x14ac:dyDescent="0.2"/>
    <row r="162" s="60" customFormat="1" x14ac:dyDescent="0.2"/>
    <row r="163" s="60" customFormat="1" x14ac:dyDescent="0.2"/>
    <row r="164" s="60" customFormat="1" x14ac:dyDescent="0.2"/>
    <row r="165" s="60" customFormat="1" x14ac:dyDescent="0.2"/>
    <row r="166" s="60" customFormat="1" x14ac:dyDescent="0.2"/>
    <row r="167" s="60" customFormat="1" x14ac:dyDescent="0.2"/>
    <row r="168" s="60" customFormat="1" x14ac:dyDescent="0.2"/>
    <row r="169" s="60" customFormat="1" x14ac:dyDescent="0.2"/>
    <row r="170" s="60" customFormat="1" x14ac:dyDescent="0.2"/>
    <row r="171" s="60" customFormat="1" x14ac:dyDescent="0.2"/>
    <row r="172" s="60" customFormat="1" x14ac:dyDescent="0.2"/>
    <row r="173" s="60" customFormat="1" x14ac:dyDescent="0.2"/>
    <row r="174" s="60" customFormat="1" x14ac:dyDescent="0.2"/>
    <row r="175" s="60" customFormat="1" x14ac:dyDescent="0.2"/>
    <row r="176" s="60" customFormat="1" x14ac:dyDescent="0.2"/>
    <row r="177" s="60" customFormat="1" x14ac:dyDescent="0.2"/>
    <row r="178" s="60" customFormat="1" x14ac:dyDescent="0.2"/>
    <row r="179" s="60" customFormat="1" x14ac:dyDescent="0.2"/>
    <row r="180" s="60" customFormat="1" x14ac:dyDescent="0.2"/>
    <row r="181" s="60" customFormat="1" x14ac:dyDescent="0.2"/>
    <row r="182" s="60" customFormat="1" x14ac:dyDescent="0.2"/>
    <row r="183" s="60" customFormat="1" x14ac:dyDescent="0.2"/>
    <row r="184" s="60" customFormat="1" x14ac:dyDescent="0.2"/>
    <row r="185" s="60" customFormat="1" x14ac:dyDescent="0.2"/>
    <row r="186" s="60" customFormat="1" x14ac:dyDescent="0.2"/>
    <row r="187" s="60" customFormat="1" x14ac:dyDescent="0.2"/>
    <row r="188" s="60" customFormat="1" x14ac:dyDescent="0.2"/>
    <row r="189" s="60" customFormat="1" x14ac:dyDescent="0.2"/>
    <row r="190" s="60" customFormat="1" x14ac:dyDescent="0.2"/>
    <row r="191" s="60" customFormat="1" x14ac:dyDescent="0.2"/>
    <row r="192" s="60" customFormat="1" x14ac:dyDescent="0.2"/>
    <row r="193" s="60" customFormat="1" x14ac:dyDescent="0.2"/>
    <row r="194" s="60" customFormat="1" x14ac:dyDescent="0.2"/>
    <row r="195" s="60" customFormat="1" x14ac:dyDescent="0.2"/>
    <row r="196" s="60" customFormat="1" x14ac:dyDescent="0.2"/>
    <row r="197" s="60" customFormat="1" x14ac:dyDescent="0.2"/>
    <row r="198" s="60" customFormat="1" x14ac:dyDescent="0.2"/>
    <row r="199" s="60" customFormat="1" x14ac:dyDescent="0.2"/>
    <row r="200" s="60" customFormat="1" x14ac:dyDescent="0.2"/>
    <row r="201" s="60" customFormat="1" x14ac:dyDescent="0.2"/>
    <row r="202" s="60" customFormat="1" x14ac:dyDescent="0.2"/>
    <row r="203" s="60" customFormat="1" x14ac:dyDescent="0.2"/>
    <row r="204" s="60" customFormat="1" x14ac:dyDescent="0.2"/>
    <row r="205" s="60" customFormat="1" x14ac:dyDescent="0.2"/>
    <row r="206" s="60" customFormat="1" x14ac:dyDescent="0.2"/>
    <row r="207" s="60" customFormat="1" x14ac:dyDescent="0.2"/>
    <row r="208" s="60" customFormat="1" x14ac:dyDescent="0.2"/>
    <row r="209" s="60" customFormat="1" x14ac:dyDescent="0.2"/>
    <row r="210" s="60" customFormat="1" x14ac:dyDescent="0.2"/>
    <row r="211" s="60" customFormat="1" x14ac:dyDescent="0.2"/>
    <row r="212" s="60" customFormat="1" x14ac:dyDescent="0.2"/>
    <row r="213" s="60" customFormat="1" x14ac:dyDescent="0.2"/>
    <row r="214" s="60" customFormat="1" x14ac:dyDescent="0.2"/>
    <row r="215" s="60" customFormat="1" x14ac:dyDescent="0.2"/>
    <row r="216" s="60" customFormat="1" x14ac:dyDescent="0.2"/>
    <row r="217" s="60" customFormat="1" x14ac:dyDescent="0.2"/>
    <row r="218" s="60" customFormat="1" x14ac:dyDescent="0.2"/>
    <row r="219" s="60" customFormat="1" x14ac:dyDescent="0.2"/>
    <row r="220" s="60" customFormat="1" x14ac:dyDescent="0.2"/>
    <row r="221" s="60" customFormat="1" x14ac:dyDescent="0.2"/>
    <row r="222" s="60" customFormat="1" x14ac:dyDescent="0.2"/>
    <row r="223" s="60" customFormat="1" x14ac:dyDescent="0.2"/>
    <row r="224" s="60" customFormat="1" x14ac:dyDescent="0.2"/>
    <row r="225" s="60" customFormat="1" x14ac:dyDescent="0.2"/>
    <row r="226" s="60" customFormat="1" x14ac:dyDescent="0.2"/>
    <row r="227" s="60" customFormat="1" x14ac:dyDescent="0.2"/>
    <row r="228" s="60" customFormat="1" x14ac:dyDescent="0.2"/>
    <row r="229" s="60" customFormat="1" x14ac:dyDescent="0.2"/>
    <row r="230" s="60" customFormat="1" x14ac:dyDescent="0.2"/>
    <row r="231" s="60" customFormat="1" x14ac:dyDescent="0.2"/>
    <row r="232" s="60" customFormat="1" x14ac:dyDescent="0.2"/>
    <row r="233" s="60" customFormat="1" x14ac:dyDescent="0.2"/>
    <row r="234" s="60" customFormat="1" x14ac:dyDescent="0.2"/>
    <row r="235" s="60" customFormat="1" x14ac:dyDescent="0.2"/>
    <row r="236" s="60" customFormat="1" x14ac:dyDescent="0.2"/>
    <row r="237" s="60" customFormat="1" x14ac:dyDescent="0.2"/>
    <row r="238" s="60" customFormat="1" x14ac:dyDescent="0.2"/>
    <row r="239" s="60" customFormat="1" x14ac:dyDescent="0.2"/>
    <row r="240" s="60" customFormat="1" x14ac:dyDescent="0.2"/>
    <row r="241" s="60" customFormat="1" x14ac:dyDescent="0.2"/>
    <row r="242" s="60" customFormat="1" x14ac:dyDescent="0.2"/>
    <row r="243" s="60" customFormat="1" x14ac:dyDescent="0.2"/>
    <row r="244" s="60" customFormat="1" x14ac:dyDescent="0.2"/>
    <row r="245" s="60" customFormat="1" x14ac:dyDescent="0.2"/>
    <row r="246" s="60" customFormat="1" x14ac:dyDescent="0.2"/>
    <row r="247" s="60" customFormat="1" x14ac:dyDescent="0.2"/>
    <row r="248" s="60" customFormat="1" x14ac:dyDescent="0.2"/>
    <row r="249" s="60" customFormat="1" x14ac:dyDescent="0.2"/>
    <row r="250" s="60" customFormat="1" x14ac:dyDescent="0.2"/>
    <row r="251" s="60" customFormat="1" x14ac:dyDescent="0.2"/>
    <row r="252" s="60" customFormat="1" x14ac:dyDescent="0.2"/>
    <row r="253" s="60" customFormat="1" x14ac:dyDescent="0.2"/>
    <row r="254" s="60" customFormat="1" x14ac:dyDescent="0.2"/>
    <row r="255" s="60" customFormat="1" x14ac:dyDescent="0.2"/>
    <row r="256" s="60" customFormat="1" x14ac:dyDescent="0.2"/>
    <row r="257" s="60" customFormat="1" x14ac:dyDescent="0.2"/>
    <row r="258" s="60" customFormat="1" x14ac:dyDescent="0.2"/>
    <row r="259" s="60" customFormat="1" x14ac:dyDescent="0.2"/>
    <row r="260" s="60" customFormat="1" x14ac:dyDescent="0.2"/>
    <row r="261" s="60" customFormat="1" x14ac:dyDescent="0.2"/>
    <row r="262" s="60" customFormat="1" x14ac:dyDescent="0.2"/>
    <row r="263" s="60" customFormat="1" x14ac:dyDescent="0.2"/>
    <row r="264" s="60" customFormat="1" x14ac:dyDescent="0.2"/>
    <row r="265" s="60" customFormat="1" x14ac:dyDescent="0.2"/>
    <row r="266" s="60" customFormat="1" x14ac:dyDescent="0.2"/>
    <row r="267" s="60" customFormat="1" x14ac:dyDescent="0.2"/>
    <row r="268" s="60" customFormat="1" x14ac:dyDescent="0.2"/>
    <row r="269" s="60" customFormat="1" x14ac:dyDescent="0.2"/>
    <row r="270" s="60" customFormat="1" x14ac:dyDescent="0.2"/>
    <row r="271" s="60" customFormat="1" x14ac:dyDescent="0.2"/>
    <row r="272" s="60" customFormat="1" x14ac:dyDescent="0.2"/>
    <row r="273" s="60" customFormat="1" x14ac:dyDescent="0.2"/>
    <row r="274" s="60" customFormat="1" x14ac:dyDescent="0.2"/>
    <row r="275" s="60" customFormat="1" x14ac:dyDescent="0.2"/>
    <row r="276" s="60" customFormat="1" x14ac:dyDescent="0.2"/>
    <row r="277" s="60" customFormat="1" x14ac:dyDescent="0.2"/>
    <row r="278" s="60" customFormat="1" x14ac:dyDescent="0.2"/>
    <row r="279" s="60" customFormat="1" x14ac:dyDescent="0.2"/>
    <row r="280" s="60" customFormat="1" x14ac:dyDescent="0.2"/>
    <row r="281" s="60" customFormat="1" x14ac:dyDescent="0.2"/>
    <row r="282" s="60" customFormat="1" x14ac:dyDescent="0.2"/>
    <row r="283" s="60" customFormat="1" x14ac:dyDescent="0.2"/>
    <row r="284" s="60" customFormat="1" x14ac:dyDescent="0.2"/>
    <row r="285" s="60" customFormat="1" x14ac:dyDescent="0.2"/>
    <row r="286" s="60" customFormat="1" x14ac:dyDescent="0.2"/>
    <row r="287" s="60" customFormat="1" x14ac:dyDescent="0.2"/>
    <row r="288" s="60" customFormat="1" x14ac:dyDescent="0.2"/>
    <row r="289" s="60" customFormat="1" x14ac:dyDescent="0.2"/>
    <row r="290" s="60" customFormat="1" x14ac:dyDescent="0.2"/>
    <row r="291" s="60" customFormat="1" x14ac:dyDescent="0.2"/>
    <row r="292" s="60" customFormat="1" x14ac:dyDescent="0.2"/>
    <row r="293" s="60" customFormat="1" x14ac:dyDescent="0.2"/>
    <row r="294" s="60" customFormat="1" x14ac:dyDescent="0.2"/>
    <row r="295" s="60" customFormat="1" x14ac:dyDescent="0.2"/>
    <row r="296" s="60" customFormat="1" x14ac:dyDescent="0.2"/>
    <row r="297" s="60" customFormat="1" x14ac:dyDescent="0.2"/>
    <row r="298" s="60" customFormat="1" x14ac:dyDescent="0.2"/>
    <row r="299" s="60" customFormat="1" x14ac:dyDescent="0.2"/>
    <row r="300" s="60" customFormat="1" x14ac:dyDescent="0.2"/>
    <row r="301" s="60" customFormat="1" x14ac:dyDescent="0.2"/>
    <row r="302" s="60" customFormat="1" x14ac:dyDescent="0.2"/>
    <row r="303" s="60" customFormat="1" x14ac:dyDescent="0.2"/>
    <row r="304" s="60" customFormat="1" x14ac:dyDescent="0.2"/>
    <row r="305" s="60" customFormat="1" x14ac:dyDescent="0.2"/>
    <row r="306" s="60" customFormat="1" x14ac:dyDescent="0.2"/>
    <row r="307" s="60" customFormat="1" x14ac:dyDescent="0.2"/>
    <row r="308" s="60" customFormat="1" x14ac:dyDescent="0.2"/>
    <row r="309" s="60" customFormat="1" x14ac:dyDescent="0.2"/>
    <row r="310" s="60" customFormat="1" x14ac:dyDescent="0.2"/>
    <row r="311" s="60" customFormat="1" x14ac:dyDescent="0.2"/>
    <row r="312" s="60" customFormat="1" x14ac:dyDescent="0.2"/>
    <row r="313" s="60" customFormat="1" x14ac:dyDescent="0.2"/>
    <row r="314" s="60" customFormat="1" x14ac:dyDescent="0.2"/>
    <row r="315" s="60" customFormat="1" x14ac:dyDescent="0.2"/>
    <row r="316" s="60" customFormat="1" x14ac:dyDescent="0.2"/>
    <row r="317" s="60" customFormat="1" x14ac:dyDescent="0.2"/>
    <row r="318" s="60" customFormat="1" x14ac:dyDescent="0.2"/>
    <row r="319" s="60" customFormat="1" x14ac:dyDescent="0.2"/>
    <row r="320" s="60" customFormat="1" x14ac:dyDescent="0.2"/>
    <row r="321" s="60" customFormat="1" x14ac:dyDescent="0.2"/>
    <row r="322" s="60" customFormat="1" x14ac:dyDescent="0.2"/>
    <row r="323" s="60" customFormat="1" x14ac:dyDescent="0.2"/>
    <row r="324" s="60" customFormat="1" x14ac:dyDescent="0.2"/>
    <row r="325" s="60" customFormat="1" x14ac:dyDescent="0.2"/>
    <row r="326" s="60" customFormat="1" x14ac:dyDescent="0.2"/>
    <row r="327" s="60" customFormat="1" x14ac:dyDescent="0.2"/>
    <row r="328" s="60" customFormat="1" x14ac:dyDescent="0.2"/>
    <row r="329" s="60" customFormat="1" x14ac:dyDescent="0.2"/>
    <row r="330" s="60" customFormat="1" x14ac:dyDescent="0.2"/>
  </sheetData>
  <conditionalFormatting sqref="C5:D76">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76">
    <cfRule type="colorScale" priority="115">
      <colorScale>
        <cfvo type="min"/>
        <cfvo type="percentile" val="50"/>
        <cfvo type="max"/>
        <color rgb="FF63BE7B"/>
        <color rgb="FFFFEB84"/>
        <color rgb="FFF8696B"/>
      </colorScale>
    </cfRule>
  </conditionalFormatting>
  <conditionalFormatting sqref="D5:D76">
    <cfRule type="colorScale" priority="116">
      <colorScale>
        <cfvo type="min"/>
        <cfvo type="percentile" val="50"/>
        <cfvo type="max"/>
        <color rgb="FF63BE7B"/>
        <color rgb="FFFFEB84"/>
        <color rgb="FFF8696B"/>
      </colorScale>
    </cfRule>
  </conditionalFormatting>
  <conditionalFormatting sqref="E5:E76">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76">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76">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76">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76">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76">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76">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76">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76">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76">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76">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76">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76">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76">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76">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76">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Database</vt:lpstr>
      <vt:lpstr>Database Claims</vt:lpstr>
      <vt:lpstr>Database ADP</vt:lpstr>
      <vt:lpstr>NFP</vt:lpstr>
      <vt:lpstr>Claims</vt:lpstr>
      <vt:lpstr>Graphs</vt:lpstr>
      <vt:lpstr>ADP</vt:lpstr>
      <vt:lpstr>Data World</vt:lpstr>
      <vt:lpstr>World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lzweig</dc:creator>
  <cp:lastModifiedBy>Mark Mukherjee</cp:lastModifiedBy>
  <dcterms:created xsi:type="dcterms:W3CDTF">2013-04-03T15:49:21Z</dcterms:created>
  <dcterms:modified xsi:type="dcterms:W3CDTF">2021-12-18T13:46:27Z</dcterms:modified>
</cp:coreProperties>
</file>