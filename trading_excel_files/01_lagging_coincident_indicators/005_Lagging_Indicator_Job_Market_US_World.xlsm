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NFP!$A$120:$A$1011</f>
              <numCache>
                <formatCode>yyyy\-mm\-dd</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NFP!$E$120:$E$1011</f>
              <numCache>
                <formatCode>General</formatCode>
                <ptCount val="892"/>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NFP!$E$120:$E$1017</f>
              <numCache>
                <formatCode>General</formatCode>
                <ptCount val="898"/>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NFP!$F$120:$F$1017</f>
              <numCache>
                <formatCode>General</formatCode>
                <ptCount val="898"/>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56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NFP!$A$300:$A$1026</f>
              <numCache>
                <formatCode>yyyy\-mm\-dd</formatCode>
                <ptCount val="727"/>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numCache>
            </numRef>
          </cat>
          <val>
            <numRef>
              <f>NFP!$C$300:$C$1026</f>
              <numCache>
                <formatCode>0</formatCode>
                <ptCount val="727"/>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numCache>
            </numRef>
          </val>
          <smooth val="0"/>
        </ser>
        <dLbls>
          <showLegendKey val="0"/>
          <showVal val="0"/>
          <showCatName val="0"/>
          <showSerName val="0"/>
          <showPercent val="0"/>
          <showBubbleSize val="0"/>
        </dLbls>
        <smooth val="0"/>
        <axId val="1034261896"/>
        <axId val="1034262288"/>
      </lineChart>
      <dateAx>
        <axId val="1034261896"/>
        <scaling>
          <orientation val="minMax"/>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NFP!$A$800:$A$1026</f>
              <numCache>
                <formatCode>yyyy\-mm\-dd</formatCode>
                <ptCount val="227"/>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numCache>
            </numRef>
          </cat>
          <val>
            <numRef>
              <f>NFP!$C$800:$C$1026</f>
              <numCache>
                <formatCode>0</formatCode>
                <ptCount val="227"/>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NFP!$A$13:$A$1026</f>
              <numCache>
                <formatCode>yyyy\-mm\-dd</formatCode>
                <ptCount val="101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numCache>
            </numRef>
          </cat>
          <val>
            <numRef>
              <f>NFP!$C$13:$C$1026</f>
              <numCache>
                <formatCode>0</formatCode>
                <ptCount val="101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numCache>
            </numRef>
          </val>
        </ser>
        <dLbls>
          <showLegendKey val="0"/>
          <showVal val="0"/>
          <showCatName val="0"/>
          <showSerName val="0"/>
          <showPercent val="0"/>
          <showBubbleSize val="0"/>
        </dLbls>
        <gapWidth val="150"/>
        <axId val="827929136"/>
        <axId val="827929792"/>
      </barChart>
      <dateAx>
        <axId val="82792913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NFP!$A$13:$A$1026</f>
              <numCache>
                <formatCode>yyyy\-mm\-dd</formatCode>
                <ptCount val="101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numCache>
            </numRef>
          </cat>
          <val>
            <numRef>
              <f>NFP!$C$13:$C$1026</f>
              <numCache>
                <formatCode>0</formatCode>
                <ptCount val="101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ADP!$A$6:$A$253</f>
              <numCache>
                <formatCode>m/d/yy</formatCode>
                <ptCount val="248"/>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numCache>
            </numRef>
          </cat>
          <val>
            <numRef>
              <f>ADP!$B$6:$B$253</f>
              <numCache>
                <formatCode>0.00</formatCode>
                <ptCount val="248"/>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ADP!$A$6:$A$253</f>
              <numCache>
                <formatCode>m/d/yy</formatCode>
                <ptCount val="248"/>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numCache>
            </numRef>
          </cat>
          <val>
            <numRef>
              <f>ADP!$C$6:$C$253</f>
              <numCache>
                <formatCode>0.00</formatCode>
                <ptCount val="248"/>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08" headerRowCount="1" totalsRowShown="0" headerRowDxfId="19" dataDxfId="18">
  <autoFilter ref="A11:F1008"/>
  <tableColumns count="6">
    <tableColumn id="1" name="Date" dataDxfId="17"/>
    <tableColumn id="2" name="PAYEMS" dataDxfId="16">
      <calculatedColumnFormula>VLOOKUP(Table1[[#This Row],[Date]],Database!A:D,3,)</calculatedColumnFormula>
    </tableColumn>
    <tableColumn id="4" name="Monthly Change in k" dataDxfId="15">
      <calculatedColumnFormula>B12-B11</calculatedColumnFormula>
    </tableColumn>
    <tableColumn id="8" name="3 months average" dataDxfId="14">
      <calculatedColumnFormula>AVERAGE(C10:C12)</calculatedColumnFormula>
    </tableColumn>
    <tableColumn id="9" name="Unemployment Rate" dataDxfId="13">
      <calculatedColumnFormula>VLOOKUP(Table1[[#This Row],[Date]],#REF!,2,)</calculatedColumnFormula>
    </tableColumn>
    <tableColumn id="5" name="Participation Rate" dataDxfId="12"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1" dataDxfId="10">
  <autoFilter ref="A4:E5"/>
  <tableColumns count="5">
    <tableColumn id="1" name="Date" dataDxfId="9"/>
    <tableColumn id="2" name="Initial Claims" dataDxfId="8">
      <calculatedColumnFormula>VLOOKUP(A5,'Database Claims'!$A:$C,3,)</calculatedColumnFormula>
    </tableColumn>
    <tableColumn id="3" name="Var." dataDxfId="7"/>
    <tableColumn id="4" name="Continued Claims" dataDxfId="6">
      <calculatedColumnFormula>VLOOKUP(A5,'Database Claims'!$A:$C,2,)</calculatedColumnFormula>
    </tableColumn>
    <tableColumn id="5" name="Var. " dataDxfId="5"/>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3" headerRowCount="1" totalsRowShown="0" headerRowDxfId="4" dataDxfId="3">
  <autoFilter ref="A5:C253"/>
  <tableColumns count="3">
    <tableColumn id="1" name="Date" dataDxfId="2"/>
    <tableColumn id="4" name="ADP " dataDxfId="1">
      <calculatedColumnFormula>VLOOKUP(A6,'Database ADP'!A:B,2)</calculatedColumnFormula>
    </tableColumn>
    <tableColumn id="5"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zoomScale="140" zoomScaleNormal="140" workbookViewId="0">
      <selection activeCell="L243" sqref="L243"/>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34"/>
    <col width="9.1640625" customWidth="1" style="69" min="35"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44470</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21">
      <formula>0</formula>
    </cfRule>
    <cfRule type="cellIs" priority="2" operator="greaterThan" dxfId="2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998"/>
  <sheetViews>
    <sheetView zoomScale="160" zoomScaleNormal="160" workbookViewId="0">
      <pane ySplit="1" topLeftCell="A967"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76"/>
  <sheetViews>
    <sheetView zoomScale="170" zoomScaleNormal="170" workbookViewId="0">
      <pane ySplit="1" topLeftCell="A2841"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5"/>
    <col width="8.83203125" customWidth="1" style="49" min="16"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C2876" t="n">
        <v>223000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0"/>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4"/>
    <col width="8.83203125" customWidth="1" style="49" min="15"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1"/>
    <col width="9.1640625" customWidth="1" style="49" min="22"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H805" t="n">
        <v>2.1</v>
      </c>
      <c r="I805" t="n">
        <v>3.2</v>
      </c>
      <c r="J805" t="n">
        <v>5.1</v>
      </c>
      <c r="K805" t="n">
        <v>7</v>
      </c>
      <c r="L805" t="n">
        <v>13</v>
      </c>
      <c r="M805" t="n">
        <v>5.2</v>
      </c>
      <c r="N805" t="n">
        <v>7.2</v>
      </c>
      <c r="O805" t="n">
        <v>7.4</v>
      </c>
      <c r="P805" t="n">
        <v>4.342466</v>
      </c>
      <c r="R805" t="n">
        <v>12.7</v>
      </c>
      <c r="S805" t="n">
        <v>3.7</v>
      </c>
      <c r="T805" t="n">
        <v>5.1</v>
      </c>
      <c r="U805" t="n">
        <v>4.9</v>
      </c>
      <c r="V805" t="n">
        <v>4.264764</v>
      </c>
      <c r="W805" t="n">
        <v>9</v>
      </c>
      <c r="X805" t="n">
        <v>2.7</v>
      </c>
      <c r="Y805" t="n">
        <v>3.8</v>
      </c>
      <c r="Z805" t="n">
        <v>5</v>
      </c>
      <c r="AA805" t="n">
        <v>7.5</v>
      </c>
      <c r="AB805" t="n">
        <v>3.887654</v>
      </c>
      <c r="AC805" t="n">
        <v>3.8</v>
      </c>
      <c r="AE805" t="n">
        <v>5.372316</v>
      </c>
      <c r="AF805" t="n">
        <v>2.9</v>
      </c>
      <c r="AG805" t="n">
        <v>5.9</v>
      </c>
      <c r="AH805" t="n">
        <v>6.4</v>
      </c>
      <c r="AI805" t="n">
        <v>4.6</v>
      </c>
      <c r="AJ805" t="n">
        <v>8</v>
      </c>
      <c r="AL805" t="n">
        <v>3.9</v>
      </c>
    </row>
    <row r="806">
      <c r="A806" s="78" t="n">
        <v>44562</v>
      </c>
      <c r="E806" t="n">
        <v>6.5</v>
      </c>
      <c r="AL806" t="n">
        <v>4</v>
      </c>
    </row>
    <row r="807">
      <c r="A807" s="78" t="n">
        <v>44593</v>
      </c>
    </row>
    <row r="808">
      <c r="A808" s="78" t="n">
        <v>44621</v>
      </c>
    </row>
    <row r="809">
      <c r="A809" s="78" t="n">
        <v>44652</v>
      </c>
    </row>
    <row r="810">
      <c r="A810" s="78" t="n">
        <v>44682</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08"/>
  <sheetViews>
    <sheetView zoomScale="120" zoomScaleNormal="120" workbookViewId="0">
      <pane ySplit="11" topLeftCell="A988" activePane="bottomLeft" state="frozen"/>
      <selection activeCell="F8" sqref="F8"/>
      <selection pane="bottomLeft" activeCell="U1014" sqref="U1014"/>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MAX(C13:C1031)</f>
        <v/>
      </c>
      <c r="E3" s="15" t="n"/>
      <c r="F3" s="16" t="n"/>
    </row>
    <row r="4" customFormat="1" s="69">
      <c r="A4" s="17" t="n"/>
      <c r="B4" s="15" t="n"/>
      <c r="C4" s="23" t="inlineStr">
        <is>
          <t>Min</t>
        </is>
      </c>
      <c r="D4" s="19">
        <f>MIN(C13:C1031)</f>
        <v/>
      </c>
      <c r="E4" s="15" t="n"/>
      <c r="F4" s="15" t="n"/>
    </row>
    <row r="5" customFormat="1" s="69">
      <c r="B5" s="15" t="n"/>
      <c r="C5" s="23" t="inlineStr">
        <is>
          <t>Average</t>
        </is>
      </c>
      <c r="D5" s="20">
        <f>AVERAGE(C13:C1531)</f>
        <v/>
      </c>
      <c r="E5" s="15" t="n"/>
      <c r="F5" s="15" t="n"/>
    </row>
    <row r="6" ht="16" customFormat="1" customHeight="1" s="69" thickBot="1">
      <c r="B6" s="15" t="n"/>
      <c r="C6" s="24" t="inlineStr">
        <is>
          <t>Avg. since 2010</t>
        </is>
      </c>
      <c r="D6" s="21">
        <f>AVERAGE(C864:C1031)</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sheetData>
  <conditionalFormatting sqref="C864:C1008">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75"/>
  <sheetViews>
    <sheetView zoomScale="130" zoomScaleNormal="130" workbookViewId="0">
      <pane ySplit="4" topLeftCell="A2855" activePane="bottomLeft" state="frozen"/>
      <selection activeCell="K1" sqref="K1"/>
      <selection pane="bottomLeft" activeCell="G2874" sqref="G2874"/>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row r="2877" customFormat="1" s="69"/>
    <row r="2878" customFormat="1" s="69"/>
    <row r="2879" customFormat="1" s="69"/>
    <row r="2880" customFormat="1" s="69"/>
    <row r="2881" customFormat="1" s="69"/>
    <row r="2882" customFormat="1" s="69"/>
    <row r="2883" customFormat="1" s="69"/>
    <row r="2884" customFormat="1" s="69"/>
    <row r="2885" customFormat="1" s="69"/>
    <row r="2886" customFormat="1" s="69"/>
    <row r="2887" customFormat="1" s="69"/>
    <row r="2888" customFormat="1" s="69"/>
    <row r="2889" customFormat="1" s="69"/>
    <row r="2890" customFormat="1" s="69"/>
    <row r="2891" customFormat="1" s="69"/>
    <row r="2892" customFormat="1" s="69"/>
    <row r="2893" customFormat="1" s="69"/>
    <row r="2894" customFormat="1" s="69"/>
    <row r="2895" customFormat="1" s="69"/>
    <row r="2896" customFormat="1" s="69"/>
    <row r="2897" customFormat="1" s="69"/>
    <row r="2898" customFormat="1" s="69"/>
    <row r="2899" customFormat="1" s="69"/>
    <row r="2900" customFormat="1" s="69"/>
    <row r="2901" customFormat="1" s="69"/>
    <row r="2902" customFormat="1" s="69"/>
    <row r="2903" customFormat="1" s="69"/>
    <row r="2904" customFormat="1" s="69"/>
    <row r="2905" customFormat="1" s="69"/>
    <row r="2906" customFormat="1" s="69"/>
    <row r="2907" customFormat="1" s="69"/>
    <row r="2908" customFormat="1" s="69"/>
    <row r="2909" customFormat="1" s="69"/>
    <row r="2910" customFormat="1" s="69"/>
    <row r="2911" customFormat="1" s="69"/>
    <row r="2912" customFormat="1" s="69"/>
    <row r="2913" customFormat="1" s="69"/>
    <row r="2914" customFormat="1" s="69"/>
    <row r="2915" customFormat="1" s="69"/>
    <row r="2916" customFormat="1" s="69"/>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8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17" zoomScale="110" zoomScaleNormal="110" workbookViewId="0">
      <selection activeCell="Z61" sqref="Z61"/>
    </sheetView>
  </sheetViews>
  <sheetFormatPr baseColWidth="10" defaultColWidth="9.1640625" defaultRowHeight="15"/>
  <cols>
    <col width="9.1640625" customWidth="1" style="69" min="1" max="15"/>
    <col width="9.1640625" customWidth="1" style="69" min="16"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30" activePane="bottomLeft" state="frozen"/>
      <selection activeCell="L243" sqref="L243"/>
      <selection pane="bottomLeft" activeCell="P249" sqref="P249"/>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15" t="n"/>
      <c r="B254" s="15" t="n"/>
      <c r="C254" s="15" t="n"/>
    </row>
    <row r="255" customFormat="1" s="69">
      <c r="A255" s="15" t="n"/>
      <c r="B255" s="15" t="n"/>
      <c r="C255" s="15" t="n"/>
    </row>
    <row r="256" customFormat="1" s="69">
      <c r="A256" s="15" t="n"/>
      <c r="B256" s="15" t="n"/>
      <c r="C256" s="15" t="n"/>
    </row>
    <row r="257" customFormat="1" s="69">
      <c r="A257" s="15" t="n"/>
      <c r="B257" s="15" t="n"/>
      <c r="C257" s="15" t="n"/>
    </row>
    <row r="258" customFormat="1" s="69">
      <c r="A258" s="15" t="n"/>
      <c r="B258" s="15" t="n"/>
      <c r="C258" s="15" t="n"/>
    </row>
    <row r="259" customFormat="1" s="69">
      <c r="A259" s="15" t="n"/>
      <c r="B259" s="15" t="n"/>
      <c r="C259" s="15" t="n"/>
    </row>
    <row r="260" customFormat="1" s="69">
      <c r="A260" s="15" t="n"/>
      <c r="B260" s="15" t="n"/>
      <c r="C260" s="15" t="n"/>
    </row>
    <row r="261" customFormat="1" s="69">
      <c r="A261" s="15" t="n"/>
      <c r="B261" s="15" t="n"/>
      <c r="C261" s="15" t="n"/>
    </row>
    <row r="262" customFormat="1" s="69">
      <c r="A262" s="15" t="n"/>
      <c r="B262" s="15" t="n"/>
      <c r="C262" s="15" t="n"/>
    </row>
    <row r="263" customFormat="1" s="69">
      <c r="A263" s="15" t="n"/>
      <c r="B263" s="15" t="n"/>
      <c r="C263" s="15" t="n"/>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7"/>
  <sheetViews>
    <sheetView zoomScale="190" zoomScaleNormal="190" workbookViewId="0">
      <pane xSplit="2" ySplit="3" topLeftCell="C75" activePane="bottomRight" state="frozen"/>
      <selection activeCell="L243" sqref="L243"/>
      <selection pane="topRight" activeCell="L243" sqref="L243"/>
      <selection pane="bottomLeft" activeCell="L243" sqref="L243"/>
      <selection pane="bottomRight" activeCell="Y80" sqref="Y8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row r="89" customFormat="1" s="69"/>
    <row r="90" customFormat="1" s="69"/>
    <row r="91" customFormat="1" s="69"/>
    <row r="92" customFormat="1" s="69"/>
    <row r="93" customFormat="1" s="69"/>
    <row r="94" customFormat="1" s="69"/>
    <row r="95" customFormat="1" s="69"/>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87">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7">
    <cfRule type="colorScale" priority="115">
      <colorScale>
        <cfvo type="min"/>
        <cfvo type="percentile" val="50"/>
        <cfvo type="max"/>
        <color rgb="FF63BE7B"/>
        <color rgb="FFFFEB84"/>
        <color rgb="FFF8696B"/>
      </colorScale>
    </cfRule>
  </conditionalFormatting>
  <conditionalFormatting sqref="D5:D87">
    <cfRule type="colorScale" priority="116">
      <colorScale>
        <cfvo type="min"/>
        <cfvo type="percentile" val="50"/>
        <cfvo type="max"/>
        <color rgb="FF63BE7B"/>
        <color rgb="FFFFEB84"/>
        <color rgb="FFF8696B"/>
      </colorScale>
    </cfRule>
  </conditionalFormatting>
  <conditionalFormatting sqref="E5:E87">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7">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7">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7">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7">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7">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7">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7">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7">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7">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7">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7">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7">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7">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7">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7">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2022-02-09T06:36:27Z</dcterms:modified>
  <cp:lastModifiedBy>Mark Mukherjee</cp:lastModifiedBy>
</cp:coreProperties>
</file>