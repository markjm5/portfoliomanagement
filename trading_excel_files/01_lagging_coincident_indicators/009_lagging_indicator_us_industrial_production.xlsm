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880" yWindow="-640" windowWidth="59600" windowHeight="283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Utilization'!$B$6:$B$665</f>
              <numCache>
                <formatCode>0.00</formatCode>
                <ptCount val="66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Utilization'!$C$6:$C$665</f>
              <numCache>
                <formatCode>General</formatCode>
                <ptCount val="66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Utilization'!$A$102:$A$660</f>
              <numCache>
                <formatCode>mmm\-yy</formatCode>
                <ptCount val="559"/>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numCache>
            </numRef>
          </cat>
          <val>
            <numRef>
              <f>'Capacity Utilization'!$C$102:$C$660</f>
              <numCache>
                <formatCode>0.0%</formatCode>
                <ptCount val="559"/>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Materials!$B$8:$B$606</f>
              <numCache>
                <formatCode>0.0</formatCode>
                <ptCount val="599"/>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Materials!$B$343:$B$606</f>
              <numCache>
                <formatCode>0.0</formatCode>
                <ptCount val="264"/>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Materials!$D$20:$D$606</f>
              <numCache>
                <formatCode>0.0%</formatCode>
                <ptCount val="587"/>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Materials!$D$343:$D$600</f>
              <numCache>
                <formatCode>0.0%</formatCode>
                <ptCount val="258"/>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'Consumer Goods'!$B$8:$B$606</f>
              <numCache>
                <formatCode>0.0</formatCode>
                <ptCount val="599"/>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Goods'!$B$343:$B$606</f>
              <numCache>
                <formatCode>0.0</formatCode>
                <ptCount val="264"/>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numCache>
            </numRef>
          </val>
          <smooth val="0"/>
        </ser>
        <dLbls>
          <showLegendKey val="0"/>
          <showVal val="0"/>
          <showCatName val="0"/>
          <showSerName val="0"/>
          <showPercent val="0"/>
          <showBubbleSize val="0"/>
        </dLbls>
        <smooth val="0"/>
        <axId val="493623704"/>
        <axId val="493624096"/>
      </lineChart>
      <dateAx>
        <axId val="49362370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Goods'!$D$20:$D$606</f>
              <numCache>
                <formatCode>0.0%</formatCode>
                <ptCount val="587"/>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Goods'!$D$343:$D$606</f>
              <numCache>
                <formatCode>0.0%</formatCode>
                <ptCount val="264"/>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'Business Equipment'!$B$8:$B$606</f>
              <numCache>
                <formatCode>0.0</formatCode>
                <ptCount val="599"/>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Equipment'!$B$343:$B$606</f>
              <numCache>
                <formatCode>0.0</formatCode>
                <ptCount val="264"/>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numCache>
            </numRef>
          </val>
          <smooth val="0"/>
        </ser>
        <dLbls>
          <showLegendKey val="0"/>
          <showVal val="0"/>
          <showCatName val="0"/>
          <showSerName val="0"/>
          <showPercent val="0"/>
          <showBubbleSize val="0"/>
        </dLbls>
        <smooth val="0"/>
        <axId val="493628408"/>
        <axId val="493628800"/>
      </lineChart>
      <dateAx>
        <axId val="49362840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Equipment'!$D$20:$D$606</f>
              <numCache>
                <formatCode>0.0%</formatCode>
                <ptCount val="587"/>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numCache>
            </numRef>
          </val>
        </ser>
        <dLbls>
          <showLegendKey val="0"/>
          <showVal val="0"/>
          <showCatName val="0"/>
          <showSerName val="0"/>
          <showPercent val="0"/>
          <showBubbleSize val="0"/>
        </dLbls>
        <gapWidth val="219"/>
        <axId val="493629584"/>
        <axId val="493629976"/>
      </barChart>
      <dateAx>
        <axId val="49362958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Equipment'!$D$343:$D$600</f>
              <numCache>
                <formatCode>0.0%</formatCode>
                <ptCount val="258"/>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numCache>
            </numRef>
          </val>
        </ser>
        <dLbls>
          <showLegendKey val="0"/>
          <showVal val="0"/>
          <showCatName val="0"/>
          <showSerName val="0"/>
          <showPercent val="0"/>
          <showBubbleSize val="0"/>
        </dLbls>
        <gapWidth val="219"/>
        <axId val="493630760"/>
        <axId val="493631152"/>
      </barChart>
      <dateAx>
        <axId val="493630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Construction!$B$8:$B$606</f>
              <numCache>
                <formatCode>0.0</formatCode>
                <ptCount val="599"/>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Construction!$B$343:$B$606</f>
              <numCache>
                <formatCode>0.0</formatCode>
                <ptCount val="264"/>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numCache>
            </numRef>
          </val>
          <smooth val="0"/>
        </ser>
        <dLbls>
          <showLegendKey val="0"/>
          <showVal val="0"/>
          <showCatName val="0"/>
          <showSerName val="0"/>
          <showPercent val="0"/>
          <showBubbleSize val="0"/>
        </dLbls>
        <smooth val="0"/>
        <axId val="489555656"/>
        <axId val="489556048"/>
      </lineChart>
      <dateAx>
        <axId val="48955565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Construction!$D$20:$D$606</f>
              <numCache>
                <formatCode>0.0%</formatCode>
                <ptCount val="587"/>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numCache>
            </numRef>
          </val>
        </ser>
        <dLbls>
          <showLegendKey val="0"/>
          <showVal val="0"/>
          <showCatName val="0"/>
          <showSerName val="0"/>
          <showPercent val="0"/>
          <showBubbleSize val="0"/>
        </dLbls>
        <gapWidth val="219"/>
        <axId val="489556832"/>
        <axId val="489557224"/>
      </barChart>
      <dateAx>
        <axId val="48955683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Construction!$D$343:$D$606</f>
              <numCache>
                <formatCode>0.0%</formatCode>
                <ptCount val="264"/>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numCache>
            </numRef>
          </val>
        </ser>
        <dLbls>
          <showLegendKey val="0"/>
          <showVal val="0"/>
          <showCatName val="0"/>
          <showSerName val="0"/>
          <showPercent val="0"/>
          <showBubbleSize val="0"/>
        </dLbls>
        <gapWidth val="219"/>
        <axId val="493621352"/>
        <axId val="493621744"/>
      </barChart>
      <dateAx>
        <axId val="49362135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Manu!$B$8:$B$606</f>
              <numCache>
                <formatCode>0.0</formatCode>
                <ptCount val="599"/>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numCache>
            </numRef>
          </val>
          <smooth val="0"/>
        </ser>
        <dLbls>
          <showLegendKey val="0"/>
          <showVal val="0"/>
          <showCatName val="0"/>
          <showSerName val="0"/>
          <showPercent val="0"/>
          <showBubbleSize val="0"/>
        </dLbls>
        <smooth val="0"/>
        <axId val="493631936"/>
        <axId val="493632328"/>
      </lineChart>
      <dateAx>
        <axId val="4936319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Manu!$B$343:$B$606</f>
              <numCache>
                <formatCode>0.0</formatCode>
                <ptCount val="264"/>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numCache>
            </numRef>
          </val>
          <smooth val="0"/>
        </ser>
        <dLbls>
          <showLegendKey val="0"/>
          <showVal val="0"/>
          <showCatName val="0"/>
          <showSerName val="0"/>
          <showPercent val="0"/>
          <showBubbleSize val="0"/>
        </dLbls>
        <smooth val="0"/>
        <axId val="493633112"/>
        <axId val="493633504"/>
      </lineChart>
      <dateAx>
        <axId val="49363311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Manu!$D$20:$D$606</f>
              <numCache>
                <formatCode>0.0%</formatCode>
                <ptCount val="587"/>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numCache>
            </numRef>
          </val>
        </ser>
        <dLbls>
          <showLegendKey val="0"/>
          <showVal val="0"/>
          <showCatName val="0"/>
          <showSerName val="0"/>
          <showPercent val="0"/>
          <showBubbleSize val="0"/>
        </dLbls>
        <gapWidth val="219"/>
        <axId val="493634680"/>
        <axId val="493635072"/>
      </barChart>
      <dateAx>
        <axId val="4936346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Manu!$D$343:$D$606</f>
              <numCache>
                <formatCode>0.0%</formatCode>
                <ptCount val="264"/>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numCache>
            </numRef>
          </val>
        </ser>
        <dLbls>
          <showLegendKey val="0"/>
          <showVal val="0"/>
          <showCatName val="0"/>
          <showSerName val="0"/>
          <showPercent val="0"/>
          <showBubbleSize val="0"/>
        </dLbls>
        <gapWidth val="219"/>
        <axId val="493635464"/>
        <axId val="493635856"/>
      </barChart>
      <dateAx>
        <axId val="49363546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Mining!$B$8:$B$606</f>
              <numCache>
                <formatCode>0.0</formatCode>
                <ptCount val="599"/>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numCache>
            </numRef>
          </val>
          <smooth val="0"/>
        </ser>
        <dLbls>
          <showLegendKey val="0"/>
          <showVal val="0"/>
          <showCatName val="0"/>
          <showSerName val="0"/>
          <showPercent val="0"/>
          <showBubbleSize val="0"/>
        </dLbls>
        <smooth val="0"/>
        <axId val="493636640"/>
        <axId val="494104080"/>
      </lineChart>
      <dateAx>
        <axId val="49363664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Mining!$B$343:$B$606</f>
              <numCache>
                <formatCode>0.0</formatCode>
                <ptCount val="264"/>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numCache>
            </numRef>
          </val>
          <smooth val="0"/>
        </ser>
        <dLbls>
          <showLegendKey val="0"/>
          <showVal val="0"/>
          <showCatName val="0"/>
          <showSerName val="0"/>
          <showPercent val="0"/>
          <showBubbleSize val="0"/>
        </dLbls>
        <smooth val="0"/>
        <axId val="494104864"/>
        <axId val="494105256"/>
      </lineChart>
      <dateAx>
        <axId val="49410486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Mining!$D$20:$D$606</f>
              <numCache>
                <formatCode>0.0%</formatCode>
                <ptCount val="587"/>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numCache>
            </numRef>
          </val>
        </ser>
        <dLbls>
          <showLegendKey val="0"/>
          <showVal val="0"/>
          <showCatName val="0"/>
          <showSerName val="0"/>
          <showPercent val="0"/>
          <showBubbleSize val="0"/>
        </dLbls>
        <gapWidth val="219"/>
        <axId val="494106040"/>
        <axId val="494106432"/>
      </barChart>
      <dateAx>
        <axId val="49410604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Mining!$D$343:$D$606</f>
              <numCache>
                <formatCode>0.0%</formatCode>
                <ptCount val="264"/>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numCache>
            </numRef>
          </val>
        </ser>
        <dLbls>
          <showLegendKey val="0"/>
          <showVal val="0"/>
          <showCatName val="0"/>
          <showSerName val="0"/>
          <showPercent val="0"/>
          <showBubbleSize val="0"/>
        </dLbls>
        <gapWidth val="219"/>
        <axId val="494107216"/>
        <axId val="494107608"/>
      </barChart>
      <dateAx>
        <axId val="49410721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Utilities!$B$8:$B$606</f>
              <numCache>
                <formatCode>0.0</formatCode>
                <ptCount val="599"/>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Utilities!$B$343:$B$606</f>
              <numCache>
                <formatCode>0.0</formatCode>
                <ptCount val="264"/>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numCache>
            </numRef>
          </val>
          <smooth val="0"/>
        </ser>
        <dLbls>
          <showLegendKey val="0"/>
          <showVal val="0"/>
          <showCatName val="0"/>
          <showSerName val="0"/>
          <showPercent val="0"/>
          <showBubbleSize val="0"/>
        </dLbls>
        <smooth val="0"/>
        <axId val="494109568"/>
        <axId val="494109960"/>
      </lineChart>
      <dateAx>
        <axId val="49410956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Utilities!$D$20:$D$606</f>
              <numCache>
                <formatCode>0.0%</formatCode>
                <ptCount val="587"/>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numCache>
            </numRef>
          </val>
        </ser>
        <dLbls>
          <showLegendKey val="0"/>
          <showVal val="0"/>
          <showCatName val="0"/>
          <showSerName val="0"/>
          <showPercent val="0"/>
          <showBubbleSize val="0"/>
        </dLbls>
        <gapWidth val="219"/>
        <axId val="494110744"/>
        <axId val="494111136"/>
      </barChart>
      <dateAx>
        <axId val="49411074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Utilities!$D$343:$D$606</f>
              <numCache>
                <formatCode>0.0%</formatCode>
                <ptCount val="264"/>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numCache>
            </numRef>
          </val>
        </ser>
        <dLbls>
          <showLegendKey val="0"/>
          <showVal val="0"/>
          <showCatName val="0"/>
          <showSerName val="0"/>
          <showPercent val="0"/>
          <showBubbleSize val="0"/>
        </dLbls>
        <gapWidth val="219"/>
        <axId val="494111920"/>
        <axId val="494112312"/>
      </barChart>
      <dateAx>
        <axId val="49411192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2" headerRowCount="1" totalsRowShown="0" headerRowDxfId="68" dataDxfId="66" headerRowBorderDxfId="67">
  <autoFilter ref="A6:D1242"/>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6" headerRowCount="1" totalsRowShown="0" headerRowDxfId="61" dataDxfId="59" headerRowBorderDxfId="60" tableBorderDxfId="58">
  <autoFilter ref="A6:D606"/>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5" headerRowCount="1" totalsRowShown="0" headerRowDxfId="53" dataDxfId="51" headerRowBorderDxfId="52">
  <autoFilter ref="A5:C665"/>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6" headerRowCount="1" totalsRowShown="0" headerRowDxfId="47" dataDxfId="45" headerRowBorderDxfId="46" tableBorderDxfId="44">
  <autoFilter ref="A6:D606"/>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6" headerRowCount="1" totalsRowShown="0" headerRowBorderDxfId="39" tableBorderDxfId="38">
  <autoFilter ref="A6:D606"/>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6" headerRowCount="1" totalsRowShown="0" headerRowBorderDxfId="33" tableBorderDxfId="32">
  <autoFilter ref="A6:D606"/>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6" headerRowCount="1" totalsRowShown="0" headerRowBorderDxfId="27" tableBorderDxfId="26">
  <autoFilter ref="A6:D606"/>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6" headerRowCount="1" totalsRowShown="0" headerRowBorderDxfId="21" tableBorderDxfId="20">
  <autoFilter ref="A6:D606"/>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6" headerRowCount="1" totalsRowShown="0" headerRowDxfId="15" dataDxfId="13" headerRowBorderDxfId="14" tableBorderDxfId="12">
  <autoFilter ref="A6:D606"/>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6" headerRowCount="1" totalsRowShown="0" headerRowDxfId="7" dataDxfId="5" headerRowBorderDxfId="6" tableBorderDxfId="4">
  <autoFilter ref="A6:D606"/>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4" zoomScale="150" zoomScaleNormal="150" workbookViewId="0">
      <selection activeCell="O1224" sqref="O1224"/>
    </sheetView>
  </sheetViews>
  <sheetFormatPr baseColWidth="10" defaultColWidth="9.1640625" defaultRowHeight="15"/>
  <cols>
    <col width="9.1640625" customWidth="1" style="81" min="1" max="1"/>
    <col width="12.83203125" customWidth="1" style="81" min="2" max="10"/>
    <col width="3" customWidth="1" style="81" min="11" max="13"/>
    <col width="19" customWidth="1" style="81" min="14" max="14"/>
    <col width="9.1640625" customWidth="1" style="81" min="15" max="15"/>
    <col width="12.33203125" customWidth="1" style="81" min="16" max="19"/>
    <col width="9.1640625" customWidth="1" style="81" min="20" max="23"/>
    <col width="9.1640625" customWidth="1" style="81" min="24" max="16384"/>
  </cols>
  <sheetData>
    <row r="1">
      <c r="B1" s="88" t="n"/>
    </row>
    <row r="2" ht="16" customHeight="1" s="54" thickBot="1">
      <c r="B2" s="89" t="n"/>
      <c r="C2" s="89" t="n"/>
      <c r="D2" s="89" t="n"/>
      <c r="E2" s="89" t="n"/>
      <c r="F2" s="89" t="n"/>
      <c r="G2" s="89" t="n"/>
      <c r="H2" s="89" t="n"/>
      <c r="I2" s="89" t="n"/>
      <c r="J2" s="89" t="n"/>
    </row>
    <row r="3" ht="16" customHeight="1" s="54" thickBot="1">
      <c r="B3" s="90" t="inlineStr">
        <is>
          <t>Industrial Production and Capacity Utilization</t>
        </is>
      </c>
      <c r="C3" s="91" t="n"/>
      <c r="D3" s="91" t="n"/>
      <c r="E3" s="91" t="n"/>
      <c r="F3" s="91" t="n"/>
      <c r="G3" s="91" t="n"/>
      <c r="H3" s="91" t="n"/>
      <c r="I3" s="91" t="n"/>
      <c r="J3" s="92" t="n"/>
    </row>
    <row r="5">
      <c r="B5" s="83" t="inlineStr">
        <is>
          <t>Definition</t>
        </is>
      </c>
      <c r="C5" s="84" t="n"/>
      <c r="D5" s="84" t="n"/>
      <c r="E5" s="84" t="n"/>
      <c r="F5" s="84" t="n"/>
      <c r="G5" s="84" t="n"/>
      <c r="H5" s="84" t="n"/>
      <c r="I5" s="84" t="n"/>
      <c r="J5" s="85" t="n"/>
    </row>
    <row r="7" ht="245.25" customHeight="1" s="54">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4"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3" t="inlineStr">
        <is>
          <t>Summary</t>
        </is>
      </c>
      <c r="O10" s="84" t="n"/>
      <c r="P10" s="84" t="n"/>
      <c r="Q10" s="84" t="n"/>
      <c r="R10" s="84" t="n"/>
      <c r="S10" s="85" t="n"/>
    </row>
    <row r="11">
      <c r="B11" s="24" t="n"/>
      <c r="C11" s="24" t="n"/>
      <c r="D11" s="24" t="n"/>
      <c r="E11" s="24" t="n"/>
    </row>
    <row r="12">
      <c r="B12" s="83" t="inlineStr">
        <is>
          <t>Process / TO DO LIST</t>
        </is>
      </c>
      <c r="C12" s="84" t="n"/>
      <c r="D12" s="84" t="n"/>
      <c r="E12" s="84" t="n"/>
      <c r="F12" s="84" t="n"/>
      <c r="G12" s="84" t="n"/>
      <c r="H12" s="84" t="n"/>
      <c r="I12" s="84" t="n"/>
      <c r="J12" s="85" t="n"/>
      <c r="N12" s="42" t="inlineStr">
        <is>
          <t>* To modify</t>
        </is>
      </c>
    </row>
    <row r="13" ht="16" customHeight="1" s="54" thickBot="1"/>
    <row r="14">
      <c r="B14" s="83" t="inlineStr">
        <is>
          <t>TO DO LIST</t>
        </is>
      </c>
      <c r="C14" s="84" t="n"/>
      <c r="D14" s="84" t="n"/>
      <c r="E14" s="84" t="n"/>
      <c r="F14" s="85" t="n"/>
      <c r="G14" s="83" t="inlineStr">
        <is>
          <t>Comments</t>
        </is>
      </c>
      <c r="H14" s="84" t="n"/>
      <c r="I14" s="84" t="n"/>
      <c r="J14" s="85" t="n"/>
      <c r="P14" s="43" t="n">
        <v>44531</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6" t="inlineStr">
        <is>
          <t>Industrial Production Index</t>
        </is>
      </c>
      <c r="O16" s="87"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81" t="inlineStr">
        <is>
          <t>INDPRO</t>
        </is>
      </c>
    </row>
    <row r="17">
      <c r="B17" s="81" t="inlineStr">
        <is>
          <t>Manufacturing</t>
        </is>
      </c>
      <c r="D17" s="81" t="inlineStr">
        <is>
          <t>https://fred.stlouisfed.org/series/IPMAN</t>
        </is>
      </c>
      <c r="I17" s="12" t="n">
        <v>2447752</v>
      </c>
      <c r="J17" s="27" t="n">
        <v>0.725968397007331</v>
      </c>
      <c r="N17" s="95" t="inlineStr">
        <is>
          <t>Manufacturing</t>
        </is>
      </c>
      <c r="O17" s="96"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81" t="inlineStr">
        <is>
          <t>Mining</t>
        </is>
      </c>
      <c r="D18" s="81" t="inlineStr">
        <is>
          <t>https://fred.stlouisfed.org/series/IPMINE</t>
        </is>
      </c>
      <c r="G18" s="82" t="n"/>
      <c r="H18" s="82" t="n"/>
      <c r="I18" s="25" t="n">
        <v>608173</v>
      </c>
      <c r="J18" s="28" t="n">
        <v>0.1803754538503654</v>
      </c>
      <c r="N18" s="95" t="inlineStr">
        <is>
          <t>Mining</t>
        </is>
      </c>
      <c r="O18" s="96"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81" t="inlineStr">
        <is>
          <t>Utilities</t>
        </is>
      </c>
      <c r="D19" s="81" t="inlineStr">
        <is>
          <t>https://fred.stlouisfed.org/series/IPUTIL</t>
        </is>
      </c>
      <c r="G19" s="82" t="n"/>
      <c r="H19" s="82" t="n"/>
      <c r="I19" s="25" t="n">
        <v>315781</v>
      </c>
      <c r="J19" s="28" t="n">
        <v>0.09365614914230364</v>
      </c>
      <c r="N19" s="95" t="inlineStr">
        <is>
          <t>Utilities</t>
        </is>
      </c>
      <c r="O19" s="96"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81" t="inlineStr">
        <is>
          <t>Industrial Production Index</t>
        </is>
      </c>
      <c r="D20" s="81" t="inlineStr">
        <is>
          <t>https://fred.stlouisfed.org/series/INDPRO</t>
        </is>
      </c>
      <c r="G20" s="55" t="n"/>
      <c r="H20" s="55" t="n"/>
      <c r="I20" s="26" t="n">
        <v>3371706</v>
      </c>
      <c r="J20" s="29" t="n">
        <v>1</v>
      </c>
      <c r="N20" s="95" t="inlineStr">
        <is>
          <t>Materials</t>
        </is>
      </c>
      <c r="O20" s="96"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81" t="inlineStr">
        <is>
          <t>IPMAT</t>
        </is>
      </c>
    </row>
    <row r="21" ht="15.75" customHeight="1" s="54">
      <c r="G21" s="82" t="n"/>
      <c r="N21" s="95" t="inlineStr">
        <is>
          <t>Consumer Goods</t>
        </is>
      </c>
      <c r="O21" s="96"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81" t="inlineStr">
        <is>
          <t>IPCONGD</t>
        </is>
      </c>
    </row>
    <row r="22" ht="15.75" customHeight="1" s="54">
      <c r="B22" s="1" t="inlineStr">
        <is>
          <t>Major Market Groups</t>
        </is>
      </c>
      <c r="I22" s="12" t="n"/>
      <c r="J22" s="13" t="inlineStr">
        <is>
          <t>Weight</t>
        </is>
      </c>
      <c r="N22" s="95" t="inlineStr">
        <is>
          <t>Business Equipment</t>
        </is>
      </c>
      <c r="O22" s="96"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81" t="inlineStr">
        <is>
          <t>IPBUSEQ</t>
        </is>
      </c>
    </row>
    <row r="23" ht="17.25" customHeight="1" s="54" thickBot="1">
      <c r="B23" s="81" t="inlineStr">
        <is>
          <t>Industrial Production Index</t>
        </is>
      </c>
      <c r="D23" s="81" t="inlineStr">
        <is>
          <t>https://fred.stlouisfed.org/series/INDPRO</t>
        </is>
      </c>
      <c r="I23" s="12" t="n">
        <v>3371706</v>
      </c>
      <c r="J23" s="27" t="n">
        <v>1</v>
      </c>
      <c r="N23" s="97" t="inlineStr">
        <is>
          <t>Construction supplies</t>
        </is>
      </c>
      <c r="O23" s="98"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81" t="inlineStr">
        <is>
          <t>IPB54100S</t>
        </is>
      </c>
    </row>
    <row r="24" ht="15.75" customHeight="1" s="54">
      <c r="B24" s="81" t="inlineStr">
        <is>
          <t>Materials</t>
        </is>
      </c>
      <c r="D24" s="81" t="inlineStr">
        <is>
          <t>https://fred.stlouisfed.org/series/IPMAT</t>
        </is>
      </c>
      <c r="G24" s="82" t="n"/>
      <c r="H24" s="82" t="n"/>
      <c r="I24" s="25" t="n">
        <v>1624304</v>
      </c>
      <c r="J24" s="28" t="n">
        <v>0.4817</v>
      </c>
    </row>
    <row r="25" ht="15.75" customHeight="1" s="54">
      <c r="B25" s="81" t="inlineStr">
        <is>
          <t>Consumer Goods</t>
        </is>
      </c>
      <c r="D25" s="81" t="inlineStr">
        <is>
          <t>https://fred.stlouisfed.org/series/IPCONGD</t>
        </is>
      </c>
      <c r="G25" s="82" t="n"/>
      <c r="H25" s="82" t="n"/>
      <c r="I25" s="25" t="n">
        <v>850761</v>
      </c>
      <c r="J25" s="28" t="n">
        <v>0.2523</v>
      </c>
    </row>
    <row r="26" ht="15.75" customHeight="1" s="54">
      <c r="B26" s="81" t="inlineStr">
        <is>
          <t>Others</t>
        </is>
      </c>
      <c r="G26" s="55" t="n"/>
      <c r="H26" s="55" t="n"/>
      <c r="I26" s="26" t="n">
        <v>423708</v>
      </c>
      <c r="J26" s="29" t="n">
        <v>0.1258</v>
      </c>
    </row>
    <row r="27" ht="15.75" customHeight="1" s="54" thickBot="1">
      <c r="B27" s="81" t="inlineStr">
        <is>
          <t>Business Equipment</t>
        </is>
      </c>
      <c r="D27" s="81" t="inlineStr">
        <is>
          <t>https://fred.stlouisfed.org/series/IPBUSEQ</t>
        </is>
      </c>
      <c r="G27" s="56" t="n"/>
      <c r="H27" s="56" t="n"/>
      <c r="I27" s="26" t="n">
        <v>333915</v>
      </c>
      <c r="J27" s="29" t="n">
        <v>0.099</v>
      </c>
    </row>
    <row r="28" ht="15.75" customHeight="1" s="54" thickBot="1">
      <c r="B28" s="81" t="inlineStr">
        <is>
          <t>Construction supplies</t>
        </is>
      </c>
      <c r="D28" s="81" t="inlineStr">
        <is>
          <t>https://fred.stlouisfed.org/series/IPB54100S</t>
        </is>
      </c>
      <c r="G28" s="56" t="n"/>
      <c r="H28" s="56" t="n"/>
      <c r="I28" s="26" t="n">
        <v>139018</v>
      </c>
      <c r="J28" s="29" t="n">
        <v>0.0412</v>
      </c>
      <c r="N28" s="44">
        <f>DATE(YEAR($P$14),MONTH($P$14)-1,DAY($P$14))</f>
        <v/>
      </c>
    </row>
    <row r="29" ht="15.75" customHeight="1" s="54" thickBot="1">
      <c r="B29" s="81" t="n"/>
      <c r="G29" s="82" t="inlineStr">
        <is>
          <t xml:space="preserve"> = Final Products + Materials</t>
        </is>
      </c>
      <c r="N29" s="52">
        <f>DATE(YEAR($P$14)-1,MONTH($P$14),DAY($P$14))</f>
        <v/>
      </c>
    </row>
    <row r="30">
      <c r="G30" s="82" t="inlineStr">
        <is>
          <t>Materials = Materials ex. Energy Materials + Energy Materials</t>
        </is>
      </c>
    </row>
    <row r="32">
      <c r="B32" s="1" t="inlineStr">
        <is>
          <t>Capacity Utilization</t>
        </is>
      </c>
      <c r="D32" s="94" t="inlineStr">
        <is>
          <t>https://fred.stlouisfed.org/series/TCU</t>
        </is>
      </c>
    </row>
    <row r="34">
      <c r="B34" s="1" t="n"/>
    </row>
    <row r="35" ht="33.75" customHeight="1" s="54">
      <c r="B35" s="80" t="n"/>
    </row>
    <row r="36">
      <c r="B36" s="23"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7"/>
  <sheetViews>
    <sheetView workbookViewId="0">
      <pane ySplit="1" topLeftCell="A1181" activePane="bottomLeft" state="frozen"/>
      <selection pane="bottomLeft" activeCell="O1224" sqref="O1224"/>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2"/>
  <sheetViews>
    <sheetView zoomScale="130" zoomScaleNormal="130" workbookViewId="0">
      <pane ySplit="6" topLeftCell="A1206" activePane="bottomLeft" state="frozen"/>
      <selection pane="bottomLeft" activeCell="H1244" sqref="H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81" min="5" max="6"/>
    <col width="10.6640625" bestFit="1" customWidth="1" style="81" min="7" max="7"/>
    <col width="10.6640625" customWidth="1" style="81" min="8" max="8"/>
    <col width="9.1640625" customWidth="1" style="81" min="9" max="15"/>
    <col width="25" customWidth="1" style="81" min="16" max="16"/>
    <col width="9.1640625" customWidth="1" style="81" min="17" max="20"/>
    <col width="9.1640625" customWidth="1" style="81" min="21"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81">
        <f>YEAR(G13)</f>
        <v/>
      </c>
      <c r="K13" s="81">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81">
        <f>YEAR(G14)</f>
        <v/>
      </c>
      <c r="J14" s="81">
        <f>I14-I13</f>
        <v/>
      </c>
      <c r="K14" s="81">
        <f>VLOOKUP(G14,A:B,2,)</f>
        <v/>
      </c>
      <c r="L14" s="81">
        <f>(K14-K13)/K13</f>
        <v/>
      </c>
      <c r="M14" s="81">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6">
        <f>M15</f>
        <v/>
      </c>
      <c r="M15" s="4">
        <f>M14-1</f>
        <v/>
      </c>
      <c r="P15" s="10" t="inlineStr">
        <is>
          <t>IP Annualized Growth</t>
        </is>
      </c>
      <c r="Q15" s="67">
        <f>I15</f>
        <v/>
      </c>
      <c r="R15" s="67">
        <f>I19</f>
        <v/>
      </c>
      <c r="S15" s="67">
        <f>I23</f>
        <v/>
      </c>
      <c r="T15" s="67">
        <f>I27</f>
        <v/>
      </c>
      <c r="U15" s="67">
        <f>I31</f>
        <v/>
      </c>
      <c r="V15" s="68">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81">
        <f>YEAR(G17)</f>
        <v/>
      </c>
      <c r="K17" s="81">
        <f>VLOOKUP(G17,A:B,2,)</f>
        <v/>
      </c>
    </row>
    <row r="18">
      <c r="A18" s="33" t="n">
        <v>7275</v>
      </c>
      <c r="B18" s="34">
        <f>VLOOKUP(Table10[[#This Row],[Month]],database!A:J,MATCH('IP from start'!$A$1,database!$A$1:$J$1,),)</f>
        <v/>
      </c>
      <c r="C18" s="34" t="n"/>
      <c r="D18" s="34" t="n"/>
      <c r="G18" s="3" t="n">
        <v>16803</v>
      </c>
      <c r="H18" s="3" t="inlineStr">
        <is>
          <t>To</t>
        </is>
      </c>
      <c r="I18" s="81">
        <f>YEAR(G18)</f>
        <v/>
      </c>
      <c r="J18" s="81">
        <f>I18-I17</f>
        <v/>
      </c>
      <c r="K18" s="81">
        <f>VLOOKUP(G18,A:B,2,)</f>
        <v/>
      </c>
      <c r="L18" s="81">
        <f>(K18-K17)/K17</f>
        <v/>
      </c>
      <c r="M18" s="81">
        <f>(1+L18)^(1/20)</f>
        <v/>
      </c>
    </row>
    <row r="19">
      <c r="A19" s="33" t="n">
        <v>7306</v>
      </c>
      <c r="B19" s="34">
        <f>VLOOKUP(Table10[[#This Row],[Month]],database!A:J,MATCH('IP from start'!$A$1,database!$A$1:$J$1,),)</f>
        <v/>
      </c>
      <c r="C19" s="35">
        <f>(Table10[[#This Row],[Industrial Production ]]-B7)/B7</f>
        <v/>
      </c>
      <c r="D19" s="34" t="n"/>
      <c r="I19" s="66">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81">
        <f>YEAR(G21)</f>
        <v/>
      </c>
      <c r="K21" s="81">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81">
        <f>YEAR(G22)</f>
        <v/>
      </c>
      <c r="J22" s="81">
        <f>I22-I21</f>
        <v/>
      </c>
      <c r="K22" s="81">
        <f>VLOOKUP(G22,A:B,2,)</f>
        <v/>
      </c>
      <c r="L22" s="81">
        <f>(K22-K21)/K21</f>
        <v/>
      </c>
      <c r="M22" s="81">
        <f>(1+L22)^(1/20)</f>
        <v/>
      </c>
    </row>
    <row r="23">
      <c r="A23" s="33" t="n">
        <v>7427</v>
      </c>
      <c r="B23" s="34">
        <f>VLOOKUP(Table10[[#This Row],[Month]],database!A:J,MATCH('IP from start'!$A$1,database!$A$1:$J$1,),)</f>
        <v/>
      </c>
      <c r="C23" s="35">
        <f>(Table10[[#This Row],[Industrial Production ]]-B11)/B11</f>
        <v/>
      </c>
      <c r="D23" s="34" t="n"/>
      <c r="I23" s="66">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81">
        <f>YEAR(G25)</f>
        <v/>
      </c>
      <c r="K25" s="81">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81">
        <f>YEAR(G26)</f>
        <v/>
      </c>
      <c r="J26" s="81">
        <f>I26-I25</f>
        <v/>
      </c>
      <c r="K26" s="81">
        <f>VLOOKUP(G26,A:B,2,)</f>
        <v/>
      </c>
      <c r="L26" s="81">
        <f>(K26-K25)/K25</f>
        <v/>
      </c>
      <c r="M26" s="81">
        <f>(1+L26)^(1/20)</f>
        <v/>
      </c>
    </row>
    <row r="27">
      <c r="A27" s="33" t="n">
        <v>7550</v>
      </c>
      <c r="B27" s="34">
        <f>VLOOKUP(Table10[[#This Row],[Month]],database!A:J,MATCH('IP from start'!$A$1,database!$A$1:$J$1,),)</f>
        <v/>
      </c>
      <c r="C27" s="35">
        <f>(Table10[[#This Row],[Industrial Production ]]-B15)/B15</f>
        <v/>
      </c>
      <c r="D27" s="34" t="n"/>
      <c r="I27" s="66">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81">
        <f>YEAR(G29)</f>
        <v/>
      </c>
      <c r="K29" s="81">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81">
        <f>YEAR(G30)</f>
        <v/>
      </c>
      <c r="J30" s="81">
        <f>I30-I29</f>
        <v/>
      </c>
      <c r="K30" s="81">
        <f>VLOOKUP(G30,A:B,2,)</f>
        <v/>
      </c>
      <c r="L30" s="81">
        <f>(K30-K29)/K29</f>
        <v/>
      </c>
      <c r="M30" s="81">
        <f>(1+L30)^(1/20)</f>
        <v/>
      </c>
    </row>
    <row r="31">
      <c r="A31" s="33" t="n">
        <v>7672</v>
      </c>
      <c r="B31" s="34">
        <f>VLOOKUP(Table10[[#This Row],[Month]],database!A:J,MATCH('IP from start'!$A$1,database!$A$1:$J$1,),)</f>
        <v/>
      </c>
      <c r="C31" s="35">
        <f>(Table10[[#This Row],[Industrial Production ]]-B19)/B19</f>
        <v/>
      </c>
      <c r="D31" s="36">
        <f>AVERAGE(C20:C31)</f>
        <v/>
      </c>
      <c r="I31" s="66">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81">
        <f>YEAR(G33)</f>
        <v/>
      </c>
      <c r="K33" s="81">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81">
        <f>YEAR(G34)</f>
        <v/>
      </c>
      <c r="J34" s="81">
        <f>I34-I33</f>
        <v/>
      </c>
      <c r="K34" s="81">
        <f>VLOOKUP(G34,A:B,2,)</f>
        <v/>
      </c>
      <c r="L34" s="81">
        <f>(K34-K33)/K33</f>
        <v/>
      </c>
      <c r="M34" s="81">
        <f>(1+L34)^(1/20)</f>
        <v/>
      </c>
    </row>
    <row r="35">
      <c r="A35" s="33" t="n">
        <v>7792</v>
      </c>
      <c r="B35" s="34">
        <f>VLOOKUP(Table10[[#This Row],[Month]],database!A:J,MATCH('IP from start'!$A$1,database!$A$1:$J$1,),)</f>
        <v/>
      </c>
      <c r="C35" s="35">
        <f>(Table10[[#This Row],[Industrial Production ]]-B23)/B23</f>
        <v/>
      </c>
      <c r="D35" s="36">
        <f>AVERAGE(C24:C35)</f>
        <v/>
      </c>
      <c r="I35" s="66">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AVERAGE(D20:D1243)</f>
        <v/>
      </c>
    </row>
    <row r="41">
      <c r="A41" s="33" t="n">
        <v>7976</v>
      </c>
      <c r="B41" s="34">
        <f>VLOOKUP(Table10[[#This Row],[Month]],database!A:J,MATCH('IP from start'!$A$1,database!$A$1:$J$1,),)</f>
        <v/>
      </c>
      <c r="C41" s="35">
        <f>(Table10[[#This Row],[Industrial Production ]]-B29)/B29</f>
        <v/>
      </c>
      <c r="D41" s="36">
        <f>AVERAGE(C30:C41)</f>
        <v/>
      </c>
      <c r="I41" s="81" t="inlineStr">
        <is>
          <t>Mean</t>
        </is>
      </c>
      <c r="J41" s="81" t="n">
        <v>0.0372993633673819</v>
      </c>
    </row>
    <row r="42">
      <c r="A42" s="33" t="n">
        <v>8006</v>
      </c>
      <c r="B42" s="34">
        <f>VLOOKUP(Table10[[#This Row],[Month]],database!A:J,MATCH('IP from start'!$A$1,database!$A$1:$J$1,),)</f>
        <v/>
      </c>
      <c r="C42" s="35">
        <f>(Table10[[#This Row],[Industrial Production ]]-B30)/B30</f>
        <v/>
      </c>
      <c r="D42" s="36">
        <f>AVERAGE(C31:C42)</f>
        <v/>
      </c>
      <c r="I42" s="81" t="inlineStr">
        <is>
          <t>Standard Error</t>
        </is>
      </c>
      <c r="J42" s="81" t="n">
        <v>0.003157599706327589</v>
      </c>
    </row>
    <row r="43">
      <c r="A43" s="33" t="n">
        <v>8037</v>
      </c>
      <c r="B43" s="34">
        <f>VLOOKUP(Table10[[#This Row],[Month]],database!A:J,MATCH('IP from start'!$A$1,database!$A$1:$J$1,),)</f>
        <v/>
      </c>
      <c r="C43" s="35">
        <f>(Table10[[#This Row],[Industrial Production ]]-B31)/B31</f>
        <v/>
      </c>
      <c r="D43" s="36">
        <f>AVERAGE(C32:C43)</f>
        <v/>
      </c>
      <c r="I43" s="81" t="inlineStr">
        <is>
          <t>Median</t>
        </is>
      </c>
      <c r="J43" s="81" t="n">
        <v>0.0345958353828496</v>
      </c>
    </row>
    <row r="44">
      <c r="A44" s="33" t="n">
        <v>8068</v>
      </c>
      <c r="B44" s="34">
        <f>VLOOKUP(Table10[[#This Row],[Month]],database!A:J,MATCH('IP from start'!$A$1,database!$A$1:$J$1,),)</f>
        <v/>
      </c>
      <c r="C44" s="35">
        <f>(Table10[[#This Row],[Industrial Production ]]-B32)/B32</f>
        <v/>
      </c>
      <c r="D44" s="36">
        <f>AVERAGE(C33:C44)</f>
        <v/>
      </c>
      <c r="I44" s="81" t="inlineStr">
        <is>
          <t>Mode</t>
        </is>
      </c>
      <c r="J44" s="81" t="n">
        <v>0</v>
      </c>
    </row>
    <row r="45">
      <c r="A45" s="33" t="n">
        <v>8096</v>
      </c>
      <c r="B45" s="34">
        <f>VLOOKUP(Table10[[#This Row],[Month]],database!A:J,MATCH('IP from start'!$A$1,database!$A$1:$J$1,),)</f>
        <v/>
      </c>
      <c r="C45" s="35">
        <f>(Table10[[#This Row],[Industrial Production ]]-B33)/B33</f>
        <v/>
      </c>
      <c r="D45" s="36">
        <f>AVERAGE(C34:C45)</f>
        <v/>
      </c>
      <c r="I45" s="81" t="inlineStr">
        <is>
          <t>Standard Deviation</t>
        </is>
      </c>
      <c r="J45" s="81" t="n">
        <v>0.1090629636271741</v>
      </c>
    </row>
    <row r="46">
      <c r="A46" s="33" t="n">
        <v>8127</v>
      </c>
      <c r="B46" s="34">
        <f>VLOOKUP(Table10[[#This Row],[Month]],database!A:J,MATCH('IP from start'!$A$1,database!$A$1:$J$1,),)</f>
        <v/>
      </c>
      <c r="C46" s="35">
        <f>(Table10[[#This Row],[Industrial Production ]]-B34)/B34</f>
        <v/>
      </c>
      <c r="D46" s="36">
        <f>AVERAGE(C35:C46)</f>
        <v/>
      </c>
      <c r="I46" s="81" t="inlineStr">
        <is>
          <t>Sample Variance</t>
        </is>
      </c>
      <c r="J46" s="81" t="n">
        <v>0.01189473003514229</v>
      </c>
    </row>
    <row r="47">
      <c r="A47" s="33" t="n">
        <v>8157</v>
      </c>
      <c r="B47" s="34">
        <f>VLOOKUP(Table10[[#This Row],[Month]],database!A:J,MATCH('IP from start'!$A$1,database!$A$1:$J$1,),)</f>
        <v/>
      </c>
      <c r="C47" s="35">
        <f>(Table10[[#This Row],[Industrial Production ]]-B35)/B35</f>
        <v/>
      </c>
      <c r="D47" s="36">
        <f>AVERAGE(C36:C47)</f>
        <v/>
      </c>
      <c r="I47" s="81" t="inlineStr">
        <is>
          <t>Kurtosis</t>
        </is>
      </c>
      <c r="J47" s="81" t="n">
        <v>2.7408195579333</v>
      </c>
    </row>
    <row r="48">
      <c r="A48" s="33" t="n">
        <v>8188</v>
      </c>
      <c r="B48" s="34">
        <f>VLOOKUP(Table10[[#This Row],[Month]],database!A:J,MATCH('IP from start'!$A$1,database!$A$1:$J$1,),)</f>
        <v/>
      </c>
      <c r="C48" s="35">
        <f>(Table10[[#This Row],[Industrial Production ]]-B36)/B36</f>
        <v/>
      </c>
      <c r="D48" s="36">
        <f>AVERAGE(C37:C48)</f>
        <v/>
      </c>
      <c r="I48" s="81" t="inlineStr">
        <is>
          <t>Skewness</t>
        </is>
      </c>
      <c r="J48" s="81" t="n">
        <v>-0.03174640917564905</v>
      </c>
    </row>
    <row r="49">
      <c r="A49" s="33" t="n">
        <v>8218</v>
      </c>
      <c r="B49" s="34">
        <f>VLOOKUP(Table10[[#This Row],[Month]],database!A:J,MATCH('IP from start'!$A$1,database!$A$1:$J$1,),)</f>
        <v/>
      </c>
      <c r="C49" s="35">
        <f>(Table10[[#This Row],[Industrial Production ]]-B37)/B37</f>
        <v/>
      </c>
      <c r="D49" s="36">
        <f>AVERAGE(C38:C49)</f>
        <v/>
      </c>
      <c r="I49" s="81" t="inlineStr">
        <is>
          <t>Range</t>
        </is>
      </c>
      <c r="J49" s="81" t="n">
        <v>0.9570758856586723</v>
      </c>
    </row>
    <row r="50">
      <c r="A50" s="33" t="n">
        <v>8249</v>
      </c>
      <c r="B50" s="34">
        <f>VLOOKUP(Table10[[#This Row],[Month]],database!A:J,MATCH('IP from start'!$A$1,database!$A$1:$J$1,),)</f>
        <v/>
      </c>
      <c r="C50" s="35">
        <f>(Table10[[#This Row],[Industrial Production ]]-B38)/B38</f>
        <v/>
      </c>
      <c r="D50" s="36">
        <f>AVERAGE(C39:C50)</f>
        <v/>
      </c>
      <c r="I50" s="81" t="inlineStr">
        <is>
          <t>Minimum</t>
        </is>
      </c>
      <c r="J50" s="81" t="n">
        <v>-0.3366325423971207</v>
      </c>
    </row>
    <row r="51">
      <c r="A51" s="33" t="n">
        <v>8280</v>
      </c>
      <c r="B51" s="34">
        <f>VLOOKUP(Table10[[#This Row],[Month]],database!A:J,MATCH('IP from start'!$A$1,database!$A$1:$J$1,),)</f>
        <v/>
      </c>
      <c r="C51" s="35">
        <f>(Table10[[#This Row],[Industrial Production ]]-B39)/B39</f>
        <v/>
      </c>
      <c r="D51" s="36">
        <f>AVERAGE(C40:C51)</f>
        <v/>
      </c>
      <c r="I51" s="81" t="inlineStr">
        <is>
          <t>Maximum</t>
        </is>
      </c>
      <c r="J51" s="81" t="n">
        <v>0.6204433432615516</v>
      </c>
    </row>
    <row r="52">
      <c r="A52" s="33" t="n">
        <v>8310</v>
      </c>
      <c r="B52" s="34">
        <f>VLOOKUP(Table10[[#This Row],[Month]],database!A:J,MATCH('IP from start'!$A$1,database!$A$1:$J$1,),)</f>
        <v/>
      </c>
      <c r="C52" s="35">
        <f>(Table10[[#This Row],[Industrial Production ]]-B40)/B40</f>
        <v/>
      </c>
      <c r="D52" s="36">
        <f>AVERAGE(C41:C52)</f>
        <v/>
      </c>
      <c r="I52" s="81" t="inlineStr">
        <is>
          <t>Sum</t>
        </is>
      </c>
      <c r="J52" s="81"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6"/>
  <sheetViews>
    <sheetView zoomScale="150" zoomScaleNormal="150" workbookViewId="0">
      <pane ySplit="6" topLeftCell="A569" activePane="bottomLeft" state="frozen"/>
      <selection pane="bottomLeft" activeCell="O612" sqref="O612"/>
    </sheetView>
  </sheetViews>
  <sheetFormatPr baseColWidth="10" defaultColWidth="9.1640625" defaultRowHeight="15"/>
  <cols>
    <col width="20.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INDPRO</t>
        </is>
      </c>
      <c r="B1" s="81" t="n"/>
      <c r="C1" s="81" t="n"/>
      <c r="V1" s="57" t="inlineStr">
        <is>
          <t xml:space="preserve">Industrial Production Index </t>
        </is>
      </c>
      <c r="X1" s="81">
        <f>V1&amp;V2</f>
        <v/>
      </c>
      <c r="AB1" s="66">
        <f>X2&amp; V2</f>
        <v/>
      </c>
    </row>
    <row r="2">
      <c r="A2" s="18" t="n"/>
      <c r="B2" s="81" t="n"/>
      <c r="C2" s="70" t="n"/>
      <c r="K2" s="94" t="inlineStr">
        <is>
          <t>https://www.federalreserve.gov/releases/g17/current/default.htm</t>
        </is>
      </c>
      <c r="V2" s="70" t="inlineStr">
        <is>
          <t xml:space="preserve"> since 2000 - </t>
        </is>
      </c>
      <c r="X2" s="81">
        <f>V1&amp;Table1[[#Headers],[yoy]]</f>
        <v/>
      </c>
    </row>
    <row r="3">
      <c r="A3" s="18" t="n"/>
      <c r="B3" s="58" t="n"/>
      <c r="C3" s="70" t="n"/>
      <c r="K3" s="94" t="n"/>
    </row>
    <row r="4">
      <c r="A4" s="18" t="n"/>
      <c r="B4" s="58" t="n"/>
      <c r="C4" s="70" t="n"/>
      <c r="K4" s="94" t="n"/>
    </row>
    <row r="5" ht="16" customHeight="1" s="54" thickBot="1">
      <c r="A5" s="18" t="n"/>
      <c r="B5" s="58" t="inlineStr">
        <is>
          <t>INDPRO</t>
        </is>
      </c>
      <c r="C5" s="70" t="n"/>
    </row>
    <row r="6" ht="16" customHeight="1" s="54" thickBot="1">
      <c r="A6" s="38" t="inlineStr">
        <is>
          <t>Date</t>
        </is>
      </c>
      <c r="B6" s="59" t="inlineStr">
        <is>
          <t>Index</t>
        </is>
      </c>
      <c r="C6" s="71" t="inlineStr">
        <is>
          <t>mom</t>
        </is>
      </c>
      <c r="D6" s="72" t="inlineStr">
        <is>
          <t>yoy</t>
        </is>
      </c>
    </row>
    <row r="7">
      <c r="A7" s="37" t="n">
        <v>26299</v>
      </c>
      <c r="B7" s="60">
        <f>VLOOKUP(Table1[[#This Row],[Date]],database!A:B,2,)</f>
        <v/>
      </c>
      <c r="C7" s="73" t="n"/>
      <c r="D7" s="73" t="n"/>
    </row>
    <row r="8">
      <c r="A8" s="19" t="n">
        <v>26330</v>
      </c>
      <c r="B8" s="61">
        <f>VLOOKUP(Table1[[#This Row],[Date]],database!A:B,2,)</f>
        <v/>
      </c>
      <c r="C8" s="74">
        <f>B8/B7-1</f>
        <v/>
      </c>
      <c r="D8" s="74" t="n"/>
    </row>
    <row r="9">
      <c r="A9" s="19" t="n">
        <v>26359</v>
      </c>
      <c r="B9" s="61">
        <f>VLOOKUP(Table1[[#This Row],[Date]],database!A:B,2,)</f>
        <v/>
      </c>
      <c r="C9" s="74">
        <f>B9/B8-1</f>
        <v/>
      </c>
      <c r="D9" s="74" t="n"/>
    </row>
    <row r="10">
      <c r="A10" s="19" t="n">
        <v>26390</v>
      </c>
      <c r="B10" s="61">
        <f>VLOOKUP(Table1[[#This Row],[Date]],database!A:B,2,)</f>
        <v/>
      </c>
      <c r="C10" s="74">
        <f>B10/B9-1</f>
        <v/>
      </c>
      <c r="D10" s="74" t="n"/>
    </row>
    <row r="11">
      <c r="A11" s="19" t="n">
        <v>26420</v>
      </c>
      <c r="B11" s="61">
        <f>VLOOKUP(Table1[[#This Row],[Date]],database!A:B,2,)</f>
        <v/>
      </c>
      <c r="C11" s="74">
        <f>B11/B10-1</f>
        <v/>
      </c>
      <c r="D11" s="74" t="n"/>
    </row>
    <row r="12">
      <c r="A12" s="19" t="n">
        <v>26451</v>
      </c>
      <c r="B12" s="61">
        <f>VLOOKUP(Table1[[#This Row],[Date]],database!A:B,2,)</f>
        <v/>
      </c>
      <c r="C12" s="74">
        <f>B12/B11-1</f>
        <v/>
      </c>
      <c r="D12" s="74" t="n"/>
    </row>
    <row r="13">
      <c r="A13" s="19" t="n">
        <v>26481</v>
      </c>
      <c r="B13" s="61">
        <f>VLOOKUP(Table1[[#This Row],[Date]],database!A:B,2,)</f>
        <v/>
      </c>
      <c r="C13" s="74">
        <f>B13/B12-1</f>
        <v/>
      </c>
      <c r="D13" s="74" t="n"/>
    </row>
    <row r="14">
      <c r="A14" s="19" t="n">
        <v>26512</v>
      </c>
      <c r="B14" s="61">
        <f>VLOOKUP(Table1[[#This Row],[Date]],database!A:B,2,)</f>
        <v/>
      </c>
      <c r="C14" s="74">
        <f>B14/B13-1</f>
        <v/>
      </c>
      <c r="D14" s="74" t="n"/>
    </row>
    <row r="15">
      <c r="A15" s="19" t="n">
        <v>26543</v>
      </c>
      <c r="B15" s="61">
        <f>VLOOKUP(Table1[[#This Row],[Date]],database!A:B,2,)</f>
        <v/>
      </c>
      <c r="C15" s="74">
        <f>B15/B14-1</f>
        <v/>
      </c>
      <c r="D15" s="74" t="n"/>
    </row>
    <row r="16">
      <c r="A16" s="19" t="n">
        <v>26573</v>
      </c>
      <c r="B16" s="61">
        <f>VLOOKUP(Table1[[#This Row],[Date]],database!A:B,2,)</f>
        <v/>
      </c>
      <c r="C16" s="74">
        <f>B16/B15-1</f>
        <v/>
      </c>
      <c r="D16" s="74" t="n"/>
    </row>
    <row r="17">
      <c r="A17" s="19" t="n">
        <v>26604</v>
      </c>
      <c r="B17" s="61">
        <f>VLOOKUP(Table1[[#This Row],[Date]],database!A:B,2,)</f>
        <v/>
      </c>
      <c r="C17" s="74">
        <f>B17/B16-1</f>
        <v/>
      </c>
      <c r="D17" s="74" t="n"/>
    </row>
    <row r="18">
      <c r="A18" s="19" t="n">
        <v>26634</v>
      </c>
      <c r="B18" s="61">
        <f>VLOOKUP(Table1[[#This Row],[Date]],database!A:B,2,)</f>
        <v/>
      </c>
      <c r="C18" s="74">
        <f>B18/B17-1</f>
        <v/>
      </c>
      <c r="D18" s="74" t="n"/>
    </row>
    <row r="19">
      <c r="A19" s="19" t="n">
        <v>26665</v>
      </c>
      <c r="B19" s="61">
        <f>VLOOKUP(Table1[[#This Row],[Date]],database!A:B,2,)</f>
        <v/>
      </c>
      <c r="C19" s="74">
        <f>B19/B18-1</f>
        <v/>
      </c>
      <c r="D19" s="74" t="n"/>
    </row>
    <row r="20">
      <c r="A20" s="19" t="n">
        <v>26696</v>
      </c>
      <c r="B20" s="61">
        <f>VLOOKUP(Table1[[#This Row],[Date]],database!A:B,2,)</f>
        <v/>
      </c>
      <c r="C20" s="74">
        <f>B20/B19-1</f>
        <v/>
      </c>
      <c r="D20" s="74">
        <f>(Table1[[#This Row],[Index]]-B8)/B8</f>
        <v/>
      </c>
    </row>
    <row r="21">
      <c r="A21" s="19" t="n">
        <v>26724</v>
      </c>
      <c r="B21" s="61">
        <f>VLOOKUP(Table1[[#This Row],[Date]],database!A:B,2,)</f>
        <v/>
      </c>
      <c r="C21" s="74">
        <f>B21/B20-1</f>
        <v/>
      </c>
      <c r="D21" s="74">
        <f>(Table1[[#This Row],[Index]]-B9)/B9</f>
        <v/>
      </c>
    </row>
    <row r="22">
      <c r="A22" s="19" t="n">
        <v>26755</v>
      </c>
      <c r="B22" s="61">
        <f>VLOOKUP(Table1[[#This Row],[Date]],database!A:B,2,)</f>
        <v/>
      </c>
      <c r="C22" s="74">
        <f>B22/B21-1</f>
        <v/>
      </c>
      <c r="D22" s="74">
        <f>(Table1[[#This Row],[Index]]-B10)/B10</f>
        <v/>
      </c>
    </row>
    <row r="23">
      <c r="A23" s="19" t="n">
        <v>26785</v>
      </c>
      <c r="B23" s="61">
        <f>VLOOKUP(Table1[[#This Row],[Date]],database!A:B,2,)</f>
        <v/>
      </c>
      <c r="C23" s="74">
        <f>B23/B22-1</f>
        <v/>
      </c>
      <c r="D23" s="74">
        <f>(Table1[[#This Row],[Index]]-B11)/B11</f>
        <v/>
      </c>
    </row>
    <row r="24">
      <c r="A24" s="19" t="n">
        <v>26816</v>
      </c>
      <c r="B24" s="61">
        <f>VLOOKUP(Table1[[#This Row],[Date]],database!A:B,2,)</f>
        <v/>
      </c>
      <c r="C24" s="74">
        <f>B24/B23-1</f>
        <v/>
      </c>
      <c r="D24" s="74">
        <f>(Table1[[#This Row],[Index]]-B12)/B12</f>
        <v/>
      </c>
    </row>
    <row r="25">
      <c r="A25" s="19" t="n">
        <v>26846</v>
      </c>
      <c r="B25" s="61">
        <f>VLOOKUP(Table1[[#This Row],[Date]],database!A:B,2,)</f>
        <v/>
      </c>
      <c r="C25" s="74">
        <f>B25/B24-1</f>
        <v/>
      </c>
      <c r="D25" s="74">
        <f>(Table1[[#This Row],[Index]]-B13)/B13</f>
        <v/>
      </c>
    </row>
    <row r="26">
      <c r="A26" s="19" t="n">
        <v>26877</v>
      </c>
      <c r="B26" s="61">
        <f>VLOOKUP(Table1[[#This Row],[Date]],database!A:B,2,)</f>
        <v/>
      </c>
      <c r="C26" s="74">
        <f>B26/B25-1</f>
        <v/>
      </c>
      <c r="D26" s="74">
        <f>(Table1[[#This Row],[Index]]-B14)/B14</f>
        <v/>
      </c>
    </row>
    <row r="27">
      <c r="A27" s="19" t="n">
        <v>26908</v>
      </c>
      <c r="B27" s="61">
        <f>VLOOKUP(Table1[[#This Row],[Date]],database!A:B,2,)</f>
        <v/>
      </c>
      <c r="C27" s="74">
        <f>B27/B26-1</f>
        <v/>
      </c>
      <c r="D27" s="74">
        <f>(Table1[[#This Row],[Index]]-B15)/B15</f>
        <v/>
      </c>
    </row>
    <row r="28">
      <c r="A28" s="19" t="n">
        <v>26938</v>
      </c>
      <c r="B28" s="61">
        <f>VLOOKUP(Table1[[#This Row],[Date]],database!A:B,2,)</f>
        <v/>
      </c>
      <c r="C28" s="74">
        <f>B28/B27-1</f>
        <v/>
      </c>
      <c r="D28" s="74">
        <f>(Table1[[#This Row],[Index]]-B16)/B16</f>
        <v/>
      </c>
    </row>
    <row r="29">
      <c r="A29" s="19" t="n">
        <v>26969</v>
      </c>
      <c r="B29" s="61">
        <f>VLOOKUP(Table1[[#This Row],[Date]],database!A:B,2,)</f>
        <v/>
      </c>
      <c r="C29" s="74">
        <f>B29/B28-1</f>
        <v/>
      </c>
      <c r="D29" s="74">
        <f>(Table1[[#This Row],[Index]]-B17)/B17</f>
        <v/>
      </c>
    </row>
    <row r="30">
      <c r="A30" s="19" t="n">
        <v>26999</v>
      </c>
      <c r="B30" s="61">
        <f>VLOOKUP(Table1[[#This Row],[Date]],database!A:B,2,)</f>
        <v/>
      </c>
      <c r="C30" s="74">
        <f>B30/B29-1</f>
        <v/>
      </c>
      <c r="D30" s="74">
        <f>(Table1[[#This Row],[Index]]-B18)/B18</f>
        <v/>
      </c>
    </row>
    <row r="31">
      <c r="A31" s="19" t="n">
        <v>27030</v>
      </c>
      <c r="B31" s="61">
        <f>VLOOKUP(Table1[[#This Row],[Date]],database!A:B,2,)</f>
        <v/>
      </c>
      <c r="C31" s="74">
        <f>B31/B30-1</f>
        <v/>
      </c>
      <c r="D31" s="74">
        <f>(Table1[[#This Row],[Index]]-B19)/B19</f>
        <v/>
      </c>
    </row>
    <row r="32">
      <c r="A32" s="19" t="n">
        <v>27061</v>
      </c>
      <c r="B32" s="61">
        <f>VLOOKUP(Table1[[#This Row],[Date]],database!A:B,2,)</f>
        <v/>
      </c>
      <c r="C32" s="74">
        <f>B32/B31-1</f>
        <v/>
      </c>
      <c r="D32" s="74">
        <f>(Table1[[#This Row],[Index]]-B20)/B20</f>
        <v/>
      </c>
    </row>
    <row r="33">
      <c r="A33" s="19" t="n">
        <v>27089</v>
      </c>
      <c r="B33" s="61">
        <f>VLOOKUP(Table1[[#This Row],[Date]],database!A:B,2,)</f>
        <v/>
      </c>
      <c r="C33" s="74">
        <f>B33/B32-1</f>
        <v/>
      </c>
      <c r="D33" s="74">
        <f>(Table1[[#This Row],[Index]]-B21)/B21</f>
        <v/>
      </c>
    </row>
    <row r="34">
      <c r="A34" s="19" t="n">
        <v>27120</v>
      </c>
      <c r="B34" s="61">
        <f>VLOOKUP(Table1[[#This Row],[Date]],database!A:B,2,)</f>
        <v/>
      </c>
      <c r="C34" s="74">
        <f>B34/B33-1</f>
        <v/>
      </c>
      <c r="D34" s="74">
        <f>(Table1[[#This Row],[Index]]-B22)/B22</f>
        <v/>
      </c>
    </row>
    <row r="35">
      <c r="A35" s="19" t="n">
        <v>27150</v>
      </c>
      <c r="B35" s="61">
        <f>VLOOKUP(Table1[[#This Row],[Date]],database!A:B,2,)</f>
        <v/>
      </c>
      <c r="C35" s="74">
        <f>B35/B34-1</f>
        <v/>
      </c>
      <c r="D35" s="74">
        <f>(Table1[[#This Row],[Index]]-B23)/B23</f>
        <v/>
      </c>
    </row>
    <row r="36">
      <c r="A36" s="19" t="n">
        <v>27181</v>
      </c>
      <c r="B36" s="61">
        <f>VLOOKUP(Table1[[#This Row],[Date]],database!A:B,2,)</f>
        <v/>
      </c>
      <c r="C36" s="74">
        <f>B36/B35-1</f>
        <v/>
      </c>
      <c r="D36" s="74">
        <f>(Table1[[#This Row],[Index]]-B24)/B24</f>
        <v/>
      </c>
    </row>
    <row r="37">
      <c r="A37" s="19" t="n">
        <v>27211</v>
      </c>
      <c r="B37" s="61">
        <f>VLOOKUP(Table1[[#This Row],[Date]],database!A:B,2,)</f>
        <v/>
      </c>
      <c r="C37" s="74">
        <f>B37/B36-1</f>
        <v/>
      </c>
      <c r="D37" s="74">
        <f>(Table1[[#This Row],[Index]]-B25)/B25</f>
        <v/>
      </c>
    </row>
    <row r="38">
      <c r="A38" s="19" t="n">
        <v>27242</v>
      </c>
      <c r="B38" s="61">
        <f>VLOOKUP(Table1[[#This Row],[Date]],database!A:B,2,)</f>
        <v/>
      </c>
      <c r="C38" s="74">
        <f>B38/B37-1</f>
        <v/>
      </c>
      <c r="D38" s="74">
        <f>(Table1[[#This Row],[Index]]-B26)/B26</f>
        <v/>
      </c>
    </row>
    <row r="39">
      <c r="A39" s="19" t="n">
        <v>27273</v>
      </c>
      <c r="B39" s="61">
        <f>VLOOKUP(Table1[[#This Row],[Date]],database!A:B,2,)</f>
        <v/>
      </c>
      <c r="C39" s="74">
        <f>B39/B38-1</f>
        <v/>
      </c>
      <c r="D39" s="74">
        <f>(Table1[[#This Row],[Index]]-B27)/B27</f>
        <v/>
      </c>
    </row>
    <row r="40">
      <c r="A40" s="19" t="n">
        <v>27303</v>
      </c>
      <c r="B40" s="61">
        <f>VLOOKUP(Table1[[#This Row],[Date]],database!A:B,2,)</f>
        <v/>
      </c>
      <c r="C40" s="74">
        <f>B40/B39-1</f>
        <v/>
      </c>
      <c r="D40" s="74">
        <f>(Table1[[#This Row],[Index]]-B28)/B28</f>
        <v/>
      </c>
    </row>
    <row r="41">
      <c r="A41" s="19" t="n">
        <v>27334</v>
      </c>
      <c r="B41" s="61">
        <f>VLOOKUP(Table1[[#This Row],[Date]],database!A:B,2,)</f>
        <v/>
      </c>
      <c r="C41" s="74">
        <f>B41/B40-1</f>
        <v/>
      </c>
      <c r="D41" s="74">
        <f>(Table1[[#This Row],[Index]]-B29)/B29</f>
        <v/>
      </c>
    </row>
    <row r="42">
      <c r="A42" s="19" t="n">
        <v>27364</v>
      </c>
      <c r="B42" s="61">
        <f>VLOOKUP(Table1[[#This Row],[Date]],database!A:B,2,)</f>
        <v/>
      </c>
      <c r="C42" s="74">
        <f>B42/B41-1</f>
        <v/>
      </c>
      <c r="D42" s="74">
        <f>(Table1[[#This Row],[Index]]-B30)/B30</f>
        <v/>
      </c>
    </row>
    <row r="43">
      <c r="A43" s="19" t="n">
        <v>27395</v>
      </c>
      <c r="B43" s="61">
        <f>VLOOKUP(Table1[[#This Row],[Date]],database!A:B,2,)</f>
        <v/>
      </c>
      <c r="C43" s="74">
        <f>B43/B42-1</f>
        <v/>
      </c>
      <c r="D43" s="74">
        <f>(Table1[[#This Row],[Index]]-B31)/B31</f>
        <v/>
      </c>
    </row>
    <row r="44">
      <c r="A44" s="19" t="n">
        <v>27426</v>
      </c>
      <c r="B44" s="61">
        <f>VLOOKUP(Table1[[#This Row],[Date]],database!A:B,2,)</f>
        <v/>
      </c>
      <c r="C44" s="74">
        <f>B44/B43-1</f>
        <v/>
      </c>
      <c r="D44" s="74">
        <f>(Table1[[#This Row],[Index]]-B32)/B32</f>
        <v/>
      </c>
    </row>
    <row r="45">
      <c r="A45" s="19" t="n">
        <v>27454</v>
      </c>
      <c r="B45" s="61">
        <f>VLOOKUP(Table1[[#This Row],[Date]],database!A:B,2,)</f>
        <v/>
      </c>
      <c r="C45" s="74">
        <f>B45/B44-1</f>
        <v/>
      </c>
      <c r="D45" s="74">
        <f>(Table1[[#This Row],[Index]]-B33)/B33</f>
        <v/>
      </c>
    </row>
    <row r="46">
      <c r="A46" s="19" t="n">
        <v>27485</v>
      </c>
      <c r="B46" s="61">
        <f>VLOOKUP(Table1[[#This Row],[Date]],database!A:B,2,)</f>
        <v/>
      </c>
      <c r="C46" s="74">
        <f>B46/B45-1</f>
        <v/>
      </c>
      <c r="D46" s="74">
        <f>(Table1[[#This Row],[Index]]-B34)/B34</f>
        <v/>
      </c>
    </row>
    <row r="47">
      <c r="A47" s="19" t="n">
        <v>27515</v>
      </c>
      <c r="B47" s="61">
        <f>VLOOKUP(Table1[[#This Row],[Date]],database!A:B,2,)</f>
        <v/>
      </c>
      <c r="C47" s="74">
        <f>B47/B46-1</f>
        <v/>
      </c>
      <c r="D47" s="74">
        <f>(Table1[[#This Row],[Index]]-B35)/B35</f>
        <v/>
      </c>
    </row>
    <row r="48">
      <c r="A48" s="19" t="n">
        <v>27546</v>
      </c>
      <c r="B48" s="61">
        <f>VLOOKUP(Table1[[#This Row],[Date]],database!A:B,2,)</f>
        <v/>
      </c>
      <c r="C48" s="74">
        <f>B48/B47-1</f>
        <v/>
      </c>
      <c r="D48" s="74">
        <f>(Table1[[#This Row],[Index]]-B36)/B36</f>
        <v/>
      </c>
    </row>
    <row r="49">
      <c r="A49" s="19" t="n">
        <v>27576</v>
      </c>
      <c r="B49" s="61">
        <f>VLOOKUP(Table1[[#This Row],[Date]],database!A:B,2,)</f>
        <v/>
      </c>
      <c r="C49" s="74">
        <f>B49/B48-1</f>
        <v/>
      </c>
      <c r="D49" s="74">
        <f>(Table1[[#This Row],[Index]]-B37)/B37</f>
        <v/>
      </c>
    </row>
    <row r="50">
      <c r="A50" s="19" t="n">
        <v>27607</v>
      </c>
      <c r="B50" s="61">
        <f>VLOOKUP(Table1[[#This Row],[Date]],database!A:B,2,)</f>
        <v/>
      </c>
      <c r="C50" s="74">
        <f>B50/B49-1</f>
        <v/>
      </c>
      <c r="D50" s="74">
        <f>(Table1[[#This Row],[Index]]-B38)/B38</f>
        <v/>
      </c>
    </row>
    <row r="51">
      <c r="A51" s="19" t="n">
        <v>27638</v>
      </c>
      <c r="B51" s="61">
        <f>VLOOKUP(Table1[[#This Row],[Date]],database!A:B,2,)</f>
        <v/>
      </c>
      <c r="C51" s="74">
        <f>B51/B50-1</f>
        <v/>
      </c>
      <c r="D51" s="74">
        <f>(Table1[[#This Row],[Index]]-B39)/B39</f>
        <v/>
      </c>
    </row>
    <row r="52">
      <c r="A52" s="19" t="n">
        <v>27668</v>
      </c>
      <c r="B52" s="61">
        <f>VLOOKUP(Table1[[#This Row],[Date]],database!A:B,2,)</f>
        <v/>
      </c>
      <c r="C52" s="74">
        <f>B52/B51-1</f>
        <v/>
      </c>
      <c r="D52" s="74">
        <f>(Table1[[#This Row],[Index]]-B40)/B40</f>
        <v/>
      </c>
    </row>
    <row r="53">
      <c r="A53" s="19" t="n">
        <v>27699</v>
      </c>
      <c r="B53" s="61">
        <f>VLOOKUP(Table1[[#This Row],[Date]],database!A:B,2,)</f>
        <v/>
      </c>
      <c r="C53" s="74">
        <f>B53/B52-1</f>
        <v/>
      </c>
      <c r="D53" s="74">
        <f>(Table1[[#This Row],[Index]]-B41)/B41</f>
        <v/>
      </c>
    </row>
    <row r="54">
      <c r="A54" s="19" t="n">
        <v>27729</v>
      </c>
      <c r="B54" s="61">
        <f>VLOOKUP(Table1[[#This Row],[Date]],database!A:B,2,)</f>
        <v/>
      </c>
      <c r="C54" s="74">
        <f>B54/B53-1</f>
        <v/>
      </c>
      <c r="D54" s="74">
        <f>(Table1[[#This Row],[Index]]-B42)/B42</f>
        <v/>
      </c>
    </row>
    <row r="55">
      <c r="A55" s="19" t="n">
        <v>27760</v>
      </c>
      <c r="B55" s="61">
        <f>VLOOKUP(Table1[[#This Row],[Date]],database!A:B,2,)</f>
        <v/>
      </c>
      <c r="C55" s="74">
        <f>B55/B54-1</f>
        <v/>
      </c>
      <c r="D55" s="74">
        <f>(Table1[[#This Row],[Index]]-B43)/B43</f>
        <v/>
      </c>
    </row>
    <row r="56">
      <c r="A56" s="19" t="n">
        <v>27791</v>
      </c>
      <c r="B56" s="61">
        <f>VLOOKUP(Table1[[#This Row],[Date]],database!A:B,2,)</f>
        <v/>
      </c>
      <c r="C56" s="74">
        <f>B56/B55-1</f>
        <v/>
      </c>
      <c r="D56" s="74">
        <f>(Table1[[#This Row],[Index]]-B44)/B44</f>
        <v/>
      </c>
    </row>
    <row r="57">
      <c r="A57" s="19" t="n">
        <v>27820</v>
      </c>
      <c r="B57" s="61">
        <f>VLOOKUP(Table1[[#This Row],[Date]],database!A:B,2,)</f>
        <v/>
      </c>
      <c r="C57" s="74">
        <f>B57/B56-1</f>
        <v/>
      </c>
      <c r="D57" s="74">
        <f>(Table1[[#This Row],[Index]]-B45)/B45</f>
        <v/>
      </c>
    </row>
    <row r="58">
      <c r="A58" s="19" t="n">
        <v>27851</v>
      </c>
      <c r="B58" s="61">
        <f>VLOOKUP(Table1[[#This Row],[Date]],database!A:B,2,)</f>
        <v/>
      </c>
      <c r="C58" s="74">
        <f>B58/B57-1</f>
        <v/>
      </c>
      <c r="D58" s="74">
        <f>(Table1[[#This Row],[Index]]-B46)/B46</f>
        <v/>
      </c>
    </row>
    <row r="59">
      <c r="A59" s="19" t="n">
        <v>27881</v>
      </c>
      <c r="B59" s="61">
        <f>VLOOKUP(Table1[[#This Row],[Date]],database!A:B,2,)</f>
        <v/>
      </c>
      <c r="C59" s="74">
        <f>B59/B58-1</f>
        <v/>
      </c>
      <c r="D59" s="74">
        <f>(Table1[[#This Row],[Index]]-B47)/B47</f>
        <v/>
      </c>
    </row>
    <row r="60">
      <c r="A60" s="19" t="n">
        <v>27912</v>
      </c>
      <c r="B60" s="61">
        <f>VLOOKUP(Table1[[#This Row],[Date]],database!A:B,2,)</f>
        <v/>
      </c>
      <c r="C60" s="74">
        <f>B60/B59-1</f>
        <v/>
      </c>
      <c r="D60" s="74">
        <f>(Table1[[#This Row],[Index]]-B48)/B48</f>
        <v/>
      </c>
    </row>
    <row r="61">
      <c r="A61" s="19" t="n">
        <v>27942</v>
      </c>
      <c r="B61" s="61">
        <f>VLOOKUP(Table1[[#This Row],[Date]],database!A:B,2,)</f>
        <v/>
      </c>
      <c r="C61" s="74">
        <f>B61/B60-1</f>
        <v/>
      </c>
      <c r="D61" s="74">
        <f>(Table1[[#This Row],[Index]]-B49)/B49</f>
        <v/>
      </c>
    </row>
    <row r="62">
      <c r="A62" s="19" t="n">
        <v>27973</v>
      </c>
      <c r="B62" s="61">
        <f>VLOOKUP(Table1[[#This Row],[Date]],database!A:B,2,)</f>
        <v/>
      </c>
      <c r="C62" s="74">
        <f>B62/B61-1</f>
        <v/>
      </c>
      <c r="D62" s="74">
        <f>(Table1[[#This Row],[Index]]-B50)/B50</f>
        <v/>
      </c>
    </row>
    <row r="63">
      <c r="A63" s="19" t="n">
        <v>28004</v>
      </c>
      <c r="B63" s="61">
        <f>VLOOKUP(Table1[[#This Row],[Date]],database!A:B,2,)</f>
        <v/>
      </c>
      <c r="C63" s="74">
        <f>B63/B62-1</f>
        <v/>
      </c>
      <c r="D63" s="74">
        <f>(Table1[[#This Row],[Index]]-B51)/B51</f>
        <v/>
      </c>
    </row>
    <row r="64">
      <c r="A64" s="19" t="n">
        <v>28034</v>
      </c>
      <c r="B64" s="61">
        <f>VLOOKUP(Table1[[#This Row],[Date]],database!A:B,2,)</f>
        <v/>
      </c>
      <c r="C64" s="74">
        <f>B64/B63-1</f>
        <v/>
      </c>
      <c r="D64" s="74">
        <f>(Table1[[#This Row],[Index]]-B52)/B52</f>
        <v/>
      </c>
    </row>
    <row r="65">
      <c r="A65" s="19" t="n">
        <v>28065</v>
      </c>
      <c r="B65" s="61">
        <f>VLOOKUP(Table1[[#This Row],[Date]],database!A:B,2,)</f>
        <v/>
      </c>
      <c r="C65" s="74">
        <f>B65/B64-1</f>
        <v/>
      </c>
      <c r="D65" s="74">
        <f>(Table1[[#This Row],[Index]]-B53)/B53</f>
        <v/>
      </c>
    </row>
    <row r="66">
      <c r="A66" s="19" t="n">
        <v>28095</v>
      </c>
      <c r="B66" s="61">
        <f>VLOOKUP(Table1[[#This Row],[Date]],database!A:B,2,)</f>
        <v/>
      </c>
      <c r="C66" s="74">
        <f>B66/B65-1</f>
        <v/>
      </c>
      <c r="D66" s="74">
        <f>(Table1[[#This Row],[Index]]-B54)/B54</f>
        <v/>
      </c>
    </row>
    <row r="67">
      <c r="A67" s="19" t="n">
        <v>28126</v>
      </c>
      <c r="B67" s="61">
        <f>VLOOKUP(Table1[[#This Row],[Date]],database!A:B,2,)</f>
        <v/>
      </c>
      <c r="C67" s="74">
        <f>B67/B66-1</f>
        <v/>
      </c>
      <c r="D67" s="74">
        <f>(Table1[[#This Row],[Index]]-B55)/B55</f>
        <v/>
      </c>
    </row>
    <row r="68">
      <c r="A68" s="19" t="n">
        <v>28157</v>
      </c>
      <c r="B68" s="61">
        <f>VLOOKUP(Table1[[#This Row],[Date]],database!A:B,2,)</f>
        <v/>
      </c>
      <c r="C68" s="74">
        <f>B68/B67-1</f>
        <v/>
      </c>
      <c r="D68" s="74">
        <f>(Table1[[#This Row],[Index]]-B56)/B56</f>
        <v/>
      </c>
    </row>
    <row r="69">
      <c r="A69" s="19" t="n">
        <v>28185</v>
      </c>
      <c r="B69" s="61">
        <f>VLOOKUP(Table1[[#This Row],[Date]],database!A:B,2,)</f>
        <v/>
      </c>
      <c r="C69" s="74">
        <f>B69/B68-1</f>
        <v/>
      </c>
      <c r="D69" s="74">
        <f>(Table1[[#This Row],[Index]]-B57)/B57</f>
        <v/>
      </c>
    </row>
    <row r="70">
      <c r="A70" s="19" t="n">
        <v>28216</v>
      </c>
      <c r="B70" s="61">
        <f>VLOOKUP(Table1[[#This Row],[Date]],database!A:B,2,)</f>
        <v/>
      </c>
      <c r="C70" s="74">
        <f>B70/B69-1</f>
        <v/>
      </c>
      <c r="D70" s="74">
        <f>(Table1[[#This Row],[Index]]-B58)/B58</f>
        <v/>
      </c>
    </row>
    <row r="71">
      <c r="A71" s="19" t="n">
        <v>28246</v>
      </c>
      <c r="B71" s="61">
        <f>VLOOKUP(Table1[[#This Row],[Date]],database!A:B,2,)</f>
        <v/>
      </c>
      <c r="C71" s="74">
        <f>B71/B70-1</f>
        <v/>
      </c>
      <c r="D71" s="74">
        <f>(Table1[[#This Row],[Index]]-B59)/B59</f>
        <v/>
      </c>
    </row>
    <row r="72">
      <c r="A72" s="19" t="n">
        <v>28277</v>
      </c>
      <c r="B72" s="61">
        <f>VLOOKUP(Table1[[#This Row],[Date]],database!A:B,2,)</f>
        <v/>
      </c>
      <c r="C72" s="74">
        <f>B72/B71-1</f>
        <v/>
      </c>
      <c r="D72" s="74">
        <f>(Table1[[#This Row],[Index]]-B60)/B60</f>
        <v/>
      </c>
    </row>
    <row r="73">
      <c r="A73" s="19" t="n">
        <v>28307</v>
      </c>
      <c r="B73" s="61">
        <f>VLOOKUP(Table1[[#This Row],[Date]],database!A:B,2,)</f>
        <v/>
      </c>
      <c r="C73" s="74">
        <f>B73/B72-1</f>
        <v/>
      </c>
      <c r="D73" s="74">
        <f>(Table1[[#This Row],[Index]]-B61)/B61</f>
        <v/>
      </c>
    </row>
    <row r="74">
      <c r="A74" s="19" t="n">
        <v>28338</v>
      </c>
      <c r="B74" s="61">
        <f>VLOOKUP(Table1[[#This Row],[Date]],database!A:B,2,)</f>
        <v/>
      </c>
      <c r="C74" s="74">
        <f>B74/B73-1</f>
        <v/>
      </c>
      <c r="D74" s="74">
        <f>(Table1[[#This Row],[Index]]-B62)/B62</f>
        <v/>
      </c>
    </row>
    <row r="75">
      <c r="A75" s="19" t="n">
        <v>28369</v>
      </c>
      <c r="B75" s="61">
        <f>VLOOKUP(Table1[[#This Row],[Date]],database!A:B,2,)</f>
        <v/>
      </c>
      <c r="C75" s="74">
        <f>B75/B74-1</f>
        <v/>
      </c>
      <c r="D75" s="74">
        <f>(Table1[[#This Row],[Index]]-B63)/B63</f>
        <v/>
      </c>
    </row>
    <row r="76">
      <c r="A76" s="19" t="n">
        <v>28399</v>
      </c>
      <c r="B76" s="61">
        <f>VLOOKUP(Table1[[#This Row],[Date]],database!A:B,2,)</f>
        <v/>
      </c>
      <c r="C76" s="74">
        <f>B76/B75-1</f>
        <v/>
      </c>
      <c r="D76" s="74">
        <f>(Table1[[#This Row],[Index]]-B64)/B64</f>
        <v/>
      </c>
    </row>
    <row r="77">
      <c r="A77" s="19" t="n">
        <v>28430</v>
      </c>
      <c r="B77" s="61">
        <f>VLOOKUP(Table1[[#This Row],[Date]],database!A:B,2,)</f>
        <v/>
      </c>
      <c r="C77" s="74">
        <f>B77/B76-1</f>
        <v/>
      </c>
      <c r="D77" s="74">
        <f>(Table1[[#This Row],[Index]]-B65)/B65</f>
        <v/>
      </c>
    </row>
    <row r="78">
      <c r="A78" s="19" t="n">
        <v>28460</v>
      </c>
      <c r="B78" s="61">
        <f>VLOOKUP(Table1[[#This Row],[Date]],database!A:B,2,)</f>
        <v/>
      </c>
      <c r="C78" s="74">
        <f>B78/B77-1</f>
        <v/>
      </c>
      <c r="D78" s="74">
        <f>(Table1[[#This Row],[Index]]-B66)/B66</f>
        <v/>
      </c>
    </row>
    <row r="79">
      <c r="A79" s="19" t="n">
        <v>28491</v>
      </c>
      <c r="B79" s="61">
        <f>VLOOKUP(Table1[[#This Row],[Date]],database!A:B,2,)</f>
        <v/>
      </c>
      <c r="C79" s="74">
        <f>B79/B78-1</f>
        <v/>
      </c>
      <c r="D79" s="74">
        <f>(Table1[[#This Row],[Index]]-B67)/B67</f>
        <v/>
      </c>
    </row>
    <row r="80">
      <c r="A80" s="19" t="n">
        <v>28522</v>
      </c>
      <c r="B80" s="61">
        <f>VLOOKUP(Table1[[#This Row],[Date]],database!A:B,2,)</f>
        <v/>
      </c>
      <c r="C80" s="74">
        <f>B80/B79-1</f>
        <v/>
      </c>
      <c r="D80" s="74">
        <f>(Table1[[#This Row],[Index]]-B68)/B68</f>
        <v/>
      </c>
    </row>
    <row r="81">
      <c r="A81" s="19" t="n">
        <v>28550</v>
      </c>
      <c r="B81" s="61">
        <f>VLOOKUP(Table1[[#This Row],[Date]],database!A:B,2,)</f>
        <v/>
      </c>
      <c r="C81" s="74">
        <f>B81/B80-1</f>
        <v/>
      </c>
      <c r="D81" s="74">
        <f>(Table1[[#This Row],[Index]]-B69)/B69</f>
        <v/>
      </c>
    </row>
    <row r="82">
      <c r="A82" s="19" t="n">
        <v>28581</v>
      </c>
      <c r="B82" s="61">
        <f>VLOOKUP(Table1[[#This Row],[Date]],database!A:B,2,)</f>
        <v/>
      </c>
      <c r="C82" s="74">
        <f>B82/B81-1</f>
        <v/>
      </c>
      <c r="D82" s="74">
        <f>(Table1[[#This Row],[Index]]-B70)/B70</f>
        <v/>
      </c>
    </row>
    <row r="83">
      <c r="A83" s="19" t="n">
        <v>28611</v>
      </c>
      <c r="B83" s="61">
        <f>VLOOKUP(Table1[[#This Row],[Date]],database!A:B,2,)</f>
        <v/>
      </c>
      <c r="C83" s="74">
        <f>B83/B82-1</f>
        <v/>
      </c>
      <c r="D83" s="74">
        <f>(Table1[[#This Row],[Index]]-B71)/B71</f>
        <v/>
      </c>
    </row>
    <row r="84">
      <c r="A84" s="19" t="n">
        <v>28642</v>
      </c>
      <c r="B84" s="61">
        <f>VLOOKUP(Table1[[#This Row],[Date]],database!A:B,2,)</f>
        <v/>
      </c>
      <c r="C84" s="74">
        <f>B84/B83-1</f>
        <v/>
      </c>
      <c r="D84" s="74">
        <f>(Table1[[#This Row],[Index]]-B72)/B72</f>
        <v/>
      </c>
    </row>
    <row r="85">
      <c r="A85" s="19" t="n">
        <v>28672</v>
      </c>
      <c r="B85" s="61">
        <f>VLOOKUP(Table1[[#This Row],[Date]],database!A:B,2,)</f>
        <v/>
      </c>
      <c r="C85" s="74">
        <f>B85/B84-1</f>
        <v/>
      </c>
      <c r="D85" s="74">
        <f>(Table1[[#This Row],[Index]]-B73)/B73</f>
        <v/>
      </c>
    </row>
    <row r="86">
      <c r="A86" s="19" t="n">
        <v>28703</v>
      </c>
      <c r="B86" s="61">
        <f>VLOOKUP(Table1[[#This Row],[Date]],database!A:B,2,)</f>
        <v/>
      </c>
      <c r="C86" s="74">
        <f>B86/B85-1</f>
        <v/>
      </c>
      <c r="D86" s="74">
        <f>(Table1[[#This Row],[Index]]-B74)/B74</f>
        <v/>
      </c>
    </row>
    <row r="87">
      <c r="A87" s="19" t="n">
        <v>28734</v>
      </c>
      <c r="B87" s="61">
        <f>VLOOKUP(Table1[[#This Row],[Date]],database!A:B,2,)</f>
        <v/>
      </c>
      <c r="C87" s="74">
        <f>B87/B86-1</f>
        <v/>
      </c>
      <c r="D87" s="74">
        <f>(Table1[[#This Row],[Index]]-B75)/B75</f>
        <v/>
      </c>
    </row>
    <row r="88">
      <c r="A88" s="19" t="n">
        <v>28764</v>
      </c>
      <c r="B88" s="61">
        <f>VLOOKUP(Table1[[#This Row],[Date]],database!A:B,2,)</f>
        <v/>
      </c>
      <c r="C88" s="74">
        <f>B88/B87-1</f>
        <v/>
      </c>
      <c r="D88" s="74">
        <f>(Table1[[#This Row],[Index]]-B76)/B76</f>
        <v/>
      </c>
    </row>
    <row r="89">
      <c r="A89" s="19" t="n">
        <v>28795</v>
      </c>
      <c r="B89" s="61">
        <f>VLOOKUP(Table1[[#This Row],[Date]],database!A:B,2,)</f>
        <v/>
      </c>
      <c r="C89" s="74">
        <f>B89/B88-1</f>
        <v/>
      </c>
      <c r="D89" s="74">
        <f>(Table1[[#This Row],[Index]]-B77)/B77</f>
        <v/>
      </c>
    </row>
    <row r="90">
      <c r="A90" s="19" t="n">
        <v>28825</v>
      </c>
      <c r="B90" s="61">
        <f>VLOOKUP(Table1[[#This Row],[Date]],database!A:B,2,)</f>
        <v/>
      </c>
      <c r="C90" s="74">
        <f>B90/B89-1</f>
        <v/>
      </c>
      <c r="D90" s="74">
        <f>(Table1[[#This Row],[Index]]-B78)/B78</f>
        <v/>
      </c>
    </row>
    <row r="91">
      <c r="A91" s="19" t="n">
        <v>28856</v>
      </c>
      <c r="B91" s="61">
        <f>VLOOKUP(Table1[[#This Row],[Date]],database!A:B,2,)</f>
        <v/>
      </c>
      <c r="C91" s="74">
        <f>B91/B90-1</f>
        <v/>
      </c>
      <c r="D91" s="74">
        <f>(Table1[[#This Row],[Index]]-B79)/B79</f>
        <v/>
      </c>
    </row>
    <row r="92">
      <c r="A92" s="19" t="n">
        <v>28887</v>
      </c>
      <c r="B92" s="61">
        <f>VLOOKUP(Table1[[#This Row],[Date]],database!A:B,2,)</f>
        <v/>
      </c>
      <c r="C92" s="74">
        <f>B92/B91-1</f>
        <v/>
      </c>
      <c r="D92" s="74">
        <f>(Table1[[#This Row],[Index]]-B80)/B80</f>
        <v/>
      </c>
    </row>
    <row r="93">
      <c r="A93" s="19" t="n">
        <v>28915</v>
      </c>
      <c r="B93" s="61">
        <f>VLOOKUP(Table1[[#This Row],[Date]],database!A:B,2,)</f>
        <v/>
      </c>
      <c r="C93" s="74">
        <f>B93/B92-1</f>
        <v/>
      </c>
      <c r="D93" s="74">
        <f>(Table1[[#This Row],[Index]]-B81)/B81</f>
        <v/>
      </c>
    </row>
    <row r="94">
      <c r="A94" s="19" t="n">
        <v>28946</v>
      </c>
      <c r="B94" s="61">
        <f>VLOOKUP(Table1[[#This Row],[Date]],database!A:B,2,)</f>
        <v/>
      </c>
      <c r="C94" s="74">
        <f>B94/B93-1</f>
        <v/>
      </c>
      <c r="D94" s="74">
        <f>(Table1[[#This Row],[Index]]-B82)/B82</f>
        <v/>
      </c>
    </row>
    <row r="95">
      <c r="A95" s="19" t="n">
        <v>28976</v>
      </c>
      <c r="B95" s="61">
        <f>VLOOKUP(Table1[[#This Row],[Date]],database!A:B,2,)</f>
        <v/>
      </c>
      <c r="C95" s="74">
        <f>B95/B94-1</f>
        <v/>
      </c>
      <c r="D95" s="74">
        <f>(Table1[[#This Row],[Index]]-B83)/B83</f>
        <v/>
      </c>
    </row>
    <row r="96">
      <c r="A96" s="19" t="n">
        <v>29007</v>
      </c>
      <c r="B96" s="61">
        <f>VLOOKUP(Table1[[#This Row],[Date]],database!A:B,2,)</f>
        <v/>
      </c>
      <c r="C96" s="74">
        <f>B96/B95-1</f>
        <v/>
      </c>
      <c r="D96" s="74">
        <f>(Table1[[#This Row],[Index]]-B84)/B84</f>
        <v/>
      </c>
    </row>
    <row r="97">
      <c r="A97" s="19" t="n">
        <v>29037</v>
      </c>
      <c r="B97" s="61">
        <f>VLOOKUP(Table1[[#This Row],[Date]],database!A:B,2,)</f>
        <v/>
      </c>
      <c r="C97" s="74">
        <f>B97/B96-1</f>
        <v/>
      </c>
      <c r="D97" s="74">
        <f>(Table1[[#This Row],[Index]]-B85)/B85</f>
        <v/>
      </c>
    </row>
    <row r="98">
      <c r="A98" s="19" t="n">
        <v>29068</v>
      </c>
      <c r="B98" s="61">
        <f>VLOOKUP(Table1[[#This Row],[Date]],database!A:B,2,)</f>
        <v/>
      </c>
      <c r="C98" s="74">
        <f>B98/B97-1</f>
        <v/>
      </c>
      <c r="D98" s="74">
        <f>(Table1[[#This Row],[Index]]-B86)/B86</f>
        <v/>
      </c>
    </row>
    <row r="99">
      <c r="A99" s="19" t="n">
        <v>29099</v>
      </c>
      <c r="B99" s="61">
        <f>VLOOKUP(Table1[[#This Row],[Date]],database!A:B,2,)</f>
        <v/>
      </c>
      <c r="C99" s="74">
        <f>B99/B98-1</f>
        <v/>
      </c>
      <c r="D99" s="74">
        <f>(Table1[[#This Row],[Index]]-B87)/B87</f>
        <v/>
      </c>
    </row>
    <row r="100">
      <c r="A100" s="19" t="n">
        <v>29129</v>
      </c>
      <c r="B100" s="61">
        <f>VLOOKUP(Table1[[#This Row],[Date]],database!A:B,2,)</f>
        <v/>
      </c>
      <c r="C100" s="74">
        <f>B100/B99-1</f>
        <v/>
      </c>
      <c r="D100" s="74">
        <f>(Table1[[#This Row],[Index]]-B88)/B88</f>
        <v/>
      </c>
    </row>
    <row r="101">
      <c r="A101" s="19" t="n">
        <v>29160</v>
      </c>
      <c r="B101" s="61">
        <f>VLOOKUP(Table1[[#This Row],[Date]],database!A:B,2,)</f>
        <v/>
      </c>
      <c r="C101" s="74">
        <f>B101/B100-1</f>
        <v/>
      </c>
      <c r="D101" s="74">
        <f>(Table1[[#This Row],[Index]]-B89)/B89</f>
        <v/>
      </c>
    </row>
    <row r="102">
      <c r="A102" s="19" t="n">
        <v>29190</v>
      </c>
      <c r="B102" s="61">
        <f>VLOOKUP(Table1[[#This Row],[Date]],database!A:B,2,)</f>
        <v/>
      </c>
      <c r="C102" s="74">
        <f>B102/B101-1</f>
        <v/>
      </c>
      <c r="D102" s="74">
        <f>(Table1[[#This Row],[Index]]-B90)/B90</f>
        <v/>
      </c>
    </row>
    <row r="103">
      <c r="A103" s="19" t="n">
        <v>29221</v>
      </c>
      <c r="B103" s="61">
        <f>VLOOKUP(Table1[[#This Row],[Date]],database!A:B,2,)</f>
        <v/>
      </c>
      <c r="C103" s="74">
        <f>B103/B102-1</f>
        <v/>
      </c>
      <c r="D103" s="74">
        <f>(Table1[[#This Row],[Index]]-B91)/B91</f>
        <v/>
      </c>
    </row>
    <row r="104">
      <c r="A104" s="19" t="n">
        <v>29252</v>
      </c>
      <c r="B104" s="61">
        <f>VLOOKUP(Table1[[#This Row],[Date]],database!A:B,2,)</f>
        <v/>
      </c>
      <c r="C104" s="74">
        <f>B104/B103-1</f>
        <v/>
      </c>
      <c r="D104" s="74">
        <f>(Table1[[#This Row],[Index]]-B92)/B92</f>
        <v/>
      </c>
    </row>
    <row r="105">
      <c r="A105" s="19" t="n">
        <v>29281</v>
      </c>
      <c r="B105" s="61">
        <f>VLOOKUP(Table1[[#This Row],[Date]],database!A:B,2,)</f>
        <v/>
      </c>
      <c r="C105" s="74">
        <f>B105/B104-1</f>
        <v/>
      </c>
      <c r="D105" s="74">
        <f>(Table1[[#This Row],[Index]]-B93)/B93</f>
        <v/>
      </c>
    </row>
    <row r="106">
      <c r="A106" s="19" t="n">
        <v>29312</v>
      </c>
      <c r="B106" s="61">
        <f>VLOOKUP(Table1[[#This Row],[Date]],database!A:B,2,)</f>
        <v/>
      </c>
      <c r="C106" s="74">
        <f>B106/B105-1</f>
        <v/>
      </c>
      <c r="D106" s="74">
        <f>(Table1[[#This Row],[Index]]-B94)/B94</f>
        <v/>
      </c>
    </row>
    <row r="107">
      <c r="A107" s="19" t="n">
        <v>29342</v>
      </c>
      <c r="B107" s="61">
        <f>VLOOKUP(Table1[[#This Row],[Date]],database!A:B,2,)</f>
        <v/>
      </c>
      <c r="C107" s="74">
        <f>B107/B106-1</f>
        <v/>
      </c>
      <c r="D107" s="74">
        <f>(Table1[[#This Row],[Index]]-B95)/B95</f>
        <v/>
      </c>
    </row>
    <row r="108">
      <c r="A108" s="19" t="n">
        <v>29373</v>
      </c>
      <c r="B108" s="61">
        <f>VLOOKUP(Table1[[#This Row],[Date]],database!A:B,2,)</f>
        <v/>
      </c>
      <c r="C108" s="74">
        <f>B108/B107-1</f>
        <v/>
      </c>
      <c r="D108" s="74">
        <f>(Table1[[#This Row],[Index]]-B96)/B96</f>
        <v/>
      </c>
    </row>
    <row r="109">
      <c r="A109" s="19" t="n">
        <v>29403</v>
      </c>
      <c r="B109" s="61">
        <f>VLOOKUP(Table1[[#This Row],[Date]],database!A:B,2,)</f>
        <v/>
      </c>
      <c r="C109" s="74">
        <f>B109/B108-1</f>
        <v/>
      </c>
      <c r="D109" s="74">
        <f>(Table1[[#This Row],[Index]]-B97)/B97</f>
        <v/>
      </c>
    </row>
    <row r="110">
      <c r="A110" s="19" t="n">
        <v>29434</v>
      </c>
      <c r="B110" s="61">
        <f>VLOOKUP(Table1[[#This Row],[Date]],database!A:B,2,)</f>
        <v/>
      </c>
      <c r="C110" s="74">
        <f>B110/B109-1</f>
        <v/>
      </c>
      <c r="D110" s="74">
        <f>(Table1[[#This Row],[Index]]-B98)/B98</f>
        <v/>
      </c>
    </row>
    <row r="111">
      <c r="A111" s="19" t="n">
        <v>29465</v>
      </c>
      <c r="B111" s="61">
        <f>VLOOKUP(Table1[[#This Row],[Date]],database!A:B,2,)</f>
        <v/>
      </c>
      <c r="C111" s="74">
        <f>B111/B110-1</f>
        <v/>
      </c>
      <c r="D111" s="74">
        <f>(Table1[[#This Row],[Index]]-B99)/B99</f>
        <v/>
      </c>
    </row>
    <row r="112">
      <c r="A112" s="19" t="n">
        <v>29495</v>
      </c>
      <c r="B112" s="61">
        <f>VLOOKUP(Table1[[#This Row],[Date]],database!A:B,2,)</f>
        <v/>
      </c>
      <c r="C112" s="74">
        <f>B112/B111-1</f>
        <v/>
      </c>
      <c r="D112" s="74">
        <f>(Table1[[#This Row],[Index]]-B100)/B100</f>
        <v/>
      </c>
    </row>
    <row r="113">
      <c r="A113" s="19" t="n">
        <v>29526</v>
      </c>
      <c r="B113" s="61">
        <f>VLOOKUP(Table1[[#This Row],[Date]],database!A:B,2,)</f>
        <v/>
      </c>
      <c r="C113" s="74">
        <f>B113/B112-1</f>
        <v/>
      </c>
      <c r="D113" s="74">
        <f>(Table1[[#This Row],[Index]]-B101)/B101</f>
        <v/>
      </c>
    </row>
    <row r="114">
      <c r="A114" s="19" t="n">
        <v>29556</v>
      </c>
      <c r="B114" s="61">
        <f>VLOOKUP(Table1[[#This Row],[Date]],database!A:B,2,)</f>
        <v/>
      </c>
      <c r="C114" s="74">
        <f>B114/B113-1</f>
        <v/>
      </c>
      <c r="D114" s="74">
        <f>(Table1[[#This Row],[Index]]-B102)/B102</f>
        <v/>
      </c>
    </row>
    <row r="115">
      <c r="A115" s="19" t="n">
        <v>29587</v>
      </c>
      <c r="B115" s="61">
        <f>VLOOKUP(Table1[[#This Row],[Date]],database!A:B,2,)</f>
        <v/>
      </c>
      <c r="C115" s="74">
        <f>B115/B114-1</f>
        <v/>
      </c>
      <c r="D115" s="74">
        <f>(Table1[[#This Row],[Index]]-B103)/B103</f>
        <v/>
      </c>
    </row>
    <row r="116">
      <c r="A116" s="19" t="n">
        <v>29618</v>
      </c>
      <c r="B116" s="61">
        <f>VLOOKUP(Table1[[#This Row],[Date]],database!A:B,2,)</f>
        <v/>
      </c>
      <c r="C116" s="74">
        <f>B116/B115-1</f>
        <v/>
      </c>
      <c r="D116" s="74">
        <f>(Table1[[#This Row],[Index]]-B104)/B104</f>
        <v/>
      </c>
    </row>
    <row r="117">
      <c r="A117" s="19" t="n">
        <v>29646</v>
      </c>
      <c r="B117" s="61">
        <f>VLOOKUP(Table1[[#This Row],[Date]],database!A:B,2,)</f>
        <v/>
      </c>
      <c r="C117" s="74">
        <f>B117/B116-1</f>
        <v/>
      </c>
      <c r="D117" s="74">
        <f>(Table1[[#This Row],[Index]]-B105)/B105</f>
        <v/>
      </c>
    </row>
    <row r="118">
      <c r="A118" s="19" t="n">
        <v>29677</v>
      </c>
      <c r="B118" s="61">
        <f>VLOOKUP(Table1[[#This Row],[Date]],database!A:B,2,)</f>
        <v/>
      </c>
      <c r="C118" s="74">
        <f>B118/B117-1</f>
        <v/>
      </c>
      <c r="D118" s="74">
        <f>(Table1[[#This Row],[Index]]-B106)/B106</f>
        <v/>
      </c>
    </row>
    <row r="119">
      <c r="A119" s="19" t="n">
        <v>29707</v>
      </c>
      <c r="B119" s="61">
        <f>VLOOKUP(Table1[[#This Row],[Date]],database!A:B,2,)</f>
        <v/>
      </c>
      <c r="C119" s="74">
        <f>B119/B118-1</f>
        <v/>
      </c>
      <c r="D119" s="74">
        <f>(Table1[[#This Row],[Index]]-B107)/B107</f>
        <v/>
      </c>
    </row>
    <row r="120">
      <c r="A120" s="19" t="n">
        <v>29738</v>
      </c>
      <c r="B120" s="61">
        <f>VLOOKUP(Table1[[#This Row],[Date]],database!A:B,2,)</f>
        <v/>
      </c>
      <c r="C120" s="74">
        <f>B120/B119-1</f>
        <v/>
      </c>
      <c r="D120" s="74">
        <f>(Table1[[#This Row],[Index]]-B108)/B108</f>
        <v/>
      </c>
    </row>
    <row r="121">
      <c r="A121" s="19" t="n">
        <v>29768</v>
      </c>
      <c r="B121" s="61">
        <f>VLOOKUP(Table1[[#This Row],[Date]],database!A:B,2,)</f>
        <v/>
      </c>
      <c r="C121" s="74">
        <f>B121/B120-1</f>
        <v/>
      </c>
      <c r="D121" s="74">
        <f>(Table1[[#This Row],[Index]]-B109)/B109</f>
        <v/>
      </c>
    </row>
    <row r="122">
      <c r="A122" s="19" t="n">
        <v>29799</v>
      </c>
      <c r="B122" s="61">
        <f>VLOOKUP(Table1[[#This Row],[Date]],database!A:B,2,)</f>
        <v/>
      </c>
      <c r="C122" s="74">
        <f>B122/B121-1</f>
        <v/>
      </c>
      <c r="D122" s="74">
        <f>(Table1[[#This Row],[Index]]-B110)/B110</f>
        <v/>
      </c>
    </row>
    <row r="123">
      <c r="A123" s="19" t="n">
        <v>29830</v>
      </c>
      <c r="B123" s="61">
        <f>VLOOKUP(Table1[[#This Row],[Date]],database!A:B,2,)</f>
        <v/>
      </c>
      <c r="C123" s="74">
        <f>B123/B122-1</f>
        <v/>
      </c>
      <c r="D123" s="74">
        <f>(Table1[[#This Row],[Index]]-B111)/B111</f>
        <v/>
      </c>
    </row>
    <row r="124">
      <c r="A124" s="19" t="n">
        <v>29860</v>
      </c>
      <c r="B124" s="61">
        <f>VLOOKUP(Table1[[#This Row],[Date]],database!A:B,2,)</f>
        <v/>
      </c>
      <c r="C124" s="74">
        <f>B124/B123-1</f>
        <v/>
      </c>
      <c r="D124" s="74">
        <f>(Table1[[#This Row],[Index]]-B112)/B112</f>
        <v/>
      </c>
    </row>
    <row r="125">
      <c r="A125" s="19" t="n">
        <v>29891</v>
      </c>
      <c r="B125" s="61">
        <f>VLOOKUP(Table1[[#This Row],[Date]],database!A:B,2,)</f>
        <v/>
      </c>
      <c r="C125" s="74">
        <f>B125/B124-1</f>
        <v/>
      </c>
      <c r="D125" s="74">
        <f>(Table1[[#This Row],[Index]]-B113)/B113</f>
        <v/>
      </c>
    </row>
    <row r="126">
      <c r="A126" s="19" t="n">
        <v>29921</v>
      </c>
      <c r="B126" s="61">
        <f>VLOOKUP(Table1[[#This Row],[Date]],database!A:B,2,)</f>
        <v/>
      </c>
      <c r="C126" s="74">
        <f>B126/B125-1</f>
        <v/>
      </c>
      <c r="D126" s="74">
        <f>(Table1[[#This Row],[Index]]-B114)/B114</f>
        <v/>
      </c>
    </row>
    <row r="127">
      <c r="A127" s="19" t="n">
        <v>29952</v>
      </c>
      <c r="B127" s="61">
        <f>VLOOKUP(Table1[[#This Row],[Date]],database!A:B,2,)</f>
        <v/>
      </c>
      <c r="C127" s="74">
        <f>B127/B126-1</f>
        <v/>
      </c>
      <c r="D127" s="74">
        <f>(Table1[[#This Row],[Index]]-B115)/B115</f>
        <v/>
      </c>
    </row>
    <row r="128">
      <c r="A128" s="19" t="n">
        <v>29983</v>
      </c>
      <c r="B128" s="61">
        <f>VLOOKUP(Table1[[#This Row],[Date]],database!A:B,2,)</f>
        <v/>
      </c>
      <c r="C128" s="74">
        <f>B128/B127-1</f>
        <v/>
      </c>
      <c r="D128" s="74">
        <f>(Table1[[#This Row],[Index]]-B116)/B116</f>
        <v/>
      </c>
    </row>
    <row r="129">
      <c r="A129" s="19" t="n">
        <v>30011</v>
      </c>
      <c r="B129" s="61">
        <f>VLOOKUP(Table1[[#This Row],[Date]],database!A:B,2,)</f>
        <v/>
      </c>
      <c r="C129" s="74">
        <f>B129/B128-1</f>
        <v/>
      </c>
      <c r="D129" s="74">
        <f>(Table1[[#This Row],[Index]]-B117)/B117</f>
        <v/>
      </c>
    </row>
    <row r="130">
      <c r="A130" s="19" t="n">
        <v>30042</v>
      </c>
      <c r="B130" s="61">
        <f>VLOOKUP(Table1[[#This Row],[Date]],database!A:B,2,)</f>
        <v/>
      </c>
      <c r="C130" s="74">
        <f>B130/B129-1</f>
        <v/>
      </c>
      <c r="D130" s="74">
        <f>(Table1[[#This Row],[Index]]-B118)/B118</f>
        <v/>
      </c>
    </row>
    <row r="131">
      <c r="A131" s="19" t="n">
        <v>30072</v>
      </c>
      <c r="B131" s="61">
        <f>VLOOKUP(Table1[[#This Row],[Date]],database!A:B,2,)</f>
        <v/>
      </c>
      <c r="C131" s="74">
        <f>B131/B130-1</f>
        <v/>
      </c>
      <c r="D131" s="74">
        <f>(Table1[[#This Row],[Index]]-B119)/B119</f>
        <v/>
      </c>
    </row>
    <row r="132">
      <c r="A132" s="19" t="n">
        <v>30103</v>
      </c>
      <c r="B132" s="61">
        <f>VLOOKUP(Table1[[#This Row],[Date]],database!A:B,2,)</f>
        <v/>
      </c>
      <c r="C132" s="74">
        <f>B132/B131-1</f>
        <v/>
      </c>
      <c r="D132" s="74">
        <f>(Table1[[#This Row],[Index]]-B120)/B120</f>
        <v/>
      </c>
    </row>
    <row r="133">
      <c r="A133" s="19" t="n">
        <v>30133</v>
      </c>
      <c r="B133" s="61">
        <f>VLOOKUP(Table1[[#This Row],[Date]],database!A:B,2,)</f>
        <v/>
      </c>
      <c r="C133" s="74">
        <f>B133/B132-1</f>
        <v/>
      </c>
      <c r="D133" s="74">
        <f>(Table1[[#This Row],[Index]]-B121)/B121</f>
        <v/>
      </c>
    </row>
    <row r="134">
      <c r="A134" s="19" t="n">
        <v>30164</v>
      </c>
      <c r="B134" s="61">
        <f>VLOOKUP(Table1[[#This Row],[Date]],database!A:B,2,)</f>
        <v/>
      </c>
      <c r="C134" s="74">
        <f>B134/B133-1</f>
        <v/>
      </c>
      <c r="D134" s="74">
        <f>(Table1[[#This Row],[Index]]-B122)/B122</f>
        <v/>
      </c>
    </row>
    <row r="135">
      <c r="A135" s="19" t="n">
        <v>30195</v>
      </c>
      <c r="B135" s="61">
        <f>VLOOKUP(Table1[[#This Row],[Date]],database!A:B,2,)</f>
        <v/>
      </c>
      <c r="C135" s="74">
        <f>B135/B134-1</f>
        <v/>
      </c>
      <c r="D135" s="74">
        <f>(Table1[[#This Row],[Index]]-B123)/B123</f>
        <v/>
      </c>
    </row>
    <row r="136">
      <c r="A136" s="19" t="n">
        <v>30225</v>
      </c>
      <c r="B136" s="61">
        <f>VLOOKUP(Table1[[#This Row],[Date]],database!A:B,2,)</f>
        <v/>
      </c>
      <c r="C136" s="74">
        <f>B136/B135-1</f>
        <v/>
      </c>
      <c r="D136" s="74">
        <f>(Table1[[#This Row],[Index]]-B124)/B124</f>
        <v/>
      </c>
    </row>
    <row r="137">
      <c r="A137" s="19" t="n">
        <v>30256</v>
      </c>
      <c r="B137" s="61">
        <f>VLOOKUP(Table1[[#This Row],[Date]],database!A:B,2,)</f>
        <v/>
      </c>
      <c r="C137" s="74">
        <f>B137/B136-1</f>
        <v/>
      </c>
      <c r="D137" s="74">
        <f>(Table1[[#This Row],[Index]]-B125)/B125</f>
        <v/>
      </c>
    </row>
    <row r="138">
      <c r="A138" s="19" t="n">
        <v>30286</v>
      </c>
      <c r="B138" s="61">
        <f>VLOOKUP(Table1[[#This Row],[Date]],database!A:B,2,)</f>
        <v/>
      </c>
      <c r="C138" s="74">
        <f>B138/B137-1</f>
        <v/>
      </c>
      <c r="D138" s="74">
        <f>(Table1[[#This Row],[Index]]-B126)/B126</f>
        <v/>
      </c>
    </row>
    <row r="139">
      <c r="A139" s="19" t="n">
        <v>30317</v>
      </c>
      <c r="B139" s="61">
        <f>VLOOKUP(Table1[[#This Row],[Date]],database!A:B,2,)</f>
        <v/>
      </c>
      <c r="C139" s="74">
        <f>B139/B138-1</f>
        <v/>
      </c>
      <c r="D139" s="74">
        <f>(Table1[[#This Row],[Index]]-B127)/B127</f>
        <v/>
      </c>
    </row>
    <row r="140">
      <c r="A140" s="19" t="n">
        <v>30348</v>
      </c>
      <c r="B140" s="61">
        <f>VLOOKUP(Table1[[#This Row],[Date]],database!A:B,2,)</f>
        <v/>
      </c>
      <c r="C140" s="74">
        <f>B140/B139-1</f>
        <v/>
      </c>
      <c r="D140" s="74">
        <f>(Table1[[#This Row],[Index]]-B128)/B128</f>
        <v/>
      </c>
    </row>
    <row r="141">
      <c r="A141" s="19" t="n">
        <v>30376</v>
      </c>
      <c r="B141" s="61">
        <f>VLOOKUP(Table1[[#This Row],[Date]],database!A:B,2,)</f>
        <v/>
      </c>
      <c r="C141" s="74">
        <f>B141/B140-1</f>
        <v/>
      </c>
      <c r="D141" s="74">
        <f>(Table1[[#This Row],[Index]]-B129)/B129</f>
        <v/>
      </c>
    </row>
    <row r="142">
      <c r="A142" s="19" t="n">
        <v>30407</v>
      </c>
      <c r="B142" s="61">
        <f>VLOOKUP(Table1[[#This Row],[Date]],database!A:B,2,)</f>
        <v/>
      </c>
      <c r="C142" s="74">
        <f>B142/B141-1</f>
        <v/>
      </c>
      <c r="D142" s="74">
        <f>(Table1[[#This Row],[Index]]-B130)/B130</f>
        <v/>
      </c>
    </row>
    <row r="143">
      <c r="A143" s="19" t="n">
        <v>30437</v>
      </c>
      <c r="B143" s="61">
        <f>VLOOKUP(Table1[[#This Row],[Date]],database!A:B,2,)</f>
        <v/>
      </c>
      <c r="C143" s="74">
        <f>B143/B142-1</f>
        <v/>
      </c>
      <c r="D143" s="74">
        <f>(Table1[[#This Row],[Index]]-B131)/B131</f>
        <v/>
      </c>
    </row>
    <row r="144">
      <c r="A144" s="19" t="n">
        <v>30468</v>
      </c>
      <c r="B144" s="61">
        <f>VLOOKUP(Table1[[#This Row],[Date]],database!A:B,2,)</f>
        <v/>
      </c>
      <c r="C144" s="74">
        <f>B144/B143-1</f>
        <v/>
      </c>
      <c r="D144" s="74">
        <f>(Table1[[#This Row],[Index]]-B132)/B132</f>
        <v/>
      </c>
    </row>
    <row r="145">
      <c r="A145" s="19" t="n">
        <v>30498</v>
      </c>
      <c r="B145" s="61">
        <f>VLOOKUP(Table1[[#This Row],[Date]],database!A:B,2,)</f>
        <v/>
      </c>
      <c r="C145" s="74">
        <f>B145/B144-1</f>
        <v/>
      </c>
      <c r="D145" s="74">
        <f>(Table1[[#This Row],[Index]]-B133)/B133</f>
        <v/>
      </c>
    </row>
    <row r="146">
      <c r="A146" s="19" t="n">
        <v>30529</v>
      </c>
      <c r="B146" s="61">
        <f>VLOOKUP(Table1[[#This Row],[Date]],database!A:B,2,)</f>
        <v/>
      </c>
      <c r="C146" s="74">
        <f>B146/B145-1</f>
        <v/>
      </c>
      <c r="D146" s="74">
        <f>(Table1[[#This Row],[Index]]-B134)/B134</f>
        <v/>
      </c>
    </row>
    <row r="147">
      <c r="A147" s="19" t="n">
        <v>30560</v>
      </c>
      <c r="B147" s="61">
        <f>VLOOKUP(Table1[[#This Row],[Date]],database!A:B,2,)</f>
        <v/>
      </c>
      <c r="C147" s="74">
        <f>B147/B146-1</f>
        <v/>
      </c>
      <c r="D147" s="74">
        <f>(Table1[[#This Row],[Index]]-B135)/B135</f>
        <v/>
      </c>
    </row>
    <row r="148">
      <c r="A148" s="19" t="n">
        <v>30590</v>
      </c>
      <c r="B148" s="61">
        <f>VLOOKUP(Table1[[#This Row],[Date]],database!A:B,2,)</f>
        <v/>
      </c>
      <c r="C148" s="74">
        <f>B148/B147-1</f>
        <v/>
      </c>
      <c r="D148" s="74">
        <f>(Table1[[#This Row],[Index]]-B136)/B136</f>
        <v/>
      </c>
    </row>
    <row r="149">
      <c r="A149" s="19" t="n">
        <v>30621</v>
      </c>
      <c r="B149" s="61">
        <f>VLOOKUP(Table1[[#This Row],[Date]],database!A:B,2,)</f>
        <v/>
      </c>
      <c r="C149" s="74">
        <f>B149/B148-1</f>
        <v/>
      </c>
      <c r="D149" s="74">
        <f>(Table1[[#This Row],[Index]]-B137)/B137</f>
        <v/>
      </c>
    </row>
    <row r="150">
      <c r="A150" s="19" t="n">
        <v>30651</v>
      </c>
      <c r="B150" s="61">
        <f>VLOOKUP(Table1[[#This Row],[Date]],database!A:B,2,)</f>
        <v/>
      </c>
      <c r="C150" s="74">
        <f>B150/B149-1</f>
        <v/>
      </c>
      <c r="D150" s="74">
        <f>(Table1[[#This Row],[Index]]-B138)/B138</f>
        <v/>
      </c>
    </row>
    <row r="151">
      <c r="A151" s="19" t="n">
        <v>30682</v>
      </c>
      <c r="B151" s="61">
        <f>VLOOKUP(Table1[[#This Row],[Date]],database!A:B,2,)</f>
        <v/>
      </c>
      <c r="C151" s="74">
        <f>B151/B150-1</f>
        <v/>
      </c>
      <c r="D151" s="74">
        <f>(Table1[[#This Row],[Index]]-B139)/B139</f>
        <v/>
      </c>
    </row>
    <row r="152">
      <c r="A152" s="19" t="n">
        <v>30713</v>
      </c>
      <c r="B152" s="61">
        <f>VLOOKUP(Table1[[#This Row],[Date]],database!A:B,2,)</f>
        <v/>
      </c>
      <c r="C152" s="74">
        <f>B152/B151-1</f>
        <v/>
      </c>
      <c r="D152" s="74">
        <f>(Table1[[#This Row],[Index]]-B140)/B140</f>
        <v/>
      </c>
    </row>
    <row r="153">
      <c r="A153" s="19" t="n">
        <v>30742</v>
      </c>
      <c r="B153" s="61">
        <f>VLOOKUP(Table1[[#This Row],[Date]],database!A:B,2,)</f>
        <v/>
      </c>
      <c r="C153" s="74">
        <f>B153/B152-1</f>
        <v/>
      </c>
      <c r="D153" s="74">
        <f>(Table1[[#This Row],[Index]]-B141)/B141</f>
        <v/>
      </c>
    </row>
    <row r="154">
      <c r="A154" s="19" t="n">
        <v>30773</v>
      </c>
      <c r="B154" s="61">
        <f>VLOOKUP(Table1[[#This Row],[Date]],database!A:B,2,)</f>
        <v/>
      </c>
      <c r="C154" s="74">
        <f>B154/B153-1</f>
        <v/>
      </c>
      <c r="D154" s="74">
        <f>(Table1[[#This Row],[Index]]-B142)/B142</f>
        <v/>
      </c>
    </row>
    <row r="155">
      <c r="A155" s="19" t="n">
        <v>30803</v>
      </c>
      <c r="B155" s="61">
        <f>VLOOKUP(Table1[[#This Row],[Date]],database!A:B,2,)</f>
        <v/>
      </c>
      <c r="C155" s="74">
        <f>B155/B154-1</f>
        <v/>
      </c>
      <c r="D155" s="74">
        <f>(Table1[[#This Row],[Index]]-B143)/B143</f>
        <v/>
      </c>
    </row>
    <row r="156">
      <c r="A156" s="19" t="n">
        <v>30834</v>
      </c>
      <c r="B156" s="61">
        <f>VLOOKUP(Table1[[#This Row],[Date]],database!A:B,2,)</f>
        <v/>
      </c>
      <c r="C156" s="74">
        <f>B156/B155-1</f>
        <v/>
      </c>
      <c r="D156" s="74">
        <f>(Table1[[#This Row],[Index]]-B144)/B144</f>
        <v/>
      </c>
    </row>
    <row r="157">
      <c r="A157" s="19" t="n">
        <v>30864</v>
      </c>
      <c r="B157" s="61">
        <f>VLOOKUP(Table1[[#This Row],[Date]],database!A:B,2,)</f>
        <v/>
      </c>
      <c r="C157" s="74">
        <f>B157/B156-1</f>
        <v/>
      </c>
      <c r="D157" s="74">
        <f>(Table1[[#This Row],[Index]]-B145)/B145</f>
        <v/>
      </c>
    </row>
    <row r="158">
      <c r="A158" s="19" t="n">
        <v>30895</v>
      </c>
      <c r="B158" s="61">
        <f>VLOOKUP(Table1[[#This Row],[Date]],database!A:B,2,)</f>
        <v/>
      </c>
      <c r="C158" s="74">
        <f>B158/B157-1</f>
        <v/>
      </c>
      <c r="D158" s="74">
        <f>(Table1[[#This Row],[Index]]-B146)/B146</f>
        <v/>
      </c>
    </row>
    <row r="159">
      <c r="A159" s="19" t="n">
        <v>30926</v>
      </c>
      <c r="B159" s="61">
        <f>VLOOKUP(Table1[[#This Row],[Date]],database!A:B,2,)</f>
        <v/>
      </c>
      <c r="C159" s="74">
        <f>B159/B158-1</f>
        <v/>
      </c>
      <c r="D159" s="74">
        <f>(Table1[[#This Row],[Index]]-B147)/B147</f>
        <v/>
      </c>
    </row>
    <row r="160">
      <c r="A160" s="19" t="n">
        <v>30956</v>
      </c>
      <c r="B160" s="61">
        <f>VLOOKUP(Table1[[#This Row],[Date]],database!A:B,2,)</f>
        <v/>
      </c>
      <c r="C160" s="74">
        <f>B160/B159-1</f>
        <v/>
      </c>
      <c r="D160" s="74">
        <f>(Table1[[#This Row],[Index]]-B148)/B148</f>
        <v/>
      </c>
    </row>
    <row r="161">
      <c r="A161" s="19" t="n">
        <v>30987</v>
      </c>
      <c r="B161" s="61">
        <f>VLOOKUP(Table1[[#This Row],[Date]],database!A:B,2,)</f>
        <v/>
      </c>
      <c r="C161" s="74">
        <f>B161/B160-1</f>
        <v/>
      </c>
      <c r="D161" s="74">
        <f>(Table1[[#This Row],[Index]]-B149)/B149</f>
        <v/>
      </c>
    </row>
    <row r="162">
      <c r="A162" s="19" t="n">
        <v>31017</v>
      </c>
      <c r="B162" s="61">
        <f>VLOOKUP(Table1[[#This Row],[Date]],database!A:B,2,)</f>
        <v/>
      </c>
      <c r="C162" s="74">
        <f>B162/B161-1</f>
        <v/>
      </c>
      <c r="D162" s="74">
        <f>(Table1[[#This Row],[Index]]-B150)/B150</f>
        <v/>
      </c>
    </row>
    <row r="163">
      <c r="A163" s="19" t="n">
        <v>31048</v>
      </c>
      <c r="B163" s="61">
        <f>VLOOKUP(Table1[[#This Row],[Date]],database!A:B,2,)</f>
        <v/>
      </c>
      <c r="C163" s="74">
        <f>B163/B162-1</f>
        <v/>
      </c>
      <c r="D163" s="74">
        <f>(Table1[[#This Row],[Index]]-B151)/B151</f>
        <v/>
      </c>
    </row>
    <row r="164">
      <c r="A164" s="19" t="n">
        <v>31079</v>
      </c>
      <c r="B164" s="61">
        <f>VLOOKUP(Table1[[#This Row],[Date]],database!A:B,2,)</f>
        <v/>
      </c>
      <c r="C164" s="74">
        <f>B164/B163-1</f>
        <v/>
      </c>
      <c r="D164" s="74">
        <f>(Table1[[#This Row],[Index]]-B152)/B152</f>
        <v/>
      </c>
    </row>
    <row r="165">
      <c r="A165" s="19" t="n">
        <v>31107</v>
      </c>
      <c r="B165" s="61">
        <f>VLOOKUP(Table1[[#This Row],[Date]],database!A:B,2,)</f>
        <v/>
      </c>
      <c r="C165" s="74">
        <f>B165/B164-1</f>
        <v/>
      </c>
      <c r="D165" s="74">
        <f>(Table1[[#This Row],[Index]]-B153)/B153</f>
        <v/>
      </c>
    </row>
    <row r="166">
      <c r="A166" s="19" t="n">
        <v>31138</v>
      </c>
      <c r="B166" s="61">
        <f>VLOOKUP(Table1[[#This Row],[Date]],database!A:B,2,)</f>
        <v/>
      </c>
      <c r="C166" s="74">
        <f>B166/B165-1</f>
        <v/>
      </c>
      <c r="D166" s="74">
        <f>(Table1[[#This Row],[Index]]-B154)/B154</f>
        <v/>
      </c>
    </row>
    <row r="167">
      <c r="A167" s="19" t="n">
        <v>31168</v>
      </c>
      <c r="B167" s="61">
        <f>VLOOKUP(Table1[[#This Row],[Date]],database!A:B,2,)</f>
        <v/>
      </c>
      <c r="C167" s="74">
        <f>B167/B166-1</f>
        <v/>
      </c>
      <c r="D167" s="74">
        <f>(Table1[[#This Row],[Index]]-B155)/B155</f>
        <v/>
      </c>
    </row>
    <row r="168">
      <c r="A168" s="19" t="n">
        <v>31199</v>
      </c>
      <c r="B168" s="61">
        <f>VLOOKUP(Table1[[#This Row],[Date]],database!A:B,2,)</f>
        <v/>
      </c>
      <c r="C168" s="74">
        <f>B168/B167-1</f>
        <v/>
      </c>
      <c r="D168" s="74">
        <f>(Table1[[#This Row],[Index]]-B156)/B156</f>
        <v/>
      </c>
    </row>
    <row r="169">
      <c r="A169" s="19" t="n">
        <v>31229</v>
      </c>
      <c r="B169" s="61">
        <f>VLOOKUP(Table1[[#This Row],[Date]],database!A:B,2,)</f>
        <v/>
      </c>
      <c r="C169" s="74">
        <f>B169/B168-1</f>
        <v/>
      </c>
      <c r="D169" s="74">
        <f>(Table1[[#This Row],[Index]]-B157)/B157</f>
        <v/>
      </c>
    </row>
    <row r="170">
      <c r="A170" s="19" t="n">
        <v>31260</v>
      </c>
      <c r="B170" s="61">
        <f>VLOOKUP(Table1[[#This Row],[Date]],database!A:B,2,)</f>
        <v/>
      </c>
      <c r="C170" s="74">
        <f>B170/B169-1</f>
        <v/>
      </c>
      <c r="D170" s="74">
        <f>(Table1[[#This Row],[Index]]-B158)/B158</f>
        <v/>
      </c>
    </row>
    <row r="171">
      <c r="A171" s="19" t="n">
        <v>31291</v>
      </c>
      <c r="B171" s="61">
        <f>VLOOKUP(Table1[[#This Row],[Date]],database!A:B,2,)</f>
        <v/>
      </c>
      <c r="C171" s="74">
        <f>B171/B170-1</f>
        <v/>
      </c>
      <c r="D171" s="74">
        <f>(Table1[[#This Row],[Index]]-B159)/B159</f>
        <v/>
      </c>
    </row>
    <row r="172">
      <c r="A172" s="19" t="n">
        <v>31321</v>
      </c>
      <c r="B172" s="61">
        <f>VLOOKUP(Table1[[#This Row],[Date]],database!A:B,2,)</f>
        <v/>
      </c>
      <c r="C172" s="74">
        <f>B172/B171-1</f>
        <v/>
      </c>
      <c r="D172" s="74">
        <f>(Table1[[#This Row],[Index]]-B160)/B160</f>
        <v/>
      </c>
    </row>
    <row r="173">
      <c r="A173" s="19" t="n">
        <v>31352</v>
      </c>
      <c r="B173" s="61">
        <f>VLOOKUP(Table1[[#This Row],[Date]],database!A:B,2,)</f>
        <v/>
      </c>
      <c r="C173" s="74">
        <f>B173/B172-1</f>
        <v/>
      </c>
      <c r="D173" s="74">
        <f>(Table1[[#This Row],[Index]]-B161)/B161</f>
        <v/>
      </c>
    </row>
    <row r="174">
      <c r="A174" s="19" t="n">
        <v>31382</v>
      </c>
      <c r="B174" s="61">
        <f>VLOOKUP(Table1[[#This Row],[Date]],database!A:B,2,)</f>
        <v/>
      </c>
      <c r="C174" s="74">
        <f>B174/B173-1</f>
        <v/>
      </c>
      <c r="D174" s="74">
        <f>(Table1[[#This Row],[Index]]-B162)/B162</f>
        <v/>
      </c>
    </row>
    <row r="175">
      <c r="A175" s="19" t="n">
        <v>31413</v>
      </c>
      <c r="B175" s="61">
        <f>VLOOKUP(Table1[[#This Row],[Date]],database!A:B,2,)</f>
        <v/>
      </c>
      <c r="C175" s="74">
        <f>B175/B174-1</f>
        <v/>
      </c>
      <c r="D175" s="74">
        <f>(Table1[[#This Row],[Index]]-B163)/B163</f>
        <v/>
      </c>
    </row>
    <row r="176">
      <c r="A176" s="19" t="n">
        <v>31444</v>
      </c>
      <c r="B176" s="61">
        <f>VLOOKUP(Table1[[#This Row],[Date]],database!A:B,2,)</f>
        <v/>
      </c>
      <c r="C176" s="74">
        <f>B176/B175-1</f>
        <v/>
      </c>
      <c r="D176" s="74">
        <f>(Table1[[#This Row],[Index]]-B164)/B164</f>
        <v/>
      </c>
    </row>
    <row r="177">
      <c r="A177" s="19" t="n">
        <v>31472</v>
      </c>
      <c r="B177" s="61">
        <f>VLOOKUP(Table1[[#This Row],[Date]],database!A:B,2,)</f>
        <v/>
      </c>
      <c r="C177" s="74">
        <f>B177/B176-1</f>
        <v/>
      </c>
      <c r="D177" s="74">
        <f>(Table1[[#This Row],[Index]]-B165)/B165</f>
        <v/>
      </c>
    </row>
    <row r="178">
      <c r="A178" s="19" t="n">
        <v>31503</v>
      </c>
      <c r="B178" s="61">
        <f>VLOOKUP(Table1[[#This Row],[Date]],database!A:B,2,)</f>
        <v/>
      </c>
      <c r="C178" s="74">
        <f>B178/B177-1</f>
        <v/>
      </c>
      <c r="D178" s="74">
        <f>(Table1[[#This Row],[Index]]-B166)/B166</f>
        <v/>
      </c>
    </row>
    <row r="179">
      <c r="A179" s="19" t="n">
        <v>31533</v>
      </c>
      <c r="B179" s="61">
        <f>VLOOKUP(Table1[[#This Row],[Date]],database!A:B,2,)</f>
        <v/>
      </c>
      <c r="C179" s="74">
        <f>B179/B178-1</f>
        <v/>
      </c>
      <c r="D179" s="74">
        <f>(Table1[[#This Row],[Index]]-B167)/B167</f>
        <v/>
      </c>
    </row>
    <row r="180">
      <c r="A180" s="19" t="n">
        <v>31564</v>
      </c>
      <c r="B180" s="61">
        <f>VLOOKUP(Table1[[#This Row],[Date]],database!A:B,2,)</f>
        <v/>
      </c>
      <c r="C180" s="74">
        <f>B180/B179-1</f>
        <v/>
      </c>
      <c r="D180" s="74">
        <f>(Table1[[#This Row],[Index]]-B168)/B168</f>
        <v/>
      </c>
    </row>
    <row r="181">
      <c r="A181" s="19" t="n">
        <v>31594</v>
      </c>
      <c r="B181" s="61">
        <f>VLOOKUP(Table1[[#This Row],[Date]],database!A:B,2,)</f>
        <v/>
      </c>
      <c r="C181" s="74">
        <f>B181/B180-1</f>
        <v/>
      </c>
      <c r="D181" s="74">
        <f>(Table1[[#This Row],[Index]]-B169)/B169</f>
        <v/>
      </c>
    </row>
    <row r="182">
      <c r="A182" s="19" t="n">
        <v>31625</v>
      </c>
      <c r="B182" s="61">
        <f>VLOOKUP(Table1[[#This Row],[Date]],database!A:B,2,)</f>
        <v/>
      </c>
      <c r="C182" s="74">
        <f>B182/B181-1</f>
        <v/>
      </c>
      <c r="D182" s="74">
        <f>(Table1[[#This Row],[Index]]-B170)/B170</f>
        <v/>
      </c>
    </row>
    <row r="183">
      <c r="A183" s="19" t="n">
        <v>31656</v>
      </c>
      <c r="B183" s="61">
        <f>VLOOKUP(Table1[[#This Row],[Date]],database!A:B,2,)</f>
        <v/>
      </c>
      <c r="C183" s="74">
        <f>B183/B182-1</f>
        <v/>
      </c>
      <c r="D183" s="74">
        <f>(Table1[[#This Row],[Index]]-B171)/B171</f>
        <v/>
      </c>
    </row>
    <row r="184">
      <c r="A184" s="19" t="n">
        <v>31686</v>
      </c>
      <c r="B184" s="61">
        <f>VLOOKUP(Table1[[#This Row],[Date]],database!A:B,2,)</f>
        <v/>
      </c>
      <c r="C184" s="74">
        <f>B184/B183-1</f>
        <v/>
      </c>
      <c r="D184" s="74">
        <f>(Table1[[#This Row],[Index]]-B172)/B172</f>
        <v/>
      </c>
    </row>
    <row r="185">
      <c r="A185" s="19" t="n">
        <v>31717</v>
      </c>
      <c r="B185" s="61">
        <f>VLOOKUP(Table1[[#This Row],[Date]],database!A:B,2,)</f>
        <v/>
      </c>
      <c r="C185" s="74">
        <f>B185/B184-1</f>
        <v/>
      </c>
      <c r="D185" s="74">
        <f>(Table1[[#This Row],[Index]]-B173)/B173</f>
        <v/>
      </c>
    </row>
    <row r="186">
      <c r="A186" s="19" t="n">
        <v>31747</v>
      </c>
      <c r="B186" s="61">
        <f>VLOOKUP(Table1[[#This Row],[Date]],database!A:B,2,)</f>
        <v/>
      </c>
      <c r="C186" s="74">
        <f>B186/B185-1</f>
        <v/>
      </c>
      <c r="D186" s="74">
        <f>(Table1[[#This Row],[Index]]-B174)/B174</f>
        <v/>
      </c>
    </row>
    <row r="187">
      <c r="A187" s="19" t="n">
        <v>31778</v>
      </c>
      <c r="B187" s="61">
        <f>VLOOKUP(Table1[[#This Row],[Date]],database!A:B,2,)</f>
        <v/>
      </c>
      <c r="C187" s="74">
        <f>B187/B186-1</f>
        <v/>
      </c>
      <c r="D187" s="74">
        <f>(Table1[[#This Row],[Index]]-B175)/B175</f>
        <v/>
      </c>
    </row>
    <row r="188">
      <c r="A188" s="19" t="n">
        <v>31809</v>
      </c>
      <c r="B188" s="61">
        <f>VLOOKUP(Table1[[#This Row],[Date]],database!A:B,2,)</f>
        <v/>
      </c>
      <c r="C188" s="74">
        <f>B188/B187-1</f>
        <v/>
      </c>
      <c r="D188" s="74">
        <f>(Table1[[#This Row],[Index]]-B176)/B176</f>
        <v/>
      </c>
    </row>
    <row r="189">
      <c r="A189" s="19" t="n">
        <v>31837</v>
      </c>
      <c r="B189" s="61">
        <f>VLOOKUP(Table1[[#This Row],[Date]],database!A:B,2,)</f>
        <v/>
      </c>
      <c r="C189" s="74">
        <f>B189/B188-1</f>
        <v/>
      </c>
      <c r="D189" s="74">
        <f>(Table1[[#This Row],[Index]]-B177)/B177</f>
        <v/>
      </c>
    </row>
    <row r="190">
      <c r="A190" s="19" t="n">
        <v>31868</v>
      </c>
      <c r="B190" s="61">
        <f>VLOOKUP(Table1[[#This Row],[Date]],database!A:B,2,)</f>
        <v/>
      </c>
      <c r="C190" s="74">
        <f>B190/B189-1</f>
        <v/>
      </c>
      <c r="D190" s="74">
        <f>(Table1[[#This Row],[Index]]-B178)/B178</f>
        <v/>
      </c>
    </row>
    <row r="191">
      <c r="A191" s="19" t="n">
        <v>31898</v>
      </c>
      <c r="B191" s="61">
        <f>VLOOKUP(Table1[[#This Row],[Date]],database!A:B,2,)</f>
        <v/>
      </c>
      <c r="C191" s="74">
        <f>B191/B190-1</f>
        <v/>
      </c>
      <c r="D191" s="74">
        <f>(Table1[[#This Row],[Index]]-B179)/B179</f>
        <v/>
      </c>
    </row>
    <row r="192">
      <c r="A192" s="19" t="n">
        <v>31929</v>
      </c>
      <c r="B192" s="61">
        <f>VLOOKUP(Table1[[#This Row],[Date]],database!A:B,2,)</f>
        <v/>
      </c>
      <c r="C192" s="74">
        <f>B192/B191-1</f>
        <v/>
      </c>
      <c r="D192" s="74">
        <f>(Table1[[#This Row],[Index]]-B180)/B180</f>
        <v/>
      </c>
    </row>
    <row r="193">
      <c r="A193" s="19" t="n">
        <v>31959</v>
      </c>
      <c r="B193" s="61">
        <f>VLOOKUP(Table1[[#This Row],[Date]],database!A:B,2,)</f>
        <v/>
      </c>
      <c r="C193" s="74">
        <f>B193/B192-1</f>
        <v/>
      </c>
      <c r="D193" s="74">
        <f>(Table1[[#This Row],[Index]]-B181)/B181</f>
        <v/>
      </c>
    </row>
    <row r="194">
      <c r="A194" s="19" t="n">
        <v>31990</v>
      </c>
      <c r="B194" s="61">
        <f>VLOOKUP(Table1[[#This Row],[Date]],database!A:B,2,)</f>
        <v/>
      </c>
      <c r="C194" s="74">
        <f>B194/B193-1</f>
        <v/>
      </c>
      <c r="D194" s="74">
        <f>(Table1[[#This Row],[Index]]-B182)/B182</f>
        <v/>
      </c>
    </row>
    <row r="195">
      <c r="A195" s="19" t="n">
        <v>32021</v>
      </c>
      <c r="B195" s="61">
        <f>VLOOKUP(Table1[[#This Row],[Date]],database!A:B,2,)</f>
        <v/>
      </c>
      <c r="C195" s="74">
        <f>B195/B194-1</f>
        <v/>
      </c>
      <c r="D195" s="74">
        <f>(Table1[[#This Row],[Index]]-B183)/B183</f>
        <v/>
      </c>
    </row>
    <row r="196">
      <c r="A196" s="19" t="n">
        <v>32051</v>
      </c>
      <c r="B196" s="61">
        <f>VLOOKUP(Table1[[#This Row],[Date]],database!A:B,2,)</f>
        <v/>
      </c>
      <c r="C196" s="74">
        <f>B196/B195-1</f>
        <v/>
      </c>
      <c r="D196" s="74">
        <f>(Table1[[#This Row],[Index]]-B184)/B184</f>
        <v/>
      </c>
    </row>
    <row r="197">
      <c r="A197" s="19" t="n">
        <v>32082</v>
      </c>
      <c r="B197" s="61">
        <f>VLOOKUP(Table1[[#This Row],[Date]],database!A:B,2,)</f>
        <v/>
      </c>
      <c r="C197" s="74">
        <f>B197/B196-1</f>
        <v/>
      </c>
      <c r="D197" s="74">
        <f>(Table1[[#This Row],[Index]]-B185)/B185</f>
        <v/>
      </c>
    </row>
    <row r="198">
      <c r="A198" s="19" t="n">
        <v>32112</v>
      </c>
      <c r="B198" s="61">
        <f>VLOOKUP(Table1[[#This Row],[Date]],database!A:B,2,)</f>
        <v/>
      </c>
      <c r="C198" s="74">
        <f>B198/B197-1</f>
        <v/>
      </c>
      <c r="D198" s="74">
        <f>(Table1[[#This Row],[Index]]-B186)/B186</f>
        <v/>
      </c>
    </row>
    <row r="199">
      <c r="A199" s="19" t="n">
        <v>32143</v>
      </c>
      <c r="B199" s="61">
        <f>VLOOKUP(Table1[[#This Row],[Date]],database!A:B,2,)</f>
        <v/>
      </c>
      <c r="C199" s="74">
        <f>B199/B198-1</f>
        <v/>
      </c>
      <c r="D199" s="74">
        <f>(Table1[[#This Row],[Index]]-B187)/B187</f>
        <v/>
      </c>
    </row>
    <row r="200">
      <c r="A200" s="19" t="n">
        <v>32174</v>
      </c>
      <c r="B200" s="61">
        <f>VLOOKUP(Table1[[#This Row],[Date]],database!A:B,2,)</f>
        <v/>
      </c>
      <c r="C200" s="74">
        <f>B200/B199-1</f>
        <v/>
      </c>
      <c r="D200" s="74">
        <f>(Table1[[#This Row],[Index]]-B188)/B188</f>
        <v/>
      </c>
    </row>
    <row r="201">
      <c r="A201" s="19" t="n">
        <v>32203</v>
      </c>
      <c r="B201" s="61">
        <f>VLOOKUP(Table1[[#This Row],[Date]],database!A:B,2,)</f>
        <v/>
      </c>
      <c r="C201" s="74">
        <f>B201/B200-1</f>
        <v/>
      </c>
      <c r="D201" s="74">
        <f>(Table1[[#This Row],[Index]]-B189)/B189</f>
        <v/>
      </c>
    </row>
    <row r="202">
      <c r="A202" s="19" t="n">
        <v>32234</v>
      </c>
      <c r="B202" s="61">
        <f>VLOOKUP(Table1[[#This Row],[Date]],database!A:B,2,)</f>
        <v/>
      </c>
      <c r="C202" s="74">
        <f>B202/B201-1</f>
        <v/>
      </c>
      <c r="D202" s="74">
        <f>(Table1[[#This Row],[Index]]-B190)/B190</f>
        <v/>
      </c>
    </row>
    <row r="203">
      <c r="A203" s="19" t="n">
        <v>32264</v>
      </c>
      <c r="B203" s="61">
        <f>VLOOKUP(Table1[[#This Row],[Date]],database!A:B,2,)</f>
        <v/>
      </c>
      <c r="C203" s="74">
        <f>B203/B202-1</f>
        <v/>
      </c>
      <c r="D203" s="74">
        <f>(Table1[[#This Row],[Index]]-B191)/B191</f>
        <v/>
      </c>
    </row>
    <row r="204">
      <c r="A204" s="19" t="n">
        <v>32295</v>
      </c>
      <c r="B204" s="61">
        <f>VLOOKUP(Table1[[#This Row],[Date]],database!A:B,2,)</f>
        <v/>
      </c>
      <c r="C204" s="74">
        <f>B204/B203-1</f>
        <v/>
      </c>
      <c r="D204" s="74">
        <f>(Table1[[#This Row],[Index]]-B192)/B192</f>
        <v/>
      </c>
    </row>
    <row r="205">
      <c r="A205" s="19" t="n">
        <v>32325</v>
      </c>
      <c r="B205" s="61">
        <f>VLOOKUP(Table1[[#This Row],[Date]],database!A:B,2,)</f>
        <v/>
      </c>
      <c r="C205" s="74">
        <f>B205/B204-1</f>
        <v/>
      </c>
      <c r="D205" s="74">
        <f>(Table1[[#This Row],[Index]]-B193)/B193</f>
        <v/>
      </c>
    </row>
    <row r="206">
      <c r="A206" s="19" t="n">
        <v>32356</v>
      </c>
      <c r="B206" s="61">
        <f>VLOOKUP(Table1[[#This Row],[Date]],database!A:B,2,)</f>
        <v/>
      </c>
      <c r="C206" s="74">
        <f>B206/B205-1</f>
        <v/>
      </c>
      <c r="D206" s="74">
        <f>(Table1[[#This Row],[Index]]-B194)/B194</f>
        <v/>
      </c>
    </row>
    <row r="207">
      <c r="A207" s="19" t="n">
        <v>32387</v>
      </c>
      <c r="B207" s="61">
        <f>VLOOKUP(Table1[[#This Row],[Date]],database!A:B,2,)</f>
        <v/>
      </c>
      <c r="C207" s="74">
        <f>B207/B206-1</f>
        <v/>
      </c>
      <c r="D207" s="74">
        <f>(Table1[[#This Row],[Index]]-B195)/B195</f>
        <v/>
      </c>
    </row>
    <row r="208">
      <c r="A208" s="19" t="n">
        <v>32417</v>
      </c>
      <c r="B208" s="61">
        <f>VLOOKUP(Table1[[#This Row],[Date]],database!A:B,2,)</f>
        <v/>
      </c>
      <c r="C208" s="74">
        <f>B208/B207-1</f>
        <v/>
      </c>
      <c r="D208" s="74">
        <f>(Table1[[#This Row],[Index]]-B196)/B196</f>
        <v/>
      </c>
    </row>
    <row r="209">
      <c r="A209" s="19" t="n">
        <v>32448</v>
      </c>
      <c r="B209" s="61">
        <f>VLOOKUP(Table1[[#This Row],[Date]],database!A:B,2,)</f>
        <v/>
      </c>
      <c r="C209" s="74">
        <f>B209/B208-1</f>
        <v/>
      </c>
      <c r="D209" s="74">
        <f>(Table1[[#This Row],[Index]]-B197)/B197</f>
        <v/>
      </c>
    </row>
    <row r="210">
      <c r="A210" s="19" t="n">
        <v>32478</v>
      </c>
      <c r="B210" s="61">
        <f>VLOOKUP(Table1[[#This Row],[Date]],database!A:B,2,)</f>
        <v/>
      </c>
      <c r="C210" s="74">
        <f>B210/B209-1</f>
        <v/>
      </c>
      <c r="D210" s="74">
        <f>(Table1[[#This Row],[Index]]-B198)/B198</f>
        <v/>
      </c>
    </row>
    <row r="211">
      <c r="A211" s="19" t="n">
        <v>32509</v>
      </c>
      <c r="B211" s="61">
        <f>VLOOKUP(Table1[[#This Row],[Date]],database!A:B,2,)</f>
        <v/>
      </c>
      <c r="C211" s="74">
        <f>B211/B210-1</f>
        <v/>
      </c>
      <c r="D211" s="74">
        <f>(Table1[[#This Row],[Index]]-B199)/B199</f>
        <v/>
      </c>
    </row>
    <row r="212">
      <c r="A212" s="19" t="n">
        <v>32540</v>
      </c>
      <c r="B212" s="61">
        <f>VLOOKUP(Table1[[#This Row],[Date]],database!A:B,2,)</f>
        <v/>
      </c>
      <c r="C212" s="74">
        <f>B212/B211-1</f>
        <v/>
      </c>
      <c r="D212" s="74">
        <f>(Table1[[#This Row],[Index]]-B200)/B200</f>
        <v/>
      </c>
    </row>
    <row r="213">
      <c r="A213" s="19" t="n">
        <v>32568</v>
      </c>
      <c r="B213" s="61">
        <f>VLOOKUP(Table1[[#This Row],[Date]],database!A:B,2,)</f>
        <v/>
      </c>
      <c r="C213" s="74">
        <f>B213/B212-1</f>
        <v/>
      </c>
      <c r="D213" s="74">
        <f>(Table1[[#This Row],[Index]]-B201)/B201</f>
        <v/>
      </c>
    </row>
    <row r="214">
      <c r="A214" s="19" t="n">
        <v>32599</v>
      </c>
      <c r="B214" s="61">
        <f>VLOOKUP(Table1[[#This Row],[Date]],database!A:B,2,)</f>
        <v/>
      </c>
      <c r="C214" s="74">
        <f>B214/B213-1</f>
        <v/>
      </c>
      <c r="D214" s="74">
        <f>(Table1[[#This Row],[Index]]-B202)/B202</f>
        <v/>
      </c>
    </row>
    <row r="215">
      <c r="A215" s="19" t="n">
        <v>32629</v>
      </c>
      <c r="B215" s="61">
        <f>VLOOKUP(Table1[[#This Row],[Date]],database!A:B,2,)</f>
        <v/>
      </c>
      <c r="C215" s="74">
        <f>B215/B214-1</f>
        <v/>
      </c>
      <c r="D215" s="74">
        <f>(Table1[[#This Row],[Index]]-B203)/B203</f>
        <v/>
      </c>
    </row>
    <row r="216">
      <c r="A216" s="19" t="n">
        <v>32660</v>
      </c>
      <c r="B216" s="61">
        <f>VLOOKUP(Table1[[#This Row],[Date]],database!A:B,2,)</f>
        <v/>
      </c>
      <c r="C216" s="74">
        <f>B216/B215-1</f>
        <v/>
      </c>
      <c r="D216" s="74">
        <f>(Table1[[#This Row],[Index]]-B204)/B204</f>
        <v/>
      </c>
    </row>
    <row r="217">
      <c r="A217" s="19" t="n">
        <v>32690</v>
      </c>
      <c r="B217" s="61">
        <f>VLOOKUP(Table1[[#This Row],[Date]],database!A:B,2,)</f>
        <v/>
      </c>
      <c r="C217" s="74">
        <f>B217/B216-1</f>
        <v/>
      </c>
      <c r="D217" s="74">
        <f>(Table1[[#This Row],[Index]]-B205)/B205</f>
        <v/>
      </c>
    </row>
    <row r="218">
      <c r="A218" s="19" t="n">
        <v>32721</v>
      </c>
      <c r="B218" s="61">
        <f>VLOOKUP(Table1[[#This Row],[Date]],database!A:B,2,)</f>
        <v/>
      </c>
      <c r="C218" s="74">
        <f>B218/B217-1</f>
        <v/>
      </c>
      <c r="D218" s="74">
        <f>(Table1[[#This Row],[Index]]-B206)/B206</f>
        <v/>
      </c>
    </row>
    <row r="219">
      <c r="A219" s="19" t="n">
        <v>32752</v>
      </c>
      <c r="B219" s="61">
        <f>VLOOKUP(Table1[[#This Row],[Date]],database!A:B,2,)</f>
        <v/>
      </c>
      <c r="C219" s="74">
        <f>B219/B218-1</f>
        <v/>
      </c>
      <c r="D219" s="74">
        <f>(Table1[[#This Row],[Index]]-B207)/B207</f>
        <v/>
      </c>
    </row>
    <row r="220">
      <c r="A220" s="19" t="n">
        <v>32782</v>
      </c>
      <c r="B220" s="61">
        <f>VLOOKUP(Table1[[#This Row],[Date]],database!A:B,2,)</f>
        <v/>
      </c>
      <c r="C220" s="74">
        <f>B220/B219-1</f>
        <v/>
      </c>
      <c r="D220" s="74">
        <f>(Table1[[#This Row],[Index]]-B208)/B208</f>
        <v/>
      </c>
    </row>
    <row r="221">
      <c r="A221" s="19" t="n">
        <v>32813</v>
      </c>
      <c r="B221" s="61">
        <f>VLOOKUP(Table1[[#This Row],[Date]],database!A:B,2,)</f>
        <v/>
      </c>
      <c r="C221" s="74">
        <f>B221/B220-1</f>
        <v/>
      </c>
      <c r="D221" s="74">
        <f>(Table1[[#This Row],[Index]]-B209)/B209</f>
        <v/>
      </c>
    </row>
    <row r="222">
      <c r="A222" s="19" t="n">
        <v>32843</v>
      </c>
      <c r="B222" s="61">
        <f>VLOOKUP(Table1[[#This Row],[Date]],database!A:B,2,)</f>
        <v/>
      </c>
      <c r="C222" s="74">
        <f>B222/B221-1</f>
        <v/>
      </c>
      <c r="D222" s="74">
        <f>(Table1[[#This Row],[Index]]-B210)/B210</f>
        <v/>
      </c>
    </row>
    <row r="223">
      <c r="A223" s="19" t="n">
        <v>32874</v>
      </c>
      <c r="B223" s="61">
        <f>VLOOKUP(Table1[[#This Row],[Date]],database!A:B,2,)</f>
        <v/>
      </c>
      <c r="C223" s="74">
        <f>B223/B222-1</f>
        <v/>
      </c>
      <c r="D223" s="74">
        <f>(Table1[[#This Row],[Index]]-B211)/B211</f>
        <v/>
      </c>
    </row>
    <row r="224">
      <c r="A224" s="19" t="n">
        <v>32905</v>
      </c>
      <c r="B224" s="61">
        <f>VLOOKUP(Table1[[#This Row],[Date]],database!A:B,2,)</f>
        <v/>
      </c>
      <c r="C224" s="74">
        <f>B224/B223-1</f>
        <v/>
      </c>
      <c r="D224" s="74">
        <f>(Table1[[#This Row],[Index]]-B212)/B212</f>
        <v/>
      </c>
    </row>
    <row r="225">
      <c r="A225" s="19" t="n">
        <v>32933</v>
      </c>
      <c r="B225" s="61">
        <f>VLOOKUP(Table1[[#This Row],[Date]],database!A:B,2,)</f>
        <v/>
      </c>
      <c r="C225" s="74">
        <f>B225/B224-1</f>
        <v/>
      </c>
      <c r="D225" s="74">
        <f>(Table1[[#This Row],[Index]]-B213)/B213</f>
        <v/>
      </c>
    </row>
    <row r="226">
      <c r="A226" s="19" t="n">
        <v>32964</v>
      </c>
      <c r="B226" s="61">
        <f>VLOOKUP(Table1[[#This Row],[Date]],database!A:B,2,)</f>
        <v/>
      </c>
      <c r="C226" s="74">
        <f>B226/B225-1</f>
        <v/>
      </c>
      <c r="D226" s="74">
        <f>(Table1[[#This Row],[Index]]-B214)/B214</f>
        <v/>
      </c>
    </row>
    <row r="227">
      <c r="A227" s="19" t="n">
        <v>32994</v>
      </c>
      <c r="B227" s="61">
        <f>VLOOKUP(Table1[[#This Row],[Date]],database!A:B,2,)</f>
        <v/>
      </c>
      <c r="C227" s="74">
        <f>B227/B226-1</f>
        <v/>
      </c>
      <c r="D227" s="74">
        <f>(Table1[[#This Row],[Index]]-B215)/B215</f>
        <v/>
      </c>
    </row>
    <row r="228">
      <c r="A228" s="19" t="n">
        <v>33025</v>
      </c>
      <c r="B228" s="61">
        <f>VLOOKUP(Table1[[#This Row],[Date]],database!A:B,2,)</f>
        <v/>
      </c>
      <c r="C228" s="74">
        <f>B228/B227-1</f>
        <v/>
      </c>
      <c r="D228" s="74">
        <f>(Table1[[#This Row],[Index]]-B216)/B216</f>
        <v/>
      </c>
    </row>
    <row r="229">
      <c r="A229" s="19" t="n">
        <v>33055</v>
      </c>
      <c r="B229" s="61">
        <f>VLOOKUP(Table1[[#This Row],[Date]],database!A:B,2,)</f>
        <v/>
      </c>
      <c r="C229" s="74">
        <f>B229/B228-1</f>
        <v/>
      </c>
      <c r="D229" s="74">
        <f>(Table1[[#This Row],[Index]]-B217)/B217</f>
        <v/>
      </c>
    </row>
    <row r="230">
      <c r="A230" s="19" t="n">
        <v>33086</v>
      </c>
      <c r="B230" s="61">
        <f>VLOOKUP(Table1[[#This Row],[Date]],database!A:B,2,)</f>
        <v/>
      </c>
      <c r="C230" s="74">
        <f>B230/B229-1</f>
        <v/>
      </c>
      <c r="D230" s="74">
        <f>(Table1[[#This Row],[Index]]-B218)/B218</f>
        <v/>
      </c>
    </row>
    <row r="231">
      <c r="A231" s="19" t="n">
        <v>33117</v>
      </c>
      <c r="B231" s="61">
        <f>VLOOKUP(Table1[[#This Row],[Date]],database!A:B,2,)</f>
        <v/>
      </c>
      <c r="C231" s="74">
        <f>B231/B230-1</f>
        <v/>
      </c>
      <c r="D231" s="74">
        <f>(Table1[[#This Row],[Index]]-B219)/B219</f>
        <v/>
      </c>
    </row>
    <row r="232">
      <c r="A232" s="19" t="n">
        <v>33147</v>
      </c>
      <c r="B232" s="61">
        <f>VLOOKUP(Table1[[#This Row],[Date]],database!A:B,2,)</f>
        <v/>
      </c>
      <c r="C232" s="74">
        <f>B232/B231-1</f>
        <v/>
      </c>
      <c r="D232" s="74">
        <f>(Table1[[#This Row],[Index]]-B220)/B220</f>
        <v/>
      </c>
    </row>
    <row r="233">
      <c r="A233" s="19" t="n">
        <v>33178</v>
      </c>
      <c r="B233" s="61">
        <f>VLOOKUP(Table1[[#This Row],[Date]],database!A:B,2,)</f>
        <v/>
      </c>
      <c r="C233" s="74">
        <f>B233/B232-1</f>
        <v/>
      </c>
      <c r="D233" s="74">
        <f>(Table1[[#This Row],[Index]]-B221)/B221</f>
        <v/>
      </c>
    </row>
    <row r="234">
      <c r="A234" s="19" t="n">
        <v>33208</v>
      </c>
      <c r="B234" s="61">
        <f>VLOOKUP(Table1[[#This Row],[Date]],database!A:B,2,)</f>
        <v/>
      </c>
      <c r="C234" s="74">
        <f>B234/B233-1</f>
        <v/>
      </c>
      <c r="D234" s="74">
        <f>(Table1[[#This Row],[Index]]-B222)/B222</f>
        <v/>
      </c>
    </row>
    <row r="235">
      <c r="A235" s="19" t="n">
        <v>33239</v>
      </c>
      <c r="B235" s="61">
        <f>VLOOKUP(Table1[[#This Row],[Date]],database!A:B,2,)</f>
        <v/>
      </c>
      <c r="C235" s="74">
        <f>B235/B234-1</f>
        <v/>
      </c>
      <c r="D235" s="74">
        <f>(Table1[[#This Row],[Index]]-B223)/B223</f>
        <v/>
      </c>
    </row>
    <row r="236">
      <c r="A236" s="19" t="n">
        <v>33270</v>
      </c>
      <c r="B236" s="61">
        <f>VLOOKUP(Table1[[#This Row],[Date]],database!A:B,2,)</f>
        <v/>
      </c>
      <c r="C236" s="74">
        <f>B236/B235-1</f>
        <v/>
      </c>
      <c r="D236" s="74">
        <f>(Table1[[#This Row],[Index]]-B224)/B224</f>
        <v/>
      </c>
    </row>
    <row r="237">
      <c r="A237" s="19" t="n">
        <v>33298</v>
      </c>
      <c r="B237" s="61">
        <f>VLOOKUP(Table1[[#This Row],[Date]],database!A:B,2,)</f>
        <v/>
      </c>
      <c r="C237" s="74">
        <f>B237/B236-1</f>
        <v/>
      </c>
      <c r="D237" s="74">
        <f>(Table1[[#This Row],[Index]]-B225)/B225</f>
        <v/>
      </c>
    </row>
    <row r="238">
      <c r="A238" s="19" t="n">
        <v>33329</v>
      </c>
      <c r="B238" s="61">
        <f>VLOOKUP(Table1[[#This Row],[Date]],database!A:B,2,)</f>
        <v/>
      </c>
      <c r="C238" s="74">
        <f>B238/B237-1</f>
        <v/>
      </c>
      <c r="D238" s="74">
        <f>(Table1[[#This Row],[Index]]-B226)/B226</f>
        <v/>
      </c>
    </row>
    <row r="239">
      <c r="A239" s="19" t="n">
        <v>33359</v>
      </c>
      <c r="B239" s="61">
        <f>VLOOKUP(Table1[[#This Row],[Date]],database!A:B,2,)</f>
        <v/>
      </c>
      <c r="C239" s="74">
        <f>B239/B238-1</f>
        <v/>
      </c>
      <c r="D239" s="74">
        <f>(Table1[[#This Row],[Index]]-B227)/B227</f>
        <v/>
      </c>
    </row>
    <row r="240">
      <c r="A240" s="19" t="n">
        <v>33390</v>
      </c>
      <c r="B240" s="61">
        <f>VLOOKUP(Table1[[#This Row],[Date]],database!A:B,2,)</f>
        <v/>
      </c>
      <c r="C240" s="74">
        <f>B240/B239-1</f>
        <v/>
      </c>
      <c r="D240" s="74">
        <f>(Table1[[#This Row],[Index]]-B228)/B228</f>
        <v/>
      </c>
    </row>
    <row r="241">
      <c r="A241" s="19" t="n">
        <v>33420</v>
      </c>
      <c r="B241" s="61">
        <f>VLOOKUP(Table1[[#This Row],[Date]],database!A:B,2,)</f>
        <v/>
      </c>
      <c r="C241" s="74">
        <f>B241/B240-1</f>
        <v/>
      </c>
      <c r="D241" s="74">
        <f>(Table1[[#This Row],[Index]]-B229)/B229</f>
        <v/>
      </c>
    </row>
    <row r="242">
      <c r="A242" s="19" t="n">
        <v>33451</v>
      </c>
      <c r="B242" s="61">
        <f>VLOOKUP(Table1[[#This Row],[Date]],database!A:B,2,)</f>
        <v/>
      </c>
      <c r="C242" s="74">
        <f>B242/B241-1</f>
        <v/>
      </c>
      <c r="D242" s="74">
        <f>(Table1[[#This Row],[Index]]-B230)/B230</f>
        <v/>
      </c>
    </row>
    <row r="243">
      <c r="A243" s="19" t="n">
        <v>33482</v>
      </c>
      <c r="B243" s="61">
        <f>VLOOKUP(Table1[[#This Row],[Date]],database!A:B,2,)</f>
        <v/>
      </c>
      <c r="C243" s="74">
        <f>B243/B242-1</f>
        <v/>
      </c>
      <c r="D243" s="74">
        <f>(Table1[[#This Row],[Index]]-B231)/B231</f>
        <v/>
      </c>
    </row>
    <row r="244">
      <c r="A244" s="19" t="n">
        <v>33512</v>
      </c>
      <c r="B244" s="61">
        <f>VLOOKUP(Table1[[#This Row],[Date]],database!A:B,2,)</f>
        <v/>
      </c>
      <c r="C244" s="74">
        <f>B244/B243-1</f>
        <v/>
      </c>
      <c r="D244" s="74">
        <f>(Table1[[#This Row],[Index]]-B232)/B232</f>
        <v/>
      </c>
    </row>
    <row r="245">
      <c r="A245" s="19" t="n">
        <v>33543</v>
      </c>
      <c r="B245" s="61">
        <f>VLOOKUP(Table1[[#This Row],[Date]],database!A:B,2,)</f>
        <v/>
      </c>
      <c r="C245" s="74">
        <f>B245/B244-1</f>
        <v/>
      </c>
      <c r="D245" s="74">
        <f>(Table1[[#This Row],[Index]]-B233)/B233</f>
        <v/>
      </c>
    </row>
    <row r="246">
      <c r="A246" s="19" t="n">
        <v>33573</v>
      </c>
      <c r="B246" s="61">
        <f>VLOOKUP(Table1[[#This Row],[Date]],database!A:B,2,)</f>
        <v/>
      </c>
      <c r="C246" s="74">
        <f>B246/B245-1</f>
        <v/>
      </c>
      <c r="D246" s="74">
        <f>(Table1[[#This Row],[Index]]-B234)/B234</f>
        <v/>
      </c>
    </row>
    <row r="247">
      <c r="A247" s="19" t="n">
        <v>33604</v>
      </c>
      <c r="B247" s="61">
        <f>VLOOKUP(Table1[[#This Row],[Date]],database!A:B,2,)</f>
        <v/>
      </c>
      <c r="C247" s="74">
        <f>B247/B246-1</f>
        <v/>
      </c>
      <c r="D247" s="74">
        <f>(Table1[[#This Row],[Index]]-B235)/B235</f>
        <v/>
      </c>
    </row>
    <row r="248">
      <c r="A248" s="19" t="n">
        <v>33635</v>
      </c>
      <c r="B248" s="61">
        <f>VLOOKUP(Table1[[#This Row],[Date]],database!A:B,2,)</f>
        <v/>
      </c>
      <c r="C248" s="74">
        <f>B248/B247-1</f>
        <v/>
      </c>
      <c r="D248" s="74">
        <f>(Table1[[#This Row],[Index]]-B236)/B236</f>
        <v/>
      </c>
    </row>
    <row r="249">
      <c r="A249" s="19" t="n">
        <v>33664</v>
      </c>
      <c r="B249" s="61">
        <f>VLOOKUP(Table1[[#This Row],[Date]],database!A:B,2,)</f>
        <v/>
      </c>
      <c r="C249" s="74">
        <f>B249/B248-1</f>
        <v/>
      </c>
      <c r="D249" s="74">
        <f>(Table1[[#This Row],[Index]]-B237)/B237</f>
        <v/>
      </c>
    </row>
    <row r="250">
      <c r="A250" s="19" t="n">
        <v>33695</v>
      </c>
      <c r="B250" s="61">
        <f>VLOOKUP(Table1[[#This Row],[Date]],database!A:B,2,)</f>
        <v/>
      </c>
      <c r="C250" s="74">
        <f>B250/B249-1</f>
        <v/>
      </c>
      <c r="D250" s="74">
        <f>(Table1[[#This Row],[Index]]-B238)/B238</f>
        <v/>
      </c>
    </row>
    <row r="251">
      <c r="A251" s="19" t="n">
        <v>33725</v>
      </c>
      <c r="B251" s="61">
        <f>VLOOKUP(Table1[[#This Row],[Date]],database!A:B,2,)</f>
        <v/>
      </c>
      <c r="C251" s="74">
        <f>B251/B250-1</f>
        <v/>
      </c>
      <c r="D251" s="74">
        <f>(Table1[[#This Row],[Index]]-B239)/B239</f>
        <v/>
      </c>
    </row>
    <row r="252">
      <c r="A252" s="19" t="n">
        <v>33756</v>
      </c>
      <c r="B252" s="61">
        <f>VLOOKUP(Table1[[#This Row],[Date]],database!A:B,2,)</f>
        <v/>
      </c>
      <c r="C252" s="74">
        <f>B252/B251-1</f>
        <v/>
      </c>
      <c r="D252" s="74">
        <f>(Table1[[#This Row],[Index]]-B240)/B240</f>
        <v/>
      </c>
    </row>
    <row r="253">
      <c r="A253" s="19" t="n">
        <v>33786</v>
      </c>
      <c r="B253" s="61">
        <f>VLOOKUP(Table1[[#This Row],[Date]],database!A:B,2,)</f>
        <v/>
      </c>
      <c r="C253" s="74">
        <f>B253/B252-1</f>
        <v/>
      </c>
      <c r="D253" s="74">
        <f>(Table1[[#This Row],[Index]]-B241)/B241</f>
        <v/>
      </c>
    </row>
    <row r="254">
      <c r="A254" s="19" t="n">
        <v>33817</v>
      </c>
      <c r="B254" s="61">
        <f>VLOOKUP(Table1[[#This Row],[Date]],database!A:B,2,)</f>
        <v/>
      </c>
      <c r="C254" s="74">
        <f>B254/B253-1</f>
        <v/>
      </c>
      <c r="D254" s="74">
        <f>(Table1[[#This Row],[Index]]-B242)/B242</f>
        <v/>
      </c>
    </row>
    <row r="255">
      <c r="A255" s="19" t="n">
        <v>33848</v>
      </c>
      <c r="B255" s="61">
        <f>VLOOKUP(Table1[[#This Row],[Date]],database!A:B,2,)</f>
        <v/>
      </c>
      <c r="C255" s="74">
        <f>B255/B254-1</f>
        <v/>
      </c>
      <c r="D255" s="74">
        <f>(Table1[[#This Row],[Index]]-B243)/B243</f>
        <v/>
      </c>
    </row>
    <row r="256">
      <c r="A256" s="19" t="n">
        <v>33878</v>
      </c>
      <c r="B256" s="61">
        <f>VLOOKUP(Table1[[#This Row],[Date]],database!A:B,2,)</f>
        <v/>
      </c>
      <c r="C256" s="74">
        <f>B256/B255-1</f>
        <v/>
      </c>
      <c r="D256" s="74">
        <f>(Table1[[#This Row],[Index]]-B244)/B244</f>
        <v/>
      </c>
    </row>
    <row r="257">
      <c r="A257" s="19" t="n">
        <v>33909</v>
      </c>
      <c r="B257" s="61">
        <f>VLOOKUP(Table1[[#This Row],[Date]],database!A:B,2,)</f>
        <v/>
      </c>
      <c r="C257" s="74">
        <f>B257/B256-1</f>
        <v/>
      </c>
      <c r="D257" s="74">
        <f>(Table1[[#This Row],[Index]]-B245)/B245</f>
        <v/>
      </c>
    </row>
    <row r="258">
      <c r="A258" s="19" t="n">
        <v>33939</v>
      </c>
      <c r="B258" s="61">
        <f>VLOOKUP(Table1[[#This Row],[Date]],database!A:B,2,)</f>
        <v/>
      </c>
      <c r="C258" s="74">
        <f>B258/B257-1</f>
        <v/>
      </c>
      <c r="D258" s="74">
        <f>(Table1[[#This Row],[Index]]-B246)/B246</f>
        <v/>
      </c>
    </row>
    <row r="259">
      <c r="A259" s="19" t="n">
        <v>33970</v>
      </c>
      <c r="B259" s="61">
        <f>VLOOKUP(Table1[[#This Row],[Date]],database!A:B,2,)</f>
        <v/>
      </c>
      <c r="C259" s="74">
        <f>B259/B258-1</f>
        <v/>
      </c>
      <c r="D259" s="74">
        <f>(Table1[[#This Row],[Index]]-B247)/B247</f>
        <v/>
      </c>
    </row>
    <row r="260">
      <c r="A260" s="19" t="n">
        <v>34001</v>
      </c>
      <c r="B260" s="61">
        <f>VLOOKUP(Table1[[#This Row],[Date]],database!A:B,2,)</f>
        <v/>
      </c>
      <c r="C260" s="74">
        <f>B260/B259-1</f>
        <v/>
      </c>
      <c r="D260" s="74">
        <f>(Table1[[#This Row],[Index]]-B248)/B248</f>
        <v/>
      </c>
    </row>
    <row r="261">
      <c r="A261" s="19" t="n">
        <v>34029</v>
      </c>
      <c r="B261" s="61">
        <f>VLOOKUP(Table1[[#This Row],[Date]],database!A:B,2,)</f>
        <v/>
      </c>
      <c r="C261" s="74">
        <f>B261/B260-1</f>
        <v/>
      </c>
      <c r="D261" s="74">
        <f>(Table1[[#This Row],[Index]]-B249)/B249</f>
        <v/>
      </c>
    </row>
    <row r="262">
      <c r="A262" s="19" t="n">
        <v>34060</v>
      </c>
      <c r="B262" s="61">
        <f>VLOOKUP(Table1[[#This Row],[Date]],database!A:B,2,)</f>
        <v/>
      </c>
      <c r="C262" s="74">
        <f>B262/B261-1</f>
        <v/>
      </c>
      <c r="D262" s="74">
        <f>(Table1[[#This Row],[Index]]-B250)/B250</f>
        <v/>
      </c>
    </row>
    <row r="263">
      <c r="A263" s="19" t="n">
        <v>34090</v>
      </c>
      <c r="B263" s="61">
        <f>VLOOKUP(Table1[[#This Row],[Date]],database!A:B,2,)</f>
        <v/>
      </c>
      <c r="C263" s="74">
        <f>B263/B262-1</f>
        <v/>
      </c>
      <c r="D263" s="74">
        <f>(Table1[[#This Row],[Index]]-B251)/B251</f>
        <v/>
      </c>
    </row>
    <row r="264">
      <c r="A264" s="19" t="n">
        <v>34121</v>
      </c>
      <c r="B264" s="61">
        <f>VLOOKUP(Table1[[#This Row],[Date]],database!A:B,2,)</f>
        <v/>
      </c>
      <c r="C264" s="74">
        <f>B264/B263-1</f>
        <v/>
      </c>
      <c r="D264" s="74">
        <f>(Table1[[#This Row],[Index]]-B252)/B252</f>
        <v/>
      </c>
    </row>
    <row r="265">
      <c r="A265" s="19" t="n">
        <v>34151</v>
      </c>
      <c r="B265" s="61">
        <f>VLOOKUP(Table1[[#This Row],[Date]],database!A:B,2,)</f>
        <v/>
      </c>
      <c r="C265" s="74">
        <f>B265/B264-1</f>
        <v/>
      </c>
      <c r="D265" s="74">
        <f>(Table1[[#This Row],[Index]]-B253)/B253</f>
        <v/>
      </c>
    </row>
    <row r="266">
      <c r="A266" s="19" t="n">
        <v>34182</v>
      </c>
      <c r="B266" s="61">
        <f>VLOOKUP(Table1[[#This Row],[Date]],database!A:B,2,)</f>
        <v/>
      </c>
      <c r="C266" s="74">
        <f>B266/B265-1</f>
        <v/>
      </c>
      <c r="D266" s="74">
        <f>(Table1[[#This Row],[Index]]-B254)/B254</f>
        <v/>
      </c>
    </row>
    <row r="267">
      <c r="A267" s="19" t="n">
        <v>34213</v>
      </c>
      <c r="B267" s="61">
        <f>VLOOKUP(Table1[[#This Row],[Date]],database!A:B,2,)</f>
        <v/>
      </c>
      <c r="C267" s="74">
        <f>B267/B266-1</f>
        <v/>
      </c>
      <c r="D267" s="74">
        <f>(Table1[[#This Row],[Index]]-B255)/B255</f>
        <v/>
      </c>
    </row>
    <row r="268">
      <c r="A268" s="19" t="n">
        <v>34243</v>
      </c>
      <c r="B268" s="61">
        <f>VLOOKUP(Table1[[#This Row],[Date]],database!A:B,2,)</f>
        <v/>
      </c>
      <c r="C268" s="74">
        <f>B268/B267-1</f>
        <v/>
      </c>
      <c r="D268" s="74">
        <f>(Table1[[#This Row],[Index]]-B256)/B256</f>
        <v/>
      </c>
    </row>
    <row r="269">
      <c r="A269" s="19" t="n">
        <v>34274</v>
      </c>
      <c r="B269" s="61">
        <f>VLOOKUP(Table1[[#This Row],[Date]],database!A:B,2,)</f>
        <v/>
      </c>
      <c r="C269" s="74">
        <f>B269/B268-1</f>
        <v/>
      </c>
      <c r="D269" s="74">
        <f>(Table1[[#This Row],[Index]]-B257)/B257</f>
        <v/>
      </c>
    </row>
    <row r="270">
      <c r="A270" s="19" t="n">
        <v>34304</v>
      </c>
      <c r="B270" s="61">
        <f>VLOOKUP(Table1[[#This Row],[Date]],database!A:B,2,)</f>
        <v/>
      </c>
      <c r="C270" s="74">
        <f>B270/B269-1</f>
        <v/>
      </c>
      <c r="D270" s="74">
        <f>(Table1[[#This Row],[Index]]-B258)/B258</f>
        <v/>
      </c>
    </row>
    <row r="271">
      <c r="A271" s="19" t="n">
        <v>34335</v>
      </c>
      <c r="B271" s="61">
        <f>VLOOKUP(Table1[[#This Row],[Date]],database!A:B,2,)</f>
        <v/>
      </c>
      <c r="C271" s="74">
        <f>B271/B270-1</f>
        <v/>
      </c>
      <c r="D271" s="74">
        <f>(Table1[[#This Row],[Index]]-B259)/B259</f>
        <v/>
      </c>
    </row>
    <row r="272">
      <c r="A272" s="19" t="n">
        <v>34366</v>
      </c>
      <c r="B272" s="61">
        <f>VLOOKUP(Table1[[#This Row],[Date]],database!A:B,2,)</f>
        <v/>
      </c>
      <c r="C272" s="74">
        <f>B272/B271-1</f>
        <v/>
      </c>
      <c r="D272" s="74">
        <f>(Table1[[#This Row],[Index]]-B260)/B260</f>
        <v/>
      </c>
    </row>
    <row r="273">
      <c r="A273" s="19" t="n">
        <v>34394</v>
      </c>
      <c r="B273" s="61">
        <f>VLOOKUP(Table1[[#This Row],[Date]],database!A:B,2,)</f>
        <v/>
      </c>
      <c r="C273" s="74">
        <f>B273/B272-1</f>
        <v/>
      </c>
      <c r="D273" s="74">
        <f>(Table1[[#This Row],[Index]]-B261)/B261</f>
        <v/>
      </c>
    </row>
    <row r="274">
      <c r="A274" s="19" t="n">
        <v>34425</v>
      </c>
      <c r="B274" s="61">
        <f>VLOOKUP(Table1[[#This Row],[Date]],database!A:B,2,)</f>
        <v/>
      </c>
      <c r="C274" s="74">
        <f>B274/B273-1</f>
        <v/>
      </c>
      <c r="D274" s="74">
        <f>(Table1[[#This Row],[Index]]-B262)/B262</f>
        <v/>
      </c>
    </row>
    <row r="275">
      <c r="A275" s="19" t="n">
        <v>34455</v>
      </c>
      <c r="B275" s="61">
        <f>VLOOKUP(Table1[[#This Row],[Date]],database!A:B,2,)</f>
        <v/>
      </c>
      <c r="C275" s="74">
        <f>B275/B274-1</f>
        <v/>
      </c>
      <c r="D275" s="74">
        <f>(Table1[[#This Row],[Index]]-B263)/B263</f>
        <v/>
      </c>
    </row>
    <row r="276">
      <c r="A276" s="19" t="n">
        <v>34486</v>
      </c>
      <c r="B276" s="61">
        <f>VLOOKUP(Table1[[#This Row],[Date]],database!A:B,2,)</f>
        <v/>
      </c>
      <c r="C276" s="74">
        <f>B276/B275-1</f>
        <v/>
      </c>
      <c r="D276" s="74">
        <f>(Table1[[#This Row],[Index]]-B264)/B264</f>
        <v/>
      </c>
    </row>
    <row r="277">
      <c r="A277" s="19" t="n">
        <v>34516</v>
      </c>
      <c r="B277" s="61">
        <f>VLOOKUP(Table1[[#This Row],[Date]],database!A:B,2,)</f>
        <v/>
      </c>
      <c r="C277" s="74">
        <f>B277/B276-1</f>
        <v/>
      </c>
      <c r="D277" s="74">
        <f>(Table1[[#This Row],[Index]]-B265)/B265</f>
        <v/>
      </c>
    </row>
    <row r="278">
      <c r="A278" s="19" t="n">
        <v>34547</v>
      </c>
      <c r="B278" s="61">
        <f>VLOOKUP(Table1[[#This Row],[Date]],database!A:B,2,)</f>
        <v/>
      </c>
      <c r="C278" s="74">
        <f>B278/B277-1</f>
        <v/>
      </c>
      <c r="D278" s="74">
        <f>(Table1[[#This Row],[Index]]-B266)/B266</f>
        <v/>
      </c>
    </row>
    <row r="279">
      <c r="A279" s="19" t="n">
        <v>34578</v>
      </c>
      <c r="B279" s="61">
        <f>VLOOKUP(Table1[[#This Row],[Date]],database!A:B,2,)</f>
        <v/>
      </c>
      <c r="C279" s="74">
        <f>B279/B278-1</f>
        <v/>
      </c>
      <c r="D279" s="74">
        <f>(Table1[[#This Row],[Index]]-B267)/B267</f>
        <v/>
      </c>
    </row>
    <row r="280">
      <c r="A280" s="19" t="n">
        <v>34608</v>
      </c>
      <c r="B280" s="61">
        <f>VLOOKUP(Table1[[#This Row],[Date]],database!A:B,2,)</f>
        <v/>
      </c>
      <c r="C280" s="74">
        <f>B280/B279-1</f>
        <v/>
      </c>
      <c r="D280" s="74">
        <f>(Table1[[#This Row],[Index]]-B268)/B268</f>
        <v/>
      </c>
    </row>
    <row r="281">
      <c r="A281" s="19" t="n">
        <v>34639</v>
      </c>
      <c r="B281" s="61">
        <f>VLOOKUP(Table1[[#This Row],[Date]],database!A:B,2,)</f>
        <v/>
      </c>
      <c r="C281" s="74">
        <f>B281/B280-1</f>
        <v/>
      </c>
      <c r="D281" s="74">
        <f>(Table1[[#This Row],[Index]]-B269)/B269</f>
        <v/>
      </c>
    </row>
    <row r="282">
      <c r="A282" s="19" t="n">
        <v>34669</v>
      </c>
      <c r="B282" s="61">
        <f>VLOOKUP(Table1[[#This Row],[Date]],database!A:B,2,)</f>
        <v/>
      </c>
      <c r="C282" s="74">
        <f>B282/B281-1</f>
        <v/>
      </c>
      <c r="D282" s="74">
        <f>(Table1[[#This Row],[Index]]-B270)/B270</f>
        <v/>
      </c>
    </row>
    <row r="283">
      <c r="A283" s="19" t="n">
        <v>34700</v>
      </c>
      <c r="B283" s="61">
        <f>VLOOKUP(Table1[[#This Row],[Date]],database!A:B,2,)</f>
        <v/>
      </c>
      <c r="C283" s="74">
        <f>B283/B282-1</f>
        <v/>
      </c>
      <c r="D283" s="74">
        <f>(Table1[[#This Row],[Index]]-B271)/B271</f>
        <v/>
      </c>
    </row>
    <row r="284">
      <c r="A284" s="19" t="n">
        <v>34731</v>
      </c>
      <c r="B284" s="61">
        <f>VLOOKUP(Table1[[#This Row],[Date]],database!A:B,2,)</f>
        <v/>
      </c>
      <c r="C284" s="74">
        <f>B284/B283-1</f>
        <v/>
      </c>
      <c r="D284" s="74">
        <f>(Table1[[#This Row],[Index]]-B272)/B272</f>
        <v/>
      </c>
    </row>
    <row r="285">
      <c r="A285" s="19" t="n">
        <v>34759</v>
      </c>
      <c r="B285" s="61">
        <f>VLOOKUP(Table1[[#This Row],[Date]],database!A:B,2,)</f>
        <v/>
      </c>
      <c r="C285" s="74">
        <f>B285/B284-1</f>
        <v/>
      </c>
      <c r="D285" s="74">
        <f>(Table1[[#This Row],[Index]]-B273)/B273</f>
        <v/>
      </c>
    </row>
    <row r="286">
      <c r="A286" s="19" t="n">
        <v>34790</v>
      </c>
      <c r="B286" s="61">
        <f>VLOOKUP(Table1[[#This Row],[Date]],database!A:B,2,)</f>
        <v/>
      </c>
      <c r="C286" s="74">
        <f>B286/B285-1</f>
        <v/>
      </c>
      <c r="D286" s="74">
        <f>(Table1[[#This Row],[Index]]-B274)/B274</f>
        <v/>
      </c>
    </row>
    <row r="287">
      <c r="A287" s="19" t="n">
        <v>34820</v>
      </c>
      <c r="B287" s="61">
        <f>VLOOKUP(Table1[[#This Row],[Date]],database!A:B,2,)</f>
        <v/>
      </c>
      <c r="C287" s="74">
        <f>B287/B286-1</f>
        <v/>
      </c>
      <c r="D287" s="74">
        <f>(Table1[[#This Row],[Index]]-B275)/B275</f>
        <v/>
      </c>
    </row>
    <row r="288">
      <c r="A288" s="19" t="n">
        <v>34851</v>
      </c>
      <c r="B288" s="61">
        <f>VLOOKUP(Table1[[#This Row],[Date]],database!A:B,2,)</f>
        <v/>
      </c>
      <c r="C288" s="74">
        <f>B288/B287-1</f>
        <v/>
      </c>
      <c r="D288" s="74">
        <f>(Table1[[#This Row],[Index]]-B276)/B276</f>
        <v/>
      </c>
    </row>
    <row r="289">
      <c r="A289" s="19" t="n">
        <v>34881</v>
      </c>
      <c r="B289" s="61">
        <f>VLOOKUP(Table1[[#This Row],[Date]],database!A:B,2,)</f>
        <v/>
      </c>
      <c r="C289" s="74">
        <f>B289/B288-1</f>
        <v/>
      </c>
      <c r="D289" s="74">
        <f>(Table1[[#This Row],[Index]]-B277)/B277</f>
        <v/>
      </c>
    </row>
    <row r="290">
      <c r="A290" s="19" t="n">
        <v>34912</v>
      </c>
      <c r="B290" s="61">
        <f>VLOOKUP(Table1[[#This Row],[Date]],database!A:B,2,)</f>
        <v/>
      </c>
      <c r="C290" s="74">
        <f>B290/B289-1</f>
        <v/>
      </c>
      <c r="D290" s="74">
        <f>(Table1[[#This Row],[Index]]-B278)/B278</f>
        <v/>
      </c>
    </row>
    <row r="291">
      <c r="A291" s="19" t="n">
        <v>34943</v>
      </c>
      <c r="B291" s="61">
        <f>VLOOKUP(Table1[[#This Row],[Date]],database!A:B,2,)</f>
        <v/>
      </c>
      <c r="C291" s="74">
        <f>B291/B290-1</f>
        <v/>
      </c>
      <c r="D291" s="74">
        <f>(Table1[[#This Row],[Index]]-B279)/B279</f>
        <v/>
      </c>
    </row>
    <row r="292">
      <c r="A292" s="19" t="n">
        <v>34973</v>
      </c>
      <c r="B292" s="61">
        <f>VLOOKUP(Table1[[#This Row],[Date]],database!A:B,2,)</f>
        <v/>
      </c>
      <c r="C292" s="74">
        <f>B292/B291-1</f>
        <v/>
      </c>
      <c r="D292" s="74">
        <f>(Table1[[#This Row],[Index]]-B280)/B280</f>
        <v/>
      </c>
    </row>
    <row r="293">
      <c r="A293" s="19" t="n">
        <v>35004</v>
      </c>
      <c r="B293" s="61">
        <f>VLOOKUP(Table1[[#This Row],[Date]],database!A:B,2,)</f>
        <v/>
      </c>
      <c r="C293" s="74">
        <f>B293/B292-1</f>
        <v/>
      </c>
      <c r="D293" s="74">
        <f>(Table1[[#This Row],[Index]]-B281)/B281</f>
        <v/>
      </c>
    </row>
    <row r="294">
      <c r="A294" s="19" t="n">
        <v>35034</v>
      </c>
      <c r="B294" s="61">
        <f>VLOOKUP(Table1[[#This Row],[Date]],database!A:B,2,)</f>
        <v/>
      </c>
      <c r="C294" s="74">
        <f>B294/B293-1</f>
        <v/>
      </c>
      <c r="D294" s="74">
        <f>(Table1[[#This Row],[Index]]-B282)/B282</f>
        <v/>
      </c>
    </row>
    <row r="295">
      <c r="A295" s="19" t="n">
        <v>35065</v>
      </c>
      <c r="B295" s="61">
        <f>VLOOKUP(Table1[[#This Row],[Date]],database!A:B,2,)</f>
        <v/>
      </c>
      <c r="C295" s="74">
        <f>B295/B294-1</f>
        <v/>
      </c>
      <c r="D295" s="74">
        <f>(Table1[[#This Row],[Index]]-B283)/B283</f>
        <v/>
      </c>
    </row>
    <row r="296">
      <c r="A296" s="19" t="n">
        <v>35096</v>
      </c>
      <c r="B296" s="61">
        <f>VLOOKUP(Table1[[#This Row],[Date]],database!A:B,2,)</f>
        <v/>
      </c>
      <c r="C296" s="74">
        <f>B296/B295-1</f>
        <v/>
      </c>
      <c r="D296" s="74">
        <f>(Table1[[#This Row],[Index]]-B284)/B284</f>
        <v/>
      </c>
    </row>
    <row r="297">
      <c r="A297" s="19" t="n">
        <v>35125</v>
      </c>
      <c r="B297" s="61">
        <f>VLOOKUP(Table1[[#This Row],[Date]],database!A:B,2,)</f>
        <v/>
      </c>
      <c r="C297" s="74">
        <f>B297/B296-1</f>
        <v/>
      </c>
      <c r="D297" s="74">
        <f>(Table1[[#This Row],[Index]]-B285)/B285</f>
        <v/>
      </c>
    </row>
    <row r="298">
      <c r="A298" s="19" t="n">
        <v>35156</v>
      </c>
      <c r="B298" s="61">
        <f>VLOOKUP(Table1[[#This Row],[Date]],database!A:B,2,)</f>
        <v/>
      </c>
      <c r="C298" s="74">
        <f>B298/B297-1</f>
        <v/>
      </c>
      <c r="D298" s="74">
        <f>(Table1[[#This Row],[Index]]-B286)/B286</f>
        <v/>
      </c>
    </row>
    <row r="299">
      <c r="A299" s="19" t="n">
        <v>35186</v>
      </c>
      <c r="B299" s="61">
        <f>VLOOKUP(Table1[[#This Row],[Date]],database!A:B,2,)</f>
        <v/>
      </c>
      <c r="C299" s="74">
        <f>B299/B298-1</f>
        <v/>
      </c>
      <c r="D299" s="74">
        <f>(Table1[[#This Row],[Index]]-B287)/B287</f>
        <v/>
      </c>
    </row>
    <row r="300">
      <c r="A300" s="19" t="n">
        <v>35217</v>
      </c>
      <c r="B300" s="61">
        <f>VLOOKUP(Table1[[#This Row],[Date]],database!A:B,2,)</f>
        <v/>
      </c>
      <c r="C300" s="74">
        <f>B300/B299-1</f>
        <v/>
      </c>
      <c r="D300" s="74">
        <f>(Table1[[#This Row],[Index]]-B288)/B288</f>
        <v/>
      </c>
    </row>
    <row r="301">
      <c r="A301" s="19" t="n">
        <v>35247</v>
      </c>
      <c r="B301" s="61">
        <f>VLOOKUP(Table1[[#This Row],[Date]],database!A:B,2,)</f>
        <v/>
      </c>
      <c r="C301" s="74">
        <f>B301/B300-1</f>
        <v/>
      </c>
      <c r="D301" s="74">
        <f>(Table1[[#This Row],[Index]]-B289)/B289</f>
        <v/>
      </c>
    </row>
    <row r="302">
      <c r="A302" s="19" t="n">
        <v>35278</v>
      </c>
      <c r="B302" s="61">
        <f>VLOOKUP(Table1[[#This Row],[Date]],database!A:B,2,)</f>
        <v/>
      </c>
      <c r="C302" s="74">
        <f>B302/B301-1</f>
        <v/>
      </c>
      <c r="D302" s="74">
        <f>(Table1[[#This Row],[Index]]-B290)/B290</f>
        <v/>
      </c>
    </row>
    <row r="303">
      <c r="A303" s="19" t="n">
        <v>35309</v>
      </c>
      <c r="B303" s="61">
        <f>VLOOKUP(Table1[[#This Row],[Date]],database!A:B,2,)</f>
        <v/>
      </c>
      <c r="C303" s="74">
        <f>B303/B302-1</f>
        <v/>
      </c>
      <c r="D303" s="74">
        <f>(Table1[[#This Row],[Index]]-B291)/B291</f>
        <v/>
      </c>
    </row>
    <row r="304">
      <c r="A304" s="19" t="n">
        <v>35339</v>
      </c>
      <c r="B304" s="61">
        <f>VLOOKUP(Table1[[#This Row],[Date]],database!A:B,2,)</f>
        <v/>
      </c>
      <c r="C304" s="74">
        <f>B304/B303-1</f>
        <v/>
      </c>
      <c r="D304" s="74">
        <f>(Table1[[#This Row],[Index]]-B292)/B292</f>
        <v/>
      </c>
    </row>
    <row r="305">
      <c r="A305" s="19" t="n">
        <v>35370</v>
      </c>
      <c r="B305" s="61">
        <f>VLOOKUP(Table1[[#This Row],[Date]],database!A:B,2,)</f>
        <v/>
      </c>
      <c r="C305" s="74">
        <f>B305/B304-1</f>
        <v/>
      </c>
      <c r="D305" s="74">
        <f>(Table1[[#This Row],[Index]]-B293)/B293</f>
        <v/>
      </c>
    </row>
    <row r="306">
      <c r="A306" s="19" t="n">
        <v>35400</v>
      </c>
      <c r="B306" s="61">
        <f>VLOOKUP(Table1[[#This Row],[Date]],database!A:B,2,)</f>
        <v/>
      </c>
      <c r="C306" s="74">
        <f>B306/B305-1</f>
        <v/>
      </c>
      <c r="D306" s="74">
        <f>(Table1[[#This Row],[Index]]-B294)/B294</f>
        <v/>
      </c>
    </row>
    <row r="307">
      <c r="A307" s="19" t="n">
        <v>35431</v>
      </c>
      <c r="B307" s="61">
        <f>VLOOKUP(Table1[[#This Row],[Date]],database!A:B,2,)</f>
        <v/>
      </c>
      <c r="C307" s="74">
        <f>B307/B306-1</f>
        <v/>
      </c>
      <c r="D307" s="74">
        <f>(Table1[[#This Row],[Index]]-B295)/B295</f>
        <v/>
      </c>
    </row>
    <row r="308">
      <c r="A308" s="19" t="n">
        <v>35462</v>
      </c>
      <c r="B308" s="61">
        <f>VLOOKUP(Table1[[#This Row],[Date]],database!A:B,2,)</f>
        <v/>
      </c>
      <c r="C308" s="74">
        <f>B308/B307-1</f>
        <v/>
      </c>
      <c r="D308" s="74">
        <f>(Table1[[#This Row],[Index]]-B296)/B296</f>
        <v/>
      </c>
    </row>
    <row r="309">
      <c r="A309" s="19" t="n">
        <v>35490</v>
      </c>
      <c r="B309" s="61">
        <f>VLOOKUP(Table1[[#This Row],[Date]],database!A:B,2,)</f>
        <v/>
      </c>
      <c r="C309" s="74">
        <f>B309/B308-1</f>
        <v/>
      </c>
      <c r="D309" s="74">
        <f>(Table1[[#This Row],[Index]]-B297)/B297</f>
        <v/>
      </c>
    </row>
    <row r="310">
      <c r="A310" s="19" t="n">
        <v>35521</v>
      </c>
      <c r="B310" s="61">
        <f>VLOOKUP(Table1[[#This Row],[Date]],database!A:B,2,)</f>
        <v/>
      </c>
      <c r="C310" s="74">
        <f>B310/B309-1</f>
        <v/>
      </c>
      <c r="D310" s="74">
        <f>(Table1[[#This Row],[Index]]-B298)/B298</f>
        <v/>
      </c>
    </row>
    <row r="311">
      <c r="A311" s="19" t="n">
        <v>35551</v>
      </c>
      <c r="B311" s="61">
        <f>VLOOKUP(Table1[[#This Row],[Date]],database!A:B,2,)</f>
        <v/>
      </c>
      <c r="C311" s="74">
        <f>B311/B310-1</f>
        <v/>
      </c>
      <c r="D311" s="74">
        <f>(Table1[[#This Row],[Index]]-B299)/B299</f>
        <v/>
      </c>
    </row>
    <row r="312">
      <c r="A312" s="19" t="n">
        <v>35582</v>
      </c>
      <c r="B312" s="61">
        <f>VLOOKUP(Table1[[#This Row],[Date]],database!A:B,2,)</f>
        <v/>
      </c>
      <c r="C312" s="74">
        <f>B312/B311-1</f>
        <v/>
      </c>
      <c r="D312" s="74">
        <f>(Table1[[#This Row],[Index]]-B300)/B300</f>
        <v/>
      </c>
    </row>
    <row r="313">
      <c r="A313" s="19" t="n">
        <v>35612</v>
      </c>
      <c r="B313" s="61">
        <f>VLOOKUP(Table1[[#This Row],[Date]],database!A:B,2,)</f>
        <v/>
      </c>
      <c r="C313" s="74">
        <f>B313/B312-1</f>
        <v/>
      </c>
      <c r="D313" s="74">
        <f>(Table1[[#This Row],[Index]]-B301)/B301</f>
        <v/>
      </c>
    </row>
    <row r="314">
      <c r="A314" s="19" t="n">
        <v>35643</v>
      </c>
      <c r="B314" s="61">
        <f>VLOOKUP(Table1[[#This Row],[Date]],database!A:B,2,)</f>
        <v/>
      </c>
      <c r="C314" s="74">
        <f>B314/B313-1</f>
        <v/>
      </c>
      <c r="D314" s="74">
        <f>(Table1[[#This Row],[Index]]-B302)/B302</f>
        <v/>
      </c>
    </row>
    <row r="315">
      <c r="A315" s="19" t="n">
        <v>35674</v>
      </c>
      <c r="B315" s="61">
        <f>VLOOKUP(Table1[[#This Row],[Date]],database!A:B,2,)</f>
        <v/>
      </c>
      <c r="C315" s="74">
        <f>B315/B314-1</f>
        <v/>
      </c>
      <c r="D315" s="74">
        <f>(Table1[[#This Row],[Index]]-B303)/B303</f>
        <v/>
      </c>
    </row>
    <row r="316">
      <c r="A316" s="19" t="n">
        <v>35704</v>
      </c>
      <c r="B316" s="61">
        <f>VLOOKUP(Table1[[#This Row],[Date]],database!A:B,2,)</f>
        <v/>
      </c>
      <c r="C316" s="74">
        <f>B316/B315-1</f>
        <v/>
      </c>
      <c r="D316" s="74">
        <f>(Table1[[#This Row],[Index]]-B304)/B304</f>
        <v/>
      </c>
    </row>
    <row r="317">
      <c r="A317" s="19" t="n">
        <v>35735</v>
      </c>
      <c r="B317" s="61">
        <f>VLOOKUP(Table1[[#This Row],[Date]],database!A:B,2,)</f>
        <v/>
      </c>
      <c r="C317" s="74">
        <f>B317/B316-1</f>
        <v/>
      </c>
      <c r="D317" s="74">
        <f>(Table1[[#This Row],[Index]]-B305)/B305</f>
        <v/>
      </c>
    </row>
    <row r="318">
      <c r="A318" s="19" t="n">
        <v>35765</v>
      </c>
      <c r="B318" s="61">
        <f>VLOOKUP(Table1[[#This Row],[Date]],database!A:B,2,)</f>
        <v/>
      </c>
      <c r="C318" s="74">
        <f>B318/B317-1</f>
        <v/>
      </c>
      <c r="D318" s="74">
        <f>(Table1[[#This Row],[Index]]-B306)/B306</f>
        <v/>
      </c>
    </row>
    <row r="319">
      <c r="A319" s="19" t="n">
        <v>35796</v>
      </c>
      <c r="B319" s="61">
        <f>VLOOKUP(Table1[[#This Row],[Date]],database!A:B,2,)</f>
        <v/>
      </c>
      <c r="C319" s="74">
        <f>B319/B318-1</f>
        <v/>
      </c>
      <c r="D319" s="74">
        <f>(Table1[[#This Row],[Index]]-B307)/B307</f>
        <v/>
      </c>
    </row>
    <row r="320">
      <c r="A320" s="19" t="n">
        <v>35827</v>
      </c>
      <c r="B320" s="61">
        <f>VLOOKUP(Table1[[#This Row],[Date]],database!A:B,2,)</f>
        <v/>
      </c>
      <c r="C320" s="74">
        <f>B320/B319-1</f>
        <v/>
      </c>
      <c r="D320" s="74">
        <f>(Table1[[#This Row],[Index]]-B308)/B308</f>
        <v/>
      </c>
    </row>
    <row r="321">
      <c r="A321" s="19" t="n">
        <v>35855</v>
      </c>
      <c r="B321" s="61">
        <f>VLOOKUP(Table1[[#This Row],[Date]],database!A:B,2,)</f>
        <v/>
      </c>
      <c r="C321" s="74">
        <f>B321/B320-1</f>
        <v/>
      </c>
      <c r="D321" s="74">
        <f>(Table1[[#This Row],[Index]]-B309)/B309</f>
        <v/>
      </c>
    </row>
    <row r="322">
      <c r="A322" s="19" t="n">
        <v>35886</v>
      </c>
      <c r="B322" s="61">
        <f>VLOOKUP(Table1[[#This Row],[Date]],database!A:B,2,)</f>
        <v/>
      </c>
      <c r="C322" s="74">
        <f>B322/B321-1</f>
        <v/>
      </c>
      <c r="D322" s="74">
        <f>(Table1[[#This Row],[Index]]-B310)/B310</f>
        <v/>
      </c>
    </row>
    <row r="323">
      <c r="A323" s="19" t="n">
        <v>35916</v>
      </c>
      <c r="B323" s="61">
        <f>VLOOKUP(Table1[[#This Row],[Date]],database!A:B,2,)</f>
        <v/>
      </c>
      <c r="C323" s="74">
        <f>B323/B322-1</f>
        <v/>
      </c>
      <c r="D323" s="74">
        <f>(Table1[[#This Row],[Index]]-B311)/B311</f>
        <v/>
      </c>
    </row>
    <row r="324">
      <c r="A324" s="19" t="n">
        <v>35947</v>
      </c>
      <c r="B324" s="61">
        <f>VLOOKUP(Table1[[#This Row],[Date]],database!A:B,2,)</f>
        <v/>
      </c>
      <c r="C324" s="74">
        <f>B324/B323-1</f>
        <v/>
      </c>
      <c r="D324" s="74">
        <f>(Table1[[#This Row],[Index]]-B312)/B312</f>
        <v/>
      </c>
    </row>
    <row r="325">
      <c r="A325" s="19" t="n">
        <v>35977</v>
      </c>
      <c r="B325" s="61">
        <f>VLOOKUP(Table1[[#This Row],[Date]],database!A:B,2,)</f>
        <v/>
      </c>
      <c r="C325" s="74">
        <f>B325/B324-1</f>
        <v/>
      </c>
      <c r="D325" s="74">
        <f>(Table1[[#This Row],[Index]]-B313)/B313</f>
        <v/>
      </c>
    </row>
    <row r="326">
      <c r="A326" s="19" t="n">
        <v>36008</v>
      </c>
      <c r="B326" s="61">
        <f>VLOOKUP(Table1[[#This Row],[Date]],database!A:B,2,)</f>
        <v/>
      </c>
      <c r="C326" s="74">
        <f>B326/B325-1</f>
        <v/>
      </c>
      <c r="D326" s="74">
        <f>(Table1[[#This Row],[Index]]-B314)/B314</f>
        <v/>
      </c>
    </row>
    <row r="327">
      <c r="A327" s="19" t="n">
        <v>36039</v>
      </c>
      <c r="B327" s="61">
        <f>VLOOKUP(Table1[[#This Row],[Date]],database!A:B,2,)</f>
        <v/>
      </c>
      <c r="C327" s="74">
        <f>B327/B326-1</f>
        <v/>
      </c>
      <c r="D327" s="74">
        <f>(Table1[[#This Row],[Index]]-B315)/B315</f>
        <v/>
      </c>
    </row>
    <row r="328">
      <c r="A328" s="19" t="n">
        <v>36069</v>
      </c>
      <c r="B328" s="61">
        <f>VLOOKUP(Table1[[#This Row],[Date]],database!A:B,2,)</f>
        <v/>
      </c>
      <c r="C328" s="74">
        <f>B328/B327-1</f>
        <v/>
      </c>
      <c r="D328" s="74">
        <f>(Table1[[#This Row],[Index]]-B316)/B316</f>
        <v/>
      </c>
    </row>
    <row r="329">
      <c r="A329" s="19" t="n">
        <v>36100</v>
      </c>
      <c r="B329" s="61">
        <f>VLOOKUP(Table1[[#This Row],[Date]],database!A:B,2,)</f>
        <v/>
      </c>
      <c r="C329" s="74">
        <f>B329/B328-1</f>
        <v/>
      </c>
      <c r="D329" s="74">
        <f>(Table1[[#This Row],[Index]]-B317)/B317</f>
        <v/>
      </c>
    </row>
    <row r="330">
      <c r="A330" s="19" t="n">
        <v>36130</v>
      </c>
      <c r="B330" s="61">
        <f>VLOOKUP(Table1[[#This Row],[Date]],database!A:B,2,)</f>
        <v/>
      </c>
      <c r="C330" s="74">
        <f>B330/B329-1</f>
        <v/>
      </c>
      <c r="D330" s="74">
        <f>(Table1[[#This Row],[Index]]-B318)/B318</f>
        <v/>
      </c>
    </row>
    <row r="331">
      <c r="A331" s="19" t="n">
        <v>36161</v>
      </c>
      <c r="B331" s="61">
        <f>VLOOKUP(Table1[[#This Row],[Date]],database!A:B,2,)</f>
        <v/>
      </c>
      <c r="C331" s="74">
        <f>B331/B330-1</f>
        <v/>
      </c>
      <c r="D331" s="74">
        <f>(Table1[[#This Row],[Index]]-B319)/B319</f>
        <v/>
      </c>
    </row>
    <row r="332">
      <c r="A332" s="19" t="n">
        <v>36192</v>
      </c>
      <c r="B332" s="61">
        <f>VLOOKUP(Table1[[#This Row],[Date]],database!A:B,2,)</f>
        <v/>
      </c>
      <c r="C332" s="74">
        <f>B332/B331-1</f>
        <v/>
      </c>
      <c r="D332" s="74">
        <f>(Table1[[#This Row],[Index]]-B320)/B320</f>
        <v/>
      </c>
    </row>
    <row r="333">
      <c r="A333" s="19" t="n">
        <v>36220</v>
      </c>
      <c r="B333" s="61">
        <f>VLOOKUP(Table1[[#This Row],[Date]],database!A:B,2,)</f>
        <v/>
      </c>
      <c r="C333" s="74">
        <f>B333/B332-1</f>
        <v/>
      </c>
      <c r="D333" s="74">
        <f>(Table1[[#This Row],[Index]]-B321)/B321</f>
        <v/>
      </c>
    </row>
    <row r="334">
      <c r="A334" s="19" t="n">
        <v>36251</v>
      </c>
      <c r="B334" s="61">
        <f>VLOOKUP(Table1[[#This Row],[Date]],database!A:B,2,)</f>
        <v/>
      </c>
      <c r="C334" s="74">
        <f>B334/B333-1</f>
        <v/>
      </c>
      <c r="D334" s="74">
        <f>(Table1[[#This Row],[Index]]-B322)/B322</f>
        <v/>
      </c>
    </row>
    <row r="335">
      <c r="A335" s="19" t="n">
        <v>36281</v>
      </c>
      <c r="B335" s="61">
        <f>VLOOKUP(Table1[[#This Row],[Date]],database!A:B,2,)</f>
        <v/>
      </c>
      <c r="C335" s="74">
        <f>B335/B334-1</f>
        <v/>
      </c>
      <c r="D335" s="74">
        <f>(Table1[[#This Row],[Index]]-B323)/B323</f>
        <v/>
      </c>
    </row>
    <row r="336">
      <c r="A336" s="19" t="n">
        <v>36312</v>
      </c>
      <c r="B336" s="61">
        <f>VLOOKUP(Table1[[#This Row],[Date]],database!A:B,2,)</f>
        <v/>
      </c>
      <c r="C336" s="74">
        <f>B336/B335-1</f>
        <v/>
      </c>
      <c r="D336" s="74">
        <f>(Table1[[#This Row],[Index]]-B324)/B324</f>
        <v/>
      </c>
    </row>
    <row r="337">
      <c r="A337" s="19" t="n">
        <v>36342</v>
      </c>
      <c r="B337" s="61">
        <f>VLOOKUP(Table1[[#This Row],[Date]],database!A:B,2,)</f>
        <v/>
      </c>
      <c r="C337" s="74">
        <f>B337/B336-1</f>
        <v/>
      </c>
      <c r="D337" s="74">
        <f>(Table1[[#This Row],[Index]]-B325)/B325</f>
        <v/>
      </c>
    </row>
    <row r="338">
      <c r="A338" s="19" t="n">
        <v>36373</v>
      </c>
      <c r="B338" s="61">
        <f>VLOOKUP(Table1[[#This Row],[Date]],database!A:B,2,)</f>
        <v/>
      </c>
      <c r="C338" s="74">
        <f>B338/B337-1</f>
        <v/>
      </c>
      <c r="D338" s="74">
        <f>(Table1[[#This Row],[Index]]-B326)/B326</f>
        <v/>
      </c>
    </row>
    <row r="339">
      <c r="A339" s="19" t="n">
        <v>36404</v>
      </c>
      <c r="B339" s="61">
        <f>VLOOKUP(Table1[[#This Row],[Date]],database!A:B,2,)</f>
        <v/>
      </c>
      <c r="C339" s="74">
        <f>B339/B338-1</f>
        <v/>
      </c>
      <c r="D339" s="74">
        <f>(Table1[[#This Row],[Index]]-B327)/B327</f>
        <v/>
      </c>
    </row>
    <row r="340">
      <c r="A340" s="19" t="n">
        <v>36434</v>
      </c>
      <c r="B340" s="61">
        <f>VLOOKUP(Table1[[#This Row],[Date]],database!A:B,2,)</f>
        <v/>
      </c>
      <c r="C340" s="74">
        <f>B340/B339-1</f>
        <v/>
      </c>
      <c r="D340" s="74">
        <f>(Table1[[#This Row],[Index]]-B328)/B328</f>
        <v/>
      </c>
    </row>
    <row r="341">
      <c r="A341" s="19" t="n">
        <v>36465</v>
      </c>
      <c r="B341" s="61">
        <f>VLOOKUP(Table1[[#This Row],[Date]],database!A:B,2,)</f>
        <v/>
      </c>
      <c r="C341" s="74">
        <f>B341/B340-1</f>
        <v/>
      </c>
      <c r="D341" s="74">
        <f>(Table1[[#This Row],[Index]]-B329)/B329</f>
        <v/>
      </c>
    </row>
    <row r="342">
      <c r="A342" s="19" t="n">
        <v>36495</v>
      </c>
      <c r="B342" s="61">
        <f>VLOOKUP(Table1[[#This Row],[Date]],database!A:B,2,)</f>
        <v/>
      </c>
      <c r="C342" s="74">
        <f>B342/B341-1</f>
        <v/>
      </c>
      <c r="D342" s="74">
        <f>(Table1[[#This Row],[Index]]-B330)/B330</f>
        <v/>
      </c>
    </row>
    <row r="343">
      <c r="A343" s="19" t="n">
        <v>36526</v>
      </c>
      <c r="B343" s="61">
        <f>VLOOKUP(Table1[[#This Row],[Date]],database!A:B,2,)</f>
        <v/>
      </c>
      <c r="C343" s="74">
        <f>B343/B342-1</f>
        <v/>
      </c>
      <c r="D343" s="74">
        <f>(Table1[[#This Row],[Index]]-B331)/B331</f>
        <v/>
      </c>
    </row>
    <row r="344">
      <c r="A344" s="19" t="n">
        <v>36557</v>
      </c>
      <c r="B344" s="61">
        <f>VLOOKUP(Table1[[#This Row],[Date]],database!A:B,2,)</f>
        <v/>
      </c>
      <c r="C344" s="74">
        <f>B344/B343-1</f>
        <v/>
      </c>
      <c r="D344" s="74">
        <f>(Table1[[#This Row],[Index]]-B332)/B332</f>
        <v/>
      </c>
    </row>
    <row r="345">
      <c r="A345" s="19" t="n">
        <v>36586</v>
      </c>
      <c r="B345" s="61">
        <f>VLOOKUP(Table1[[#This Row],[Date]],database!A:B,2,)</f>
        <v/>
      </c>
      <c r="C345" s="74">
        <f>B345/B344-1</f>
        <v/>
      </c>
      <c r="D345" s="74">
        <f>(Table1[[#This Row],[Index]]-B333)/B333</f>
        <v/>
      </c>
    </row>
    <row r="346">
      <c r="A346" s="19" t="n">
        <v>36617</v>
      </c>
      <c r="B346" s="61">
        <f>VLOOKUP(Table1[[#This Row],[Date]],database!A:B,2,)</f>
        <v/>
      </c>
      <c r="C346" s="74">
        <f>B346/B345-1</f>
        <v/>
      </c>
      <c r="D346" s="74">
        <f>(Table1[[#This Row],[Index]]-B334)/B334</f>
        <v/>
      </c>
    </row>
    <row r="347">
      <c r="A347" s="19" t="n">
        <v>36647</v>
      </c>
      <c r="B347" s="61">
        <f>VLOOKUP(Table1[[#This Row],[Date]],database!A:B,2,)</f>
        <v/>
      </c>
      <c r="C347" s="74">
        <f>B347/B346-1</f>
        <v/>
      </c>
      <c r="D347" s="74">
        <f>(Table1[[#This Row],[Index]]-B335)/B335</f>
        <v/>
      </c>
    </row>
    <row r="348">
      <c r="A348" s="19" t="n">
        <v>36678</v>
      </c>
      <c r="B348" s="61">
        <f>VLOOKUP(Table1[[#This Row],[Date]],database!A:B,2,)</f>
        <v/>
      </c>
      <c r="C348" s="74">
        <f>B348/B347-1</f>
        <v/>
      </c>
      <c r="D348" s="74">
        <f>(Table1[[#This Row],[Index]]-B336)/B336</f>
        <v/>
      </c>
    </row>
    <row r="349">
      <c r="A349" s="19" t="n">
        <v>36708</v>
      </c>
      <c r="B349" s="61">
        <f>VLOOKUP(Table1[[#This Row],[Date]],database!A:B,2,)</f>
        <v/>
      </c>
      <c r="C349" s="74">
        <f>B349/B348-1</f>
        <v/>
      </c>
      <c r="D349" s="74">
        <f>(Table1[[#This Row],[Index]]-B337)/B337</f>
        <v/>
      </c>
    </row>
    <row r="350">
      <c r="A350" s="19" t="n">
        <v>36739</v>
      </c>
      <c r="B350" s="61">
        <f>VLOOKUP(Table1[[#This Row],[Date]],database!A:B,2,)</f>
        <v/>
      </c>
      <c r="C350" s="74">
        <f>B350/B349-1</f>
        <v/>
      </c>
      <c r="D350" s="74">
        <f>(Table1[[#This Row],[Index]]-B338)/B338</f>
        <v/>
      </c>
    </row>
    <row r="351">
      <c r="A351" s="19" t="n">
        <v>36770</v>
      </c>
      <c r="B351" s="61">
        <f>VLOOKUP(Table1[[#This Row],[Date]],database!A:B,2,)</f>
        <v/>
      </c>
      <c r="C351" s="74">
        <f>B351/B350-1</f>
        <v/>
      </c>
      <c r="D351" s="74">
        <f>(Table1[[#This Row],[Index]]-B339)/B339</f>
        <v/>
      </c>
    </row>
    <row r="352">
      <c r="A352" s="19" t="n">
        <v>36800</v>
      </c>
      <c r="B352" s="61">
        <f>VLOOKUP(Table1[[#This Row],[Date]],database!A:B,2,)</f>
        <v/>
      </c>
      <c r="C352" s="74">
        <f>B352/B351-1</f>
        <v/>
      </c>
      <c r="D352" s="74">
        <f>(Table1[[#This Row],[Index]]-B340)/B340</f>
        <v/>
      </c>
    </row>
    <row r="353">
      <c r="A353" s="19" t="n">
        <v>36831</v>
      </c>
      <c r="B353" s="61">
        <f>VLOOKUP(Table1[[#This Row],[Date]],database!A:B,2,)</f>
        <v/>
      </c>
      <c r="C353" s="74">
        <f>B353/B352-1</f>
        <v/>
      </c>
      <c r="D353" s="74">
        <f>(Table1[[#This Row],[Index]]-B341)/B341</f>
        <v/>
      </c>
    </row>
    <row r="354">
      <c r="A354" s="19" t="n">
        <v>36861</v>
      </c>
      <c r="B354" s="61">
        <f>VLOOKUP(Table1[[#This Row],[Date]],database!A:B,2,)</f>
        <v/>
      </c>
      <c r="C354" s="74">
        <f>B354/B353-1</f>
        <v/>
      </c>
      <c r="D354" s="74">
        <f>(Table1[[#This Row],[Index]]-B342)/B342</f>
        <v/>
      </c>
    </row>
    <row r="355">
      <c r="A355" s="19" t="n">
        <v>36892</v>
      </c>
      <c r="B355" s="61">
        <f>VLOOKUP(Table1[[#This Row],[Date]],database!A:B,2,)</f>
        <v/>
      </c>
      <c r="C355" s="74">
        <f>B355/B354-1</f>
        <v/>
      </c>
      <c r="D355" s="74">
        <f>(Table1[[#This Row],[Index]]-B343)/B343</f>
        <v/>
      </c>
    </row>
    <row r="356">
      <c r="A356" s="19" t="n">
        <v>36923</v>
      </c>
      <c r="B356" s="61">
        <f>VLOOKUP(Table1[[#This Row],[Date]],database!A:B,2,)</f>
        <v/>
      </c>
      <c r="C356" s="74">
        <f>B356/B355-1</f>
        <v/>
      </c>
      <c r="D356" s="74">
        <f>(Table1[[#This Row],[Index]]-B344)/B344</f>
        <v/>
      </c>
    </row>
    <row r="357">
      <c r="A357" s="19" t="n">
        <v>36951</v>
      </c>
      <c r="B357" s="61">
        <f>VLOOKUP(Table1[[#This Row],[Date]],database!A:B,2,)</f>
        <v/>
      </c>
      <c r="C357" s="74">
        <f>B357/B356-1</f>
        <v/>
      </c>
      <c r="D357" s="74">
        <f>(Table1[[#This Row],[Index]]-B345)/B345</f>
        <v/>
      </c>
    </row>
    <row r="358">
      <c r="A358" s="19" t="n">
        <v>36982</v>
      </c>
      <c r="B358" s="61">
        <f>VLOOKUP(Table1[[#This Row],[Date]],database!A:B,2,)</f>
        <v/>
      </c>
      <c r="C358" s="74">
        <f>B358/B357-1</f>
        <v/>
      </c>
      <c r="D358" s="74">
        <f>(Table1[[#This Row],[Index]]-B346)/B346</f>
        <v/>
      </c>
    </row>
    <row r="359">
      <c r="A359" s="19" t="n">
        <v>37012</v>
      </c>
      <c r="B359" s="61">
        <f>VLOOKUP(Table1[[#This Row],[Date]],database!A:B,2,)</f>
        <v/>
      </c>
      <c r="C359" s="74">
        <f>B359/B358-1</f>
        <v/>
      </c>
      <c r="D359" s="74">
        <f>(Table1[[#This Row],[Index]]-B347)/B347</f>
        <v/>
      </c>
    </row>
    <row r="360">
      <c r="A360" s="19" t="n">
        <v>37043</v>
      </c>
      <c r="B360" s="61">
        <f>VLOOKUP(Table1[[#This Row],[Date]],database!A:B,2,)</f>
        <v/>
      </c>
      <c r="C360" s="74">
        <f>B360/B359-1</f>
        <v/>
      </c>
      <c r="D360" s="74">
        <f>(Table1[[#This Row],[Index]]-B348)/B348</f>
        <v/>
      </c>
    </row>
    <row r="361">
      <c r="A361" s="19" t="n">
        <v>37073</v>
      </c>
      <c r="B361" s="61">
        <f>VLOOKUP(Table1[[#This Row],[Date]],database!A:B,2,)</f>
        <v/>
      </c>
      <c r="C361" s="74">
        <f>B361/B360-1</f>
        <v/>
      </c>
      <c r="D361" s="74">
        <f>(Table1[[#This Row],[Index]]-B349)/B349</f>
        <v/>
      </c>
    </row>
    <row r="362">
      <c r="A362" s="19" t="n">
        <v>37104</v>
      </c>
      <c r="B362" s="61">
        <f>VLOOKUP(Table1[[#This Row],[Date]],database!A:B,2,)</f>
        <v/>
      </c>
      <c r="C362" s="74">
        <f>B362/B361-1</f>
        <v/>
      </c>
      <c r="D362" s="74">
        <f>(Table1[[#This Row],[Index]]-B350)/B350</f>
        <v/>
      </c>
    </row>
    <row r="363">
      <c r="A363" s="19" t="n">
        <v>37135</v>
      </c>
      <c r="B363" s="61">
        <f>VLOOKUP(Table1[[#This Row],[Date]],database!A:B,2,)</f>
        <v/>
      </c>
      <c r="C363" s="74">
        <f>B363/B362-1</f>
        <v/>
      </c>
      <c r="D363" s="74">
        <f>(Table1[[#This Row],[Index]]-B351)/B351</f>
        <v/>
      </c>
    </row>
    <row r="364">
      <c r="A364" s="19" t="n">
        <v>37165</v>
      </c>
      <c r="B364" s="61">
        <f>VLOOKUP(Table1[[#This Row],[Date]],database!A:B,2,)</f>
        <v/>
      </c>
      <c r="C364" s="74">
        <f>B364/B363-1</f>
        <v/>
      </c>
      <c r="D364" s="74">
        <f>(Table1[[#This Row],[Index]]-B352)/B352</f>
        <v/>
      </c>
    </row>
    <row r="365">
      <c r="A365" s="19" t="n">
        <v>37196</v>
      </c>
      <c r="B365" s="61">
        <f>VLOOKUP(Table1[[#This Row],[Date]],database!A:B,2,)</f>
        <v/>
      </c>
      <c r="C365" s="74">
        <f>B365/B364-1</f>
        <v/>
      </c>
      <c r="D365" s="74">
        <f>(Table1[[#This Row],[Index]]-B353)/B353</f>
        <v/>
      </c>
    </row>
    <row r="366">
      <c r="A366" s="19" t="n">
        <v>37226</v>
      </c>
      <c r="B366" s="61">
        <f>VLOOKUP(Table1[[#This Row],[Date]],database!A:B,2,)</f>
        <v/>
      </c>
      <c r="C366" s="74">
        <f>B366/B365-1</f>
        <v/>
      </c>
      <c r="D366" s="74">
        <f>(Table1[[#This Row],[Index]]-B354)/B354</f>
        <v/>
      </c>
    </row>
    <row r="367">
      <c r="A367" s="19" t="n">
        <v>37257</v>
      </c>
      <c r="B367" s="61">
        <f>VLOOKUP(Table1[[#This Row],[Date]],database!A:B,2,)</f>
        <v/>
      </c>
      <c r="C367" s="74">
        <f>B367/B366-1</f>
        <v/>
      </c>
      <c r="D367" s="74">
        <f>(Table1[[#This Row],[Index]]-B355)/B355</f>
        <v/>
      </c>
    </row>
    <row r="368">
      <c r="A368" s="19" t="n">
        <v>37288</v>
      </c>
      <c r="B368" s="61">
        <f>VLOOKUP(Table1[[#This Row],[Date]],database!A:B,2,)</f>
        <v/>
      </c>
      <c r="C368" s="74">
        <f>B368/B367-1</f>
        <v/>
      </c>
      <c r="D368" s="74">
        <f>(Table1[[#This Row],[Index]]-B356)/B356</f>
        <v/>
      </c>
    </row>
    <row r="369">
      <c r="A369" s="19" t="n">
        <v>37316</v>
      </c>
      <c r="B369" s="61">
        <f>VLOOKUP(Table1[[#This Row],[Date]],database!A:B,2,)</f>
        <v/>
      </c>
      <c r="C369" s="74">
        <f>B369/B368-1</f>
        <v/>
      </c>
      <c r="D369" s="74">
        <f>(Table1[[#This Row],[Index]]-B357)/B357</f>
        <v/>
      </c>
    </row>
    <row r="370">
      <c r="A370" s="19" t="n">
        <v>37347</v>
      </c>
      <c r="B370" s="61">
        <f>VLOOKUP(Table1[[#This Row],[Date]],database!A:B,2,)</f>
        <v/>
      </c>
      <c r="C370" s="74">
        <f>B370/B369-1</f>
        <v/>
      </c>
      <c r="D370" s="74">
        <f>(Table1[[#This Row],[Index]]-B358)/B358</f>
        <v/>
      </c>
    </row>
    <row r="371">
      <c r="A371" s="19" t="n">
        <v>37377</v>
      </c>
      <c r="B371" s="61">
        <f>VLOOKUP(Table1[[#This Row],[Date]],database!A:B,2,)</f>
        <v/>
      </c>
      <c r="C371" s="74">
        <f>B371/B370-1</f>
        <v/>
      </c>
      <c r="D371" s="74">
        <f>(Table1[[#This Row],[Index]]-B359)/B359</f>
        <v/>
      </c>
    </row>
    <row r="372">
      <c r="A372" s="19" t="n">
        <v>37408</v>
      </c>
      <c r="B372" s="61">
        <f>VLOOKUP(Table1[[#This Row],[Date]],database!A:B,2,)</f>
        <v/>
      </c>
      <c r="C372" s="74">
        <f>B372/B371-1</f>
        <v/>
      </c>
      <c r="D372" s="74">
        <f>(Table1[[#This Row],[Index]]-B360)/B360</f>
        <v/>
      </c>
    </row>
    <row r="373">
      <c r="A373" s="19" t="n">
        <v>37438</v>
      </c>
      <c r="B373" s="61">
        <f>VLOOKUP(Table1[[#This Row],[Date]],database!A:B,2,)</f>
        <v/>
      </c>
      <c r="C373" s="74">
        <f>B373/B372-1</f>
        <v/>
      </c>
      <c r="D373" s="74">
        <f>(Table1[[#This Row],[Index]]-B361)/B361</f>
        <v/>
      </c>
    </row>
    <row r="374">
      <c r="A374" s="19" t="n">
        <v>37469</v>
      </c>
      <c r="B374" s="61">
        <f>VLOOKUP(Table1[[#This Row],[Date]],database!A:B,2,)</f>
        <v/>
      </c>
      <c r="C374" s="74">
        <f>B374/B373-1</f>
        <v/>
      </c>
      <c r="D374" s="74">
        <f>(Table1[[#This Row],[Index]]-B362)/B362</f>
        <v/>
      </c>
    </row>
    <row r="375">
      <c r="A375" s="19" t="n">
        <v>37500</v>
      </c>
      <c r="B375" s="61">
        <f>VLOOKUP(Table1[[#This Row],[Date]],database!A:B,2,)</f>
        <v/>
      </c>
      <c r="C375" s="74">
        <f>B375/B374-1</f>
        <v/>
      </c>
      <c r="D375" s="74">
        <f>(Table1[[#This Row],[Index]]-B363)/B363</f>
        <v/>
      </c>
    </row>
    <row r="376">
      <c r="A376" s="19" t="n">
        <v>37530</v>
      </c>
      <c r="B376" s="61">
        <f>VLOOKUP(Table1[[#This Row],[Date]],database!A:B,2,)</f>
        <v/>
      </c>
      <c r="C376" s="74">
        <f>B376/B375-1</f>
        <v/>
      </c>
      <c r="D376" s="74">
        <f>(Table1[[#This Row],[Index]]-B364)/B364</f>
        <v/>
      </c>
    </row>
    <row r="377">
      <c r="A377" s="19" t="n">
        <v>37561</v>
      </c>
      <c r="B377" s="61">
        <f>VLOOKUP(Table1[[#This Row],[Date]],database!A:B,2,)</f>
        <v/>
      </c>
      <c r="C377" s="74">
        <f>B377/B376-1</f>
        <v/>
      </c>
      <c r="D377" s="74">
        <f>(Table1[[#This Row],[Index]]-B365)/B365</f>
        <v/>
      </c>
    </row>
    <row r="378">
      <c r="A378" s="19" t="n">
        <v>37591</v>
      </c>
      <c r="B378" s="61">
        <f>VLOOKUP(Table1[[#This Row],[Date]],database!A:B,2,)</f>
        <v/>
      </c>
      <c r="C378" s="74">
        <f>B378/B377-1</f>
        <v/>
      </c>
      <c r="D378" s="74">
        <f>(Table1[[#This Row],[Index]]-B366)/B366</f>
        <v/>
      </c>
    </row>
    <row r="379">
      <c r="A379" s="19" t="n">
        <v>37622</v>
      </c>
      <c r="B379" s="61">
        <f>VLOOKUP(Table1[[#This Row],[Date]],database!A:B,2,)</f>
        <v/>
      </c>
      <c r="C379" s="74">
        <f>B379/B378-1</f>
        <v/>
      </c>
      <c r="D379" s="74">
        <f>(Table1[[#This Row],[Index]]-B367)/B367</f>
        <v/>
      </c>
    </row>
    <row r="380">
      <c r="A380" s="19" t="n">
        <v>37653</v>
      </c>
      <c r="B380" s="61">
        <f>VLOOKUP(Table1[[#This Row],[Date]],database!A:B,2,)</f>
        <v/>
      </c>
      <c r="C380" s="74">
        <f>B380/B379-1</f>
        <v/>
      </c>
      <c r="D380" s="74">
        <f>(Table1[[#This Row],[Index]]-B368)/B368</f>
        <v/>
      </c>
    </row>
    <row r="381">
      <c r="A381" s="19" t="n">
        <v>37681</v>
      </c>
      <c r="B381" s="61">
        <f>VLOOKUP(Table1[[#This Row],[Date]],database!A:B,2,)</f>
        <v/>
      </c>
      <c r="C381" s="74">
        <f>B381/B380-1</f>
        <v/>
      </c>
      <c r="D381" s="74">
        <f>(Table1[[#This Row],[Index]]-B369)/B369</f>
        <v/>
      </c>
    </row>
    <row r="382">
      <c r="A382" s="19" t="n">
        <v>37712</v>
      </c>
      <c r="B382" s="61">
        <f>VLOOKUP(Table1[[#This Row],[Date]],database!A:B,2,)</f>
        <v/>
      </c>
      <c r="C382" s="74">
        <f>B382/B381-1</f>
        <v/>
      </c>
      <c r="D382" s="74">
        <f>(Table1[[#This Row],[Index]]-B370)/B370</f>
        <v/>
      </c>
    </row>
    <row r="383">
      <c r="A383" s="19" t="n">
        <v>37742</v>
      </c>
      <c r="B383" s="61">
        <f>VLOOKUP(Table1[[#This Row],[Date]],database!A:B,2,)</f>
        <v/>
      </c>
      <c r="C383" s="74">
        <f>B383/B382-1</f>
        <v/>
      </c>
      <c r="D383" s="74">
        <f>(Table1[[#This Row],[Index]]-B371)/B371</f>
        <v/>
      </c>
    </row>
    <row r="384">
      <c r="A384" s="19" t="n">
        <v>37773</v>
      </c>
      <c r="B384" s="61">
        <f>VLOOKUP(Table1[[#This Row],[Date]],database!A:B,2,)</f>
        <v/>
      </c>
      <c r="C384" s="74">
        <f>B384/B383-1</f>
        <v/>
      </c>
      <c r="D384" s="74">
        <f>(Table1[[#This Row],[Index]]-B372)/B372</f>
        <v/>
      </c>
    </row>
    <row r="385">
      <c r="A385" s="19" t="n">
        <v>37803</v>
      </c>
      <c r="B385" s="61">
        <f>VLOOKUP(Table1[[#This Row],[Date]],database!A:B,2,)</f>
        <v/>
      </c>
      <c r="C385" s="74">
        <f>B385/B384-1</f>
        <v/>
      </c>
      <c r="D385" s="74">
        <f>(Table1[[#This Row],[Index]]-B373)/B373</f>
        <v/>
      </c>
    </row>
    <row r="386">
      <c r="A386" s="19" t="n">
        <v>37834</v>
      </c>
      <c r="B386" s="61">
        <f>VLOOKUP(Table1[[#This Row],[Date]],database!A:B,2,)</f>
        <v/>
      </c>
      <c r="C386" s="74">
        <f>B386/B385-1</f>
        <v/>
      </c>
      <c r="D386" s="74">
        <f>(Table1[[#This Row],[Index]]-B374)/B374</f>
        <v/>
      </c>
    </row>
    <row r="387">
      <c r="A387" s="19" t="n">
        <v>37865</v>
      </c>
      <c r="B387" s="61">
        <f>VLOOKUP(Table1[[#This Row],[Date]],database!A:B,2,)</f>
        <v/>
      </c>
      <c r="C387" s="74">
        <f>B387/B386-1</f>
        <v/>
      </c>
      <c r="D387" s="74">
        <f>(Table1[[#This Row],[Index]]-B375)/B375</f>
        <v/>
      </c>
    </row>
    <row r="388">
      <c r="A388" s="19" t="n">
        <v>37895</v>
      </c>
      <c r="B388" s="61">
        <f>VLOOKUP(Table1[[#This Row],[Date]],database!A:B,2,)</f>
        <v/>
      </c>
      <c r="C388" s="74">
        <f>B388/B387-1</f>
        <v/>
      </c>
      <c r="D388" s="74">
        <f>(Table1[[#This Row],[Index]]-B376)/B376</f>
        <v/>
      </c>
    </row>
    <row r="389">
      <c r="A389" s="19" t="n">
        <v>37926</v>
      </c>
      <c r="B389" s="61">
        <f>VLOOKUP(Table1[[#This Row],[Date]],database!A:B,2,)</f>
        <v/>
      </c>
      <c r="C389" s="74">
        <f>B389/B388-1</f>
        <v/>
      </c>
      <c r="D389" s="74">
        <f>(Table1[[#This Row],[Index]]-B377)/B377</f>
        <v/>
      </c>
    </row>
    <row r="390">
      <c r="A390" s="19" t="n">
        <v>37956</v>
      </c>
      <c r="B390" s="61">
        <f>VLOOKUP(Table1[[#This Row],[Date]],database!A:B,2,)</f>
        <v/>
      </c>
      <c r="C390" s="74">
        <f>B390/B389-1</f>
        <v/>
      </c>
      <c r="D390" s="74">
        <f>(Table1[[#This Row],[Index]]-B378)/B378</f>
        <v/>
      </c>
    </row>
    <row r="391">
      <c r="A391" s="19" t="n">
        <v>37987</v>
      </c>
      <c r="B391" s="61">
        <f>VLOOKUP(Table1[[#This Row],[Date]],database!A:B,2,)</f>
        <v/>
      </c>
      <c r="C391" s="74">
        <f>B391/B390-1</f>
        <v/>
      </c>
      <c r="D391" s="74">
        <f>(Table1[[#This Row],[Index]]-B379)/B379</f>
        <v/>
      </c>
    </row>
    <row r="392">
      <c r="A392" s="19" t="n">
        <v>38018</v>
      </c>
      <c r="B392" s="61">
        <f>VLOOKUP(Table1[[#This Row],[Date]],database!A:B,2,)</f>
        <v/>
      </c>
      <c r="C392" s="74">
        <f>B392/B391-1</f>
        <v/>
      </c>
      <c r="D392" s="74">
        <f>(Table1[[#This Row],[Index]]-B380)/B380</f>
        <v/>
      </c>
    </row>
    <row r="393">
      <c r="A393" s="19" t="n">
        <v>38047</v>
      </c>
      <c r="B393" s="61">
        <f>VLOOKUP(Table1[[#This Row],[Date]],database!A:B,2,)</f>
        <v/>
      </c>
      <c r="C393" s="74">
        <f>B393/B392-1</f>
        <v/>
      </c>
      <c r="D393" s="74">
        <f>(Table1[[#This Row],[Index]]-B381)/B381</f>
        <v/>
      </c>
    </row>
    <row r="394">
      <c r="A394" s="19" t="n">
        <v>38078</v>
      </c>
      <c r="B394" s="61">
        <f>VLOOKUP(Table1[[#This Row],[Date]],database!A:B,2,)</f>
        <v/>
      </c>
      <c r="C394" s="74">
        <f>B394/B393-1</f>
        <v/>
      </c>
      <c r="D394" s="74">
        <f>(Table1[[#This Row],[Index]]-B382)/B382</f>
        <v/>
      </c>
    </row>
    <row r="395">
      <c r="A395" s="19" t="n">
        <v>38108</v>
      </c>
      <c r="B395" s="61">
        <f>VLOOKUP(Table1[[#This Row],[Date]],database!A:B,2,)</f>
        <v/>
      </c>
      <c r="C395" s="74">
        <f>B395/B394-1</f>
        <v/>
      </c>
      <c r="D395" s="74">
        <f>(Table1[[#This Row],[Index]]-B383)/B383</f>
        <v/>
      </c>
    </row>
    <row r="396">
      <c r="A396" s="19" t="n">
        <v>38139</v>
      </c>
      <c r="B396" s="61">
        <f>VLOOKUP(Table1[[#This Row],[Date]],database!A:B,2,)</f>
        <v/>
      </c>
      <c r="C396" s="74">
        <f>B396/B395-1</f>
        <v/>
      </c>
      <c r="D396" s="74">
        <f>(Table1[[#This Row],[Index]]-B384)/B384</f>
        <v/>
      </c>
    </row>
    <row r="397">
      <c r="A397" s="19" t="n">
        <v>38169</v>
      </c>
      <c r="B397" s="61">
        <f>VLOOKUP(Table1[[#This Row],[Date]],database!A:B,2,)</f>
        <v/>
      </c>
      <c r="C397" s="74">
        <f>B397/B396-1</f>
        <v/>
      </c>
      <c r="D397" s="74">
        <f>(Table1[[#This Row],[Index]]-B385)/B385</f>
        <v/>
      </c>
    </row>
    <row r="398">
      <c r="A398" s="19" t="n">
        <v>38200</v>
      </c>
      <c r="B398" s="61">
        <f>VLOOKUP(Table1[[#This Row],[Date]],database!A:B,2,)</f>
        <v/>
      </c>
      <c r="C398" s="74">
        <f>B398/B397-1</f>
        <v/>
      </c>
      <c r="D398" s="74">
        <f>(Table1[[#This Row],[Index]]-B386)/B386</f>
        <v/>
      </c>
    </row>
    <row r="399">
      <c r="A399" s="19" t="n">
        <v>38231</v>
      </c>
      <c r="B399" s="61">
        <f>VLOOKUP(Table1[[#This Row],[Date]],database!A:B,2,)</f>
        <v/>
      </c>
      <c r="C399" s="74">
        <f>B399/B398-1</f>
        <v/>
      </c>
      <c r="D399" s="74">
        <f>(Table1[[#This Row],[Index]]-B387)/B387</f>
        <v/>
      </c>
    </row>
    <row r="400">
      <c r="A400" s="19" t="n">
        <v>38261</v>
      </c>
      <c r="B400" s="61">
        <f>VLOOKUP(Table1[[#This Row],[Date]],database!A:B,2,)</f>
        <v/>
      </c>
      <c r="C400" s="74">
        <f>B400/B399-1</f>
        <v/>
      </c>
      <c r="D400" s="74">
        <f>(Table1[[#This Row],[Index]]-B388)/B388</f>
        <v/>
      </c>
    </row>
    <row r="401">
      <c r="A401" s="19" t="n">
        <v>38292</v>
      </c>
      <c r="B401" s="61">
        <f>VLOOKUP(Table1[[#This Row],[Date]],database!A:B,2,)</f>
        <v/>
      </c>
      <c r="C401" s="74">
        <f>B401/B400-1</f>
        <v/>
      </c>
      <c r="D401" s="74">
        <f>(Table1[[#This Row],[Index]]-B389)/B389</f>
        <v/>
      </c>
    </row>
    <row r="402">
      <c r="A402" s="19" t="n">
        <v>38322</v>
      </c>
      <c r="B402" s="61">
        <f>VLOOKUP(Table1[[#This Row],[Date]],database!A:B,2,)</f>
        <v/>
      </c>
      <c r="C402" s="74">
        <f>B402/B401-1</f>
        <v/>
      </c>
      <c r="D402" s="74">
        <f>(Table1[[#This Row],[Index]]-B390)/B390</f>
        <v/>
      </c>
    </row>
    <row r="403">
      <c r="A403" s="19" t="n">
        <v>38353</v>
      </c>
      <c r="B403" s="61">
        <f>VLOOKUP(Table1[[#This Row],[Date]],database!A:B,2,)</f>
        <v/>
      </c>
      <c r="C403" s="74">
        <f>B403/B402-1</f>
        <v/>
      </c>
      <c r="D403" s="74">
        <f>(Table1[[#This Row],[Index]]-B391)/B391</f>
        <v/>
      </c>
    </row>
    <row r="404">
      <c r="A404" s="19" t="n">
        <v>38384</v>
      </c>
      <c r="B404" s="61">
        <f>VLOOKUP(Table1[[#This Row],[Date]],database!A:B,2,)</f>
        <v/>
      </c>
      <c r="C404" s="74">
        <f>B404/B403-1</f>
        <v/>
      </c>
      <c r="D404" s="74">
        <f>(Table1[[#This Row],[Index]]-B392)/B392</f>
        <v/>
      </c>
    </row>
    <row r="405">
      <c r="A405" s="19" t="n">
        <v>38412</v>
      </c>
      <c r="B405" s="61">
        <f>VLOOKUP(Table1[[#This Row],[Date]],database!A:B,2,)</f>
        <v/>
      </c>
      <c r="C405" s="74">
        <f>B405/B404-1</f>
        <v/>
      </c>
      <c r="D405" s="74">
        <f>(Table1[[#This Row],[Index]]-B393)/B393</f>
        <v/>
      </c>
    </row>
    <row r="406">
      <c r="A406" s="19" t="n">
        <v>38443</v>
      </c>
      <c r="B406" s="61">
        <f>VLOOKUP(Table1[[#This Row],[Date]],database!A:B,2,)</f>
        <v/>
      </c>
      <c r="C406" s="74">
        <f>B406/B405-1</f>
        <v/>
      </c>
      <c r="D406" s="74">
        <f>(Table1[[#This Row],[Index]]-B394)/B394</f>
        <v/>
      </c>
    </row>
    <row r="407">
      <c r="A407" s="19" t="n">
        <v>38473</v>
      </c>
      <c r="B407" s="61">
        <f>VLOOKUP(Table1[[#This Row],[Date]],database!A:B,2,)</f>
        <v/>
      </c>
      <c r="C407" s="74">
        <f>B407/B406-1</f>
        <v/>
      </c>
      <c r="D407" s="74">
        <f>(Table1[[#This Row],[Index]]-B395)/B395</f>
        <v/>
      </c>
    </row>
    <row r="408">
      <c r="A408" s="19" t="n">
        <v>38504</v>
      </c>
      <c r="B408" s="61">
        <f>VLOOKUP(Table1[[#This Row],[Date]],database!A:B,2,)</f>
        <v/>
      </c>
      <c r="C408" s="74">
        <f>B408/B407-1</f>
        <v/>
      </c>
      <c r="D408" s="74">
        <f>(Table1[[#This Row],[Index]]-B396)/B396</f>
        <v/>
      </c>
    </row>
    <row r="409">
      <c r="A409" s="19" t="n">
        <v>38534</v>
      </c>
      <c r="B409" s="61">
        <f>VLOOKUP(Table1[[#This Row],[Date]],database!A:B,2,)</f>
        <v/>
      </c>
      <c r="C409" s="74">
        <f>B409/B408-1</f>
        <v/>
      </c>
      <c r="D409" s="74">
        <f>(Table1[[#This Row],[Index]]-B397)/B397</f>
        <v/>
      </c>
    </row>
    <row r="410">
      <c r="A410" s="19" t="n">
        <v>38565</v>
      </c>
      <c r="B410" s="61">
        <f>VLOOKUP(Table1[[#This Row],[Date]],database!A:B,2,)</f>
        <v/>
      </c>
      <c r="C410" s="74">
        <f>B410/B409-1</f>
        <v/>
      </c>
      <c r="D410" s="74">
        <f>(Table1[[#This Row],[Index]]-B398)/B398</f>
        <v/>
      </c>
    </row>
    <row r="411">
      <c r="A411" s="19" t="n">
        <v>38596</v>
      </c>
      <c r="B411" s="61">
        <f>VLOOKUP(Table1[[#This Row],[Date]],database!A:B,2,)</f>
        <v/>
      </c>
      <c r="C411" s="74">
        <f>B411/B410-1</f>
        <v/>
      </c>
      <c r="D411" s="74">
        <f>(Table1[[#This Row],[Index]]-B399)/B399</f>
        <v/>
      </c>
    </row>
    <row r="412">
      <c r="A412" s="19" t="n">
        <v>38626</v>
      </c>
      <c r="B412" s="61">
        <f>VLOOKUP(Table1[[#This Row],[Date]],database!A:B,2,)</f>
        <v/>
      </c>
      <c r="C412" s="74">
        <f>B412/B411-1</f>
        <v/>
      </c>
      <c r="D412" s="74">
        <f>(Table1[[#This Row],[Index]]-B400)/B400</f>
        <v/>
      </c>
    </row>
    <row r="413">
      <c r="A413" s="19" t="n">
        <v>38657</v>
      </c>
      <c r="B413" s="61">
        <f>VLOOKUP(Table1[[#This Row],[Date]],database!A:B,2,)</f>
        <v/>
      </c>
      <c r="C413" s="74">
        <f>B413/B412-1</f>
        <v/>
      </c>
      <c r="D413" s="74">
        <f>(Table1[[#This Row],[Index]]-B401)/B401</f>
        <v/>
      </c>
    </row>
    <row r="414">
      <c r="A414" s="19" t="n">
        <v>38687</v>
      </c>
      <c r="B414" s="61">
        <f>VLOOKUP(Table1[[#This Row],[Date]],database!A:B,2,)</f>
        <v/>
      </c>
      <c r="C414" s="74">
        <f>B414/B413-1</f>
        <v/>
      </c>
      <c r="D414" s="74">
        <f>(Table1[[#This Row],[Index]]-B402)/B402</f>
        <v/>
      </c>
    </row>
    <row r="415">
      <c r="A415" s="19" t="n">
        <v>38718</v>
      </c>
      <c r="B415" s="61">
        <f>VLOOKUP(Table1[[#This Row],[Date]],database!A:B,2,)</f>
        <v/>
      </c>
      <c r="C415" s="74">
        <f>B415/B414-1</f>
        <v/>
      </c>
      <c r="D415" s="74">
        <f>(Table1[[#This Row],[Index]]-B403)/B403</f>
        <v/>
      </c>
    </row>
    <row r="416">
      <c r="A416" s="19" t="n">
        <v>38749</v>
      </c>
      <c r="B416" s="61">
        <f>VLOOKUP(Table1[[#This Row],[Date]],database!A:B,2,)</f>
        <v/>
      </c>
      <c r="C416" s="74">
        <f>B416/B415-1</f>
        <v/>
      </c>
      <c r="D416" s="74">
        <f>(Table1[[#This Row],[Index]]-B404)/B404</f>
        <v/>
      </c>
    </row>
    <row r="417">
      <c r="A417" s="19" t="n">
        <v>38777</v>
      </c>
      <c r="B417" s="61">
        <f>VLOOKUP(Table1[[#This Row],[Date]],database!A:B,2,)</f>
        <v/>
      </c>
      <c r="C417" s="74">
        <f>B417/B416-1</f>
        <v/>
      </c>
      <c r="D417" s="74">
        <f>(Table1[[#This Row],[Index]]-B405)/B405</f>
        <v/>
      </c>
    </row>
    <row r="418">
      <c r="A418" s="19" t="n">
        <v>38808</v>
      </c>
      <c r="B418" s="61">
        <f>VLOOKUP(Table1[[#This Row],[Date]],database!A:B,2,)</f>
        <v/>
      </c>
      <c r="C418" s="74">
        <f>B418/B417-1</f>
        <v/>
      </c>
      <c r="D418" s="74">
        <f>(Table1[[#This Row],[Index]]-B406)/B406</f>
        <v/>
      </c>
    </row>
    <row r="419">
      <c r="A419" s="19" t="n">
        <v>38838</v>
      </c>
      <c r="B419" s="61">
        <f>VLOOKUP(Table1[[#This Row],[Date]],database!A:B,2,)</f>
        <v/>
      </c>
      <c r="C419" s="74">
        <f>B419/B418-1</f>
        <v/>
      </c>
      <c r="D419" s="74">
        <f>(Table1[[#This Row],[Index]]-B407)/B407</f>
        <v/>
      </c>
    </row>
    <row r="420">
      <c r="A420" s="19" t="n">
        <v>38869</v>
      </c>
      <c r="B420" s="61">
        <f>VLOOKUP(Table1[[#This Row],[Date]],database!A:B,2,)</f>
        <v/>
      </c>
      <c r="C420" s="74">
        <f>B420/B419-1</f>
        <v/>
      </c>
      <c r="D420" s="74">
        <f>(Table1[[#This Row],[Index]]-B408)/B408</f>
        <v/>
      </c>
    </row>
    <row r="421">
      <c r="A421" s="19" t="n">
        <v>38899</v>
      </c>
      <c r="B421" s="61">
        <f>VLOOKUP(Table1[[#This Row],[Date]],database!A:B,2,)</f>
        <v/>
      </c>
      <c r="C421" s="74">
        <f>B421/B420-1</f>
        <v/>
      </c>
      <c r="D421" s="74">
        <f>(Table1[[#This Row],[Index]]-B409)/B409</f>
        <v/>
      </c>
    </row>
    <row r="422">
      <c r="A422" s="19" t="n">
        <v>38930</v>
      </c>
      <c r="B422" s="61">
        <f>VLOOKUP(Table1[[#This Row],[Date]],database!A:B,2,)</f>
        <v/>
      </c>
      <c r="C422" s="74">
        <f>B422/B421-1</f>
        <v/>
      </c>
      <c r="D422" s="74">
        <f>(Table1[[#This Row],[Index]]-B410)/B410</f>
        <v/>
      </c>
    </row>
    <row r="423">
      <c r="A423" s="19" t="n">
        <v>38961</v>
      </c>
      <c r="B423" s="61">
        <f>VLOOKUP(Table1[[#This Row],[Date]],database!A:B,2,)</f>
        <v/>
      </c>
      <c r="C423" s="74">
        <f>B423/B422-1</f>
        <v/>
      </c>
      <c r="D423" s="74">
        <f>(Table1[[#This Row],[Index]]-B411)/B411</f>
        <v/>
      </c>
    </row>
    <row r="424">
      <c r="A424" s="19" t="n">
        <v>38991</v>
      </c>
      <c r="B424" s="61">
        <f>VLOOKUP(Table1[[#This Row],[Date]],database!A:B,2,)</f>
        <v/>
      </c>
      <c r="C424" s="74">
        <f>B424/B423-1</f>
        <v/>
      </c>
      <c r="D424" s="74">
        <f>(Table1[[#This Row],[Index]]-B412)/B412</f>
        <v/>
      </c>
    </row>
    <row r="425">
      <c r="A425" s="19" t="n">
        <v>39022</v>
      </c>
      <c r="B425" s="61">
        <f>VLOOKUP(Table1[[#This Row],[Date]],database!A:B,2,)</f>
        <v/>
      </c>
      <c r="C425" s="74">
        <f>B425/B424-1</f>
        <v/>
      </c>
      <c r="D425" s="74">
        <f>(Table1[[#This Row],[Index]]-B413)/B413</f>
        <v/>
      </c>
    </row>
    <row r="426">
      <c r="A426" s="19" t="n">
        <v>39052</v>
      </c>
      <c r="B426" s="61">
        <f>VLOOKUP(Table1[[#This Row],[Date]],database!A:B,2,)</f>
        <v/>
      </c>
      <c r="C426" s="74">
        <f>B426/B425-1</f>
        <v/>
      </c>
      <c r="D426" s="74">
        <f>(Table1[[#This Row],[Index]]-B414)/B414</f>
        <v/>
      </c>
    </row>
    <row r="427">
      <c r="A427" s="19" t="n">
        <v>39083</v>
      </c>
      <c r="B427" s="61">
        <f>VLOOKUP(Table1[[#This Row],[Date]],database!A:B,2,)</f>
        <v/>
      </c>
      <c r="C427" s="74">
        <f>B427/B426-1</f>
        <v/>
      </c>
      <c r="D427" s="74">
        <f>(Table1[[#This Row],[Index]]-B415)/B415</f>
        <v/>
      </c>
    </row>
    <row r="428">
      <c r="A428" s="19" t="n">
        <v>39114</v>
      </c>
      <c r="B428" s="61">
        <f>VLOOKUP(Table1[[#This Row],[Date]],database!A:B,2,)</f>
        <v/>
      </c>
      <c r="C428" s="74">
        <f>B428/B427-1</f>
        <v/>
      </c>
      <c r="D428" s="74">
        <f>(Table1[[#This Row],[Index]]-B416)/B416</f>
        <v/>
      </c>
    </row>
    <row r="429">
      <c r="A429" s="19" t="n">
        <v>39142</v>
      </c>
      <c r="B429" s="61">
        <f>VLOOKUP(Table1[[#This Row],[Date]],database!A:B,2,)</f>
        <v/>
      </c>
      <c r="C429" s="74">
        <f>B429/B428-1</f>
        <v/>
      </c>
      <c r="D429" s="74">
        <f>(Table1[[#This Row],[Index]]-B417)/B417</f>
        <v/>
      </c>
    </row>
    <row r="430">
      <c r="A430" s="19" t="n">
        <v>39173</v>
      </c>
      <c r="B430" s="61">
        <f>VLOOKUP(Table1[[#This Row],[Date]],database!A:B,2,)</f>
        <v/>
      </c>
      <c r="C430" s="74">
        <f>B430/B429-1</f>
        <v/>
      </c>
      <c r="D430" s="74">
        <f>(Table1[[#This Row],[Index]]-B418)/B418</f>
        <v/>
      </c>
    </row>
    <row r="431">
      <c r="A431" s="19" t="n">
        <v>39203</v>
      </c>
      <c r="B431" s="61">
        <f>VLOOKUP(Table1[[#This Row],[Date]],database!A:B,2,)</f>
        <v/>
      </c>
      <c r="C431" s="74">
        <f>B431/B430-1</f>
        <v/>
      </c>
      <c r="D431" s="74">
        <f>(Table1[[#This Row],[Index]]-B419)/B419</f>
        <v/>
      </c>
    </row>
    <row r="432">
      <c r="A432" s="19" t="n">
        <v>39234</v>
      </c>
      <c r="B432" s="61">
        <f>VLOOKUP(Table1[[#This Row],[Date]],database!A:B,2,)</f>
        <v/>
      </c>
      <c r="C432" s="74">
        <f>B432/B431-1</f>
        <v/>
      </c>
      <c r="D432" s="74">
        <f>(Table1[[#This Row],[Index]]-B420)/B420</f>
        <v/>
      </c>
    </row>
    <row r="433">
      <c r="A433" s="19" t="n">
        <v>39264</v>
      </c>
      <c r="B433" s="61">
        <f>VLOOKUP(Table1[[#This Row],[Date]],database!A:B,2,)</f>
        <v/>
      </c>
      <c r="C433" s="74">
        <f>B433/B432-1</f>
        <v/>
      </c>
      <c r="D433" s="74">
        <f>(Table1[[#This Row],[Index]]-B421)/B421</f>
        <v/>
      </c>
    </row>
    <row r="434">
      <c r="A434" s="19" t="n">
        <v>39295</v>
      </c>
      <c r="B434" s="61">
        <f>VLOOKUP(Table1[[#This Row],[Date]],database!A:B,2,)</f>
        <v/>
      </c>
      <c r="C434" s="74">
        <f>B434/B433-1</f>
        <v/>
      </c>
      <c r="D434" s="74">
        <f>(Table1[[#This Row],[Index]]-B422)/B422</f>
        <v/>
      </c>
    </row>
    <row r="435">
      <c r="A435" s="19" t="n">
        <v>39326</v>
      </c>
      <c r="B435" s="61">
        <f>VLOOKUP(Table1[[#This Row],[Date]],database!A:B,2,)</f>
        <v/>
      </c>
      <c r="C435" s="74">
        <f>B435/B434-1</f>
        <v/>
      </c>
      <c r="D435" s="74">
        <f>(Table1[[#This Row],[Index]]-B423)/B423</f>
        <v/>
      </c>
    </row>
    <row r="436">
      <c r="A436" s="19" t="n">
        <v>39356</v>
      </c>
      <c r="B436" s="61">
        <f>VLOOKUP(Table1[[#This Row],[Date]],database!A:B,2,)</f>
        <v/>
      </c>
      <c r="C436" s="74">
        <f>B436/B435-1</f>
        <v/>
      </c>
      <c r="D436" s="74">
        <f>(Table1[[#This Row],[Index]]-B424)/B424</f>
        <v/>
      </c>
    </row>
    <row r="437">
      <c r="A437" s="19" t="n">
        <v>39387</v>
      </c>
      <c r="B437" s="61">
        <f>VLOOKUP(Table1[[#This Row],[Date]],database!A:B,2,)</f>
        <v/>
      </c>
      <c r="C437" s="74">
        <f>B437/B436-1</f>
        <v/>
      </c>
      <c r="D437" s="74">
        <f>(Table1[[#This Row],[Index]]-B425)/B425</f>
        <v/>
      </c>
    </row>
    <row r="438">
      <c r="A438" s="19" t="n">
        <v>39417</v>
      </c>
      <c r="B438" s="61">
        <f>VLOOKUP(Table1[[#This Row],[Date]],database!A:B,2,)</f>
        <v/>
      </c>
      <c r="C438" s="74">
        <f>B438/B437-1</f>
        <v/>
      </c>
      <c r="D438" s="74">
        <f>(Table1[[#This Row],[Index]]-B426)/B426</f>
        <v/>
      </c>
    </row>
    <row r="439">
      <c r="A439" s="19" t="n">
        <v>39448</v>
      </c>
      <c r="B439" s="61">
        <f>VLOOKUP(Table1[[#This Row],[Date]],database!A:B,2,)</f>
        <v/>
      </c>
      <c r="C439" s="74">
        <f>B439/B438-1</f>
        <v/>
      </c>
      <c r="D439" s="74">
        <f>(Table1[[#This Row],[Index]]-B427)/B427</f>
        <v/>
      </c>
    </row>
    <row r="440">
      <c r="A440" s="19" t="n">
        <v>39479</v>
      </c>
      <c r="B440" s="61">
        <f>VLOOKUP(Table1[[#This Row],[Date]],database!A:B,2,)</f>
        <v/>
      </c>
      <c r="C440" s="74">
        <f>B440/B439-1</f>
        <v/>
      </c>
      <c r="D440" s="74">
        <f>(Table1[[#This Row],[Index]]-B428)/B428</f>
        <v/>
      </c>
    </row>
    <row r="441">
      <c r="A441" s="19" t="n">
        <v>39508</v>
      </c>
      <c r="B441" s="61">
        <f>VLOOKUP(Table1[[#This Row],[Date]],database!A:B,2,)</f>
        <v/>
      </c>
      <c r="C441" s="74">
        <f>B441/B440-1</f>
        <v/>
      </c>
      <c r="D441" s="74">
        <f>(Table1[[#This Row],[Index]]-B429)/B429</f>
        <v/>
      </c>
    </row>
    <row r="442">
      <c r="A442" s="19" t="n">
        <v>39539</v>
      </c>
      <c r="B442" s="61">
        <f>VLOOKUP(Table1[[#This Row],[Date]],database!A:B,2,)</f>
        <v/>
      </c>
      <c r="C442" s="74">
        <f>B442/B441-1</f>
        <v/>
      </c>
      <c r="D442" s="74">
        <f>(Table1[[#This Row],[Index]]-B430)/B430</f>
        <v/>
      </c>
    </row>
    <row r="443">
      <c r="A443" s="19" t="n">
        <v>39569</v>
      </c>
      <c r="B443" s="61">
        <f>VLOOKUP(Table1[[#This Row],[Date]],database!A:B,2,)</f>
        <v/>
      </c>
      <c r="C443" s="74">
        <f>B443/B442-1</f>
        <v/>
      </c>
      <c r="D443" s="74">
        <f>(Table1[[#This Row],[Index]]-B431)/B431</f>
        <v/>
      </c>
    </row>
    <row r="444">
      <c r="A444" s="19" t="n">
        <v>39600</v>
      </c>
      <c r="B444" s="61">
        <f>VLOOKUP(Table1[[#This Row],[Date]],database!A:B,2,)</f>
        <v/>
      </c>
      <c r="C444" s="74">
        <f>B444/B443-1</f>
        <v/>
      </c>
      <c r="D444" s="74">
        <f>(Table1[[#This Row],[Index]]-B432)/B432</f>
        <v/>
      </c>
    </row>
    <row r="445">
      <c r="A445" s="19" t="n">
        <v>39630</v>
      </c>
      <c r="B445" s="61">
        <f>VLOOKUP(Table1[[#This Row],[Date]],database!A:B,2,)</f>
        <v/>
      </c>
      <c r="C445" s="74">
        <f>B445/B444-1</f>
        <v/>
      </c>
      <c r="D445" s="74">
        <f>(Table1[[#This Row],[Index]]-B433)/B433</f>
        <v/>
      </c>
    </row>
    <row r="446">
      <c r="A446" s="19" t="n">
        <v>39661</v>
      </c>
      <c r="B446" s="61">
        <f>VLOOKUP(Table1[[#This Row],[Date]],database!A:B,2,)</f>
        <v/>
      </c>
      <c r="C446" s="74">
        <f>B446/B445-1</f>
        <v/>
      </c>
      <c r="D446" s="74">
        <f>(Table1[[#This Row],[Index]]-B434)/B434</f>
        <v/>
      </c>
    </row>
    <row r="447">
      <c r="A447" s="19" t="n">
        <v>39692</v>
      </c>
      <c r="B447" s="61">
        <f>VLOOKUP(Table1[[#This Row],[Date]],database!A:B,2,)</f>
        <v/>
      </c>
      <c r="C447" s="74">
        <f>B447/B446-1</f>
        <v/>
      </c>
      <c r="D447" s="74">
        <f>(Table1[[#This Row],[Index]]-B435)/B435</f>
        <v/>
      </c>
    </row>
    <row r="448">
      <c r="A448" s="19" t="n">
        <v>39722</v>
      </c>
      <c r="B448" s="61">
        <f>VLOOKUP(Table1[[#This Row],[Date]],database!A:B,2,)</f>
        <v/>
      </c>
      <c r="C448" s="74">
        <f>B448/B447-1</f>
        <v/>
      </c>
      <c r="D448" s="74">
        <f>(Table1[[#This Row],[Index]]-B436)/B436</f>
        <v/>
      </c>
    </row>
    <row r="449">
      <c r="A449" s="19" t="n">
        <v>39753</v>
      </c>
      <c r="B449" s="61">
        <f>VLOOKUP(Table1[[#This Row],[Date]],database!A:B,2,)</f>
        <v/>
      </c>
      <c r="C449" s="74">
        <f>B449/B448-1</f>
        <v/>
      </c>
      <c r="D449" s="74">
        <f>(Table1[[#This Row],[Index]]-B437)/B437</f>
        <v/>
      </c>
    </row>
    <row r="450">
      <c r="A450" s="19" t="n">
        <v>39783</v>
      </c>
      <c r="B450" s="61">
        <f>VLOOKUP(Table1[[#This Row],[Date]],database!A:B,2,)</f>
        <v/>
      </c>
      <c r="C450" s="74">
        <f>B450/B449-1</f>
        <v/>
      </c>
      <c r="D450" s="74">
        <f>(Table1[[#This Row],[Index]]-B438)/B438</f>
        <v/>
      </c>
    </row>
    <row r="451">
      <c r="A451" s="19" t="n">
        <v>39814</v>
      </c>
      <c r="B451" s="61">
        <f>VLOOKUP(Table1[[#This Row],[Date]],database!A:B,2,)</f>
        <v/>
      </c>
      <c r="C451" s="74">
        <f>B451/B450-1</f>
        <v/>
      </c>
      <c r="D451" s="74">
        <f>(Table1[[#This Row],[Index]]-B439)/B439</f>
        <v/>
      </c>
    </row>
    <row r="452">
      <c r="A452" s="19" t="n">
        <v>39845</v>
      </c>
      <c r="B452" s="61">
        <f>VLOOKUP(Table1[[#This Row],[Date]],database!A:B,2,)</f>
        <v/>
      </c>
      <c r="C452" s="74">
        <f>B452/B451-1</f>
        <v/>
      </c>
      <c r="D452" s="74">
        <f>(Table1[[#This Row],[Index]]-B440)/B440</f>
        <v/>
      </c>
    </row>
    <row r="453">
      <c r="A453" s="19" t="n">
        <v>39873</v>
      </c>
      <c r="B453" s="61">
        <f>VLOOKUP(Table1[[#This Row],[Date]],database!A:B,2,)</f>
        <v/>
      </c>
      <c r="C453" s="74">
        <f>B453/B452-1</f>
        <v/>
      </c>
      <c r="D453" s="74">
        <f>(Table1[[#This Row],[Index]]-B441)/B441</f>
        <v/>
      </c>
    </row>
    <row r="454">
      <c r="A454" s="19" t="n">
        <v>39904</v>
      </c>
      <c r="B454" s="61">
        <f>VLOOKUP(Table1[[#This Row],[Date]],database!A:B,2,)</f>
        <v/>
      </c>
      <c r="C454" s="74">
        <f>B454/B453-1</f>
        <v/>
      </c>
      <c r="D454" s="74">
        <f>(Table1[[#This Row],[Index]]-B442)/B442</f>
        <v/>
      </c>
    </row>
    <row r="455">
      <c r="A455" s="19" t="n">
        <v>39934</v>
      </c>
      <c r="B455" s="61">
        <f>VLOOKUP(Table1[[#This Row],[Date]],database!A:B,2,)</f>
        <v/>
      </c>
      <c r="C455" s="74">
        <f>B455/B454-1</f>
        <v/>
      </c>
      <c r="D455" s="74">
        <f>(Table1[[#This Row],[Index]]-B443)/B443</f>
        <v/>
      </c>
    </row>
    <row r="456">
      <c r="A456" s="19" t="n">
        <v>39965</v>
      </c>
      <c r="B456" s="61">
        <f>VLOOKUP(Table1[[#This Row],[Date]],database!A:B,2,)</f>
        <v/>
      </c>
      <c r="C456" s="74">
        <f>B456/B455-1</f>
        <v/>
      </c>
      <c r="D456" s="74">
        <f>(Table1[[#This Row],[Index]]-B444)/B444</f>
        <v/>
      </c>
    </row>
    <row r="457">
      <c r="A457" s="19" t="n">
        <v>39995</v>
      </c>
      <c r="B457" s="61">
        <f>VLOOKUP(Table1[[#This Row],[Date]],database!A:B,2,)</f>
        <v/>
      </c>
      <c r="C457" s="74">
        <f>B457/B456-1</f>
        <v/>
      </c>
      <c r="D457" s="74">
        <f>(Table1[[#This Row],[Index]]-B445)/B445</f>
        <v/>
      </c>
    </row>
    <row r="458">
      <c r="A458" s="19" t="n">
        <v>40026</v>
      </c>
      <c r="B458" s="61">
        <f>VLOOKUP(Table1[[#This Row],[Date]],database!A:B,2,)</f>
        <v/>
      </c>
      <c r="C458" s="74">
        <f>B458/B457-1</f>
        <v/>
      </c>
      <c r="D458" s="74">
        <f>(Table1[[#This Row],[Index]]-B446)/B446</f>
        <v/>
      </c>
    </row>
    <row r="459">
      <c r="A459" s="19" t="n">
        <v>40057</v>
      </c>
      <c r="B459" s="61">
        <f>VLOOKUP(Table1[[#This Row],[Date]],database!A:B,2,)</f>
        <v/>
      </c>
      <c r="C459" s="74">
        <f>B459/B458-1</f>
        <v/>
      </c>
      <c r="D459" s="74">
        <f>(Table1[[#This Row],[Index]]-B447)/B447</f>
        <v/>
      </c>
    </row>
    <row r="460">
      <c r="A460" s="19" t="n">
        <v>40087</v>
      </c>
      <c r="B460" s="61">
        <f>VLOOKUP(Table1[[#This Row],[Date]],database!A:B,2,)</f>
        <v/>
      </c>
      <c r="C460" s="74">
        <f>B460/B459-1</f>
        <v/>
      </c>
      <c r="D460" s="74">
        <f>(Table1[[#This Row],[Index]]-B448)/B448</f>
        <v/>
      </c>
    </row>
    <row r="461">
      <c r="A461" s="19" t="n">
        <v>40118</v>
      </c>
      <c r="B461" s="61">
        <f>VLOOKUP(Table1[[#This Row],[Date]],database!A:B,2,)</f>
        <v/>
      </c>
      <c r="C461" s="74">
        <f>B461/B460-1</f>
        <v/>
      </c>
      <c r="D461" s="74">
        <f>(Table1[[#This Row],[Index]]-B449)/B449</f>
        <v/>
      </c>
    </row>
    <row r="462">
      <c r="A462" s="19" t="n">
        <v>40148</v>
      </c>
      <c r="B462" s="61">
        <f>VLOOKUP(Table1[[#This Row],[Date]],database!A:B,2,)</f>
        <v/>
      </c>
      <c r="C462" s="74">
        <f>B462/B461-1</f>
        <v/>
      </c>
      <c r="D462" s="74">
        <f>(Table1[[#This Row],[Index]]-B450)/B450</f>
        <v/>
      </c>
    </row>
    <row r="463">
      <c r="A463" s="19" t="n">
        <v>40179</v>
      </c>
      <c r="B463" s="61">
        <f>VLOOKUP(Table1[[#This Row],[Date]],database!A:B,2,)</f>
        <v/>
      </c>
      <c r="C463" s="74">
        <f>B463/B462-1</f>
        <v/>
      </c>
      <c r="D463" s="74">
        <f>(Table1[[#This Row],[Index]]-B451)/B451</f>
        <v/>
      </c>
    </row>
    <row r="464">
      <c r="A464" s="19" t="n">
        <v>40210</v>
      </c>
      <c r="B464" s="61">
        <f>VLOOKUP(Table1[[#This Row],[Date]],database!A:B,2,)</f>
        <v/>
      </c>
      <c r="C464" s="74">
        <f>B464/B463-1</f>
        <v/>
      </c>
      <c r="D464" s="74">
        <f>(Table1[[#This Row],[Index]]-B452)/B452</f>
        <v/>
      </c>
    </row>
    <row r="465">
      <c r="A465" s="19" t="n">
        <v>40238</v>
      </c>
      <c r="B465" s="61">
        <f>VLOOKUP(Table1[[#This Row],[Date]],database!A:B,2,)</f>
        <v/>
      </c>
      <c r="C465" s="74">
        <f>B465/B464-1</f>
        <v/>
      </c>
      <c r="D465" s="74">
        <f>(Table1[[#This Row],[Index]]-B453)/B453</f>
        <v/>
      </c>
    </row>
    <row r="466">
      <c r="A466" s="19" t="n">
        <v>40269</v>
      </c>
      <c r="B466" s="61">
        <f>VLOOKUP(Table1[[#This Row],[Date]],database!A:B,2,)</f>
        <v/>
      </c>
      <c r="C466" s="74">
        <f>B466/B465-1</f>
        <v/>
      </c>
      <c r="D466" s="74">
        <f>(Table1[[#This Row],[Index]]-B454)/B454</f>
        <v/>
      </c>
    </row>
    <row r="467">
      <c r="A467" s="19" t="n">
        <v>40299</v>
      </c>
      <c r="B467" s="61">
        <f>VLOOKUP(Table1[[#This Row],[Date]],database!A:B,2,)</f>
        <v/>
      </c>
      <c r="C467" s="74">
        <f>B467/B466-1</f>
        <v/>
      </c>
      <c r="D467" s="74">
        <f>(Table1[[#This Row],[Index]]-B455)/B455</f>
        <v/>
      </c>
    </row>
    <row r="468">
      <c r="A468" s="19" t="n">
        <v>40330</v>
      </c>
      <c r="B468" s="61">
        <f>VLOOKUP(Table1[[#This Row],[Date]],database!A:B,2,)</f>
        <v/>
      </c>
      <c r="C468" s="74">
        <f>B468/B467-1</f>
        <v/>
      </c>
      <c r="D468" s="74">
        <f>(Table1[[#This Row],[Index]]-B456)/B456</f>
        <v/>
      </c>
    </row>
    <row r="469">
      <c r="A469" s="19" t="n">
        <v>40360</v>
      </c>
      <c r="B469" s="61">
        <f>VLOOKUP(Table1[[#This Row],[Date]],database!A:B,2,)</f>
        <v/>
      </c>
      <c r="C469" s="74">
        <f>B469/B468-1</f>
        <v/>
      </c>
      <c r="D469" s="74">
        <f>(Table1[[#This Row],[Index]]-B457)/B457</f>
        <v/>
      </c>
    </row>
    <row r="470">
      <c r="A470" s="19" t="n">
        <v>40391</v>
      </c>
      <c r="B470" s="61">
        <f>VLOOKUP(Table1[[#This Row],[Date]],database!A:B,2,)</f>
        <v/>
      </c>
      <c r="C470" s="74">
        <f>B470/B469-1</f>
        <v/>
      </c>
      <c r="D470" s="74">
        <f>(Table1[[#This Row],[Index]]-B458)/B458</f>
        <v/>
      </c>
    </row>
    <row r="471">
      <c r="A471" s="19" t="n">
        <v>40422</v>
      </c>
      <c r="B471" s="61">
        <f>VLOOKUP(Table1[[#This Row],[Date]],database!A:B,2,)</f>
        <v/>
      </c>
      <c r="C471" s="74">
        <f>B471/B470-1</f>
        <v/>
      </c>
      <c r="D471" s="74">
        <f>(Table1[[#This Row],[Index]]-B459)/B459</f>
        <v/>
      </c>
    </row>
    <row r="472">
      <c r="A472" s="19" t="n">
        <v>40452</v>
      </c>
      <c r="B472" s="61">
        <f>VLOOKUP(Table1[[#This Row],[Date]],database!A:B,2,)</f>
        <v/>
      </c>
      <c r="C472" s="74">
        <f>B472/B471-1</f>
        <v/>
      </c>
      <c r="D472" s="74">
        <f>(Table1[[#This Row],[Index]]-B460)/B460</f>
        <v/>
      </c>
    </row>
    <row r="473">
      <c r="A473" s="19" t="n">
        <v>40483</v>
      </c>
      <c r="B473" s="61">
        <f>VLOOKUP(Table1[[#This Row],[Date]],database!A:B,2,)</f>
        <v/>
      </c>
      <c r="C473" s="74">
        <f>B473/B472-1</f>
        <v/>
      </c>
      <c r="D473" s="74">
        <f>(Table1[[#This Row],[Index]]-B461)/B461</f>
        <v/>
      </c>
    </row>
    <row r="474">
      <c r="A474" s="19" t="n">
        <v>40513</v>
      </c>
      <c r="B474" s="61">
        <f>VLOOKUP(Table1[[#This Row],[Date]],database!A:B,2,)</f>
        <v/>
      </c>
      <c r="C474" s="74">
        <f>B474/B473-1</f>
        <v/>
      </c>
      <c r="D474" s="74">
        <f>(Table1[[#This Row],[Index]]-B462)/B462</f>
        <v/>
      </c>
    </row>
    <row r="475">
      <c r="A475" s="19" t="n">
        <v>40544</v>
      </c>
      <c r="B475" s="61">
        <f>VLOOKUP(Table1[[#This Row],[Date]],database!A:B,2,)</f>
        <v/>
      </c>
      <c r="C475" s="74">
        <f>B475/B474-1</f>
        <v/>
      </c>
      <c r="D475" s="74">
        <f>(Table1[[#This Row],[Index]]-B463)/B463</f>
        <v/>
      </c>
    </row>
    <row r="476">
      <c r="A476" s="19" t="n">
        <v>40575</v>
      </c>
      <c r="B476" s="61">
        <f>VLOOKUP(Table1[[#This Row],[Date]],database!A:B,2,)</f>
        <v/>
      </c>
      <c r="C476" s="74">
        <f>B476/B475-1</f>
        <v/>
      </c>
      <c r="D476" s="74">
        <f>(Table1[[#This Row],[Index]]-B464)/B464</f>
        <v/>
      </c>
    </row>
    <row r="477">
      <c r="A477" s="19" t="n">
        <v>40603</v>
      </c>
      <c r="B477" s="61">
        <f>VLOOKUP(Table1[[#This Row],[Date]],database!A:B,2,)</f>
        <v/>
      </c>
      <c r="C477" s="74">
        <f>B477/B476-1</f>
        <v/>
      </c>
      <c r="D477" s="74">
        <f>(Table1[[#This Row],[Index]]-B465)/B465</f>
        <v/>
      </c>
    </row>
    <row r="478">
      <c r="A478" s="19" t="n">
        <v>40634</v>
      </c>
      <c r="B478" s="61">
        <f>VLOOKUP(Table1[[#This Row],[Date]],database!A:B,2,)</f>
        <v/>
      </c>
      <c r="C478" s="75">
        <f>B478/B477-1</f>
        <v/>
      </c>
      <c r="D478" s="74">
        <f>(Table1[[#This Row],[Index]]-B466)/B466</f>
        <v/>
      </c>
    </row>
    <row r="479">
      <c r="A479" s="19" t="n">
        <v>40664</v>
      </c>
      <c r="B479" s="61">
        <f>VLOOKUP(Table1[[#This Row],[Date]],database!A:B,2,)</f>
        <v/>
      </c>
      <c r="C479" s="74">
        <f>B479/B478-1</f>
        <v/>
      </c>
      <c r="D479" s="74">
        <f>(Table1[[#This Row],[Index]]-B467)/B467</f>
        <v/>
      </c>
    </row>
    <row r="480">
      <c r="A480" s="19" t="n">
        <v>40695</v>
      </c>
      <c r="B480" s="61">
        <f>VLOOKUP(Table1[[#This Row],[Date]],database!A:B,2,)</f>
        <v/>
      </c>
      <c r="C480" s="74">
        <f>B480/B479-1</f>
        <v/>
      </c>
      <c r="D480" s="74">
        <f>(Table1[[#This Row],[Index]]-B468)/B468</f>
        <v/>
      </c>
    </row>
    <row r="481">
      <c r="A481" s="19" t="n">
        <v>40725</v>
      </c>
      <c r="B481" s="61">
        <f>VLOOKUP(Table1[[#This Row],[Date]],database!A:B,2,)</f>
        <v/>
      </c>
      <c r="C481" s="74">
        <f>B481/B480-1</f>
        <v/>
      </c>
      <c r="D481" s="74">
        <f>(Table1[[#This Row],[Index]]-B469)/B469</f>
        <v/>
      </c>
    </row>
    <row r="482">
      <c r="A482" s="19" t="n">
        <v>40756</v>
      </c>
      <c r="B482" s="61">
        <f>VLOOKUP(Table1[[#This Row],[Date]],database!A:B,2,)</f>
        <v/>
      </c>
      <c r="C482" s="74">
        <f>B482/B481-1</f>
        <v/>
      </c>
      <c r="D482" s="74">
        <f>(Table1[[#This Row],[Index]]-B470)/B470</f>
        <v/>
      </c>
    </row>
    <row r="483">
      <c r="A483" s="19" t="n">
        <v>40787</v>
      </c>
      <c r="B483" s="61">
        <f>VLOOKUP(Table1[[#This Row],[Date]],database!A:B,2,)</f>
        <v/>
      </c>
      <c r="C483" s="74">
        <f>B483/B482-1</f>
        <v/>
      </c>
      <c r="D483" s="74">
        <f>(Table1[[#This Row],[Index]]-B471)/B471</f>
        <v/>
      </c>
    </row>
    <row r="484">
      <c r="A484" s="19" t="n">
        <v>40817</v>
      </c>
      <c r="B484" s="61">
        <f>VLOOKUP(Table1[[#This Row],[Date]],database!A:B,2,)</f>
        <v/>
      </c>
      <c r="C484" s="74">
        <f>B484/B483-1</f>
        <v/>
      </c>
      <c r="D484" s="74">
        <f>(Table1[[#This Row],[Index]]-B472)/B472</f>
        <v/>
      </c>
    </row>
    <row r="485">
      <c r="A485" s="19" t="n">
        <v>40848</v>
      </c>
      <c r="B485" s="61">
        <f>VLOOKUP(Table1[[#This Row],[Date]],database!A:B,2,)</f>
        <v/>
      </c>
      <c r="C485" s="74">
        <f>B485/B484-1</f>
        <v/>
      </c>
      <c r="D485" s="74">
        <f>(Table1[[#This Row],[Index]]-B473)/B473</f>
        <v/>
      </c>
    </row>
    <row r="486">
      <c r="A486" s="19" t="n">
        <v>40878</v>
      </c>
      <c r="B486" s="61">
        <f>VLOOKUP(Table1[[#This Row],[Date]],database!A:B,2,)</f>
        <v/>
      </c>
      <c r="C486" s="74">
        <f>B486/B485-1</f>
        <v/>
      </c>
      <c r="D486" s="74">
        <f>(Table1[[#This Row],[Index]]-B474)/B474</f>
        <v/>
      </c>
    </row>
    <row r="487">
      <c r="A487" s="19" t="n">
        <v>40909</v>
      </c>
      <c r="B487" s="61">
        <f>VLOOKUP(Table1[[#This Row],[Date]],database!A:B,2,)</f>
        <v/>
      </c>
      <c r="C487" s="74">
        <f>B487/B486-1</f>
        <v/>
      </c>
      <c r="D487" s="74">
        <f>(Table1[[#This Row],[Index]]-B475)/B475</f>
        <v/>
      </c>
    </row>
    <row r="488">
      <c r="A488" s="19" t="n">
        <v>40940</v>
      </c>
      <c r="B488" s="61">
        <f>VLOOKUP(Table1[[#This Row],[Date]],database!A:B,2,)</f>
        <v/>
      </c>
      <c r="C488" s="74">
        <f>B488/B487-1</f>
        <v/>
      </c>
      <c r="D488" s="74">
        <f>(Table1[[#This Row],[Index]]-B476)/B476</f>
        <v/>
      </c>
    </row>
    <row r="489">
      <c r="A489" s="19" t="n">
        <v>40969</v>
      </c>
      <c r="B489" s="61">
        <f>VLOOKUP(Table1[[#This Row],[Date]],database!A:B,2,)</f>
        <v/>
      </c>
      <c r="C489" s="74">
        <f>B489/B488-1</f>
        <v/>
      </c>
      <c r="D489" s="74">
        <f>(Table1[[#This Row],[Index]]-B477)/B477</f>
        <v/>
      </c>
    </row>
    <row r="490">
      <c r="A490" s="19" t="n">
        <v>41000</v>
      </c>
      <c r="B490" s="61">
        <f>VLOOKUP(Table1[[#This Row],[Date]],database!A:B,2,)</f>
        <v/>
      </c>
      <c r="C490" s="74">
        <f>B490/B489-1</f>
        <v/>
      </c>
      <c r="D490" s="74">
        <f>(Table1[[#This Row],[Index]]-B478)/B478</f>
        <v/>
      </c>
    </row>
    <row r="491">
      <c r="A491" s="19" t="n">
        <v>41030</v>
      </c>
      <c r="B491" s="61">
        <f>VLOOKUP(Table1[[#This Row],[Date]],database!A:B,2,)</f>
        <v/>
      </c>
      <c r="C491" s="74">
        <f>B491/B490-1</f>
        <v/>
      </c>
      <c r="D491" s="74">
        <f>(Table1[[#This Row],[Index]]-B479)/B479</f>
        <v/>
      </c>
    </row>
    <row r="492">
      <c r="A492" s="19" t="n">
        <v>41061</v>
      </c>
      <c r="B492" s="61">
        <f>VLOOKUP(Table1[[#This Row],[Date]],database!A:B,2,)</f>
        <v/>
      </c>
      <c r="C492" s="74">
        <f>B492/B491-1</f>
        <v/>
      </c>
      <c r="D492" s="74">
        <f>(Table1[[#This Row],[Index]]-B480)/B480</f>
        <v/>
      </c>
    </row>
    <row r="493">
      <c r="A493" s="19" t="n">
        <v>41091</v>
      </c>
      <c r="B493" s="61">
        <f>VLOOKUP(Table1[[#This Row],[Date]],database!A:B,2,)</f>
        <v/>
      </c>
      <c r="C493" s="74">
        <f>B493/B492-1</f>
        <v/>
      </c>
      <c r="D493" s="74">
        <f>(Table1[[#This Row],[Index]]-B481)/B481</f>
        <v/>
      </c>
    </row>
    <row r="494">
      <c r="A494" s="19" t="n">
        <v>41122</v>
      </c>
      <c r="B494" s="61">
        <f>VLOOKUP(Table1[[#This Row],[Date]],database!A:B,2,)</f>
        <v/>
      </c>
      <c r="C494" s="74">
        <f>B494/B493-1</f>
        <v/>
      </c>
      <c r="D494" s="74">
        <f>(Table1[[#This Row],[Index]]-B482)/B482</f>
        <v/>
      </c>
    </row>
    <row r="495">
      <c r="A495" s="19" t="n">
        <v>41153</v>
      </c>
      <c r="B495" s="61">
        <f>VLOOKUP(Table1[[#This Row],[Date]],database!A:B,2,)</f>
        <v/>
      </c>
      <c r="C495" s="74">
        <f>B495/B494-1</f>
        <v/>
      </c>
      <c r="D495" s="74">
        <f>(Table1[[#This Row],[Index]]-B483)/B483</f>
        <v/>
      </c>
    </row>
    <row r="496">
      <c r="A496" s="19" t="n">
        <v>41183</v>
      </c>
      <c r="B496" s="61">
        <f>VLOOKUP(Table1[[#This Row],[Date]],database!A:B,2,)</f>
        <v/>
      </c>
      <c r="C496" s="74">
        <f>B496/B495-1</f>
        <v/>
      </c>
      <c r="D496" s="74">
        <f>(Table1[[#This Row],[Index]]-B484)/B484</f>
        <v/>
      </c>
    </row>
    <row r="497">
      <c r="A497" s="19" t="n">
        <v>41214</v>
      </c>
      <c r="B497" s="61">
        <f>VLOOKUP(Table1[[#This Row],[Date]],database!A:B,2,)</f>
        <v/>
      </c>
      <c r="C497" s="74">
        <f>B497/B496-1</f>
        <v/>
      </c>
      <c r="D497" s="74">
        <f>(Table1[[#This Row],[Index]]-B485)/B485</f>
        <v/>
      </c>
    </row>
    <row r="498">
      <c r="A498" s="19" t="n">
        <v>41244</v>
      </c>
      <c r="B498" s="61">
        <f>VLOOKUP(Table1[[#This Row],[Date]],database!A:B,2,)</f>
        <v/>
      </c>
      <c r="C498" s="74">
        <f>B498/B497-1</f>
        <v/>
      </c>
      <c r="D498" s="74">
        <f>(Table1[[#This Row],[Index]]-B486)/B486</f>
        <v/>
      </c>
    </row>
    <row r="499">
      <c r="A499" s="19" t="n">
        <v>41275</v>
      </c>
      <c r="B499" s="61">
        <f>VLOOKUP(Table1[[#This Row],[Date]],database!A:B,2,)</f>
        <v/>
      </c>
      <c r="C499" s="74">
        <f>B499/B498-1</f>
        <v/>
      </c>
      <c r="D499" s="74">
        <f>(Table1[[#This Row],[Index]]-B487)/B487</f>
        <v/>
      </c>
    </row>
    <row r="500">
      <c r="A500" s="19" t="n">
        <v>41306</v>
      </c>
      <c r="B500" s="61">
        <f>VLOOKUP(Table1[[#This Row],[Date]],database!A:B,2,)</f>
        <v/>
      </c>
      <c r="C500" s="74">
        <f>B500/B499-1</f>
        <v/>
      </c>
      <c r="D500" s="74">
        <f>(Table1[[#This Row],[Index]]-B488)/B488</f>
        <v/>
      </c>
    </row>
    <row r="501">
      <c r="A501" s="19" t="n">
        <v>41334</v>
      </c>
      <c r="B501" s="61">
        <f>VLOOKUP(Table1[[#This Row],[Date]],database!A:B,2,)</f>
        <v/>
      </c>
      <c r="C501" s="74">
        <f>B501/B500-1</f>
        <v/>
      </c>
      <c r="D501" s="74">
        <f>(Table1[[#This Row],[Index]]-B489)/B489</f>
        <v/>
      </c>
    </row>
    <row r="502">
      <c r="A502" s="19" t="n">
        <v>41365</v>
      </c>
      <c r="B502" s="61">
        <f>VLOOKUP(Table1[[#This Row],[Date]],database!A:B,2,)</f>
        <v/>
      </c>
      <c r="C502" s="74">
        <f>B502/B501-1</f>
        <v/>
      </c>
      <c r="D502" s="74">
        <f>(Table1[[#This Row],[Index]]-B490)/B490</f>
        <v/>
      </c>
    </row>
    <row r="503">
      <c r="A503" s="19" t="n">
        <v>41395</v>
      </c>
      <c r="B503" s="61">
        <f>VLOOKUP(Table1[[#This Row],[Date]],database!A:B,2,)</f>
        <v/>
      </c>
      <c r="C503" s="74">
        <f>B503/B502-1</f>
        <v/>
      </c>
      <c r="D503" s="74">
        <f>(Table1[[#This Row],[Index]]-B491)/B491</f>
        <v/>
      </c>
    </row>
    <row r="504">
      <c r="A504" s="19" t="n">
        <v>41426</v>
      </c>
      <c r="B504" s="61">
        <f>VLOOKUP(Table1[[#This Row],[Date]],database!A:B,2,)</f>
        <v/>
      </c>
      <c r="C504" s="74">
        <f>B504/B503-1</f>
        <v/>
      </c>
      <c r="D504" s="74">
        <f>(Table1[[#This Row],[Index]]-B492)/B492</f>
        <v/>
      </c>
    </row>
    <row r="505">
      <c r="A505" s="19" t="n">
        <v>41456</v>
      </c>
      <c r="B505" s="61">
        <f>VLOOKUP(Table1[[#This Row],[Date]],database!A:B,2,)</f>
        <v/>
      </c>
      <c r="C505" s="74">
        <f>B505/B504-1</f>
        <v/>
      </c>
      <c r="D505" s="74">
        <f>(Table1[[#This Row],[Index]]-B493)/B493</f>
        <v/>
      </c>
    </row>
    <row r="506">
      <c r="A506" s="19" t="n">
        <v>41487</v>
      </c>
      <c r="B506" s="61">
        <f>VLOOKUP(Table1[[#This Row],[Date]],database!A:B,2,)</f>
        <v/>
      </c>
      <c r="C506" s="74">
        <f>B506/B505-1</f>
        <v/>
      </c>
      <c r="D506" s="74">
        <f>(Table1[[#This Row],[Index]]-B494)/B494</f>
        <v/>
      </c>
    </row>
    <row r="507">
      <c r="A507" s="19" t="n">
        <v>41518</v>
      </c>
      <c r="B507" s="61">
        <f>VLOOKUP(Table1[[#This Row],[Date]],database!A:B,2,)</f>
        <v/>
      </c>
      <c r="C507" s="74">
        <f>B507/B506-1</f>
        <v/>
      </c>
      <c r="D507" s="74">
        <f>(Table1[[#This Row],[Index]]-B495)/B495</f>
        <v/>
      </c>
    </row>
    <row r="508">
      <c r="A508" s="19" t="n">
        <v>41548</v>
      </c>
      <c r="B508" s="61">
        <f>VLOOKUP(Table1[[#This Row],[Date]],database!A:B,2,)</f>
        <v/>
      </c>
      <c r="C508" s="74">
        <f>B508/B507-1</f>
        <v/>
      </c>
      <c r="D508" s="74">
        <f>(Table1[[#This Row],[Index]]-B496)/B496</f>
        <v/>
      </c>
    </row>
    <row r="509">
      <c r="A509" s="19" t="n">
        <v>41579</v>
      </c>
      <c r="B509" s="61">
        <f>VLOOKUP(Table1[[#This Row],[Date]],database!A:B,2,)</f>
        <v/>
      </c>
      <c r="C509" s="74">
        <f>B509/B508-1</f>
        <v/>
      </c>
      <c r="D509" s="74">
        <f>(Table1[[#This Row],[Index]]-B497)/B497</f>
        <v/>
      </c>
    </row>
    <row r="510">
      <c r="A510" s="19" t="n">
        <v>41609</v>
      </c>
      <c r="B510" s="61">
        <f>VLOOKUP(Table1[[#This Row],[Date]],database!A:B,2,)</f>
        <v/>
      </c>
      <c r="C510" s="74">
        <f>B510/B509-1</f>
        <v/>
      </c>
      <c r="D510" s="74">
        <f>(Table1[[#This Row],[Index]]-B498)/B498</f>
        <v/>
      </c>
    </row>
    <row r="511">
      <c r="A511" s="19" t="n">
        <v>41640</v>
      </c>
      <c r="B511" s="61">
        <f>VLOOKUP(Table1[[#This Row],[Date]],database!A:B,2,)</f>
        <v/>
      </c>
      <c r="C511" s="74">
        <f>B511/B510-1</f>
        <v/>
      </c>
      <c r="D511" s="74">
        <f>(Table1[[#This Row],[Index]]-B499)/B499</f>
        <v/>
      </c>
    </row>
    <row r="512">
      <c r="A512" s="19" t="n">
        <v>41671</v>
      </c>
      <c r="B512" s="61">
        <f>VLOOKUP(Table1[[#This Row],[Date]],database!A:B,2,)</f>
        <v/>
      </c>
      <c r="C512" s="74">
        <f>B512/B511-1</f>
        <v/>
      </c>
      <c r="D512" s="74">
        <f>(Table1[[#This Row],[Index]]-B500)/B500</f>
        <v/>
      </c>
    </row>
    <row r="513">
      <c r="A513" s="19" t="n">
        <v>41699</v>
      </c>
      <c r="B513" s="61">
        <f>VLOOKUP(Table1[[#This Row],[Date]],database!A:B,2,)</f>
        <v/>
      </c>
      <c r="C513" s="74">
        <f>B513/B512-1</f>
        <v/>
      </c>
      <c r="D513" s="74">
        <f>(Table1[[#This Row],[Index]]-B501)/B501</f>
        <v/>
      </c>
    </row>
    <row r="514">
      <c r="A514" s="19" t="n">
        <v>41730</v>
      </c>
      <c r="B514" s="61">
        <f>VLOOKUP(Table1[[#This Row],[Date]],database!A:B,2,)</f>
        <v/>
      </c>
      <c r="C514" s="74">
        <f>B514/B513-1</f>
        <v/>
      </c>
      <c r="D514" s="74">
        <f>(Table1[[#This Row],[Index]]-B502)/B502</f>
        <v/>
      </c>
    </row>
    <row r="515">
      <c r="A515" s="19" t="n">
        <v>41760</v>
      </c>
      <c r="B515" s="61">
        <f>VLOOKUP(Table1[[#This Row],[Date]],database!A:B,2,)</f>
        <v/>
      </c>
      <c r="C515" s="74">
        <f>B515/B514-1</f>
        <v/>
      </c>
      <c r="D515" s="74">
        <f>(Table1[[#This Row],[Index]]-B503)/B503</f>
        <v/>
      </c>
    </row>
    <row r="516">
      <c r="A516" s="19" t="n">
        <v>41791</v>
      </c>
      <c r="B516" s="61">
        <f>VLOOKUP(Table1[[#This Row],[Date]],database!A:B,2,)</f>
        <v/>
      </c>
      <c r="C516" s="74">
        <f>B516/B515-1</f>
        <v/>
      </c>
      <c r="D516" s="74">
        <f>(Table1[[#This Row],[Index]]-B504)/B504</f>
        <v/>
      </c>
    </row>
    <row r="517">
      <c r="A517" s="19" t="n">
        <v>41821</v>
      </c>
      <c r="B517" s="61">
        <f>VLOOKUP(Table1[[#This Row],[Date]],database!A:B,2,)</f>
        <v/>
      </c>
      <c r="C517" s="74">
        <f>B517/B516-1</f>
        <v/>
      </c>
      <c r="D517" s="74">
        <f>(Table1[[#This Row],[Index]]-B505)/B505</f>
        <v/>
      </c>
    </row>
    <row r="518">
      <c r="A518" s="19" t="n">
        <v>41852</v>
      </c>
      <c r="B518" s="61">
        <f>VLOOKUP(Table1[[#This Row],[Date]],database!A:B,2,)</f>
        <v/>
      </c>
      <c r="C518" s="74">
        <f>B518/B517-1</f>
        <v/>
      </c>
      <c r="D518" s="74">
        <f>(Table1[[#This Row],[Index]]-B506)/B506</f>
        <v/>
      </c>
    </row>
    <row r="519">
      <c r="A519" s="19" t="n">
        <v>41883</v>
      </c>
      <c r="B519" s="61">
        <f>VLOOKUP(Table1[[#This Row],[Date]],database!A:B,2,)</f>
        <v/>
      </c>
      <c r="C519" s="74">
        <f>B519/B518-1</f>
        <v/>
      </c>
      <c r="D519" s="74">
        <f>(Table1[[#This Row],[Index]]-B507)/B507</f>
        <v/>
      </c>
    </row>
    <row r="520">
      <c r="A520" s="19" t="n">
        <v>41913</v>
      </c>
      <c r="B520" s="61">
        <f>VLOOKUP(Table1[[#This Row],[Date]],database!A:B,2,)</f>
        <v/>
      </c>
      <c r="C520" s="74">
        <f>B520/B519-1</f>
        <v/>
      </c>
      <c r="D520" s="74">
        <f>(Table1[[#This Row],[Index]]-B508)/B508</f>
        <v/>
      </c>
    </row>
    <row r="521">
      <c r="A521" s="19" t="n">
        <v>41944</v>
      </c>
      <c r="B521" s="61">
        <f>VLOOKUP(Table1[[#This Row],[Date]],database!A:B,2,)</f>
        <v/>
      </c>
      <c r="C521" s="75">
        <f>B521/B520-1</f>
        <v/>
      </c>
      <c r="D521" s="74">
        <f>(Table1[[#This Row],[Index]]-B509)/B509</f>
        <v/>
      </c>
    </row>
    <row r="522">
      <c r="A522" s="19" t="n">
        <v>41974</v>
      </c>
      <c r="B522" s="61">
        <f>VLOOKUP(Table1[[#This Row],[Date]],database!A:B,2,)</f>
        <v/>
      </c>
      <c r="C522" s="74">
        <f>B522/B521-1</f>
        <v/>
      </c>
      <c r="D522" s="74">
        <f>(Table1[[#This Row],[Index]]-B510)/B510</f>
        <v/>
      </c>
    </row>
    <row r="523">
      <c r="A523" s="19" t="n">
        <v>42005</v>
      </c>
      <c r="B523" s="61">
        <f>VLOOKUP(Table1[[#This Row],[Date]],database!A:B,2,)</f>
        <v/>
      </c>
      <c r="C523" s="75">
        <f>B523/B522-1</f>
        <v/>
      </c>
      <c r="D523" s="74">
        <f>(Table1[[#This Row],[Index]]-B511)/B511</f>
        <v/>
      </c>
    </row>
    <row r="524">
      <c r="A524" s="19" t="n">
        <v>42036</v>
      </c>
      <c r="B524" s="61">
        <f>VLOOKUP(Table1[[#This Row],[Date]],database!A:B,2,)</f>
        <v/>
      </c>
      <c r="C524" s="74">
        <f>B524/B523-1</f>
        <v/>
      </c>
      <c r="D524" s="74">
        <f>(Table1[[#This Row],[Index]]-B512)/B512</f>
        <v/>
      </c>
    </row>
    <row r="525">
      <c r="A525" s="19" t="n">
        <v>42064</v>
      </c>
      <c r="B525" s="61">
        <f>VLOOKUP(Table1[[#This Row],[Date]],database!A:B,2,)</f>
        <v/>
      </c>
      <c r="C525" s="75">
        <f>B525/B524-1</f>
        <v/>
      </c>
      <c r="D525" s="74">
        <f>(Table1[[#This Row],[Index]]-B513)/B513</f>
        <v/>
      </c>
    </row>
    <row r="526">
      <c r="A526" s="19" t="n">
        <v>42095</v>
      </c>
      <c r="B526" s="61">
        <f>VLOOKUP(Table1[[#This Row],[Date]],database!A:B,2,)</f>
        <v/>
      </c>
      <c r="C526" s="74">
        <f>B526/B525-1</f>
        <v/>
      </c>
      <c r="D526" s="74">
        <f>(Table1[[#This Row],[Index]]-B514)/B514</f>
        <v/>
      </c>
    </row>
    <row r="527">
      <c r="A527" s="19" t="n">
        <v>42125</v>
      </c>
      <c r="B527" s="61">
        <f>VLOOKUP(Table1[[#This Row],[Date]],database!A:B,2,)</f>
        <v/>
      </c>
      <c r="C527" s="74">
        <f>B527/B526-1</f>
        <v/>
      </c>
      <c r="D527" s="74">
        <f>(Table1[[#This Row],[Index]]-B515)/B515</f>
        <v/>
      </c>
    </row>
    <row r="528">
      <c r="A528" s="19" t="n">
        <v>42156</v>
      </c>
      <c r="B528" s="61">
        <f>VLOOKUP(Table1[[#This Row],[Date]],database!A:B,2,)</f>
        <v/>
      </c>
      <c r="C528" s="74">
        <f>B528/B527-1</f>
        <v/>
      </c>
      <c r="D528" s="74">
        <f>(Table1[[#This Row],[Index]]-B516)/B516</f>
        <v/>
      </c>
    </row>
    <row r="529">
      <c r="A529" s="19" t="n">
        <v>42186</v>
      </c>
      <c r="B529" s="61">
        <f>VLOOKUP(Table1[[#This Row],[Date]],database!A:B,2,)</f>
        <v/>
      </c>
      <c r="C529" s="74">
        <f>B529/B528-1</f>
        <v/>
      </c>
      <c r="D529" s="74">
        <f>(Table1[[#This Row],[Index]]-B517)/B517</f>
        <v/>
      </c>
    </row>
    <row r="530">
      <c r="A530" s="19" t="n">
        <v>42217</v>
      </c>
      <c r="B530" s="61">
        <f>VLOOKUP(Table1[[#This Row],[Date]],database!A:B,2,)</f>
        <v/>
      </c>
      <c r="C530" s="74">
        <f>B530/B529-1</f>
        <v/>
      </c>
      <c r="D530" s="74">
        <f>(Table1[[#This Row],[Index]]-B518)/B518</f>
        <v/>
      </c>
    </row>
    <row r="531">
      <c r="A531" s="19" t="n">
        <v>42248</v>
      </c>
      <c r="B531" s="61">
        <f>VLOOKUP(Table1[[#This Row],[Date]],database!A:B,2,)</f>
        <v/>
      </c>
      <c r="C531" s="74">
        <f>B531/B530-1</f>
        <v/>
      </c>
      <c r="D531" s="74">
        <f>(Table1[[#This Row],[Index]]-B519)/B519</f>
        <v/>
      </c>
    </row>
    <row r="532">
      <c r="A532" s="19" t="n">
        <v>42278</v>
      </c>
      <c r="B532" s="61">
        <f>VLOOKUP(Table1[[#This Row],[Date]],database!A:B,2,)</f>
        <v/>
      </c>
      <c r="C532" s="74">
        <f>B532/B531-1</f>
        <v/>
      </c>
      <c r="D532" s="74">
        <f>(Table1[[#This Row],[Index]]-B520)/B520</f>
        <v/>
      </c>
    </row>
    <row r="533">
      <c r="A533" s="19" t="n">
        <v>42309</v>
      </c>
      <c r="B533" s="61">
        <f>VLOOKUP(Table1[[#This Row],[Date]],database!A:B,2,)</f>
        <v/>
      </c>
      <c r="C533" s="74">
        <f>B533/B532-1</f>
        <v/>
      </c>
      <c r="D533" s="74">
        <f>(Table1[[#This Row],[Index]]-B521)/B521</f>
        <v/>
      </c>
    </row>
    <row r="534">
      <c r="A534" s="19" t="n">
        <v>42339</v>
      </c>
      <c r="B534" s="61">
        <f>VLOOKUP(Table1[[#This Row],[Date]],database!A:B,2,)</f>
        <v/>
      </c>
      <c r="C534" s="74">
        <f>B534/B533-1</f>
        <v/>
      </c>
      <c r="D534" s="74">
        <f>(Table1[[#This Row],[Index]]-B522)/B522</f>
        <v/>
      </c>
    </row>
    <row r="535">
      <c r="A535" s="19" t="n">
        <v>42370</v>
      </c>
      <c r="B535" s="61">
        <f>VLOOKUP(Table1[[#This Row],[Date]],database!A:B,2,)</f>
        <v/>
      </c>
      <c r="C535" s="74">
        <f>B535/B534-1</f>
        <v/>
      </c>
      <c r="D535" s="74">
        <f>(Table1[[#This Row],[Index]]-B523)/B523</f>
        <v/>
      </c>
    </row>
    <row r="536">
      <c r="A536" s="19" t="n">
        <v>42401</v>
      </c>
      <c r="B536" s="61">
        <f>VLOOKUP(Table1[[#This Row],[Date]],database!A:B,2,)</f>
        <v/>
      </c>
      <c r="C536" s="74">
        <f>B536/B535-1</f>
        <v/>
      </c>
      <c r="D536" s="74">
        <f>(Table1[[#This Row],[Index]]-B524)/B524</f>
        <v/>
      </c>
    </row>
    <row r="537">
      <c r="A537" s="19" t="n">
        <v>42430</v>
      </c>
      <c r="B537" s="61">
        <f>VLOOKUP(Table1[[#This Row],[Date]],database!A:B,2,)</f>
        <v/>
      </c>
      <c r="C537" s="74">
        <f>B537/B536-1</f>
        <v/>
      </c>
      <c r="D537" s="74">
        <f>(Table1[[#This Row],[Index]]-B525)/B525</f>
        <v/>
      </c>
    </row>
    <row r="538">
      <c r="A538" s="19" t="n">
        <v>42461</v>
      </c>
      <c r="B538" s="61">
        <f>VLOOKUP(Table1[[#This Row],[Date]],database!A:B,2,)</f>
        <v/>
      </c>
      <c r="C538" s="74">
        <f>B538/B537-1</f>
        <v/>
      </c>
      <c r="D538" s="74">
        <f>(Table1[[#This Row],[Index]]-B526)/B526</f>
        <v/>
      </c>
    </row>
    <row r="539">
      <c r="A539" s="19" t="n">
        <v>42491</v>
      </c>
      <c r="B539" s="61">
        <f>VLOOKUP(Table1[[#This Row],[Date]],database!A:B,2,)</f>
        <v/>
      </c>
      <c r="C539" s="74">
        <f>B539/B538-1</f>
        <v/>
      </c>
      <c r="D539" s="74">
        <f>(Table1[[#This Row],[Index]]-B527)/B527</f>
        <v/>
      </c>
    </row>
    <row r="540">
      <c r="A540" s="19" t="n">
        <v>42522</v>
      </c>
      <c r="B540" s="61">
        <f>VLOOKUP(Table1[[#This Row],[Date]],database!A:B,2,)</f>
        <v/>
      </c>
      <c r="C540" s="74">
        <f>B540/B539-1</f>
        <v/>
      </c>
      <c r="D540" s="74">
        <f>(Table1[[#This Row],[Index]]-B528)/B528</f>
        <v/>
      </c>
    </row>
    <row r="541">
      <c r="A541" s="19" t="n">
        <v>42552</v>
      </c>
      <c r="B541" s="61">
        <f>VLOOKUP(Table1[[#This Row],[Date]],database!A:B,2,)</f>
        <v/>
      </c>
      <c r="C541" s="74">
        <f>B541/B540-1</f>
        <v/>
      </c>
      <c r="D541" s="74">
        <f>(Table1[[#This Row],[Index]]-B529)/B529</f>
        <v/>
      </c>
    </row>
    <row r="542">
      <c r="A542" s="19" t="n">
        <v>42583</v>
      </c>
      <c r="B542" s="61">
        <f>VLOOKUP(Table1[[#This Row],[Date]],database!A:B,2,)</f>
        <v/>
      </c>
      <c r="C542" s="74">
        <f>B542/B541-1</f>
        <v/>
      </c>
      <c r="D542" s="74">
        <f>(Table1[[#This Row],[Index]]-B530)/B530</f>
        <v/>
      </c>
    </row>
    <row r="543">
      <c r="A543" s="19" t="n">
        <v>42614</v>
      </c>
      <c r="B543" s="61">
        <f>VLOOKUP(Table1[[#This Row],[Date]],database!A:B,2,)</f>
        <v/>
      </c>
      <c r="C543" s="74">
        <f>B543/B542-1</f>
        <v/>
      </c>
      <c r="D543" s="74">
        <f>(Table1[[#This Row],[Index]]-B531)/B531</f>
        <v/>
      </c>
    </row>
    <row r="544">
      <c r="A544" s="19" t="n">
        <v>42644</v>
      </c>
      <c r="B544" s="61">
        <f>VLOOKUP(Table1[[#This Row],[Date]],database!A:B,2,)</f>
        <v/>
      </c>
      <c r="C544" s="74">
        <f>B544/B543-1</f>
        <v/>
      </c>
      <c r="D544" s="74">
        <f>(Table1[[#This Row],[Index]]-B532)/B532</f>
        <v/>
      </c>
    </row>
    <row r="545">
      <c r="A545" s="19" t="n">
        <v>42675</v>
      </c>
      <c r="B545" s="61">
        <f>VLOOKUP(Table1[[#This Row],[Date]],database!A:B,2,)</f>
        <v/>
      </c>
      <c r="C545" s="74">
        <f>B545/B544-1</f>
        <v/>
      </c>
      <c r="D545" s="74">
        <f>(Table1[[#This Row],[Index]]-B533)/B533</f>
        <v/>
      </c>
    </row>
    <row r="546">
      <c r="A546" s="19" t="n">
        <v>42705</v>
      </c>
      <c r="B546" s="61">
        <f>VLOOKUP(Table1[[#This Row],[Date]],database!A:B,2,)</f>
        <v/>
      </c>
      <c r="C546" s="74">
        <f>B546/B545-1</f>
        <v/>
      </c>
      <c r="D546" s="74">
        <f>(Table1[[#This Row],[Index]]-B534)/B534</f>
        <v/>
      </c>
    </row>
    <row r="547">
      <c r="A547" s="19" t="n">
        <v>42736</v>
      </c>
      <c r="B547" s="61">
        <f>VLOOKUP(Table1[[#This Row],[Date]],database!A:B,2,)</f>
        <v/>
      </c>
      <c r="C547" s="74">
        <f>B547/B546-1</f>
        <v/>
      </c>
      <c r="D547" s="74">
        <f>(Table1[[#This Row],[Index]]-B535)/B535</f>
        <v/>
      </c>
    </row>
    <row r="548">
      <c r="A548" s="19" t="n">
        <v>42767</v>
      </c>
      <c r="B548" s="61">
        <f>VLOOKUP(Table1[[#This Row],[Date]],database!A:B,2,)</f>
        <v/>
      </c>
      <c r="C548" s="74">
        <f>B548/B547-1</f>
        <v/>
      </c>
      <c r="D548" s="74">
        <f>(Table1[[#This Row],[Index]]-B536)/B536</f>
        <v/>
      </c>
    </row>
    <row r="549">
      <c r="A549" s="19" t="n">
        <v>42795</v>
      </c>
      <c r="B549" s="61">
        <f>VLOOKUP(Table1[[#This Row],[Date]],database!A:B,2,)</f>
        <v/>
      </c>
      <c r="C549" s="74">
        <f>B549/B548-1</f>
        <v/>
      </c>
      <c r="D549" s="74">
        <f>(Table1[[#This Row],[Index]]-B537)/B537</f>
        <v/>
      </c>
    </row>
    <row r="550">
      <c r="A550" s="19" t="n">
        <v>42826</v>
      </c>
      <c r="B550" s="61">
        <f>VLOOKUP(Table1[[#This Row],[Date]],database!A:B,2,)</f>
        <v/>
      </c>
      <c r="C550" s="74">
        <f>B550/B549-1</f>
        <v/>
      </c>
      <c r="D550" s="74">
        <f>(Table1[[#This Row],[Index]]-B538)/B538</f>
        <v/>
      </c>
    </row>
    <row r="551">
      <c r="A551" s="19" t="n">
        <v>42856</v>
      </c>
      <c r="B551" s="61">
        <f>VLOOKUP(Table1[[#This Row],[Date]],database!A:B,2,)</f>
        <v/>
      </c>
      <c r="C551" s="74">
        <f>B551/B550-1</f>
        <v/>
      </c>
      <c r="D551" s="74">
        <f>(Table1[[#This Row],[Index]]-B539)/B539</f>
        <v/>
      </c>
    </row>
    <row r="552">
      <c r="A552" s="19" t="n">
        <v>42887</v>
      </c>
      <c r="B552" s="61">
        <f>VLOOKUP(Table1[[#This Row],[Date]],database!A:B,2,)</f>
        <v/>
      </c>
      <c r="C552" s="74">
        <f>B552/B551-1</f>
        <v/>
      </c>
      <c r="D552" s="74">
        <f>(Table1[[#This Row],[Index]]-B540)/B540</f>
        <v/>
      </c>
    </row>
    <row r="553">
      <c r="A553" s="19" t="n">
        <v>42917</v>
      </c>
      <c r="B553" s="61">
        <f>VLOOKUP(Table1[[#This Row],[Date]],database!A:B,2,)</f>
        <v/>
      </c>
      <c r="C553" s="74">
        <f>B553/B552-1</f>
        <v/>
      </c>
      <c r="D553" s="74">
        <f>(Table1[[#This Row],[Index]]-B541)/B541</f>
        <v/>
      </c>
    </row>
    <row r="554">
      <c r="A554" s="19" t="n">
        <v>42948</v>
      </c>
      <c r="B554" s="61">
        <f>VLOOKUP(Table1[[#This Row],[Date]],database!A:B,2,)</f>
        <v/>
      </c>
      <c r="C554" s="74">
        <f>B554/B553-1</f>
        <v/>
      </c>
      <c r="D554" s="74">
        <f>(Table1[[#This Row],[Index]]-B542)/B542</f>
        <v/>
      </c>
    </row>
    <row r="555">
      <c r="A555" s="19" t="n">
        <v>42979</v>
      </c>
      <c r="B555" s="61">
        <f>VLOOKUP(Table1[[#This Row],[Date]],database!A:B,2,)</f>
        <v/>
      </c>
      <c r="C555" s="74">
        <f>B555/B554-1</f>
        <v/>
      </c>
      <c r="D555" s="74">
        <f>(Table1[[#This Row],[Index]]-B543)/B543</f>
        <v/>
      </c>
    </row>
    <row r="556">
      <c r="A556" s="19" t="n">
        <v>43009</v>
      </c>
      <c r="B556" s="61">
        <f>VLOOKUP(Table1[[#This Row],[Date]],database!A:B,2,)</f>
        <v/>
      </c>
      <c r="C556" s="74">
        <f>B556/B555-1</f>
        <v/>
      </c>
      <c r="D556" s="74">
        <f>(Table1[[#This Row],[Index]]-B544)/B544</f>
        <v/>
      </c>
    </row>
    <row r="557">
      <c r="A557" s="19" t="n">
        <v>43040</v>
      </c>
      <c r="B557" s="61">
        <f>VLOOKUP(Table1[[#This Row],[Date]],database!A:B,2,)</f>
        <v/>
      </c>
      <c r="C557" s="74">
        <f>B557/B556-1</f>
        <v/>
      </c>
      <c r="D557" s="74">
        <f>(Table1[[#This Row],[Index]]-B545)/B545</f>
        <v/>
      </c>
    </row>
    <row r="558">
      <c r="A558" s="19" t="n">
        <v>43070</v>
      </c>
      <c r="B558" s="61">
        <f>VLOOKUP(Table1[[#This Row],[Date]],database!A:B,2,)</f>
        <v/>
      </c>
      <c r="C558" s="74">
        <f>B558/B557-1</f>
        <v/>
      </c>
      <c r="D558" s="74">
        <f>(Table1[[#This Row],[Index]]-B546)/B546</f>
        <v/>
      </c>
    </row>
    <row r="559">
      <c r="A559" s="19" t="n">
        <v>43101</v>
      </c>
      <c r="B559" s="61">
        <f>VLOOKUP(Table1[[#This Row],[Date]],database!A:B,2,)</f>
        <v/>
      </c>
      <c r="C559" s="74">
        <f>B559/B558-1</f>
        <v/>
      </c>
      <c r="D559" s="74">
        <f>(Table1[[#This Row],[Index]]-B547)/B547</f>
        <v/>
      </c>
    </row>
    <row r="560">
      <c r="A560" s="19" t="n">
        <v>43132</v>
      </c>
      <c r="B560" s="61">
        <f>VLOOKUP(Table1[[#This Row],[Date]],database!A:B,2,)</f>
        <v/>
      </c>
      <c r="C560" s="74">
        <f>B560/B559-1</f>
        <v/>
      </c>
      <c r="D560" s="74">
        <f>(Table1[[#This Row],[Index]]-B548)/B548</f>
        <v/>
      </c>
    </row>
    <row r="561">
      <c r="A561" s="19" t="n">
        <v>43160</v>
      </c>
      <c r="B561" s="61">
        <f>VLOOKUP(Table1[[#This Row],[Date]],database!A:B,2,)</f>
        <v/>
      </c>
      <c r="C561" s="74">
        <f>B561/B560-1</f>
        <v/>
      </c>
      <c r="D561" s="74">
        <f>(Table1[[#This Row],[Index]]-B549)/B549</f>
        <v/>
      </c>
    </row>
    <row r="562">
      <c r="A562" s="19" t="n">
        <v>43191</v>
      </c>
      <c r="B562" s="61">
        <f>VLOOKUP(Table1[[#This Row],[Date]],database!A:B,2,)</f>
        <v/>
      </c>
      <c r="C562" s="74">
        <f>B562/B561-1</f>
        <v/>
      </c>
      <c r="D562" s="74">
        <f>(Table1[[#This Row],[Index]]-B550)/B550</f>
        <v/>
      </c>
    </row>
    <row r="563">
      <c r="A563" s="19" t="n">
        <v>43221</v>
      </c>
      <c r="B563" s="61">
        <f>VLOOKUP(Table1[[#This Row],[Date]],database!A:B,2,)</f>
        <v/>
      </c>
      <c r="C563" s="74">
        <f>B563/B562-1</f>
        <v/>
      </c>
      <c r="D563" s="74">
        <f>(Table1[[#This Row],[Index]]-B551)/B551</f>
        <v/>
      </c>
    </row>
    <row r="564">
      <c r="A564" s="19" t="n">
        <v>43252</v>
      </c>
      <c r="B564" s="61">
        <f>VLOOKUP(Table1[[#This Row],[Date]],database!A:B,2,)</f>
        <v/>
      </c>
      <c r="C564" s="74">
        <f>B564/B563-1</f>
        <v/>
      </c>
      <c r="D564" s="74">
        <f>(Table1[[#This Row],[Index]]-B552)/B552</f>
        <v/>
      </c>
    </row>
    <row r="565">
      <c r="A565" s="19" t="n">
        <v>43282</v>
      </c>
      <c r="B565" s="61">
        <f>VLOOKUP(Table1[[#This Row],[Date]],database!A:B,2,)</f>
        <v/>
      </c>
      <c r="C565" s="74">
        <f>B565/B564-1</f>
        <v/>
      </c>
      <c r="D565" s="74">
        <f>(Table1[[#This Row],[Index]]-B553)/B553</f>
        <v/>
      </c>
    </row>
    <row r="566">
      <c r="A566" s="19" t="n">
        <v>43313</v>
      </c>
      <c r="B566" s="61">
        <f>VLOOKUP(Table1[[#This Row],[Date]],database!A:B,2,)</f>
        <v/>
      </c>
      <c r="C566" s="74">
        <f>B566/B565-1</f>
        <v/>
      </c>
      <c r="D566" s="74">
        <f>(Table1[[#This Row],[Index]]-B554)/B554</f>
        <v/>
      </c>
    </row>
    <row r="567">
      <c r="A567" s="19" t="n">
        <v>43344</v>
      </c>
      <c r="B567" s="61">
        <f>VLOOKUP(Table1[[#This Row],[Date]],database!A:B,2,)</f>
        <v/>
      </c>
      <c r="C567" s="74">
        <f>B567/B566-1</f>
        <v/>
      </c>
      <c r="D567" s="74">
        <f>(Table1[[#This Row],[Index]]-B555)/B555</f>
        <v/>
      </c>
    </row>
    <row r="568">
      <c r="A568" s="19" t="n">
        <v>43374</v>
      </c>
      <c r="B568" s="61">
        <f>VLOOKUP(Table1[[#This Row],[Date]],database!A:B,2,)</f>
        <v/>
      </c>
      <c r="C568" s="74">
        <f>B568/B567-1</f>
        <v/>
      </c>
      <c r="D568" s="74">
        <f>(Table1[[#This Row],[Index]]-B556)/B556</f>
        <v/>
      </c>
    </row>
    <row r="569">
      <c r="A569" s="19" t="n">
        <v>43405</v>
      </c>
      <c r="B569" s="61">
        <f>VLOOKUP(Table1[[#This Row],[Date]],database!A:B,2,)</f>
        <v/>
      </c>
      <c r="C569" s="74">
        <f>B569/B568-1</f>
        <v/>
      </c>
      <c r="D569" s="74">
        <f>(Table1[[#This Row],[Index]]-B557)/B557</f>
        <v/>
      </c>
    </row>
    <row r="570">
      <c r="A570" s="19" t="n">
        <v>43435</v>
      </c>
      <c r="B570" s="61">
        <f>VLOOKUP(Table1[[#This Row],[Date]],database!A:B,2,)</f>
        <v/>
      </c>
      <c r="C570" s="74">
        <f>B570/B569-1</f>
        <v/>
      </c>
      <c r="D570" s="74">
        <f>(Table1[[#This Row],[Index]]-B558)/B558</f>
        <v/>
      </c>
    </row>
    <row r="571">
      <c r="A571" s="19" t="n">
        <v>43466</v>
      </c>
      <c r="B571" s="61">
        <f>VLOOKUP(Table1[[#This Row],[Date]],database!A:B,2,)</f>
        <v/>
      </c>
      <c r="C571" s="74">
        <f>B571/B570-1</f>
        <v/>
      </c>
      <c r="D571" s="74">
        <f>(Table1[[#This Row],[Index]]-B559)/B559</f>
        <v/>
      </c>
    </row>
    <row r="572">
      <c r="A572" s="19" t="n">
        <v>43497</v>
      </c>
      <c r="B572" s="61">
        <f>VLOOKUP(Table1[[#This Row],[Date]],database!A:B,2,)</f>
        <v/>
      </c>
      <c r="C572" s="74">
        <f>B572/B571-1</f>
        <v/>
      </c>
      <c r="D572" s="74">
        <f>(Table1[[#This Row],[Index]]-B560)/B560</f>
        <v/>
      </c>
    </row>
    <row r="573">
      <c r="A573" s="19" t="n">
        <v>43525</v>
      </c>
      <c r="B573" s="61">
        <f>VLOOKUP(Table1[[#This Row],[Date]],database!A:B,2,)</f>
        <v/>
      </c>
      <c r="C573" s="74">
        <f>B573/B572-1</f>
        <v/>
      </c>
      <c r="D573" s="74">
        <f>(Table1[[#This Row],[Index]]-B561)/B561</f>
        <v/>
      </c>
    </row>
    <row r="574">
      <c r="A574" s="19" t="n">
        <v>43556</v>
      </c>
      <c r="B574" s="61">
        <f>VLOOKUP(Table1[[#This Row],[Date]],database!A:B,2,)</f>
        <v/>
      </c>
      <c r="C574" s="74">
        <f>B574/B573-1</f>
        <v/>
      </c>
      <c r="D574" s="74">
        <f>(Table1[[#This Row],[Index]]-B562)/B562</f>
        <v/>
      </c>
    </row>
    <row r="575">
      <c r="A575" s="19" t="n">
        <v>43586</v>
      </c>
      <c r="B575" s="61">
        <f>VLOOKUP(Table1[[#This Row],[Date]],database!A:B,2,)</f>
        <v/>
      </c>
      <c r="C575" s="74">
        <f>B575/B574-1</f>
        <v/>
      </c>
      <c r="D575" s="74">
        <f>(Table1[[#This Row],[Index]]-B563)/B563</f>
        <v/>
      </c>
    </row>
    <row r="576">
      <c r="A576" s="19" t="n">
        <v>43617</v>
      </c>
      <c r="B576" s="61">
        <f>VLOOKUP(Table1[[#This Row],[Date]],database!A:B,2,)</f>
        <v/>
      </c>
      <c r="C576" s="74">
        <f>B576/B575-1</f>
        <v/>
      </c>
      <c r="D576" s="74">
        <f>(Table1[[#This Row],[Index]]-B564)/B564</f>
        <v/>
      </c>
    </row>
    <row r="577">
      <c r="A577" s="19" t="n">
        <v>43647</v>
      </c>
      <c r="B577" s="61">
        <f>VLOOKUP(Table1[[#This Row],[Date]],database!A:B,2,)</f>
        <v/>
      </c>
      <c r="C577" s="74">
        <f>B577/B576-1</f>
        <v/>
      </c>
      <c r="D577" s="74">
        <f>(Table1[[#This Row],[Index]]-B565)/B565</f>
        <v/>
      </c>
    </row>
    <row r="578">
      <c r="A578" s="19" t="n">
        <v>43678</v>
      </c>
      <c r="B578" s="61">
        <f>VLOOKUP(Table1[[#This Row],[Date]],database!A:B,2,)</f>
        <v/>
      </c>
      <c r="C578" s="74">
        <f>B578/B577-1</f>
        <v/>
      </c>
      <c r="D578" s="74">
        <f>(Table1[[#This Row],[Index]]-B566)/B566</f>
        <v/>
      </c>
    </row>
    <row r="579">
      <c r="A579" s="19" t="n">
        <v>43709</v>
      </c>
      <c r="B579" s="61">
        <f>VLOOKUP(Table1[[#This Row],[Date]],database!A:B,2,)</f>
        <v/>
      </c>
      <c r="C579" s="74">
        <f>B579/B578-1</f>
        <v/>
      </c>
      <c r="D579" s="74">
        <f>(Table1[[#This Row],[Index]]-B567)/B567</f>
        <v/>
      </c>
    </row>
    <row r="580">
      <c r="A580" s="19" t="n">
        <v>43739</v>
      </c>
      <c r="B580" s="61">
        <f>VLOOKUP(Table1[[#This Row],[Date]],database!A:B,2,)</f>
        <v/>
      </c>
      <c r="C580" s="74">
        <f>B580/B579-1</f>
        <v/>
      </c>
      <c r="D580" s="74">
        <f>(Table1[[#This Row],[Index]]-B568)/B568</f>
        <v/>
      </c>
    </row>
    <row r="581">
      <c r="A581" s="19" t="n">
        <v>43770</v>
      </c>
      <c r="B581" s="61">
        <f>VLOOKUP(Table1[[#This Row],[Date]],database!A:B,2,)</f>
        <v/>
      </c>
      <c r="C581" s="74">
        <f>B581/B580-1</f>
        <v/>
      </c>
      <c r="D581" s="74">
        <f>(Table1[[#This Row],[Index]]-B569)/B569</f>
        <v/>
      </c>
    </row>
    <row r="582">
      <c r="A582" s="19" t="n">
        <v>43800</v>
      </c>
      <c r="B582" s="61">
        <f>VLOOKUP(Table1[[#This Row],[Date]],database!A:B,2,)</f>
        <v/>
      </c>
      <c r="C582" s="74">
        <f>B582/B581-1</f>
        <v/>
      </c>
      <c r="D582" s="74">
        <f>(Table1[[#This Row],[Index]]-B570)/B570</f>
        <v/>
      </c>
    </row>
    <row r="583">
      <c r="A583" s="19" t="n">
        <v>43831</v>
      </c>
      <c r="B583" s="61">
        <f>VLOOKUP(Table1[[#This Row],[Date]],database!A:B,2,)</f>
        <v/>
      </c>
      <c r="C583" s="74">
        <f>B583/B582-1</f>
        <v/>
      </c>
      <c r="D583" s="74">
        <f>(Table1[[#This Row],[Index]]-B571)/B571</f>
        <v/>
      </c>
    </row>
    <row r="584">
      <c r="A584" s="19" t="n">
        <v>43862</v>
      </c>
      <c r="B584" s="61">
        <f>VLOOKUP(Table1[[#This Row],[Date]],database!A:B,2,)</f>
        <v/>
      </c>
      <c r="C584" s="74">
        <f>B584/B583-1</f>
        <v/>
      </c>
      <c r="D584" s="74">
        <f>(Table1[[#This Row],[Index]]-B572)/B572</f>
        <v/>
      </c>
    </row>
    <row r="585">
      <c r="A585" s="19" t="n">
        <v>43891</v>
      </c>
      <c r="B585" s="61">
        <f>VLOOKUP(Table1[[#This Row],[Date]],database!A:B,2,)</f>
        <v/>
      </c>
      <c r="C585" s="74">
        <f>B585/B584-1</f>
        <v/>
      </c>
      <c r="D585" s="74">
        <f>(Table1[[#This Row],[Index]]-B573)/B573</f>
        <v/>
      </c>
    </row>
    <row r="586">
      <c r="A586" s="19" t="n">
        <v>43922</v>
      </c>
      <c r="B586" s="61">
        <f>VLOOKUP(Table1[[#This Row],[Date]],database!A:B,2,)</f>
        <v/>
      </c>
      <c r="C586" s="74">
        <f>B586/B585-1</f>
        <v/>
      </c>
      <c r="D586" s="74">
        <f>(Table1[[#This Row],[Index]]-B574)/B574</f>
        <v/>
      </c>
    </row>
    <row r="587">
      <c r="A587" s="19" t="n">
        <v>43952</v>
      </c>
      <c r="B587" s="61">
        <f>VLOOKUP(Table1[[#This Row],[Date]],database!A:B,2,)</f>
        <v/>
      </c>
      <c r="C587" s="74">
        <f>B587/B586-1</f>
        <v/>
      </c>
      <c r="D587" s="74">
        <f>(Table1[[#This Row],[Index]]-B575)/B575</f>
        <v/>
      </c>
    </row>
    <row r="588">
      <c r="A588" s="19" t="n">
        <v>43983</v>
      </c>
      <c r="B588" s="61">
        <f>VLOOKUP(Table1[[#This Row],[Date]],database!A:B,2,)</f>
        <v/>
      </c>
      <c r="C588" s="74">
        <f>B588/B587-1</f>
        <v/>
      </c>
      <c r="D588" s="74">
        <f>(Table1[[#This Row],[Index]]-B576)/B576</f>
        <v/>
      </c>
    </row>
    <row r="589">
      <c r="A589" s="19" t="n">
        <v>44013</v>
      </c>
      <c r="B589" s="61">
        <f>VLOOKUP(Table1[[#This Row],[Date]],database!A:B,2,)</f>
        <v/>
      </c>
      <c r="C589" s="74">
        <f>B589/B588-1</f>
        <v/>
      </c>
      <c r="D589" s="74">
        <f>(Table1[[#This Row],[Index]]-B577)/B577</f>
        <v/>
      </c>
    </row>
    <row r="590">
      <c r="A590" s="19" t="n">
        <v>44044</v>
      </c>
      <c r="B590" s="61">
        <f>VLOOKUP(Table1[[#This Row],[Date]],database!A:B,2,)</f>
        <v/>
      </c>
      <c r="C590" s="74">
        <f>B590/B589-1</f>
        <v/>
      </c>
      <c r="D590" s="74">
        <f>(Table1[[#This Row],[Index]]-B578)/B578</f>
        <v/>
      </c>
    </row>
    <row r="591">
      <c r="A591" s="19" t="n">
        <v>44075</v>
      </c>
      <c r="B591" s="61">
        <f>VLOOKUP(Table1[[#This Row],[Date]],database!A:B,2,)</f>
        <v/>
      </c>
      <c r="C591" s="74">
        <f>B591/B590-1</f>
        <v/>
      </c>
      <c r="D591" s="74">
        <f>(Table1[[#This Row],[Index]]-B579)/B579</f>
        <v/>
      </c>
    </row>
    <row r="592">
      <c r="A592" s="19" t="n">
        <v>44105</v>
      </c>
      <c r="B592" s="61">
        <f>VLOOKUP(Table1[[#This Row],[Date]],database!A:B,2,)</f>
        <v/>
      </c>
      <c r="C592" s="74">
        <f>B592/B591-1</f>
        <v/>
      </c>
      <c r="D592" s="74">
        <f>(Table1[[#This Row],[Index]]-B580)/B580</f>
        <v/>
      </c>
    </row>
    <row r="593">
      <c r="A593" s="19" t="n">
        <v>44136</v>
      </c>
      <c r="B593" s="61">
        <f>VLOOKUP(Table1[[#This Row],[Date]],database!A:B,2,)</f>
        <v/>
      </c>
      <c r="C593" s="74">
        <f>B593/B592-1</f>
        <v/>
      </c>
      <c r="D593" s="74">
        <f>(Table1[[#This Row],[Index]]-B581)/B581</f>
        <v/>
      </c>
    </row>
    <row r="594">
      <c r="A594" s="19" t="n">
        <v>44166</v>
      </c>
      <c r="B594" s="61">
        <f>VLOOKUP(Table1[[#This Row],[Date]],database!A:B,2,)</f>
        <v/>
      </c>
      <c r="C594" s="74">
        <f>B594/B593-1</f>
        <v/>
      </c>
      <c r="D594" s="74">
        <f>(Table1[[#This Row],[Index]]-B582)/B582</f>
        <v/>
      </c>
    </row>
    <row r="595">
      <c r="A595" s="19" t="n">
        <v>44197</v>
      </c>
      <c r="B595" s="61">
        <f>VLOOKUP(Table1[[#This Row],[Date]],database!A:B,2,)</f>
        <v/>
      </c>
      <c r="C595" s="74">
        <f>B595/B594-1</f>
        <v/>
      </c>
      <c r="D595" s="74">
        <f>(Table1[[#This Row],[Index]]-B583)/B583</f>
        <v/>
      </c>
    </row>
    <row r="596">
      <c r="A596" s="19" t="n">
        <v>44228</v>
      </c>
      <c r="B596" s="61">
        <f>VLOOKUP(Table1[[#This Row],[Date]],database!A:B,2,)</f>
        <v/>
      </c>
      <c r="C596" s="74">
        <f>B596/B595-1</f>
        <v/>
      </c>
      <c r="D596" s="74">
        <f>(Table1[[#This Row],[Index]]-B584)/B584</f>
        <v/>
      </c>
    </row>
    <row r="597">
      <c r="A597" s="19" t="n">
        <v>44256</v>
      </c>
      <c r="B597" s="61">
        <f>VLOOKUP(Table1[[#This Row],[Date]],database!A:B,2,)</f>
        <v/>
      </c>
      <c r="C597" s="74">
        <f>B597/B596-1</f>
        <v/>
      </c>
      <c r="D597" s="74">
        <f>(Table1[[#This Row],[Index]]-B585)/B585</f>
        <v/>
      </c>
    </row>
    <row r="598">
      <c r="A598" s="19" t="n">
        <v>44287</v>
      </c>
      <c r="B598" s="61">
        <f>VLOOKUP(Table1[[#This Row],[Date]],database!A:B,2,)</f>
        <v/>
      </c>
      <c r="C598" s="74">
        <f>B598/B597-1</f>
        <v/>
      </c>
      <c r="D598" s="74">
        <f>(Table1[[#This Row],[Index]]-B586)/B586</f>
        <v/>
      </c>
    </row>
    <row r="599">
      <c r="A599" s="19" t="n">
        <v>44317</v>
      </c>
      <c r="B599" s="61">
        <f>VLOOKUP(Table1[[#This Row],[Date]],database!A:B,2,)</f>
        <v/>
      </c>
      <c r="C599" s="74">
        <f>B599/B598-1</f>
        <v/>
      </c>
      <c r="D599" s="74">
        <f>(Table1[[#This Row],[Index]]-B587)/B587</f>
        <v/>
      </c>
    </row>
    <row r="600">
      <c r="A600" s="19" t="n">
        <v>44348</v>
      </c>
      <c r="B600" s="61">
        <f>VLOOKUP(Table1[[#This Row],[Date]],database!A:B,2,)</f>
        <v/>
      </c>
      <c r="C600" s="74">
        <f>B600/B599-1</f>
        <v/>
      </c>
      <c r="D600" s="74">
        <f>(Table1[[#This Row],[Index]]-B588)/B588</f>
        <v/>
      </c>
    </row>
    <row r="601">
      <c r="A601" s="19" t="n">
        <v>44378</v>
      </c>
      <c r="B601" s="61">
        <f>VLOOKUP(Table1[[#This Row],[Date]],database!A:B,2,)</f>
        <v/>
      </c>
      <c r="C601" s="74">
        <f>B601/B600-1</f>
        <v/>
      </c>
      <c r="D601" s="74">
        <f>(Table1[[#This Row],[Index]]-B589)/B589</f>
        <v/>
      </c>
    </row>
    <row r="602">
      <c r="A602" s="19" t="n">
        <v>44409</v>
      </c>
      <c r="B602" s="61">
        <f>VLOOKUP(Table1[[#This Row],[Date]],database!A:B,2,)</f>
        <v/>
      </c>
      <c r="C602" s="74">
        <f>B602/B601-1</f>
        <v/>
      </c>
      <c r="D602" s="74">
        <f>(Table1[[#This Row],[Index]]-B590)/B590</f>
        <v/>
      </c>
    </row>
    <row r="603">
      <c r="A603" s="19" t="n">
        <v>44440</v>
      </c>
      <c r="B603" s="61">
        <f>VLOOKUP(Table1[[#This Row],[Date]],database!A:B,2,)</f>
        <v/>
      </c>
      <c r="C603" s="74">
        <f>B603/B602-1</f>
        <v/>
      </c>
      <c r="D603" s="74">
        <f>(Table1[[#This Row],[Index]]-B591)/B591</f>
        <v/>
      </c>
    </row>
    <row r="604">
      <c r="A604" s="19" t="n">
        <v>44470</v>
      </c>
      <c r="B604" s="61">
        <f>VLOOKUP(Table1[[#This Row],[Date]],database!A:B,2,)</f>
        <v/>
      </c>
      <c r="C604" s="74">
        <f>B604/B603-1</f>
        <v/>
      </c>
      <c r="D604" s="74">
        <f>(Table1[[#This Row],[Index]]-B592)/B592</f>
        <v/>
      </c>
    </row>
    <row r="605">
      <c r="A605" s="19" t="n">
        <v>44501</v>
      </c>
      <c r="B605" s="61">
        <f>VLOOKUP(Table1[[#This Row],[Date]],database!A:B,2,)</f>
        <v/>
      </c>
      <c r="C605" s="74">
        <f>B605/B604-1</f>
        <v/>
      </c>
      <c r="D605" s="74">
        <f>(Table1[[#This Row],[Index]]-B593)/B593</f>
        <v/>
      </c>
    </row>
    <row r="606">
      <c r="A606" s="19" t="n">
        <v>44531</v>
      </c>
      <c r="B606" s="61">
        <f>VLOOKUP(Table1[[#This Row],[Date]],database!A:B,2,)</f>
        <v/>
      </c>
      <c r="C606" s="74">
        <f>B606/B605-1</f>
        <v/>
      </c>
      <c r="D606" s="74">
        <f>(Table1[[#This Row],[Index]]-B594)/B594</f>
        <v/>
      </c>
    </row>
  </sheetData>
  <conditionalFormatting sqref="D463:D60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5"/>
  <sheetViews>
    <sheetView zoomScale="120" zoomScaleNormal="120" workbookViewId="0">
      <pane ySplit="5" topLeftCell="A602" activePane="bottomLeft" state="frozen"/>
      <selection pane="bottomLeft" activeCell="V620" sqref="V620"/>
    </sheetView>
  </sheetViews>
  <sheetFormatPr baseColWidth="10" defaultColWidth="9.1640625" defaultRowHeight="15"/>
  <cols>
    <col width="9.1640625" customWidth="1" style="81" min="1" max="1"/>
    <col width="18.33203125" customWidth="1" style="13" min="2" max="2"/>
    <col width="13.6640625" customWidth="1" style="13" min="3" max="3"/>
    <col width="9.1640625" customWidth="1" style="81" min="4" max="6"/>
    <col width="9.1640625" customWidth="1" style="81" min="7" max="16384"/>
  </cols>
  <sheetData>
    <row r="1">
      <c r="A1" s="81"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6">
        <f>(VLOOKUP(A102,database!A:K,11,) - VLOOKUP(A90,database!A:K,11,))/VLOOKUP(A90,database!A:K,11,)</f>
        <v/>
      </c>
    </row>
    <row r="103">
      <c r="A103" s="40" t="n">
        <v>27426</v>
      </c>
      <c r="B103" s="41">
        <f>VLOOKUP(Table8[[#This Row],[Month]],database!A:J,MATCH('Capacity Utilization'!$A$1,database!$A$1:$J$1,),)</f>
        <v/>
      </c>
      <c r="C103" s="76">
        <f>(VLOOKUP(A103,database!A:K,11,) - VLOOKUP(A91,database!A:K,11,))/VLOOKUP(A91,database!A:K,11,)</f>
        <v/>
      </c>
    </row>
    <row r="104">
      <c r="A104" s="40" t="n">
        <v>27454</v>
      </c>
      <c r="B104" s="41">
        <f>VLOOKUP(Table8[[#This Row],[Month]],database!A:J,MATCH('Capacity Utilization'!$A$1,database!$A$1:$J$1,),)</f>
        <v/>
      </c>
      <c r="C104" s="76">
        <f>(VLOOKUP(A104,database!A:K,11,) - VLOOKUP(A92,database!A:K,11,))/VLOOKUP(A92,database!A:K,11,)</f>
        <v/>
      </c>
    </row>
    <row r="105">
      <c r="A105" s="40" t="n">
        <v>27485</v>
      </c>
      <c r="B105" s="41">
        <f>VLOOKUP(Table8[[#This Row],[Month]],database!A:J,MATCH('Capacity Utilization'!$A$1,database!$A$1:$J$1,),)</f>
        <v/>
      </c>
      <c r="C105" s="76">
        <f>(VLOOKUP(A105,database!A:K,11,) - VLOOKUP(A93,database!A:K,11,))/VLOOKUP(A93,database!A:K,11,)</f>
        <v/>
      </c>
    </row>
    <row r="106">
      <c r="A106" s="40" t="n">
        <v>27515</v>
      </c>
      <c r="B106" s="41">
        <f>VLOOKUP(Table8[[#This Row],[Month]],database!A:J,MATCH('Capacity Utilization'!$A$1,database!$A$1:$J$1,),)</f>
        <v/>
      </c>
      <c r="C106" s="76">
        <f>(VLOOKUP(A106,database!A:K,11,) - VLOOKUP(A94,database!A:K,11,))/VLOOKUP(A94,database!A:K,11,)</f>
        <v/>
      </c>
    </row>
    <row r="107">
      <c r="A107" s="40" t="n">
        <v>27546</v>
      </c>
      <c r="B107" s="41">
        <f>VLOOKUP(Table8[[#This Row],[Month]],database!A:J,MATCH('Capacity Utilization'!$A$1,database!$A$1:$J$1,),)</f>
        <v/>
      </c>
      <c r="C107" s="76">
        <f>(VLOOKUP(A107,database!A:K,11,) - VLOOKUP(A95,database!A:K,11,))/VLOOKUP(A95,database!A:K,11,)</f>
        <v/>
      </c>
    </row>
    <row r="108">
      <c r="A108" s="40" t="n">
        <v>27576</v>
      </c>
      <c r="B108" s="41">
        <f>VLOOKUP(Table8[[#This Row],[Month]],database!A:J,MATCH('Capacity Utilization'!$A$1,database!$A$1:$J$1,),)</f>
        <v/>
      </c>
      <c r="C108" s="76">
        <f>(VLOOKUP(A108,database!A:K,11,) - VLOOKUP(A96,database!A:K,11,))/VLOOKUP(A96,database!A:K,11,)</f>
        <v/>
      </c>
    </row>
    <row r="109">
      <c r="A109" s="40" t="n">
        <v>27607</v>
      </c>
      <c r="B109" s="41">
        <f>VLOOKUP(Table8[[#This Row],[Month]],database!A:J,MATCH('Capacity Utilization'!$A$1,database!$A$1:$J$1,),)</f>
        <v/>
      </c>
      <c r="C109" s="76">
        <f>(VLOOKUP(A109,database!A:K,11,) - VLOOKUP(A97,database!A:K,11,))/VLOOKUP(A97,database!A:K,11,)</f>
        <v/>
      </c>
    </row>
    <row r="110">
      <c r="A110" s="40" t="n">
        <v>27638</v>
      </c>
      <c r="B110" s="41">
        <f>VLOOKUP(Table8[[#This Row],[Month]],database!A:J,MATCH('Capacity Utilization'!$A$1,database!$A$1:$J$1,),)</f>
        <v/>
      </c>
      <c r="C110" s="76">
        <f>(VLOOKUP(A110,database!A:K,11,) - VLOOKUP(A98,database!A:K,11,))/VLOOKUP(A98,database!A:K,11,)</f>
        <v/>
      </c>
    </row>
    <row r="111">
      <c r="A111" s="40" t="n">
        <v>27668</v>
      </c>
      <c r="B111" s="41">
        <f>VLOOKUP(Table8[[#This Row],[Month]],database!A:J,MATCH('Capacity Utilization'!$A$1,database!$A$1:$J$1,),)</f>
        <v/>
      </c>
      <c r="C111" s="76">
        <f>(VLOOKUP(A111,database!A:K,11,) - VLOOKUP(A99,database!A:K,11,))/VLOOKUP(A99,database!A:K,11,)</f>
        <v/>
      </c>
    </row>
    <row r="112">
      <c r="A112" s="40" t="n">
        <v>27699</v>
      </c>
      <c r="B112" s="41">
        <f>VLOOKUP(Table8[[#This Row],[Month]],database!A:J,MATCH('Capacity Utilization'!$A$1,database!$A$1:$J$1,),)</f>
        <v/>
      </c>
      <c r="C112" s="76">
        <f>(VLOOKUP(A112,database!A:K,11,) - VLOOKUP(A100,database!A:K,11,))/VLOOKUP(A100,database!A:K,11,)</f>
        <v/>
      </c>
    </row>
    <row r="113">
      <c r="A113" s="40" t="n">
        <v>27729</v>
      </c>
      <c r="B113" s="41">
        <f>VLOOKUP(Table8[[#This Row],[Month]],database!A:J,MATCH('Capacity Utilization'!$A$1,database!$A$1:$J$1,),)</f>
        <v/>
      </c>
      <c r="C113" s="76">
        <f>(VLOOKUP(A113,database!A:K,11,) - VLOOKUP(A101,database!A:K,11,))/VLOOKUP(A101,database!A:K,11,)</f>
        <v/>
      </c>
    </row>
    <row r="114">
      <c r="A114" s="40" t="n">
        <v>27760</v>
      </c>
      <c r="B114" s="41">
        <f>VLOOKUP(Table8[[#This Row],[Month]],database!A:J,MATCH('Capacity Utilization'!$A$1,database!$A$1:$J$1,),)</f>
        <v/>
      </c>
      <c r="C114" s="76">
        <f>(VLOOKUP(A114,database!A:K,11,) - VLOOKUP(A102,database!A:K,11,))/VLOOKUP(A102,database!A:K,11,)</f>
        <v/>
      </c>
    </row>
    <row r="115">
      <c r="A115" s="40" t="n">
        <v>27791</v>
      </c>
      <c r="B115" s="41">
        <f>VLOOKUP(Table8[[#This Row],[Month]],database!A:J,MATCH('Capacity Utilization'!$A$1,database!$A$1:$J$1,),)</f>
        <v/>
      </c>
      <c r="C115" s="76">
        <f>(VLOOKUP(A115,database!A:K,11,) - VLOOKUP(A103,database!A:K,11,))/VLOOKUP(A103,database!A:K,11,)</f>
        <v/>
      </c>
    </row>
    <row r="116">
      <c r="A116" s="40" t="n">
        <v>27820</v>
      </c>
      <c r="B116" s="41">
        <f>VLOOKUP(Table8[[#This Row],[Month]],database!A:J,MATCH('Capacity Utilization'!$A$1,database!$A$1:$J$1,),)</f>
        <v/>
      </c>
      <c r="C116" s="76">
        <f>(VLOOKUP(A116,database!A:K,11,) - VLOOKUP(A104,database!A:K,11,))/VLOOKUP(A104,database!A:K,11,)</f>
        <v/>
      </c>
    </row>
    <row r="117">
      <c r="A117" s="40" t="n">
        <v>27851</v>
      </c>
      <c r="B117" s="41">
        <f>VLOOKUP(Table8[[#This Row],[Month]],database!A:J,MATCH('Capacity Utilization'!$A$1,database!$A$1:$J$1,),)</f>
        <v/>
      </c>
      <c r="C117" s="76">
        <f>(VLOOKUP(A117,database!A:K,11,) - VLOOKUP(A105,database!A:K,11,))/VLOOKUP(A105,database!A:K,11,)</f>
        <v/>
      </c>
    </row>
    <row r="118">
      <c r="A118" s="40" t="n">
        <v>27881</v>
      </c>
      <c r="B118" s="41">
        <f>VLOOKUP(Table8[[#This Row],[Month]],database!A:J,MATCH('Capacity Utilization'!$A$1,database!$A$1:$J$1,),)</f>
        <v/>
      </c>
      <c r="C118" s="76">
        <f>(VLOOKUP(A118,database!A:K,11,) - VLOOKUP(A106,database!A:K,11,))/VLOOKUP(A106,database!A:K,11,)</f>
        <v/>
      </c>
    </row>
    <row r="119">
      <c r="A119" s="40" t="n">
        <v>27912</v>
      </c>
      <c r="B119" s="41">
        <f>VLOOKUP(Table8[[#This Row],[Month]],database!A:J,MATCH('Capacity Utilization'!$A$1,database!$A$1:$J$1,),)</f>
        <v/>
      </c>
      <c r="C119" s="76">
        <f>(VLOOKUP(A119,database!A:K,11,) - VLOOKUP(A107,database!A:K,11,))/VLOOKUP(A107,database!A:K,11,)</f>
        <v/>
      </c>
    </row>
    <row r="120">
      <c r="A120" s="40" t="n">
        <v>27942</v>
      </c>
      <c r="B120" s="41">
        <f>VLOOKUP(Table8[[#This Row],[Month]],database!A:J,MATCH('Capacity Utilization'!$A$1,database!$A$1:$J$1,),)</f>
        <v/>
      </c>
      <c r="C120" s="76">
        <f>(VLOOKUP(A120,database!A:K,11,) - VLOOKUP(A108,database!A:K,11,))/VLOOKUP(A108,database!A:K,11,)</f>
        <v/>
      </c>
    </row>
    <row r="121">
      <c r="A121" s="40" t="n">
        <v>27973</v>
      </c>
      <c r="B121" s="41">
        <f>VLOOKUP(Table8[[#This Row],[Month]],database!A:J,MATCH('Capacity Utilization'!$A$1,database!$A$1:$J$1,),)</f>
        <v/>
      </c>
      <c r="C121" s="76">
        <f>(VLOOKUP(A121,database!A:K,11,) - VLOOKUP(A109,database!A:K,11,))/VLOOKUP(A109,database!A:K,11,)</f>
        <v/>
      </c>
    </row>
    <row r="122">
      <c r="A122" s="40" t="n">
        <v>28004</v>
      </c>
      <c r="B122" s="41">
        <f>VLOOKUP(Table8[[#This Row],[Month]],database!A:J,MATCH('Capacity Utilization'!$A$1,database!$A$1:$J$1,),)</f>
        <v/>
      </c>
      <c r="C122" s="76">
        <f>(VLOOKUP(A122,database!A:K,11,) - VLOOKUP(A110,database!A:K,11,))/VLOOKUP(A110,database!A:K,11,)</f>
        <v/>
      </c>
    </row>
    <row r="123">
      <c r="A123" s="40" t="n">
        <v>28034</v>
      </c>
      <c r="B123" s="41">
        <f>VLOOKUP(Table8[[#This Row],[Month]],database!A:J,MATCH('Capacity Utilization'!$A$1,database!$A$1:$J$1,),)</f>
        <v/>
      </c>
      <c r="C123" s="76">
        <f>(VLOOKUP(A123,database!A:K,11,) - VLOOKUP(A111,database!A:K,11,))/VLOOKUP(A111,database!A:K,11,)</f>
        <v/>
      </c>
    </row>
    <row r="124">
      <c r="A124" s="40" t="n">
        <v>28065</v>
      </c>
      <c r="B124" s="41">
        <f>VLOOKUP(Table8[[#This Row],[Month]],database!A:J,MATCH('Capacity Utilization'!$A$1,database!$A$1:$J$1,),)</f>
        <v/>
      </c>
      <c r="C124" s="76">
        <f>(VLOOKUP(A124,database!A:K,11,) - VLOOKUP(A112,database!A:K,11,))/VLOOKUP(A112,database!A:K,11,)</f>
        <v/>
      </c>
    </row>
    <row r="125">
      <c r="A125" s="40" t="n">
        <v>28095</v>
      </c>
      <c r="B125" s="41">
        <f>VLOOKUP(Table8[[#This Row],[Month]],database!A:J,MATCH('Capacity Utilization'!$A$1,database!$A$1:$J$1,),)</f>
        <v/>
      </c>
      <c r="C125" s="76">
        <f>(VLOOKUP(A125,database!A:K,11,) - VLOOKUP(A113,database!A:K,11,))/VLOOKUP(A113,database!A:K,11,)</f>
        <v/>
      </c>
    </row>
    <row r="126">
      <c r="A126" s="40" t="n">
        <v>28126</v>
      </c>
      <c r="B126" s="41">
        <f>VLOOKUP(Table8[[#This Row],[Month]],database!A:J,MATCH('Capacity Utilization'!$A$1,database!$A$1:$J$1,),)</f>
        <v/>
      </c>
      <c r="C126" s="76">
        <f>(VLOOKUP(A126,database!A:K,11,) - VLOOKUP(A114,database!A:K,11,))/VLOOKUP(A114,database!A:K,11,)</f>
        <v/>
      </c>
    </row>
    <row r="127">
      <c r="A127" s="40" t="n">
        <v>28157</v>
      </c>
      <c r="B127" s="41">
        <f>VLOOKUP(Table8[[#This Row],[Month]],database!A:J,MATCH('Capacity Utilization'!$A$1,database!$A$1:$J$1,),)</f>
        <v/>
      </c>
      <c r="C127" s="76">
        <f>(VLOOKUP(A127,database!A:K,11,) - VLOOKUP(A115,database!A:K,11,))/VLOOKUP(A115,database!A:K,11,)</f>
        <v/>
      </c>
    </row>
    <row r="128">
      <c r="A128" s="40" t="n">
        <v>28185</v>
      </c>
      <c r="B128" s="41">
        <f>VLOOKUP(Table8[[#This Row],[Month]],database!A:J,MATCH('Capacity Utilization'!$A$1,database!$A$1:$J$1,),)</f>
        <v/>
      </c>
      <c r="C128" s="76">
        <f>(VLOOKUP(A128,database!A:K,11,) - VLOOKUP(A116,database!A:K,11,))/VLOOKUP(A116,database!A:K,11,)</f>
        <v/>
      </c>
    </row>
    <row r="129">
      <c r="A129" s="40" t="n">
        <v>28216</v>
      </c>
      <c r="B129" s="41">
        <f>VLOOKUP(Table8[[#This Row],[Month]],database!A:J,MATCH('Capacity Utilization'!$A$1,database!$A$1:$J$1,),)</f>
        <v/>
      </c>
      <c r="C129" s="76">
        <f>(VLOOKUP(A129,database!A:K,11,) - VLOOKUP(A117,database!A:K,11,))/VLOOKUP(A117,database!A:K,11,)</f>
        <v/>
      </c>
    </row>
    <row r="130">
      <c r="A130" s="40" t="n">
        <v>28246</v>
      </c>
      <c r="B130" s="41">
        <f>VLOOKUP(Table8[[#This Row],[Month]],database!A:J,MATCH('Capacity Utilization'!$A$1,database!$A$1:$J$1,),)</f>
        <v/>
      </c>
      <c r="C130" s="76">
        <f>(VLOOKUP(A130,database!A:K,11,) - VLOOKUP(A118,database!A:K,11,))/VLOOKUP(A118,database!A:K,11,)</f>
        <v/>
      </c>
    </row>
    <row r="131">
      <c r="A131" s="40" t="n">
        <v>28277</v>
      </c>
      <c r="B131" s="41">
        <f>VLOOKUP(Table8[[#This Row],[Month]],database!A:J,MATCH('Capacity Utilization'!$A$1,database!$A$1:$J$1,),)</f>
        <v/>
      </c>
      <c r="C131" s="76">
        <f>(VLOOKUP(A131,database!A:K,11,) - VLOOKUP(A119,database!A:K,11,))/VLOOKUP(A119,database!A:K,11,)</f>
        <v/>
      </c>
    </row>
    <row r="132">
      <c r="A132" s="40" t="n">
        <v>28307</v>
      </c>
      <c r="B132" s="41">
        <f>VLOOKUP(Table8[[#This Row],[Month]],database!A:J,MATCH('Capacity Utilization'!$A$1,database!$A$1:$J$1,),)</f>
        <v/>
      </c>
      <c r="C132" s="76">
        <f>(VLOOKUP(A132,database!A:K,11,) - VLOOKUP(A120,database!A:K,11,))/VLOOKUP(A120,database!A:K,11,)</f>
        <v/>
      </c>
    </row>
    <row r="133">
      <c r="A133" s="40" t="n">
        <v>28338</v>
      </c>
      <c r="B133" s="41">
        <f>VLOOKUP(Table8[[#This Row],[Month]],database!A:J,MATCH('Capacity Utilization'!$A$1,database!$A$1:$J$1,),)</f>
        <v/>
      </c>
      <c r="C133" s="76">
        <f>(VLOOKUP(A133,database!A:K,11,) - VLOOKUP(A121,database!A:K,11,))/VLOOKUP(A121,database!A:K,11,)</f>
        <v/>
      </c>
    </row>
    <row r="134">
      <c r="A134" s="40" t="n">
        <v>28369</v>
      </c>
      <c r="B134" s="41">
        <f>VLOOKUP(Table8[[#This Row],[Month]],database!A:J,MATCH('Capacity Utilization'!$A$1,database!$A$1:$J$1,),)</f>
        <v/>
      </c>
      <c r="C134" s="76">
        <f>(VLOOKUP(A134,database!A:K,11,) - VLOOKUP(A122,database!A:K,11,))/VLOOKUP(A122,database!A:K,11,)</f>
        <v/>
      </c>
    </row>
    <row r="135">
      <c r="A135" s="40" t="n">
        <v>28399</v>
      </c>
      <c r="B135" s="41">
        <f>VLOOKUP(Table8[[#This Row],[Month]],database!A:J,MATCH('Capacity Utilization'!$A$1,database!$A$1:$J$1,),)</f>
        <v/>
      </c>
      <c r="C135" s="76">
        <f>(VLOOKUP(A135,database!A:K,11,) - VLOOKUP(A123,database!A:K,11,))/VLOOKUP(A123,database!A:K,11,)</f>
        <v/>
      </c>
    </row>
    <row r="136">
      <c r="A136" s="40" t="n">
        <v>28430</v>
      </c>
      <c r="B136" s="41">
        <f>VLOOKUP(Table8[[#This Row],[Month]],database!A:J,MATCH('Capacity Utilization'!$A$1,database!$A$1:$J$1,),)</f>
        <v/>
      </c>
      <c r="C136" s="76">
        <f>(VLOOKUP(A136,database!A:K,11,) - VLOOKUP(A124,database!A:K,11,))/VLOOKUP(A124,database!A:K,11,)</f>
        <v/>
      </c>
    </row>
    <row r="137">
      <c r="A137" s="40" t="n">
        <v>28460</v>
      </c>
      <c r="B137" s="41">
        <f>VLOOKUP(Table8[[#This Row],[Month]],database!A:J,MATCH('Capacity Utilization'!$A$1,database!$A$1:$J$1,),)</f>
        <v/>
      </c>
      <c r="C137" s="76">
        <f>(VLOOKUP(A137,database!A:K,11,) - VLOOKUP(A125,database!A:K,11,))/VLOOKUP(A125,database!A:K,11,)</f>
        <v/>
      </c>
    </row>
    <row r="138">
      <c r="A138" s="40" t="n">
        <v>28491</v>
      </c>
      <c r="B138" s="41">
        <f>VLOOKUP(Table8[[#This Row],[Month]],database!A:J,MATCH('Capacity Utilization'!$A$1,database!$A$1:$J$1,),)</f>
        <v/>
      </c>
      <c r="C138" s="76">
        <f>(VLOOKUP(A138,database!A:K,11,) - VLOOKUP(A126,database!A:K,11,))/VLOOKUP(A126,database!A:K,11,)</f>
        <v/>
      </c>
    </row>
    <row r="139">
      <c r="A139" s="40" t="n">
        <v>28522</v>
      </c>
      <c r="B139" s="41">
        <f>VLOOKUP(Table8[[#This Row],[Month]],database!A:J,MATCH('Capacity Utilization'!$A$1,database!$A$1:$J$1,),)</f>
        <v/>
      </c>
      <c r="C139" s="76">
        <f>(VLOOKUP(A139,database!A:K,11,) - VLOOKUP(A127,database!A:K,11,))/VLOOKUP(A127,database!A:K,11,)</f>
        <v/>
      </c>
    </row>
    <row r="140">
      <c r="A140" s="40" t="n">
        <v>28550</v>
      </c>
      <c r="B140" s="41">
        <f>VLOOKUP(Table8[[#This Row],[Month]],database!A:J,MATCH('Capacity Utilization'!$A$1,database!$A$1:$J$1,),)</f>
        <v/>
      </c>
      <c r="C140" s="76">
        <f>(VLOOKUP(A140,database!A:K,11,) - VLOOKUP(A128,database!A:K,11,))/VLOOKUP(A128,database!A:K,11,)</f>
        <v/>
      </c>
    </row>
    <row r="141">
      <c r="A141" s="40" t="n">
        <v>28581</v>
      </c>
      <c r="B141" s="41">
        <f>VLOOKUP(Table8[[#This Row],[Month]],database!A:J,MATCH('Capacity Utilization'!$A$1,database!$A$1:$J$1,),)</f>
        <v/>
      </c>
      <c r="C141" s="76">
        <f>(VLOOKUP(A141,database!A:K,11,) - VLOOKUP(A129,database!A:K,11,))/VLOOKUP(A129,database!A:K,11,)</f>
        <v/>
      </c>
    </row>
    <row r="142">
      <c r="A142" s="40" t="n">
        <v>28611</v>
      </c>
      <c r="B142" s="41">
        <f>VLOOKUP(Table8[[#This Row],[Month]],database!A:J,MATCH('Capacity Utilization'!$A$1,database!$A$1:$J$1,),)</f>
        <v/>
      </c>
      <c r="C142" s="76">
        <f>(VLOOKUP(A142,database!A:K,11,) - VLOOKUP(A130,database!A:K,11,))/VLOOKUP(A130,database!A:K,11,)</f>
        <v/>
      </c>
    </row>
    <row r="143">
      <c r="A143" s="40" t="n">
        <v>28642</v>
      </c>
      <c r="B143" s="41">
        <f>VLOOKUP(Table8[[#This Row],[Month]],database!A:J,MATCH('Capacity Utilization'!$A$1,database!$A$1:$J$1,),)</f>
        <v/>
      </c>
      <c r="C143" s="76">
        <f>(VLOOKUP(A143,database!A:K,11,) - VLOOKUP(A131,database!A:K,11,))/VLOOKUP(A131,database!A:K,11,)</f>
        <v/>
      </c>
    </row>
    <row r="144">
      <c r="A144" s="40" t="n">
        <v>28672</v>
      </c>
      <c r="B144" s="41">
        <f>VLOOKUP(Table8[[#This Row],[Month]],database!A:J,MATCH('Capacity Utilization'!$A$1,database!$A$1:$J$1,),)</f>
        <v/>
      </c>
      <c r="C144" s="76">
        <f>(VLOOKUP(A144,database!A:K,11,) - VLOOKUP(A132,database!A:K,11,))/VLOOKUP(A132,database!A:K,11,)</f>
        <v/>
      </c>
    </row>
    <row r="145">
      <c r="A145" s="40" t="n">
        <v>28703</v>
      </c>
      <c r="B145" s="41">
        <f>VLOOKUP(Table8[[#This Row],[Month]],database!A:J,MATCH('Capacity Utilization'!$A$1,database!$A$1:$J$1,),)</f>
        <v/>
      </c>
      <c r="C145" s="76">
        <f>(VLOOKUP(A145,database!A:K,11,) - VLOOKUP(A133,database!A:K,11,))/VLOOKUP(A133,database!A:K,11,)</f>
        <v/>
      </c>
    </row>
    <row r="146">
      <c r="A146" s="40" t="n">
        <v>28734</v>
      </c>
      <c r="B146" s="41">
        <f>VLOOKUP(Table8[[#This Row],[Month]],database!A:J,MATCH('Capacity Utilization'!$A$1,database!$A$1:$J$1,),)</f>
        <v/>
      </c>
      <c r="C146" s="76">
        <f>(VLOOKUP(A146,database!A:K,11,) - VLOOKUP(A134,database!A:K,11,))/VLOOKUP(A134,database!A:K,11,)</f>
        <v/>
      </c>
    </row>
    <row r="147">
      <c r="A147" s="40" t="n">
        <v>28764</v>
      </c>
      <c r="B147" s="41">
        <f>VLOOKUP(Table8[[#This Row],[Month]],database!A:J,MATCH('Capacity Utilization'!$A$1,database!$A$1:$J$1,),)</f>
        <v/>
      </c>
      <c r="C147" s="76">
        <f>(VLOOKUP(A147,database!A:K,11,) - VLOOKUP(A135,database!A:K,11,))/VLOOKUP(A135,database!A:K,11,)</f>
        <v/>
      </c>
    </row>
    <row r="148">
      <c r="A148" s="40" t="n">
        <v>28795</v>
      </c>
      <c r="B148" s="41">
        <f>VLOOKUP(Table8[[#This Row],[Month]],database!A:J,MATCH('Capacity Utilization'!$A$1,database!$A$1:$J$1,),)</f>
        <v/>
      </c>
      <c r="C148" s="76">
        <f>(VLOOKUP(A148,database!A:K,11,) - VLOOKUP(A136,database!A:K,11,))/VLOOKUP(A136,database!A:K,11,)</f>
        <v/>
      </c>
    </row>
    <row r="149">
      <c r="A149" s="40" t="n">
        <v>28825</v>
      </c>
      <c r="B149" s="41">
        <f>VLOOKUP(Table8[[#This Row],[Month]],database!A:J,MATCH('Capacity Utilization'!$A$1,database!$A$1:$J$1,),)</f>
        <v/>
      </c>
      <c r="C149" s="76">
        <f>(VLOOKUP(A149,database!A:K,11,) - VLOOKUP(A137,database!A:K,11,))/VLOOKUP(A137,database!A:K,11,)</f>
        <v/>
      </c>
    </row>
    <row r="150">
      <c r="A150" s="40" t="n">
        <v>28856</v>
      </c>
      <c r="B150" s="41">
        <f>VLOOKUP(Table8[[#This Row],[Month]],database!A:J,MATCH('Capacity Utilization'!$A$1,database!$A$1:$J$1,),)</f>
        <v/>
      </c>
      <c r="C150" s="76">
        <f>(VLOOKUP(A150,database!A:K,11,) - VLOOKUP(A138,database!A:K,11,))/VLOOKUP(A138,database!A:K,11,)</f>
        <v/>
      </c>
    </row>
    <row r="151">
      <c r="A151" s="40" t="n">
        <v>28887</v>
      </c>
      <c r="B151" s="41">
        <f>VLOOKUP(Table8[[#This Row],[Month]],database!A:J,MATCH('Capacity Utilization'!$A$1,database!$A$1:$J$1,),)</f>
        <v/>
      </c>
      <c r="C151" s="76">
        <f>(VLOOKUP(A151,database!A:K,11,) - VLOOKUP(A139,database!A:K,11,))/VLOOKUP(A139,database!A:K,11,)</f>
        <v/>
      </c>
    </row>
    <row r="152">
      <c r="A152" s="40" t="n">
        <v>28915</v>
      </c>
      <c r="B152" s="41">
        <f>VLOOKUP(Table8[[#This Row],[Month]],database!A:J,MATCH('Capacity Utilization'!$A$1,database!$A$1:$J$1,),)</f>
        <v/>
      </c>
      <c r="C152" s="76">
        <f>(VLOOKUP(A152,database!A:K,11,) - VLOOKUP(A140,database!A:K,11,))/VLOOKUP(A140,database!A:K,11,)</f>
        <v/>
      </c>
    </row>
    <row r="153">
      <c r="A153" s="40" t="n">
        <v>28946</v>
      </c>
      <c r="B153" s="41">
        <f>VLOOKUP(Table8[[#This Row],[Month]],database!A:J,MATCH('Capacity Utilization'!$A$1,database!$A$1:$J$1,),)</f>
        <v/>
      </c>
      <c r="C153" s="76">
        <f>(VLOOKUP(A153,database!A:K,11,) - VLOOKUP(A141,database!A:K,11,))/VLOOKUP(A141,database!A:K,11,)</f>
        <v/>
      </c>
    </row>
    <row r="154">
      <c r="A154" s="40" t="n">
        <v>28976</v>
      </c>
      <c r="B154" s="41">
        <f>VLOOKUP(Table8[[#This Row],[Month]],database!A:J,MATCH('Capacity Utilization'!$A$1,database!$A$1:$J$1,),)</f>
        <v/>
      </c>
      <c r="C154" s="76">
        <f>(VLOOKUP(A154,database!A:K,11,) - VLOOKUP(A142,database!A:K,11,))/VLOOKUP(A142,database!A:K,11,)</f>
        <v/>
      </c>
    </row>
    <row r="155">
      <c r="A155" s="40" t="n">
        <v>29007</v>
      </c>
      <c r="B155" s="41">
        <f>VLOOKUP(Table8[[#This Row],[Month]],database!A:J,MATCH('Capacity Utilization'!$A$1,database!$A$1:$J$1,),)</f>
        <v/>
      </c>
      <c r="C155" s="76">
        <f>(VLOOKUP(A155,database!A:K,11,) - VLOOKUP(A143,database!A:K,11,))/VLOOKUP(A143,database!A:K,11,)</f>
        <v/>
      </c>
    </row>
    <row r="156">
      <c r="A156" s="40" t="n">
        <v>29037</v>
      </c>
      <c r="B156" s="41">
        <f>VLOOKUP(Table8[[#This Row],[Month]],database!A:J,MATCH('Capacity Utilization'!$A$1,database!$A$1:$J$1,),)</f>
        <v/>
      </c>
      <c r="C156" s="76">
        <f>(VLOOKUP(A156,database!A:K,11,) - VLOOKUP(A144,database!A:K,11,))/VLOOKUP(A144,database!A:K,11,)</f>
        <v/>
      </c>
    </row>
    <row r="157">
      <c r="A157" s="40" t="n">
        <v>29068</v>
      </c>
      <c r="B157" s="41">
        <f>VLOOKUP(Table8[[#This Row],[Month]],database!A:J,MATCH('Capacity Utilization'!$A$1,database!$A$1:$J$1,),)</f>
        <v/>
      </c>
      <c r="C157" s="76">
        <f>(VLOOKUP(A157,database!A:K,11,) - VLOOKUP(A145,database!A:K,11,))/VLOOKUP(A145,database!A:K,11,)</f>
        <v/>
      </c>
    </row>
    <row r="158">
      <c r="A158" s="40" t="n">
        <v>29099</v>
      </c>
      <c r="B158" s="41">
        <f>VLOOKUP(Table8[[#This Row],[Month]],database!A:J,MATCH('Capacity Utilization'!$A$1,database!$A$1:$J$1,),)</f>
        <v/>
      </c>
      <c r="C158" s="76">
        <f>(VLOOKUP(A158,database!A:K,11,) - VLOOKUP(A146,database!A:K,11,))/VLOOKUP(A146,database!A:K,11,)</f>
        <v/>
      </c>
    </row>
    <row r="159">
      <c r="A159" s="40" t="n">
        <v>29129</v>
      </c>
      <c r="B159" s="41">
        <f>VLOOKUP(Table8[[#This Row],[Month]],database!A:J,MATCH('Capacity Utilization'!$A$1,database!$A$1:$J$1,),)</f>
        <v/>
      </c>
      <c r="C159" s="76">
        <f>(VLOOKUP(A159,database!A:K,11,) - VLOOKUP(A147,database!A:K,11,))/VLOOKUP(A147,database!A:K,11,)</f>
        <v/>
      </c>
    </row>
    <row r="160">
      <c r="A160" s="40" t="n">
        <v>29160</v>
      </c>
      <c r="B160" s="41">
        <f>VLOOKUP(Table8[[#This Row],[Month]],database!A:J,MATCH('Capacity Utilization'!$A$1,database!$A$1:$J$1,),)</f>
        <v/>
      </c>
      <c r="C160" s="76">
        <f>(VLOOKUP(A160,database!A:K,11,) - VLOOKUP(A148,database!A:K,11,))/VLOOKUP(A148,database!A:K,11,)</f>
        <v/>
      </c>
    </row>
    <row r="161">
      <c r="A161" s="40" t="n">
        <v>29190</v>
      </c>
      <c r="B161" s="41">
        <f>VLOOKUP(Table8[[#This Row],[Month]],database!A:J,MATCH('Capacity Utilization'!$A$1,database!$A$1:$J$1,),)</f>
        <v/>
      </c>
      <c r="C161" s="76">
        <f>(VLOOKUP(A161,database!A:K,11,) - VLOOKUP(A149,database!A:K,11,))/VLOOKUP(A149,database!A:K,11,)</f>
        <v/>
      </c>
    </row>
    <row r="162">
      <c r="A162" s="40" t="n">
        <v>29221</v>
      </c>
      <c r="B162" s="41">
        <f>VLOOKUP(Table8[[#This Row],[Month]],database!A:J,MATCH('Capacity Utilization'!$A$1,database!$A$1:$J$1,),)</f>
        <v/>
      </c>
      <c r="C162" s="76">
        <f>(VLOOKUP(A162,database!A:K,11,) - VLOOKUP(A150,database!A:K,11,))/VLOOKUP(A150,database!A:K,11,)</f>
        <v/>
      </c>
    </row>
    <row r="163">
      <c r="A163" s="40" t="n">
        <v>29252</v>
      </c>
      <c r="B163" s="41">
        <f>VLOOKUP(Table8[[#This Row],[Month]],database!A:J,MATCH('Capacity Utilization'!$A$1,database!$A$1:$J$1,),)</f>
        <v/>
      </c>
      <c r="C163" s="76">
        <f>(VLOOKUP(A163,database!A:K,11,) - VLOOKUP(A151,database!A:K,11,))/VLOOKUP(A151,database!A:K,11,)</f>
        <v/>
      </c>
    </row>
    <row r="164">
      <c r="A164" s="40" t="n">
        <v>29281</v>
      </c>
      <c r="B164" s="41">
        <f>VLOOKUP(Table8[[#This Row],[Month]],database!A:J,MATCH('Capacity Utilization'!$A$1,database!$A$1:$J$1,),)</f>
        <v/>
      </c>
      <c r="C164" s="76">
        <f>(VLOOKUP(A164,database!A:K,11,) - VLOOKUP(A152,database!A:K,11,))/VLOOKUP(A152,database!A:K,11,)</f>
        <v/>
      </c>
    </row>
    <row r="165">
      <c r="A165" s="40" t="n">
        <v>29312</v>
      </c>
      <c r="B165" s="41">
        <f>VLOOKUP(Table8[[#This Row],[Month]],database!A:J,MATCH('Capacity Utilization'!$A$1,database!$A$1:$J$1,),)</f>
        <v/>
      </c>
      <c r="C165" s="76">
        <f>(VLOOKUP(A165,database!A:K,11,) - VLOOKUP(A153,database!A:K,11,))/VLOOKUP(A153,database!A:K,11,)</f>
        <v/>
      </c>
    </row>
    <row r="166">
      <c r="A166" s="40" t="n">
        <v>29342</v>
      </c>
      <c r="B166" s="41">
        <f>VLOOKUP(Table8[[#This Row],[Month]],database!A:J,MATCH('Capacity Utilization'!$A$1,database!$A$1:$J$1,),)</f>
        <v/>
      </c>
      <c r="C166" s="76">
        <f>(VLOOKUP(A166,database!A:K,11,) - VLOOKUP(A154,database!A:K,11,))/VLOOKUP(A154,database!A:K,11,)</f>
        <v/>
      </c>
    </row>
    <row r="167">
      <c r="A167" s="40" t="n">
        <v>29373</v>
      </c>
      <c r="B167" s="41">
        <f>VLOOKUP(Table8[[#This Row],[Month]],database!A:J,MATCH('Capacity Utilization'!$A$1,database!$A$1:$J$1,),)</f>
        <v/>
      </c>
      <c r="C167" s="76">
        <f>(VLOOKUP(A167,database!A:K,11,) - VLOOKUP(A155,database!A:K,11,))/VLOOKUP(A155,database!A:K,11,)</f>
        <v/>
      </c>
    </row>
    <row r="168">
      <c r="A168" s="40" t="n">
        <v>29403</v>
      </c>
      <c r="B168" s="41">
        <f>VLOOKUP(Table8[[#This Row],[Month]],database!A:J,MATCH('Capacity Utilization'!$A$1,database!$A$1:$J$1,),)</f>
        <v/>
      </c>
      <c r="C168" s="76">
        <f>(VLOOKUP(A168,database!A:K,11,) - VLOOKUP(A156,database!A:K,11,))/VLOOKUP(A156,database!A:K,11,)</f>
        <v/>
      </c>
    </row>
    <row r="169">
      <c r="A169" s="40" t="n">
        <v>29434</v>
      </c>
      <c r="B169" s="41">
        <f>VLOOKUP(Table8[[#This Row],[Month]],database!A:J,MATCH('Capacity Utilization'!$A$1,database!$A$1:$J$1,),)</f>
        <v/>
      </c>
      <c r="C169" s="76">
        <f>(VLOOKUP(A169,database!A:K,11,) - VLOOKUP(A157,database!A:K,11,))/VLOOKUP(A157,database!A:K,11,)</f>
        <v/>
      </c>
    </row>
    <row r="170">
      <c r="A170" s="40" t="n">
        <v>29465</v>
      </c>
      <c r="B170" s="41">
        <f>VLOOKUP(Table8[[#This Row],[Month]],database!A:J,MATCH('Capacity Utilization'!$A$1,database!$A$1:$J$1,),)</f>
        <v/>
      </c>
      <c r="C170" s="76">
        <f>(VLOOKUP(A170,database!A:K,11,) - VLOOKUP(A158,database!A:K,11,))/VLOOKUP(A158,database!A:K,11,)</f>
        <v/>
      </c>
    </row>
    <row r="171">
      <c r="A171" s="40" t="n">
        <v>29495</v>
      </c>
      <c r="B171" s="41">
        <f>VLOOKUP(Table8[[#This Row],[Month]],database!A:J,MATCH('Capacity Utilization'!$A$1,database!$A$1:$J$1,),)</f>
        <v/>
      </c>
      <c r="C171" s="76">
        <f>(VLOOKUP(A171,database!A:K,11,) - VLOOKUP(A159,database!A:K,11,))/VLOOKUP(A159,database!A:K,11,)</f>
        <v/>
      </c>
    </row>
    <row r="172">
      <c r="A172" s="40" t="n">
        <v>29526</v>
      </c>
      <c r="B172" s="41">
        <f>VLOOKUP(Table8[[#This Row],[Month]],database!A:J,MATCH('Capacity Utilization'!$A$1,database!$A$1:$J$1,),)</f>
        <v/>
      </c>
      <c r="C172" s="76">
        <f>(VLOOKUP(A172,database!A:K,11,) - VLOOKUP(A160,database!A:K,11,))/VLOOKUP(A160,database!A:K,11,)</f>
        <v/>
      </c>
    </row>
    <row r="173">
      <c r="A173" s="40" t="n">
        <v>29556</v>
      </c>
      <c r="B173" s="41">
        <f>VLOOKUP(Table8[[#This Row],[Month]],database!A:J,MATCH('Capacity Utilization'!$A$1,database!$A$1:$J$1,),)</f>
        <v/>
      </c>
      <c r="C173" s="76">
        <f>(VLOOKUP(A173,database!A:K,11,) - VLOOKUP(A161,database!A:K,11,))/VLOOKUP(A161,database!A:K,11,)</f>
        <v/>
      </c>
    </row>
    <row r="174">
      <c r="A174" s="40" t="n">
        <v>29587</v>
      </c>
      <c r="B174" s="41">
        <f>VLOOKUP(Table8[[#This Row],[Month]],database!A:J,MATCH('Capacity Utilization'!$A$1,database!$A$1:$J$1,),)</f>
        <v/>
      </c>
      <c r="C174" s="76">
        <f>(VLOOKUP(A174,database!A:K,11,) - VLOOKUP(A162,database!A:K,11,))/VLOOKUP(A162,database!A:K,11,)</f>
        <v/>
      </c>
    </row>
    <row r="175">
      <c r="A175" s="40" t="n">
        <v>29618</v>
      </c>
      <c r="B175" s="41">
        <f>VLOOKUP(Table8[[#This Row],[Month]],database!A:J,MATCH('Capacity Utilization'!$A$1,database!$A$1:$J$1,),)</f>
        <v/>
      </c>
      <c r="C175" s="76">
        <f>(VLOOKUP(A175,database!A:K,11,) - VLOOKUP(A163,database!A:K,11,))/VLOOKUP(A163,database!A:K,11,)</f>
        <v/>
      </c>
    </row>
    <row r="176">
      <c r="A176" s="40" t="n">
        <v>29646</v>
      </c>
      <c r="B176" s="41">
        <f>VLOOKUP(Table8[[#This Row],[Month]],database!A:J,MATCH('Capacity Utilization'!$A$1,database!$A$1:$J$1,),)</f>
        <v/>
      </c>
      <c r="C176" s="76">
        <f>(VLOOKUP(A176,database!A:K,11,) - VLOOKUP(A164,database!A:K,11,))/VLOOKUP(A164,database!A:K,11,)</f>
        <v/>
      </c>
    </row>
    <row r="177">
      <c r="A177" s="40" t="n">
        <v>29677</v>
      </c>
      <c r="B177" s="41">
        <f>VLOOKUP(Table8[[#This Row],[Month]],database!A:J,MATCH('Capacity Utilization'!$A$1,database!$A$1:$J$1,),)</f>
        <v/>
      </c>
      <c r="C177" s="76">
        <f>(VLOOKUP(A177,database!A:K,11,) - VLOOKUP(A165,database!A:K,11,))/VLOOKUP(A165,database!A:K,11,)</f>
        <v/>
      </c>
    </row>
    <row r="178">
      <c r="A178" s="40" t="n">
        <v>29707</v>
      </c>
      <c r="B178" s="41">
        <f>VLOOKUP(Table8[[#This Row],[Month]],database!A:J,MATCH('Capacity Utilization'!$A$1,database!$A$1:$J$1,),)</f>
        <v/>
      </c>
      <c r="C178" s="76">
        <f>(VLOOKUP(A178,database!A:K,11,) - VLOOKUP(A166,database!A:K,11,))/VLOOKUP(A166,database!A:K,11,)</f>
        <v/>
      </c>
    </row>
    <row r="179">
      <c r="A179" s="40" t="n">
        <v>29738</v>
      </c>
      <c r="B179" s="41">
        <f>VLOOKUP(Table8[[#This Row],[Month]],database!A:J,MATCH('Capacity Utilization'!$A$1,database!$A$1:$J$1,),)</f>
        <v/>
      </c>
      <c r="C179" s="76">
        <f>(VLOOKUP(A179,database!A:K,11,) - VLOOKUP(A167,database!A:K,11,))/VLOOKUP(A167,database!A:K,11,)</f>
        <v/>
      </c>
    </row>
    <row r="180">
      <c r="A180" s="40" t="n">
        <v>29768</v>
      </c>
      <c r="B180" s="41">
        <f>VLOOKUP(Table8[[#This Row],[Month]],database!A:J,MATCH('Capacity Utilization'!$A$1,database!$A$1:$J$1,),)</f>
        <v/>
      </c>
      <c r="C180" s="76">
        <f>(VLOOKUP(A180,database!A:K,11,) - VLOOKUP(A168,database!A:K,11,))/VLOOKUP(A168,database!A:K,11,)</f>
        <v/>
      </c>
    </row>
    <row r="181">
      <c r="A181" s="40" t="n">
        <v>29799</v>
      </c>
      <c r="B181" s="41">
        <f>VLOOKUP(Table8[[#This Row],[Month]],database!A:J,MATCH('Capacity Utilization'!$A$1,database!$A$1:$J$1,),)</f>
        <v/>
      </c>
      <c r="C181" s="76">
        <f>(VLOOKUP(A181,database!A:K,11,) - VLOOKUP(A169,database!A:K,11,))/VLOOKUP(A169,database!A:K,11,)</f>
        <v/>
      </c>
    </row>
    <row r="182">
      <c r="A182" s="40" t="n">
        <v>29830</v>
      </c>
      <c r="B182" s="41">
        <f>VLOOKUP(Table8[[#This Row],[Month]],database!A:J,MATCH('Capacity Utilization'!$A$1,database!$A$1:$J$1,),)</f>
        <v/>
      </c>
      <c r="C182" s="76">
        <f>(VLOOKUP(A182,database!A:K,11,) - VLOOKUP(A170,database!A:K,11,))/VLOOKUP(A170,database!A:K,11,)</f>
        <v/>
      </c>
    </row>
    <row r="183">
      <c r="A183" s="40" t="n">
        <v>29860</v>
      </c>
      <c r="B183" s="41">
        <f>VLOOKUP(Table8[[#This Row],[Month]],database!A:J,MATCH('Capacity Utilization'!$A$1,database!$A$1:$J$1,),)</f>
        <v/>
      </c>
      <c r="C183" s="76">
        <f>(VLOOKUP(A183,database!A:K,11,) - VLOOKUP(A171,database!A:K,11,))/VLOOKUP(A171,database!A:K,11,)</f>
        <v/>
      </c>
    </row>
    <row r="184">
      <c r="A184" s="40" t="n">
        <v>29891</v>
      </c>
      <c r="B184" s="41">
        <f>VLOOKUP(Table8[[#This Row],[Month]],database!A:J,MATCH('Capacity Utilization'!$A$1,database!$A$1:$J$1,),)</f>
        <v/>
      </c>
      <c r="C184" s="76">
        <f>(VLOOKUP(A184,database!A:K,11,) - VLOOKUP(A172,database!A:K,11,))/VLOOKUP(A172,database!A:K,11,)</f>
        <v/>
      </c>
    </row>
    <row r="185">
      <c r="A185" s="40" t="n">
        <v>29921</v>
      </c>
      <c r="B185" s="41">
        <f>VLOOKUP(Table8[[#This Row],[Month]],database!A:J,MATCH('Capacity Utilization'!$A$1,database!$A$1:$J$1,),)</f>
        <v/>
      </c>
      <c r="C185" s="76">
        <f>(VLOOKUP(A185,database!A:K,11,) - VLOOKUP(A173,database!A:K,11,))/VLOOKUP(A173,database!A:K,11,)</f>
        <v/>
      </c>
    </row>
    <row r="186">
      <c r="A186" s="40" t="n">
        <v>29952</v>
      </c>
      <c r="B186" s="41">
        <f>VLOOKUP(Table8[[#This Row],[Month]],database!A:J,MATCH('Capacity Utilization'!$A$1,database!$A$1:$J$1,),)</f>
        <v/>
      </c>
      <c r="C186" s="76">
        <f>(VLOOKUP(A186,database!A:K,11,) - VLOOKUP(A174,database!A:K,11,))/VLOOKUP(A174,database!A:K,11,)</f>
        <v/>
      </c>
    </row>
    <row r="187">
      <c r="A187" s="40" t="n">
        <v>29983</v>
      </c>
      <c r="B187" s="41">
        <f>VLOOKUP(Table8[[#This Row],[Month]],database!A:J,MATCH('Capacity Utilization'!$A$1,database!$A$1:$J$1,),)</f>
        <v/>
      </c>
      <c r="C187" s="76">
        <f>(VLOOKUP(A187,database!A:K,11,) - VLOOKUP(A175,database!A:K,11,))/VLOOKUP(A175,database!A:K,11,)</f>
        <v/>
      </c>
    </row>
    <row r="188">
      <c r="A188" s="40" t="n">
        <v>30011</v>
      </c>
      <c r="B188" s="41">
        <f>VLOOKUP(Table8[[#This Row],[Month]],database!A:J,MATCH('Capacity Utilization'!$A$1,database!$A$1:$J$1,),)</f>
        <v/>
      </c>
      <c r="C188" s="76">
        <f>(VLOOKUP(A188,database!A:K,11,) - VLOOKUP(A176,database!A:K,11,))/VLOOKUP(A176,database!A:K,11,)</f>
        <v/>
      </c>
    </row>
    <row r="189">
      <c r="A189" s="40" t="n">
        <v>30042</v>
      </c>
      <c r="B189" s="41">
        <f>VLOOKUP(Table8[[#This Row],[Month]],database!A:J,MATCH('Capacity Utilization'!$A$1,database!$A$1:$J$1,),)</f>
        <v/>
      </c>
      <c r="C189" s="76">
        <f>(VLOOKUP(A189,database!A:K,11,) - VLOOKUP(A177,database!A:K,11,))/VLOOKUP(A177,database!A:K,11,)</f>
        <v/>
      </c>
    </row>
    <row r="190">
      <c r="A190" s="40" t="n">
        <v>30072</v>
      </c>
      <c r="B190" s="41">
        <f>VLOOKUP(Table8[[#This Row],[Month]],database!A:J,MATCH('Capacity Utilization'!$A$1,database!$A$1:$J$1,),)</f>
        <v/>
      </c>
      <c r="C190" s="76">
        <f>(VLOOKUP(A190,database!A:K,11,) - VLOOKUP(A178,database!A:K,11,))/VLOOKUP(A178,database!A:K,11,)</f>
        <v/>
      </c>
    </row>
    <row r="191">
      <c r="A191" s="40" t="n">
        <v>30103</v>
      </c>
      <c r="B191" s="41">
        <f>VLOOKUP(Table8[[#This Row],[Month]],database!A:J,MATCH('Capacity Utilization'!$A$1,database!$A$1:$J$1,),)</f>
        <v/>
      </c>
      <c r="C191" s="76">
        <f>(VLOOKUP(A191,database!A:K,11,) - VLOOKUP(A179,database!A:K,11,))/VLOOKUP(A179,database!A:K,11,)</f>
        <v/>
      </c>
    </row>
    <row r="192">
      <c r="A192" s="40" t="n">
        <v>30133</v>
      </c>
      <c r="B192" s="41">
        <f>VLOOKUP(Table8[[#This Row],[Month]],database!A:J,MATCH('Capacity Utilization'!$A$1,database!$A$1:$J$1,),)</f>
        <v/>
      </c>
      <c r="C192" s="76">
        <f>(VLOOKUP(A192,database!A:K,11,) - VLOOKUP(A180,database!A:K,11,))/VLOOKUP(A180,database!A:K,11,)</f>
        <v/>
      </c>
    </row>
    <row r="193">
      <c r="A193" s="40" t="n">
        <v>30164</v>
      </c>
      <c r="B193" s="41">
        <f>VLOOKUP(Table8[[#This Row],[Month]],database!A:J,MATCH('Capacity Utilization'!$A$1,database!$A$1:$J$1,),)</f>
        <v/>
      </c>
      <c r="C193" s="76">
        <f>(VLOOKUP(A193,database!A:K,11,) - VLOOKUP(A181,database!A:K,11,))/VLOOKUP(A181,database!A:K,11,)</f>
        <v/>
      </c>
    </row>
    <row r="194">
      <c r="A194" s="40" t="n">
        <v>30195</v>
      </c>
      <c r="B194" s="41">
        <f>VLOOKUP(Table8[[#This Row],[Month]],database!A:J,MATCH('Capacity Utilization'!$A$1,database!$A$1:$J$1,),)</f>
        <v/>
      </c>
      <c r="C194" s="76">
        <f>(VLOOKUP(A194,database!A:K,11,) - VLOOKUP(A182,database!A:K,11,))/VLOOKUP(A182,database!A:K,11,)</f>
        <v/>
      </c>
    </row>
    <row r="195">
      <c r="A195" s="40" t="n">
        <v>30225</v>
      </c>
      <c r="B195" s="41">
        <f>VLOOKUP(Table8[[#This Row],[Month]],database!A:J,MATCH('Capacity Utilization'!$A$1,database!$A$1:$J$1,),)</f>
        <v/>
      </c>
      <c r="C195" s="76">
        <f>(VLOOKUP(A195,database!A:K,11,) - VLOOKUP(A183,database!A:K,11,))/VLOOKUP(A183,database!A:K,11,)</f>
        <v/>
      </c>
    </row>
    <row r="196">
      <c r="A196" s="40" t="n">
        <v>30256</v>
      </c>
      <c r="B196" s="41">
        <f>VLOOKUP(Table8[[#This Row],[Month]],database!A:J,MATCH('Capacity Utilization'!$A$1,database!$A$1:$J$1,),)</f>
        <v/>
      </c>
      <c r="C196" s="76">
        <f>(VLOOKUP(A196,database!A:K,11,) - VLOOKUP(A184,database!A:K,11,))/VLOOKUP(A184,database!A:K,11,)</f>
        <v/>
      </c>
    </row>
    <row r="197">
      <c r="A197" s="40" t="n">
        <v>30286</v>
      </c>
      <c r="B197" s="41">
        <f>VLOOKUP(Table8[[#This Row],[Month]],database!A:J,MATCH('Capacity Utilization'!$A$1,database!$A$1:$J$1,),)</f>
        <v/>
      </c>
      <c r="C197" s="76">
        <f>(VLOOKUP(A197,database!A:K,11,) - VLOOKUP(A185,database!A:K,11,))/VLOOKUP(A185,database!A:K,11,)</f>
        <v/>
      </c>
    </row>
    <row r="198">
      <c r="A198" s="40" t="n">
        <v>30317</v>
      </c>
      <c r="B198" s="41">
        <f>VLOOKUP(Table8[[#This Row],[Month]],database!A:J,MATCH('Capacity Utilization'!$A$1,database!$A$1:$J$1,),)</f>
        <v/>
      </c>
      <c r="C198" s="76">
        <f>(VLOOKUP(A198,database!A:K,11,) - VLOOKUP(A186,database!A:K,11,))/VLOOKUP(A186,database!A:K,11,)</f>
        <v/>
      </c>
    </row>
    <row r="199">
      <c r="A199" s="40" t="n">
        <v>30348</v>
      </c>
      <c r="B199" s="41">
        <f>VLOOKUP(Table8[[#This Row],[Month]],database!A:J,MATCH('Capacity Utilization'!$A$1,database!$A$1:$J$1,),)</f>
        <v/>
      </c>
      <c r="C199" s="76">
        <f>(VLOOKUP(A199,database!A:K,11,) - VLOOKUP(A187,database!A:K,11,))/VLOOKUP(A187,database!A:K,11,)</f>
        <v/>
      </c>
    </row>
    <row r="200">
      <c r="A200" s="40" t="n">
        <v>30376</v>
      </c>
      <c r="B200" s="41">
        <f>VLOOKUP(Table8[[#This Row],[Month]],database!A:J,MATCH('Capacity Utilization'!$A$1,database!$A$1:$J$1,),)</f>
        <v/>
      </c>
      <c r="C200" s="76">
        <f>(VLOOKUP(A200,database!A:K,11,) - VLOOKUP(A188,database!A:K,11,))/VLOOKUP(A188,database!A:K,11,)</f>
        <v/>
      </c>
    </row>
    <row r="201">
      <c r="A201" s="40" t="n">
        <v>30407</v>
      </c>
      <c r="B201" s="41">
        <f>VLOOKUP(Table8[[#This Row],[Month]],database!A:J,MATCH('Capacity Utilization'!$A$1,database!$A$1:$J$1,),)</f>
        <v/>
      </c>
      <c r="C201" s="76">
        <f>(VLOOKUP(A201,database!A:K,11,) - VLOOKUP(A189,database!A:K,11,))/VLOOKUP(A189,database!A:K,11,)</f>
        <v/>
      </c>
    </row>
    <row r="202">
      <c r="A202" s="40" t="n">
        <v>30437</v>
      </c>
      <c r="B202" s="41">
        <f>VLOOKUP(Table8[[#This Row],[Month]],database!A:J,MATCH('Capacity Utilization'!$A$1,database!$A$1:$J$1,),)</f>
        <v/>
      </c>
      <c r="C202" s="76">
        <f>(VLOOKUP(A202,database!A:K,11,) - VLOOKUP(A190,database!A:K,11,))/VLOOKUP(A190,database!A:K,11,)</f>
        <v/>
      </c>
    </row>
    <row r="203">
      <c r="A203" s="40" t="n">
        <v>30468</v>
      </c>
      <c r="B203" s="41">
        <f>VLOOKUP(Table8[[#This Row],[Month]],database!A:J,MATCH('Capacity Utilization'!$A$1,database!$A$1:$J$1,),)</f>
        <v/>
      </c>
      <c r="C203" s="76">
        <f>(VLOOKUP(A203,database!A:K,11,) - VLOOKUP(A191,database!A:K,11,))/VLOOKUP(A191,database!A:K,11,)</f>
        <v/>
      </c>
    </row>
    <row r="204">
      <c r="A204" s="40" t="n">
        <v>30498</v>
      </c>
      <c r="B204" s="41">
        <f>VLOOKUP(Table8[[#This Row],[Month]],database!A:J,MATCH('Capacity Utilization'!$A$1,database!$A$1:$J$1,),)</f>
        <v/>
      </c>
      <c r="C204" s="76">
        <f>(VLOOKUP(A204,database!A:K,11,) - VLOOKUP(A192,database!A:K,11,))/VLOOKUP(A192,database!A:K,11,)</f>
        <v/>
      </c>
    </row>
    <row r="205">
      <c r="A205" s="40" t="n">
        <v>30529</v>
      </c>
      <c r="B205" s="41">
        <f>VLOOKUP(Table8[[#This Row],[Month]],database!A:J,MATCH('Capacity Utilization'!$A$1,database!$A$1:$J$1,),)</f>
        <v/>
      </c>
      <c r="C205" s="76">
        <f>(VLOOKUP(A205,database!A:K,11,) - VLOOKUP(A193,database!A:K,11,))/VLOOKUP(A193,database!A:K,11,)</f>
        <v/>
      </c>
    </row>
    <row r="206">
      <c r="A206" s="40" t="n">
        <v>30560</v>
      </c>
      <c r="B206" s="41">
        <f>VLOOKUP(Table8[[#This Row],[Month]],database!A:J,MATCH('Capacity Utilization'!$A$1,database!$A$1:$J$1,),)</f>
        <v/>
      </c>
      <c r="C206" s="76">
        <f>(VLOOKUP(A206,database!A:K,11,) - VLOOKUP(A194,database!A:K,11,))/VLOOKUP(A194,database!A:K,11,)</f>
        <v/>
      </c>
    </row>
    <row r="207">
      <c r="A207" s="40" t="n">
        <v>30590</v>
      </c>
      <c r="B207" s="41">
        <f>VLOOKUP(Table8[[#This Row],[Month]],database!A:J,MATCH('Capacity Utilization'!$A$1,database!$A$1:$J$1,),)</f>
        <v/>
      </c>
      <c r="C207" s="76">
        <f>(VLOOKUP(A207,database!A:K,11,) - VLOOKUP(A195,database!A:K,11,))/VLOOKUP(A195,database!A:K,11,)</f>
        <v/>
      </c>
    </row>
    <row r="208">
      <c r="A208" s="40" t="n">
        <v>30621</v>
      </c>
      <c r="B208" s="41">
        <f>VLOOKUP(Table8[[#This Row],[Month]],database!A:J,MATCH('Capacity Utilization'!$A$1,database!$A$1:$J$1,),)</f>
        <v/>
      </c>
      <c r="C208" s="76">
        <f>(VLOOKUP(A208,database!A:K,11,) - VLOOKUP(A196,database!A:K,11,))/VLOOKUP(A196,database!A:K,11,)</f>
        <v/>
      </c>
    </row>
    <row r="209">
      <c r="A209" s="40" t="n">
        <v>30651</v>
      </c>
      <c r="B209" s="41">
        <f>VLOOKUP(Table8[[#This Row],[Month]],database!A:J,MATCH('Capacity Utilization'!$A$1,database!$A$1:$J$1,),)</f>
        <v/>
      </c>
      <c r="C209" s="76">
        <f>(VLOOKUP(A209,database!A:K,11,) - VLOOKUP(A197,database!A:K,11,))/VLOOKUP(A197,database!A:K,11,)</f>
        <v/>
      </c>
    </row>
    <row r="210">
      <c r="A210" s="40" t="n">
        <v>30682</v>
      </c>
      <c r="B210" s="41">
        <f>VLOOKUP(Table8[[#This Row],[Month]],database!A:J,MATCH('Capacity Utilization'!$A$1,database!$A$1:$J$1,),)</f>
        <v/>
      </c>
      <c r="C210" s="76">
        <f>(VLOOKUP(A210,database!A:K,11,) - VLOOKUP(A198,database!A:K,11,))/VLOOKUP(A198,database!A:K,11,)</f>
        <v/>
      </c>
    </row>
    <row r="211">
      <c r="A211" s="40" t="n">
        <v>30713</v>
      </c>
      <c r="B211" s="41">
        <f>VLOOKUP(Table8[[#This Row],[Month]],database!A:J,MATCH('Capacity Utilization'!$A$1,database!$A$1:$J$1,),)</f>
        <v/>
      </c>
      <c r="C211" s="76">
        <f>(VLOOKUP(A211,database!A:K,11,) - VLOOKUP(A199,database!A:K,11,))/VLOOKUP(A199,database!A:K,11,)</f>
        <v/>
      </c>
    </row>
    <row r="212">
      <c r="A212" s="40" t="n">
        <v>30742</v>
      </c>
      <c r="B212" s="41">
        <f>VLOOKUP(Table8[[#This Row],[Month]],database!A:J,MATCH('Capacity Utilization'!$A$1,database!$A$1:$J$1,),)</f>
        <v/>
      </c>
      <c r="C212" s="76">
        <f>(VLOOKUP(A212,database!A:K,11,) - VLOOKUP(A200,database!A:K,11,))/VLOOKUP(A200,database!A:K,11,)</f>
        <v/>
      </c>
    </row>
    <row r="213">
      <c r="A213" s="40" t="n">
        <v>30773</v>
      </c>
      <c r="B213" s="41">
        <f>VLOOKUP(Table8[[#This Row],[Month]],database!A:J,MATCH('Capacity Utilization'!$A$1,database!$A$1:$J$1,),)</f>
        <v/>
      </c>
      <c r="C213" s="76">
        <f>(VLOOKUP(A213,database!A:K,11,) - VLOOKUP(A201,database!A:K,11,))/VLOOKUP(A201,database!A:K,11,)</f>
        <v/>
      </c>
    </row>
    <row r="214">
      <c r="A214" s="40" t="n">
        <v>30803</v>
      </c>
      <c r="B214" s="41">
        <f>VLOOKUP(Table8[[#This Row],[Month]],database!A:J,MATCH('Capacity Utilization'!$A$1,database!$A$1:$J$1,),)</f>
        <v/>
      </c>
      <c r="C214" s="76">
        <f>(VLOOKUP(A214,database!A:K,11,) - VLOOKUP(A202,database!A:K,11,))/VLOOKUP(A202,database!A:K,11,)</f>
        <v/>
      </c>
    </row>
    <row r="215">
      <c r="A215" s="40" t="n">
        <v>30834</v>
      </c>
      <c r="B215" s="41">
        <f>VLOOKUP(Table8[[#This Row],[Month]],database!A:J,MATCH('Capacity Utilization'!$A$1,database!$A$1:$J$1,),)</f>
        <v/>
      </c>
      <c r="C215" s="76">
        <f>(VLOOKUP(A215,database!A:K,11,) - VLOOKUP(A203,database!A:K,11,))/VLOOKUP(A203,database!A:K,11,)</f>
        <v/>
      </c>
    </row>
    <row r="216">
      <c r="A216" s="40" t="n">
        <v>30864</v>
      </c>
      <c r="B216" s="41">
        <f>VLOOKUP(Table8[[#This Row],[Month]],database!A:J,MATCH('Capacity Utilization'!$A$1,database!$A$1:$J$1,),)</f>
        <v/>
      </c>
      <c r="C216" s="76">
        <f>(VLOOKUP(A216,database!A:K,11,) - VLOOKUP(A204,database!A:K,11,))/VLOOKUP(A204,database!A:K,11,)</f>
        <v/>
      </c>
    </row>
    <row r="217">
      <c r="A217" s="40" t="n">
        <v>30895</v>
      </c>
      <c r="B217" s="41">
        <f>VLOOKUP(Table8[[#This Row],[Month]],database!A:J,MATCH('Capacity Utilization'!$A$1,database!$A$1:$J$1,),)</f>
        <v/>
      </c>
      <c r="C217" s="76">
        <f>(VLOOKUP(A217,database!A:K,11,) - VLOOKUP(A205,database!A:K,11,))/VLOOKUP(A205,database!A:K,11,)</f>
        <v/>
      </c>
    </row>
    <row r="218">
      <c r="A218" s="40" t="n">
        <v>30926</v>
      </c>
      <c r="B218" s="41">
        <f>VLOOKUP(Table8[[#This Row],[Month]],database!A:J,MATCH('Capacity Utilization'!$A$1,database!$A$1:$J$1,),)</f>
        <v/>
      </c>
      <c r="C218" s="76">
        <f>(VLOOKUP(A218,database!A:K,11,) - VLOOKUP(A206,database!A:K,11,))/VLOOKUP(A206,database!A:K,11,)</f>
        <v/>
      </c>
    </row>
    <row r="219">
      <c r="A219" s="40" t="n">
        <v>30956</v>
      </c>
      <c r="B219" s="41">
        <f>VLOOKUP(Table8[[#This Row],[Month]],database!A:J,MATCH('Capacity Utilization'!$A$1,database!$A$1:$J$1,),)</f>
        <v/>
      </c>
      <c r="C219" s="76">
        <f>(VLOOKUP(A219,database!A:K,11,) - VLOOKUP(A207,database!A:K,11,))/VLOOKUP(A207,database!A:K,11,)</f>
        <v/>
      </c>
    </row>
    <row r="220">
      <c r="A220" s="40" t="n">
        <v>30987</v>
      </c>
      <c r="B220" s="41">
        <f>VLOOKUP(Table8[[#This Row],[Month]],database!A:J,MATCH('Capacity Utilization'!$A$1,database!$A$1:$J$1,),)</f>
        <v/>
      </c>
      <c r="C220" s="76">
        <f>(VLOOKUP(A220,database!A:K,11,) - VLOOKUP(A208,database!A:K,11,))/VLOOKUP(A208,database!A:K,11,)</f>
        <v/>
      </c>
    </row>
    <row r="221">
      <c r="A221" s="40" t="n">
        <v>31017</v>
      </c>
      <c r="B221" s="41">
        <f>VLOOKUP(Table8[[#This Row],[Month]],database!A:J,MATCH('Capacity Utilization'!$A$1,database!$A$1:$J$1,),)</f>
        <v/>
      </c>
      <c r="C221" s="76">
        <f>(VLOOKUP(A221,database!A:K,11,) - VLOOKUP(A209,database!A:K,11,))/VLOOKUP(A209,database!A:K,11,)</f>
        <v/>
      </c>
    </row>
    <row r="222">
      <c r="A222" s="40" t="n">
        <v>31048</v>
      </c>
      <c r="B222" s="41">
        <f>VLOOKUP(Table8[[#This Row],[Month]],database!A:J,MATCH('Capacity Utilization'!$A$1,database!$A$1:$J$1,),)</f>
        <v/>
      </c>
      <c r="C222" s="76">
        <f>(VLOOKUP(A222,database!A:K,11,) - VLOOKUP(A210,database!A:K,11,))/VLOOKUP(A210,database!A:K,11,)</f>
        <v/>
      </c>
    </row>
    <row r="223">
      <c r="A223" s="40" t="n">
        <v>31079</v>
      </c>
      <c r="B223" s="41">
        <f>VLOOKUP(Table8[[#This Row],[Month]],database!A:J,MATCH('Capacity Utilization'!$A$1,database!$A$1:$J$1,),)</f>
        <v/>
      </c>
      <c r="C223" s="76">
        <f>(VLOOKUP(A223,database!A:K,11,) - VLOOKUP(A211,database!A:K,11,))/VLOOKUP(A211,database!A:K,11,)</f>
        <v/>
      </c>
    </row>
    <row r="224">
      <c r="A224" s="40" t="n">
        <v>31107</v>
      </c>
      <c r="B224" s="41">
        <f>VLOOKUP(Table8[[#This Row],[Month]],database!A:J,MATCH('Capacity Utilization'!$A$1,database!$A$1:$J$1,),)</f>
        <v/>
      </c>
      <c r="C224" s="76">
        <f>(VLOOKUP(A224,database!A:K,11,) - VLOOKUP(A212,database!A:K,11,))/VLOOKUP(A212,database!A:K,11,)</f>
        <v/>
      </c>
    </row>
    <row r="225">
      <c r="A225" s="40" t="n">
        <v>31138</v>
      </c>
      <c r="B225" s="41">
        <f>VLOOKUP(Table8[[#This Row],[Month]],database!A:J,MATCH('Capacity Utilization'!$A$1,database!$A$1:$J$1,),)</f>
        <v/>
      </c>
      <c r="C225" s="76">
        <f>(VLOOKUP(A225,database!A:K,11,) - VLOOKUP(A213,database!A:K,11,))/VLOOKUP(A213,database!A:K,11,)</f>
        <v/>
      </c>
    </row>
    <row r="226">
      <c r="A226" s="40" t="n">
        <v>31168</v>
      </c>
      <c r="B226" s="41">
        <f>VLOOKUP(Table8[[#This Row],[Month]],database!A:J,MATCH('Capacity Utilization'!$A$1,database!$A$1:$J$1,),)</f>
        <v/>
      </c>
      <c r="C226" s="76">
        <f>(VLOOKUP(A226,database!A:K,11,) - VLOOKUP(A214,database!A:K,11,))/VLOOKUP(A214,database!A:K,11,)</f>
        <v/>
      </c>
    </row>
    <row r="227">
      <c r="A227" s="40" t="n">
        <v>31199</v>
      </c>
      <c r="B227" s="41">
        <f>VLOOKUP(Table8[[#This Row],[Month]],database!A:J,MATCH('Capacity Utilization'!$A$1,database!$A$1:$J$1,),)</f>
        <v/>
      </c>
      <c r="C227" s="76">
        <f>(VLOOKUP(A227,database!A:K,11,) - VLOOKUP(A215,database!A:K,11,))/VLOOKUP(A215,database!A:K,11,)</f>
        <v/>
      </c>
    </row>
    <row r="228">
      <c r="A228" s="40" t="n">
        <v>31229</v>
      </c>
      <c r="B228" s="41">
        <f>VLOOKUP(Table8[[#This Row],[Month]],database!A:J,MATCH('Capacity Utilization'!$A$1,database!$A$1:$J$1,),)</f>
        <v/>
      </c>
      <c r="C228" s="76">
        <f>(VLOOKUP(A228,database!A:K,11,) - VLOOKUP(A216,database!A:K,11,))/VLOOKUP(A216,database!A:K,11,)</f>
        <v/>
      </c>
    </row>
    <row r="229">
      <c r="A229" s="40" t="n">
        <v>31260</v>
      </c>
      <c r="B229" s="41">
        <f>VLOOKUP(Table8[[#This Row],[Month]],database!A:J,MATCH('Capacity Utilization'!$A$1,database!$A$1:$J$1,),)</f>
        <v/>
      </c>
      <c r="C229" s="76">
        <f>(VLOOKUP(A229,database!A:K,11,) - VLOOKUP(A217,database!A:K,11,))/VLOOKUP(A217,database!A:K,11,)</f>
        <v/>
      </c>
    </row>
    <row r="230">
      <c r="A230" s="40" t="n">
        <v>31291</v>
      </c>
      <c r="B230" s="41">
        <f>VLOOKUP(Table8[[#This Row],[Month]],database!A:J,MATCH('Capacity Utilization'!$A$1,database!$A$1:$J$1,),)</f>
        <v/>
      </c>
      <c r="C230" s="76">
        <f>(VLOOKUP(A230,database!A:K,11,) - VLOOKUP(A218,database!A:K,11,))/VLOOKUP(A218,database!A:K,11,)</f>
        <v/>
      </c>
    </row>
    <row r="231">
      <c r="A231" s="40" t="n">
        <v>31321</v>
      </c>
      <c r="B231" s="41">
        <f>VLOOKUP(Table8[[#This Row],[Month]],database!A:J,MATCH('Capacity Utilization'!$A$1,database!$A$1:$J$1,),)</f>
        <v/>
      </c>
      <c r="C231" s="76">
        <f>(VLOOKUP(A231,database!A:K,11,) - VLOOKUP(A219,database!A:K,11,))/VLOOKUP(A219,database!A:K,11,)</f>
        <v/>
      </c>
    </row>
    <row r="232">
      <c r="A232" s="40" t="n">
        <v>31352</v>
      </c>
      <c r="B232" s="41">
        <f>VLOOKUP(Table8[[#This Row],[Month]],database!A:J,MATCH('Capacity Utilization'!$A$1,database!$A$1:$J$1,),)</f>
        <v/>
      </c>
      <c r="C232" s="76">
        <f>(VLOOKUP(A232,database!A:K,11,) - VLOOKUP(A220,database!A:K,11,))/VLOOKUP(A220,database!A:K,11,)</f>
        <v/>
      </c>
    </row>
    <row r="233">
      <c r="A233" s="40" t="n">
        <v>31382</v>
      </c>
      <c r="B233" s="41">
        <f>VLOOKUP(Table8[[#This Row],[Month]],database!A:J,MATCH('Capacity Utilization'!$A$1,database!$A$1:$J$1,),)</f>
        <v/>
      </c>
      <c r="C233" s="76">
        <f>(VLOOKUP(A233,database!A:K,11,) - VLOOKUP(A221,database!A:K,11,))/VLOOKUP(A221,database!A:K,11,)</f>
        <v/>
      </c>
    </row>
    <row r="234">
      <c r="A234" s="40" t="n">
        <v>31413</v>
      </c>
      <c r="B234" s="41">
        <f>VLOOKUP(Table8[[#This Row],[Month]],database!A:J,MATCH('Capacity Utilization'!$A$1,database!$A$1:$J$1,),)</f>
        <v/>
      </c>
      <c r="C234" s="76">
        <f>(VLOOKUP(A234,database!A:K,11,) - VLOOKUP(A222,database!A:K,11,))/VLOOKUP(A222,database!A:K,11,)</f>
        <v/>
      </c>
    </row>
    <row r="235">
      <c r="A235" s="40" t="n">
        <v>31444</v>
      </c>
      <c r="B235" s="41">
        <f>VLOOKUP(Table8[[#This Row],[Month]],database!A:J,MATCH('Capacity Utilization'!$A$1,database!$A$1:$J$1,),)</f>
        <v/>
      </c>
      <c r="C235" s="76">
        <f>(VLOOKUP(A235,database!A:K,11,) - VLOOKUP(A223,database!A:K,11,))/VLOOKUP(A223,database!A:K,11,)</f>
        <v/>
      </c>
    </row>
    <row r="236">
      <c r="A236" s="40" t="n">
        <v>31472</v>
      </c>
      <c r="B236" s="41">
        <f>VLOOKUP(Table8[[#This Row],[Month]],database!A:J,MATCH('Capacity Utilization'!$A$1,database!$A$1:$J$1,),)</f>
        <v/>
      </c>
      <c r="C236" s="76">
        <f>(VLOOKUP(A236,database!A:K,11,) - VLOOKUP(A224,database!A:K,11,))/VLOOKUP(A224,database!A:K,11,)</f>
        <v/>
      </c>
    </row>
    <row r="237">
      <c r="A237" s="40" t="n">
        <v>31503</v>
      </c>
      <c r="B237" s="41">
        <f>VLOOKUP(Table8[[#This Row],[Month]],database!A:J,MATCH('Capacity Utilization'!$A$1,database!$A$1:$J$1,),)</f>
        <v/>
      </c>
      <c r="C237" s="76">
        <f>(VLOOKUP(A237,database!A:K,11,) - VLOOKUP(A225,database!A:K,11,))/VLOOKUP(A225,database!A:K,11,)</f>
        <v/>
      </c>
    </row>
    <row r="238">
      <c r="A238" s="40" t="n">
        <v>31533</v>
      </c>
      <c r="B238" s="41">
        <f>VLOOKUP(Table8[[#This Row],[Month]],database!A:J,MATCH('Capacity Utilization'!$A$1,database!$A$1:$J$1,),)</f>
        <v/>
      </c>
      <c r="C238" s="76">
        <f>(VLOOKUP(A238,database!A:K,11,) - VLOOKUP(A226,database!A:K,11,))/VLOOKUP(A226,database!A:K,11,)</f>
        <v/>
      </c>
    </row>
    <row r="239">
      <c r="A239" s="40" t="n">
        <v>31564</v>
      </c>
      <c r="B239" s="41">
        <f>VLOOKUP(Table8[[#This Row],[Month]],database!A:J,MATCH('Capacity Utilization'!$A$1,database!$A$1:$J$1,),)</f>
        <v/>
      </c>
      <c r="C239" s="76">
        <f>(VLOOKUP(A239,database!A:K,11,) - VLOOKUP(A227,database!A:K,11,))/VLOOKUP(A227,database!A:K,11,)</f>
        <v/>
      </c>
    </row>
    <row r="240">
      <c r="A240" s="40" t="n">
        <v>31594</v>
      </c>
      <c r="B240" s="41">
        <f>VLOOKUP(Table8[[#This Row],[Month]],database!A:J,MATCH('Capacity Utilization'!$A$1,database!$A$1:$J$1,),)</f>
        <v/>
      </c>
      <c r="C240" s="76">
        <f>(VLOOKUP(A240,database!A:K,11,) - VLOOKUP(A228,database!A:K,11,))/VLOOKUP(A228,database!A:K,11,)</f>
        <v/>
      </c>
    </row>
    <row r="241">
      <c r="A241" s="40" t="n">
        <v>31625</v>
      </c>
      <c r="B241" s="41">
        <f>VLOOKUP(Table8[[#This Row],[Month]],database!A:J,MATCH('Capacity Utilization'!$A$1,database!$A$1:$J$1,),)</f>
        <v/>
      </c>
      <c r="C241" s="76">
        <f>(VLOOKUP(A241,database!A:K,11,) - VLOOKUP(A229,database!A:K,11,))/VLOOKUP(A229,database!A:K,11,)</f>
        <v/>
      </c>
    </row>
    <row r="242">
      <c r="A242" s="40" t="n">
        <v>31656</v>
      </c>
      <c r="B242" s="41">
        <f>VLOOKUP(Table8[[#This Row],[Month]],database!A:J,MATCH('Capacity Utilization'!$A$1,database!$A$1:$J$1,),)</f>
        <v/>
      </c>
      <c r="C242" s="76">
        <f>(VLOOKUP(A242,database!A:K,11,) - VLOOKUP(A230,database!A:K,11,))/VLOOKUP(A230,database!A:K,11,)</f>
        <v/>
      </c>
    </row>
    <row r="243">
      <c r="A243" s="40" t="n">
        <v>31686</v>
      </c>
      <c r="B243" s="41">
        <f>VLOOKUP(Table8[[#This Row],[Month]],database!A:J,MATCH('Capacity Utilization'!$A$1,database!$A$1:$J$1,),)</f>
        <v/>
      </c>
      <c r="C243" s="76">
        <f>(VLOOKUP(A243,database!A:K,11,) - VLOOKUP(A231,database!A:K,11,))/VLOOKUP(A231,database!A:K,11,)</f>
        <v/>
      </c>
    </row>
    <row r="244">
      <c r="A244" s="40" t="n">
        <v>31717</v>
      </c>
      <c r="B244" s="41">
        <f>VLOOKUP(Table8[[#This Row],[Month]],database!A:J,MATCH('Capacity Utilization'!$A$1,database!$A$1:$J$1,),)</f>
        <v/>
      </c>
      <c r="C244" s="76">
        <f>(VLOOKUP(A244,database!A:K,11,) - VLOOKUP(A232,database!A:K,11,))/VLOOKUP(A232,database!A:K,11,)</f>
        <v/>
      </c>
    </row>
    <row r="245">
      <c r="A245" s="40" t="n">
        <v>31747</v>
      </c>
      <c r="B245" s="41">
        <f>VLOOKUP(Table8[[#This Row],[Month]],database!A:J,MATCH('Capacity Utilization'!$A$1,database!$A$1:$J$1,),)</f>
        <v/>
      </c>
      <c r="C245" s="76">
        <f>(VLOOKUP(A245,database!A:K,11,) - VLOOKUP(A233,database!A:K,11,))/VLOOKUP(A233,database!A:K,11,)</f>
        <v/>
      </c>
    </row>
    <row r="246">
      <c r="A246" s="40" t="n">
        <v>31778</v>
      </c>
      <c r="B246" s="41">
        <f>VLOOKUP(Table8[[#This Row],[Month]],database!A:J,MATCH('Capacity Utilization'!$A$1,database!$A$1:$J$1,),)</f>
        <v/>
      </c>
      <c r="C246" s="76">
        <f>(VLOOKUP(A246,database!A:K,11,) - VLOOKUP(A234,database!A:K,11,))/VLOOKUP(A234,database!A:K,11,)</f>
        <v/>
      </c>
    </row>
    <row r="247">
      <c r="A247" s="40" t="n">
        <v>31809</v>
      </c>
      <c r="B247" s="41">
        <f>VLOOKUP(Table8[[#This Row],[Month]],database!A:J,MATCH('Capacity Utilization'!$A$1,database!$A$1:$J$1,),)</f>
        <v/>
      </c>
      <c r="C247" s="76">
        <f>(VLOOKUP(A247,database!A:K,11,) - VLOOKUP(A235,database!A:K,11,))/VLOOKUP(A235,database!A:K,11,)</f>
        <v/>
      </c>
    </row>
    <row r="248">
      <c r="A248" s="40" t="n">
        <v>31837</v>
      </c>
      <c r="B248" s="41">
        <f>VLOOKUP(Table8[[#This Row],[Month]],database!A:J,MATCH('Capacity Utilization'!$A$1,database!$A$1:$J$1,),)</f>
        <v/>
      </c>
      <c r="C248" s="76">
        <f>(VLOOKUP(A248,database!A:K,11,) - VLOOKUP(A236,database!A:K,11,))/VLOOKUP(A236,database!A:K,11,)</f>
        <v/>
      </c>
    </row>
    <row r="249">
      <c r="A249" s="40" t="n">
        <v>31868</v>
      </c>
      <c r="B249" s="41">
        <f>VLOOKUP(Table8[[#This Row],[Month]],database!A:J,MATCH('Capacity Utilization'!$A$1,database!$A$1:$J$1,),)</f>
        <v/>
      </c>
      <c r="C249" s="76">
        <f>(VLOOKUP(A249,database!A:K,11,) - VLOOKUP(A237,database!A:K,11,))/VLOOKUP(A237,database!A:K,11,)</f>
        <v/>
      </c>
    </row>
    <row r="250">
      <c r="A250" s="40" t="n">
        <v>31898</v>
      </c>
      <c r="B250" s="41">
        <f>VLOOKUP(Table8[[#This Row],[Month]],database!A:J,MATCH('Capacity Utilization'!$A$1,database!$A$1:$J$1,),)</f>
        <v/>
      </c>
      <c r="C250" s="76">
        <f>(VLOOKUP(A250,database!A:K,11,) - VLOOKUP(A238,database!A:K,11,))/VLOOKUP(A238,database!A:K,11,)</f>
        <v/>
      </c>
    </row>
    <row r="251">
      <c r="A251" s="40" t="n">
        <v>31929</v>
      </c>
      <c r="B251" s="41">
        <f>VLOOKUP(Table8[[#This Row],[Month]],database!A:J,MATCH('Capacity Utilization'!$A$1,database!$A$1:$J$1,),)</f>
        <v/>
      </c>
      <c r="C251" s="76">
        <f>(VLOOKUP(A251,database!A:K,11,) - VLOOKUP(A239,database!A:K,11,))/VLOOKUP(A239,database!A:K,11,)</f>
        <v/>
      </c>
    </row>
    <row r="252">
      <c r="A252" s="40" t="n">
        <v>31959</v>
      </c>
      <c r="B252" s="41">
        <f>VLOOKUP(Table8[[#This Row],[Month]],database!A:J,MATCH('Capacity Utilization'!$A$1,database!$A$1:$J$1,),)</f>
        <v/>
      </c>
      <c r="C252" s="76">
        <f>(VLOOKUP(A252,database!A:K,11,) - VLOOKUP(A240,database!A:K,11,))/VLOOKUP(A240,database!A:K,11,)</f>
        <v/>
      </c>
    </row>
    <row r="253">
      <c r="A253" s="40" t="n">
        <v>31990</v>
      </c>
      <c r="B253" s="41">
        <f>VLOOKUP(Table8[[#This Row],[Month]],database!A:J,MATCH('Capacity Utilization'!$A$1,database!$A$1:$J$1,),)</f>
        <v/>
      </c>
      <c r="C253" s="76">
        <f>(VLOOKUP(A253,database!A:K,11,) - VLOOKUP(A241,database!A:K,11,))/VLOOKUP(A241,database!A:K,11,)</f>
        <v/>
      </c>
    </row>
    <row r="254">
      <c r="A254" s="40" t="n">
        <v>32021</v>
      </c>
      <c r="B254" s="41">
        <f>VLOOKUP(Table8[[#This Row],[Month]],database!A:J,MATCH('Capacity Utilization'!$A$1,database!$A$1:$J$1,),)</f>
        <v/>
      </c>
      <c r="C254" s="76">
        <f>(VLOOKUP(A254,database!A:K,11,) - VLOOKUP(A242,database!A:K,11,))/VLOOKUP(A242,database!A:K,11,)</f>
        <v/>
      </c>
    </row>
    <row r="255">
      <c r="A255" s="40" t="n">
        <v>32051</v>
      </c>
      <c r="B255" s="41">
        <f>VLOOKUP(Table8[[#This Row],[Month]],database!A:J,MATCH('Capacity Utilization'!$A$1,database!$A$1:$J$1,),)</f>
        <v/>
      </c>
      <c r="C255" s="76">
        <f>(VLOOKUP(A255,database!A:K,11,) - VLOOKUP(A243,database!A:K,11,))/VLOOKUP(A243,database!A:K,11,)</f>
        <v/>
      </c>
    </row>
    <row r="256">
      <c r="A256" s="40" t="n">
        <v>32082</v>
      </c>
      <c r="B256" s="41">
        <f>VLOOKUP(Table8[[#This Row],[Month]],database!A:J,MATCH('Capacity Utilization'!$A$1,database!$A$1:$J$1,),)</f>
        <v/>
      </c>
      <c r="C256" s="76">
        <f>(VLOOKUP(A256,database!A:K,11,) - VLOOKUP(A244,database!A:K,11,))/VLOOKUP(A244,database!A:K,11,)</f>
        <v/>
      </c>
    </row>
    <row r="257">
      <c r="A257" s="40" t="n">
        <v>32112</v>
      </c>
      <c r="B257" s="41">
        <f>VLOOKUP(Table8[[#This Row],[Month]],database!A:J,MATCH('Capacity Utilization'!$A$1,database!$A$1:$J$1,),)</f>
        <v/>
      </c>
      <c r="C257" s="76">
        <f>(VLOOKUP(A257,database!A:K,11,) - VLOOKUP(A245,database!A:K,11,))/VLOOKUP(A245,database!A:K,11,)</f>
        <v/>
      </c>
    </row>
    <row r="258">
      <c r="A258" s="40" t="n">
        <v>32143</v>
      </c>
      <c r="B258" s="41">
        <f>VLOOKUP(Table8[[#This Row],[Month]],database!A:J,MATCH('Capacity Utilization'!$A$1,database!$A$1:$J$1,),)</f>
        <v/>
      </c>
      <c r="C258" s="76">
        <f>(VLOOKUP(A258,database!A:K,11,) - VLOOKUP(A246,database!A:K,11,))/VLOOKUP(A246,database!A:K,11,)</f>
        <v/>
      </c>
    </row>
    <row r="259">
      <c r="A259" s="40" t="n">
        <v>32174</v>
      </c>
      <c r="B259" s="41">
        <f>VLOOKUP(Table8[[#This Row],[Month]],database!A:J,MATCH('Capacity Utilization'!$A$1,database!$A$1:$J$1,),)</f>
        <v/>
      </c>
      <c r="C259" s="76">
        <f>(VLOOKUP(A259,database!A:K,11,) - VLOOKUP(A247,database!A:K,11,))/VLOOKUP(A247,database!A:K,11,)</f>
        <v/>
      </c>
    </row>
    <row r="260">
      <c r="A260" s="40" t="n">
        <v>32203</v>
      </c>
      <c r="B260" s="41">
        <f>VLOOKUP(Table8[[#This Row],[Month]],database!A:J,MATCH('Capacity Utilization'!$A$1,database!$A$1:$J$1,),)</f>
        <v/>
      </c>
      <c r="C260" s="76">
        <f>(VLOOKUP(A260,database!A:K,11,) - VLOOKUP(A248,database!A:K,11,))/VLOOKUP(A248,database!A:K,11,)</f>
        <v/>
      </c>
    </row>
    <row r="261">
      <c r="A261" s="40" t="n">
        <v>32234</v>
      </c>
      <c r="B261" s="41">
        <f>VLOOKUP(Table8[[#This Row],[Month]],database!A:J,MATCH('Capacity Utilization'!$A$1,database!$A$1:$J$1,),)</f>
        <v/>
      </c>
      <c r="C261" s="76">
        <f>(VLOOKUP(A261,database!A:K,11,) - VLOOKUP(A249,database!A:K,11,))/VLOOKUP(A249,database!A:K,11,)</f>
        <v/>
      </c>
    </row>
    <row r="262">
      <c r="A262" s="40" t="n">
        <v>32264</v>
      </c>
      <c r="B262" s="41">
        <f>VLOOKUP(Table8[[#This Row],[Month]],database!A:J,MATCH('Capacity Utilization'!$A$1,database!$A$1:$J$1,),)</f>
        <v/>
      </c>
      <c r="C262" s="76">
        <f>(VLOOKUP(A262,database!A:K,11,) - VLOOKUP(A250,database!A:K,11,))/VLOOKUP(A250,database!A:K,11,)</f>
        <v/>
      </c>
    </row>
    <row r="263">
      <c r="A263" s="40" t="n">
        <v>32295</v>
      </c>
      <c r="B263" s="41">
        <f>VLOOKUP(Table8[[#This Row],[Month]],database!A:J,MATCH('Capacity Utilization'!$A$1,database!$A$1:$J$1,),)</f>
        <v/>
      </c>
      <c r="C263" s="76">
        <f>(VLOOKUP(A263,database!A:K,11,) - VLOOKUP(A251,database!A:K,11,))/VLOOKUP(A251,database!A:K,11,)</f>
        <v/>
      </c>
    </row>
    <row r="264">
      <c r="A264" s="40" t="n">
        <v>32325</v>
      </c>
      <c r="B264" s="41">
        <f>VLOOKUP(Table8[[#This Row],[Month]],database!A:J,MATCH('Capacity Utilization'!$A$1,database!$A$1:$J$1,),)</f>
        <v/>
      </c>
      <c r="C264" s="76">
        <f>(VLOOKUP(A264,database!A:K,11,) - VLOOKUP(A252,database!A:K,11,))/VLOOKUP(A252,database!A:K,11,)</f>
        <v/>
      </c>
    </row>
    <row r="265">
      <c r="A265" s="40" t="n">
        <v>32356</v>
      </c>
      <c r="B265" s="41">
        <f>VLOOKUP(Table8[[#This Row],[Month]],database!A:J,MATCH('Capacity Utilization'!$A$1,database!$A$1:$J$1,),)</f>
        <v/>
      </c>
      <c r="C265" s="76">
        <f>(VLOOKUP(A265,database!A:K,11,) - VLOOKUP(A253,database!A:K,11,))/VLOOKUP(A253,database!A:K,11,)</f>
        <v/>
      </c>
    </row>
    <row r="266">
      <c r="A266" s="40" t="n">
        <v>32387</v>
      </c>
      <c r="B266" s="41">
        <f>VLOOKUP(Table8[[#This Row],[Month]],database!A:J,MATCH('Capacity Utilization'!$A$1,database!$A$1:$J$1,),)</f>
        <v/>
      </c>
      <c r="C266" s="76">
        <f>(VLOOKUP(A266,database!A:K,11,) - VLOOKUP(A254,database!A:K,11,))/VLOOKUP(A254,database!A:K,11,)</f>
        <v/>
      </c>
    </row>
    <row r="267">
      <c r="A267" s="40" t="n">
        <v>32417</v>
      </c>
      <c r="B267" s="41">
        <f>VLOOKUP(Table8[[#This Row],[Month]],database!A:J,MATCH('Capacity Utilization'!$A$1,database!$A$1:$J$1,),)</f>
        <v/>
      </c>
      <c r="C267" s="76">
        <f>(VLOOKUP(A267,database!A:K,11,) - VLOOKUP(A255,database!A:K,11,))/VLOOKUP(A255,database!A:K,11,)</f>
        <v/>
      </c>
    </row>
    <row r="268">
      <c r="A268" s="40" t="n">
        <v>32448</v>
      </c>
      <c r="B268" s="41">
        <f>VLOOKUP(Table8[[#This Row],[Month]],database!A:J,MATCH('Capacity Utilization'!$A$1,database!$A$1:$J$1,),)</f>
        <v/>
      </c>
      <c r="C268" s="76">
        <f>(VLOOKUP(A268,database!A:K,11,) - VLOOKUP(A256,database!A:K,11,))/VLOOKUP(A256,database!A:K,11,)</f>
        <v/>
      </c>
    </row>
    <row r="269">
      <c r="A269" s="40" t="n">
        <v>32478</v>
      </c>
      <c r="B269" s="41">
        <f>VLOOKUP(Table8[[#This Row],[Month]],database!A:J,MATCH('Capacity Utilization'!$A$1,database!$A$1:$J$1,),)</f>
        <v/>
      </c>
      <c r="C269" s="76">
        <f>(VLOOKUP(A269,database!A:K,11,) - VLOOKUP(A257,database!A:K,11,))/VLOOKUP(A257,database!A:K,11,)</f>
        <v/>
      </c>
    </row>
    <row r="270">
      <c r="A270" s="40" t="n">
        <v>32509</v>
      </c>
      <c r="B270" s="41">
        <f>VLOOKUP(Table8[[#This Row],[Month]],database!A:J,MATCH('Capacity Utilization'!$A$1,database!$A$1:$J$1,),)</f>
        <v/>
      </c>
      <c r="C270" s="76">
        <f>(VLOOKUP(A270,database!A:K,11,) - VLOOKUP(A258,database!A:K,11,))/VLOOKUP(A258,database!A:K,11,)</f>
        <v/>
      </c>
    </row>
    <row r="271">
      <c r="A271" s="40" t="n">
        <v>32540</v>
      </c>
      <c r="B271" s="41">
        <f>VLOOKUP(Table8[[#This Row],[Month]],database!A:J,MATCH('Capacity Utilization'!$A$1,database!$A$1:$J$1,),)</f>
        <v/>
      </c>
      <c r="C271" s="76">
        <f>(VLOOKUP(A271,database!A:K,11,) - VLOOKUP(A259,database!A:K,11,))/VLOOKUP(A259,database!A:K,11,)</f>
        <v/>
      </c>
    </row>
    <row r="272">
      <c r="A272" s="40" t="n">
        <v>32568</v>
      </c>
      <c r="B272" s="41">
        <f>VLOOKUP(Table8[[#This Row],[Month]],database!A:J,MATCH('Capacity Utilization'!$A$1,database!$A$1:$J$1,),)</f>
        <v/>
      </c>
      <c r="C272" s="76">
        <f>(VLOOKUP(A272,database!A:K,11,) - VLOOKUP(A260,database!A:K,11,))/VLOOKUP(A260,database!A:K,11,)</f>
        <v/>
      </c>
    </row>
    <row r="273">
      <c r="A273" s="40" t="n">
        <v>32599</v>
      </c>
      <c r="B273" s="41">
        <f>VLOOKUP(Table8[[#This Row],[Month]],database!A:J,MATCH('Capacity Utilization'!$A$1,database!$A$1:$J$1,),)</f>
        <v/>
      </c>
      <c r="C273" s="76">
        <f>(VLOOKUP(A273,database!A:K,11,) - VLOOKUP(A261,database!A:K,11,))/VLOOKUP(A261,database!A:K,11,)</f>
        <v/>
      </c>
    </row>
    <row r="274">
      <c r="A274" s="40" t="n">
        <v>32629</v>
      </c>
      <c r="B274" s="41">
        <f>VLOOKUP(Table8[[#This Row],[Month]],database!A:J,MATCH('Capacity Utilization'!$A$1,database!$A$1:$J$1,),)</f>
        <v/>
      </c>
      <c r="C274" s="76">
        <f>(VLOOKUP(A274,database!A:K,11,) - VLOOKUP(A262,database!A:K,11,))/VLOOKUP(A262,database!A:K,11,)</f>
        <v/>
      </c>
    </row>
    <row r="275">
      <c r="A275" s="40" t="n">
        <v>32660</v>
      </c>
      <c r="B275" s="41">
        <f>VLOOKUP(Table8[[#This Row],[Month]],database!A:J,MATCH('Capacity Utilization'!$A$1,database!$A$1:$J$1,),)</f>
        <v/>
      </c>
      <c r="C275" s="76">
        <f>(VLOOKUP(A275,database!A:K,11,) - VLOOKUP(A263,database!A:K,11,))/VLOOKUP(A263,database!A:K,11,)</f>
        <v/>
      </c>
    </row>
    <row r="276">
      <c r="A276" s="40" t="n">
        <v>32690</v>
      </c>
      <c r="B276" s="41">
        <f>VLOOKUP(Table8[[#This Row],[Month]],database!A:J,MATCH('Capacity Utilization'!$A$1,database!$A$1:$J$1,),)</f>
        <v/>
      </c>
      <c r="C276" s="76">
        <f>(VLOOKUP(A276,database!A:K,11,) - VLOOKUP(A264,database!A:K,11,))/VLOOKUP(A264,database!A:K,11,)</f>
        <v/>
      </c>
    </row>
    <row r="277">
      <c r="A277" s="40" t="n">
        <v>32721</v>
      </c>
      <c r="B277" s="41">
        <f>VLOOKUP(Table8[[#This Row],[Month]],database!A:J,MATCH('Capacity Utilization'!$A$1,database!$A$1:$J$1,),)</f>
        <v/>
      </c>
      <c r="C277" s="76">
        <f>(VLOOKUP(A277,database!A:K,11,) - VLOOKUP(A265,database!A:K,11,))/VLOOKUP(A265,database!A:K,11,)</f>
        <v/>
      </c>
    </row>
    <row r="278">
      <c r="A278" s="40" t="n">
        <v>32752</v>
      </c>
      <c r="B278" s="41">
        <f>VLOOKUP(Table8[[#This Row],[Month]],database!A:J,MATCH('Capacity Utilization'!$A$1,database!$A$1:$J$1,),)</f>
        <v/>
      </c>
      <c r="C278" s="76">
        <f>(VLOOKUP(A278,database!A:K,11,) - VLOOKUP(A266,database!A:K,11,))/VLOOKUP(A266,database!A:K,11,)</f>
        <v/>
      </c>
    </row>
    <row r="279">
      <c r="A279" s="40" t="n">
        <v>32782</v>
      </c>
      <c r="B279" s="41">
        <f>VLOOKUP(Table8[[#This Row],[Month]],database!A:J,MATCH('Capacity Utilization'!$A$1,database!$A$1:$J$1,),)</f>
        <v/>
      </c>
      <c r="C279" s="76">
        <f>(VLOOKUP(A279,database!A:K,11,) - VLOOKUP(A267,database!A:K,11,))/VLOOKUP(A267,database!A:K,11,)</f>
        <v/>
      </c>
    </row>
    <row r="280">
      <c r="A280" s="40" t="n">
        <v>32813</v>
      </c>
      <c r="B280" s="41">
        <f>VLOOKUP(Table8[[#This Row],[Month]],database!A:J,MATCH('Capacity Utilization'!$A$1,database!$A$1:$J$1,),)</f>
        <v/>
      </c>
      <c r="C280" s="76">
        <f>(VLOOKUP(A280,database!A:K,11,) - VLOOKUP(A268,database!A:K,11,))/VLOOKUP(A268,database!A:K,11,)</f>
        <v/>
      </c>
    </row>
    <row r="281">
      <c r="A281" s="40" t="n">
        <v>32843</v>
      </c>
      <c r="B281" s="41">
        <f>VLOOKUP(Table8[[#This Row],[Month]],database!A:J,MATCH('Capacity Utilization'!$A$1,database!$A$1:$J$1,),)</f>
        <v/>
      </c>
      <c r="C281" s="76">
        <f>(VLOOKUP(A281,database!A:K,11,) - VLOOKUP(A269,database!A:K,11,))/VLOOKUP(A269,database!A:K,11,)</f>
        <v/>
      </c>
    </row>
    <row r="282">
      <c r="A282" s="40" t="n">
        <v>32874</v>
      </c>
      <c r="B282" s="41">
        <f>VLOOKUP(Table8[[#This Row],[Month]],database!A:J,MATCH('Capacity Utilization'!$A$1,database!$A$1:$J$1,),)</f>
        <v/>
      </c>
      <c r="C282" s="76">
        <f>(VLOOKUP(A282,database!A:K,11,) - VLOOKUP(A270,database!A:K,11,))/VLOOKUP(A270,database!A:K,11,)</f>
        <v/>
      </c>
    </row>
    <row r="283">
      <c r="A283" s="40" t="n">
        <v>32905</v>
      </c>
      <c r="B283" s="41">
        <f>VLOOKUP(Table8[[#This Row],[Month]],database!A:J,MATCH('Capacity Utilization'!$A$1,database!$A$1:$J$1,),)</f>
        <v/>
      </c>
      <c r="C283" s="76">
        <f>(VLOOKUP(A283,database!A:K,11,) - VLOOKUP(A271,database!A:K,11,))/VLOOKUP(A271,database!A:K,11,)</f>
        <v/>
      </c>
    </row>
    <row r="284">
      <c r="A284" s="40" t="n">
        <v>32933</v>
      </c>
      <c r="B284" s="41">
        <f>VLOOKUP(Table8[[#This Row],[Month]],database!A:J,MATCH('Capacity Utilization'!$A$1,database!$A$1:$J$1,),)</f>
        <v/>
      </c>
      <c r="C284" s="76">
        <f>(VLOOKUP(A284,database!A:K,11,) - VLOOKUP(A272,database!A:K,11,))/VLOOKUP(A272,database!A:K,11,)</f>
        <v/>
      </c>
    </row>
    <row r="285">
      <c r="A285" s="40" t="n">
        <v>32964</v>
      </c>
      <c r="B285" s="41">
        <f>VLOOKUP(Table8[[#This Row],[Month]],database!A:J,MATCH('Capacity Utilization'!$A$1,database!$A$1:$J$1,),)</f>
        <v/>
      </c>
      <c r="C285" s="76">
        <f>(VLOOKUP(A285,database!A:K,11,) - VLOOKUP(A273,database!A:K,11,))/VLOOKUP(A273,database!A:K,11,)</f>
        <v/>
      </c>
    </row>
    <row r="286">
      <c r="A286" s="40" t="n">
        <v>32994</v>
      </c>
      <c r="B286" s="41">
        <f>VLOOKUP(Table8[[#This Row],[Month]],database!A:J,MATCH('Capacity Utilization'!$A$1,database!$A$1:$J$1,),)</f>
        <v/>
      </c>
      <c r="C286" s="76">
        <f>(VLOOKUP(A286,database!A:K,11,) - VLOOKUP(A274,database!A:K,11,))/VLOOKUP(A274,database!A:K,11,)</f>
        <v/>
      </c>
    </row>
    <row r="287">
      <c r="A287" s="40" t="n">
        <v>33025</v>
      </c>
      <c r="B287" s="41">
        <f>VLOOKUP(Table8[[#This Row],[Month]],database!A:J,MATCH('Capacity Utilization'!$A$1,database!$A$1:$J$1,),)</f>
        <v/>
      </c>
      <c r="C287" s="76">
        <f>(VLOOKUP(A287,database!A:K,11,) - VLOOKUP(A275,database!A:K,11,))/VLOOKUP(A275,database!A:K,11,)</f>
        <v/>
      </c>
    </row>
    <row r="288">
      <c r="A288" s="40" t="n">
        <v>33055</v>
      </c>
      <c r="B288" s="41">
        <f>VLOOKUP(Table8[[#This Row],[Month]],database!A:J,MATCH('Capacity Utilization'!$A$1,database!$A$1:$J$1,),)</f>
        <v/>
      </c>
      <c r="C288" s="76">
        <f>(VLOOKUP(A288,database!A:K,11,) - VLOOKUP(A276,database!A:K,11,))/VLOOKUP(A276,database!A:K,11,)</f>
        <v/>
      </c>
    </row>
    <row r="289">
      <c r="A289" s="40" t="n">
        <v>33086</v>
      </c>
      <c r="B289" s="41">
        <f>VLOOKUP(Table8[[#This Row],[Month]],database!A:J,MATCH('Capacity Utilization'!$A$1,database!$A$1:$J$1,),)</f>
        <v/>
      </c>
      <c r="C289" s="76">
        <f>(VLOOKUP(A289,database!A:K,11,) - VLOOKUP(A277,database!A:K,11,))/VLOOKUP(A277,database!A:K,11,)</f>
        <v/>
      </c>
    </row>
    <row r="290">
      <c r="A290" s="40" t="n">
        <v>33117</v>
      </c>
      <c r="B290" s="41">
        <f>VLOOKUP(Table8[[#This Row],[Month]],database!A:J,MATCH('Capacity Utilization'!$A$1,database!$A$1:$J$1,),)</f>
        <v/>
      </c>
      <c r="C290" s="76">
        <f>(VLOOKUP(A290,database!A:K,11,) - VLOOKUP(A278,database!A:K,11,))/VLOOKUP(A278,database!A:K,11,)</f>
        <v/>
      </c>
    </row>
    <row r="291">
      <c r="A291" s="40" t="n">
        <v>33147</v>
      </c>
      <c r="B291" s="41">
        <f>VLOOKUP(Table8[[#This Row],[Month]],database!A:J,MATCH('Capacity Utilization'!$A$1,database!$A$1:$J$1,),)</f>
        <v/>
      </c>
      <c r="C291" s="76">
        <f>(VLOOKUP(A291,database!A:K,11,) - VLOOKUP(A279,database!A:K,11,))/VLOOKUP(A279,database!A:K,11,)</f>
        <v/>
      </c>
    </row>
    <row r="292">
      <c r="A292" s="40" t="n">
        <v>33178</v>
      </c>
      <c r="B292" s="41">
        <f>VLOOKUP(Table8[[#This Row],[Month]],database!A:J,MATCH('Capacity Utilization'!$A$1,database!$A$1:$J$1,),)</f>
        <v/>
      </c>
      <c r="C292" s="76">
        <f>(VLOOKUP(A292,database!A:K,11,) - VLOOKUP(A280,database!A:K,11,))/VLOOKUP(A280,database!A:K,11,)</f>
        <v/>
      </c>
    </row>
    <row r="293">
      <c r="A293" s="40" t="n">
        <v>33208</v>
      </c>
      <c r="B293" s="41">
        <f>VLOOKUP(Table8[[#This Row],[Month]],database!A:J,MATCH('Capacity Utilization'!$A$1,database!$A$1:$J$1,),)</f>
        <v/>
      </c>
      <c r="C293" s="76">
        <f>(VLOOKUP(A293,database!A:K,11,) - VLOOKUP(A281,database!A:K,11,))/VLOOKUP(A281,database!A:K,11,)</f>
        <v/>
      </c>
    </row>
    <row r="294">
      <c r="A294" s="40" t="n">
        <v>33239</v>
      </c>
      <c r="B294" s="41">
        <f>VLOOKUP(Table8[[#This Row],[Month]],database!A:J,MATCH('Capacity Utilization'!$A$1,database!$A$1:$J$1,),)</f>
        <v/>
      </c>
      <c r="C294" s="76">
        <f>(VLOOKUP(A294,database!A:K,11,) - VLOOKUP(A282,database!A:K,11,))/VLOOKUP(A282,database!A:K,11,)</f>
        <v/>
      </c>
    </row>
    <row r="295">
      <c r="A295" s="40" t="n">
        <v>33270</v>
      </c>
      <c r="B295" s="41">
        <f>VLOOKUP(Table8[[#This Row],[Month]],database!A:J,MATCH('Capacity Utilization'!$A$1,database!$A$1:$J$1,),)</f>
        <v/>
      </c>
      <c r="C295" s="76">
        <f>(VLOOKUP(A295,database!A:K,11,) - VLOOKUP(A283,database!A:K,11,))/VLOOKUP(A283,database!A:K,11,)</f>
        <v/>
      </c>
    </row>
    <row r="296">
      <c r="A296" s="40" t="n">
        <v>33298</v>
      </c>
      <c r="B296" s="41">
        <f>VLOOKUP(Table8[[#This Row],[Month]],database!A:J,MATCH('Capacity Utilization'!$A$1,database!$A$1:$J$1,),)</f>
        <v/>
      </c>
      <c r="C296" s="76">
        <f>(VLOOKUP(A296,database!A:K,11,) - VLOOKUP(A284,database!A:K,11,))/VLOOKUP(A284,database!A:K,11,)</f>
        <v/>
      </c>
    </row>
    <row r="297">
      <c r="A297" s="40" t="n">
        <v>33329</v>
      </c>
      <c r="B297" s="41">
        <f>VLOOKUP(Table8[[#This Row],[Month]],database!A:J,MATCH('Capacity Utilization'!$A$1,database!$A$1:$J$1,),)</f>
        <v/>
      </c>
      <c r="C297" s="76">
        <f>(VLOOKUP(A297,database!A:K,11,) - VLOOKUP(A285,database!A:K,11,))/VLOOKUP(A285,database!A:K,11,)</f>
        <v/>
      </c>
    </row>
    <row r="298">
      <c r="A298" s="40" t="n">
        <v>33359</v>
      </c>
      <c r="B298" s="41">
        <f>VLOOKUP(Table8[[#This Row],[Month]],database!A:J,MATCH('Capacity Utilization'!$A$1,database!$A$1:$J$1,),)</f>
        <v/>
      </c>
      <c r="C298" s="76">
        <f>(VLOOKUP(A298,database!A:K,11,) - VLOOKUP(A286,database!A:K,11,))/VLOOKUP(A286,database!A:K,11,)</f>
        <v/>
      </c>
    </row>
    <row r="299">
      <c r="A299" s="40" t="n">
        <v>33390</v>
      </c>
      <c r="B299" s="41">
        <f>VLOOKUP(Table8[[#This Row],[Month]],database!A:J,MATCH('Capacity Utilization'!$A$1,database!$A$1:$J$1,),)</f>
        <v/>
      </c>
      <c r="C299" s="76">
        <f>(VLOOKUP(A299,database!A:K,11,) - VLOOKUP(A287,database!A:K,11,))/VLOOKUP(A287,database!A:K,11,)</f>
        <v/>
      </c>
    </row>
    <row r="300">
      <c r="A300" s="40" t="n">
        <v>33420</v>
      </c>
      <c r="B300" s="41">
        <f>VLOOKUP(Table8[[#This Row],[Month]],database!A:J,MATCH('Capacity Utilization'!$A$1,database!$A$1:$J$1,),)</f>
        <v/>
      </c>
      <c r="C300" s="76">
        <f>(VLOOKUP(A300,database!A:K,11,) - VLOOKUP(A288,database!A:K,11,))/VLOOKUP(A288,database!A:K,11,)</f>
        <v/>
      </c>
    </row>
    <row r="301">
      <c r="A301" s="40" t="n">
        <v>33451</v>
      </c>
      <c r="B301" s="41">
        <f>VLOOKUP(Table8[[#This Row],[Month]],database!A:J,MATCH('Capacity Utilization'!$A$1,database!$A$1:$J$1,),)</f>
        <v/>
      </c>
      <c r="C301" s="76">
        <f>(VLOOKUP(A301,database!A:K,11,) - VLOOKUP(A289,database!A:K,11,))/VLOOKUP(A289,database!A:K,11,)</f>
        <v/>
      </c>
    </row>
    <row r="302">
      <c r="A302" s="40" t="n">
        <v>33482</v>
      </c>
      <c r="B302" s="41">
        <f>VLOOKUP(Table8[[#This Row],[Month]],database!A:J,MATCH('Capacity Utilization'!$A$1,database!$A$1:$J$1,),)</f>
        <v/>
      </c>
      <c r="C302" s="76">
        <f>(VLOOKUP(A302,database!A:K,11,) - VLOOKUP(A290,database!A:K,11,))/VLOOKUP(A290,database!A:K,11,)</f>
        <v/>
      </c>
    </row>
    <row r="303">
      <c r="A303" s="40" t="n">
        <v>33512</v>
      </c>
      <c r="B303" s="41">
        <f>VLOOKUP(Table8[[#This Row],[Month]],database!A:J,MATCH('Capacity Utilization'!$A$1,database!$A$1:$J$1,),)</f>
        <v/>
      </c>
      <c r="C303" s="76">
        <f>(VLOOKUP(A303,database!A:K,11,) - VLOOKUP(A291,database!A:K,11,))/VLOOKUP(A291,database!A:K,11,)</f>
        <v/>
      </c>
    </row>
    <row r="304">
      <c r="A304" s="40" t="n">
        <v>33543</v>
      </c>
      <c r="B304" s="41">
        <f>VLOOKUP(Table8[[#This Row],[Month]],database!A:J,MATCH('Capacity Utilization'!$A$1,database!$A$1:$J$1,),)</f>
        <v/>
      </c>
      <c r="C304" s="76">
        <f>(VLOOKUP(A304,database!A:K,11,) - VLOOKUP(A292,database!A:K,11,))/VLOOKUP(A292,database!A:K,11,)</f>
        <v/>
      </c>
    </row>
    <row r="305">
      <c r="A305" s="40" t="n">
        <v>33573</v>
      </c>
      <c r="B305" s="41">
        <f>VLOOKUP(Table8[[#This Row],[Month]],database!A:J,MATCH('Capacity Utilization'!$A$1,database!$A$1:$J$1,),)</f>
        <v/>
      </c>
      <c r="C305" s="76">
        <f>(VLOOKUP(A305,database!A:K,11,) - VLOOKUP(A293,database!A:K,11,))/VLOOKUP(A293,database!A:K,11,)</f>
        <v/>
      </c>
    </row>
    <row r="306">
      <c r="A306" s="40" t="n">
        <v>33604</v>
      </c>
      <c r="B306" s="41">
        <f>VLOOKUP(Table8[[#This Row],[Month]],database!A:J,MATCH('Capacity Utilization'!$A$1,database!$A$1:$J$1,),)</f>
        <v/>
      </c>
      <c r="C306" s="76">
        <f>(VLOOKUP(A306,database!A:K,11,) - VLOOKUP(A294,database!A:K,11,))/VLOOKUP(A294,database!A:K,11,)</f>
        <v/>
      </c>
    </row>
    <row r="307">
      <c r="A307" s="40" t="n">
        <v>33635</v>
      </c>
      <c r="B307" s="41">
        <f>VLOOKUP(Table8[[#This Row],[Month]],database!A:J,MATCH('Capacity Utilization'!$A$1,database!$A$1:$J$1,),)</f>
        <v/>
      </c>
      <c r="C307" s="76">
        <f>(VLOOKUP(A307,database!A:K,11,) - VLOOKUP(A295,database!A:K,11,))/VLOOKUP(A295,database!A:K,11,)</f>
        <v/>
      </c>
    </row>
    <row r="308">
      <c r="A308" s="40" t="n">
        <v>33664</v>
      </c>
      <c r="B308" s="41">
        <f>VLOOKUP(Table8[[#This Row],[Month]],database!A:J,MATCH('Capacity Utilization'!$A$1,database!$A$1:$J$1,),)</f>
        <v/>
      </c>
      <c r="C308" s="76">
        <f>(VLOOKUP(A308,database!A:K,11,) - VLOOKUP(A296,database!A:K,11,))/VLOOKUP(A296,database!A:K,11,)</f>
        <v/>
      </c>
    </row>
    <row r="309">
      <c r="A309" s="40" t="n">
        <v>33695</v>
      </c>
      <c r="B309" s="41">
        <f>VLOOKUP(Table8[[#This Row],[Month]],database!A:J,MATCH('Capacity Utilization'!$A$1,database!$A$1:$J$1,),)</f>
        <v/>
      </c>
      <c r="C309" s="76">
        <f>(VLOOKUP(A309,database!A:K,11,) - VLOOKUP(A297,database!A:K,11,))/VLOOKUP(A297,database!A:K,11,)</f>
        <v/>
      </c>
    </row>
    <row r="310">
      <c r="A310" s="40" t="n">
        <v>33725</v>
      </c>
      <c r="B310" s="41">
        <f>VLOOKUP(Table8[[#This Row],[Month]],database!A:J,MATCH('Capacity Utilization'!$A$1,database!$A$1:$J$1,),)</f>
        <v/>
      </c>
      <c r="C310" s="76">
        <f>(VLOOKUP(A310,database!A:K,11,) - VLOOKUP(A298,database!A:K,11,))/VLOOKUP(A298,database!A:K,11,)</f>
        <v/>
      </c>
    </row>
    <row r="311">
      <c r="A311" s="40" t="n">
        <v>33756</v>
      </c>
      <c r="B311" s="41">
        <f>VLOOKUP(Table8[[#This Row],[Month]],database!A:J,MATCH('Capacity Utilization'!$A$1,database!$A$1:$J$1,),)</f>
        <v/>
      </c>
      <c r="C311" s="76">
        <f>(VLOOKUP(A311,database!A:K,11,) - VLOOKUP(A299,database!A:K,11,))/VLOOKUP(A299,database!A:K,11,)</f>
        <v/>
      </c>
    </row>
    <row r="312">
      <c r="A312" s="40" t="n">
        <v>33786</v>
      </c>
      <c r="B312" s="41">
        <f>VLOOKUP(Table8[[#This Row],[Month]],database!A:J,MATCH('Capacity Utilization'!$A$1,database!$A$1:$J$1,),)</f>
        <v/>
      </c>
      <c r="C312" s="76">
        <f>(VLOOKUP(A312,database!A:K,11,) - VLOOKUP(A300,database!A:K,11,))/VLOOKUP(A300,database!A:K,11,)</f>
        <v/>
      </c>
    </row>
    <row r="313">
      <c r="A313" s="40" t="n">
        <v>33817</v>
      </c>
      <c r="B313" s="41">
        <f>VLOOKUP(Table8[[#This Row],[Month]],database!A:J,MATCH('Capacity Utilization'!$A$1,database!$A$1:$J$1,),)</f>
        <v/>
      </c>
      <c r="C313" s="76">
        <f>(VLOOKUP(A313,database!A:K,11,) - VLOOKUP(A301,database!A:K,11,))/VLOOKUP(A301,database!A:K,11,)</f>
        <v/>
      </c>
    </row>
    <row r="314">
      <c r="A314" s="40" t="n">
        <v>33848</v>
      </c>
      <c r="B314" s="41">
        <f>VLOOKUP(Table8[[#This Row],[Month]],database!A:J,MATCH('Capacity Utilization'!$A$1,database!$A$1:$J$1,),)</f>
        <v/>
      </c>
      <c r="C314" s="76">
        <f>(VLOOKUP(A314,database!A:K,11,) - VLOOKUP(A302,database!A:K,11,))/VLOOKUP(A302,database!A:K,11,)</f>
        <v/>
      </c>
    </row>
    <row r="315">
      <c r="A315" s="40" t="n">
        <v>33878</v>
      </c>
      <c r="B315" s="41">
        <f>VLOOKUP(Table8[[#This Row],[Month]],database!A:J,MATCH('Capacity Utilization'!$A$1,database!$A$1:$J$1,),)</f>
        <v/>
      </c>
      <c r="C315" s="76">
        <f>(VLOOKUP(A315,database!A:K,11,) - VLOOKUP(A303,database!A:K,11,))/VLOOKUP(A303,database!A:K,11,)</f>
        <v/>
      </c>
    </row>
    <row r="316">
      <c r="A316" s="40" t="n">
        <v>33909</v>
      </c>
      <c r="B316" s="41">
        <f>VLOOKUP(Table8[[#This Row],[Month]],database!A:J,MATCH('Capacity Utilization'!$A$1,database!$A$1:$J$1,),)</f>
        <v/>
      </c>
      <c r="C316" s="76">
        <f>(VLOOKUP(A316,database!A:K,11,) - VLOOKUP(A304,database!A:K,11,))/VLOOKUP(A304,database!A:K,11,)</f>
        <v/>
      </c>
    </row>
    <row r="317">
      <c r="A317" s="40" t="n">
        <v>33939</v>
      </c>
      <c r="B317" s="41">
        <f>VLOOKUP(Table8[[#This Row],[Month]],database!A:J,MATCH('Capacity Utilization'!$A$1,database!$A$1:$J$1,),)</f>
        <v/>
      </c>
      <c r="C317" s="76">
        <f>(VLOOKUP(A317,database!A:K,11,) - VLOOKUP(A305,database!A:K,11,))/VLOOKUP(A305,database!A:K,11,)</f>
        <v/>
      </c>
    </row>
    <row r="318">
      <c r="A318" s="40" t="n">
        <v>33970</v>
      </c>
      <c r="B318" s="41">
        <f>VLOOKUP(Table8[[#This Row],[Month]],database!A:J,MATCH('Capacity Utilization'!$A$1,database!$A$1:$J$1,),)</f>
        <v/>
      </c>
      <c r="C318" s="76">
        <f>(VLOOKUP(A318,database!A:K,11,) - VLOOKUP(A306,database!A:K,11,))/VLOOKUP(A306,database!A:K,11,)</f>
        <v/>
      </c>
    </row>
    <row r="319">
      <c r="A319" s="40" t="n">
        <v>34001</v>
      </c>
      <c r="B319" s="41">
        <f>VLOOKUP(Table8[[#This Row],[Month]],database!A:J,MATCH('Capacity Utilization'!$A$1,database!$A$1:$J$1,),)</f>
        <v/>
      </c>
      <c r="C319" s="76">
        <f>(VLOOKUP(A319,database!A:K,11,) - VLOOKUP(A307,database!A:K,11,))/VLOOKUP(A307,database!A:K,11,)</f>
        <v/>
      </c>
    </row>
    <row r="320">
      <c r="A320" s="40" t="n">
        <v>34029</v>
      </c>
      <c r="B320" s="41">
        <f>VLOOKUP(Table8[[#This Row],[Month]],database!A:J,MATCH('Capacity Utilization'!$A$1,database!$A$1:$J$1,),)</f>
        <v/>
      </c>
      <c r="C320" s="76">
        <f>(VLOOKUP(A320,database!A:K,11,) - VLOOKUP(A308,database!A:K,11,))/VLOOKUP(A308,database!A:K,11,)</f>
        <v/>
      </c>
    </row>
    <row r="321">
      <c r="A321" s="40" t="n">
        <v>34060</v>
      </c>
      <c r="B321" s="41">
        <f>VLOOKUP(Table8[[#This Row],[Month]],database!A:J,MATCH('Capacity Utilization'!$A$1,database!$A$1:$J$1,),)</f>
        <v/>
      </c>
      <c r="C321" s="76">
        <f>(VLOOKUP(A321,database!A:K,11,) - VLOOKUP(A309,database!A:K,11,))/VLOOKUP(A309,database!A:K,11,)</f>
        <v/>
      </c>
    </row>
    <row r="322">
      <c r="A322" s="40" t="n">
        <v>34090</v>
      </c>
      <c r="B322" s="41">
        <f>VLOOKUP(Table8[[#This Row],[Month]],database!A:J,MATCH('Capacity Utilization'!$A$1,database!$A$1:$J$1,),)</f>
        <v/>
      </c>
      <c r="C322" s="76">
        <f>(VLOOKUP(A322,database!A:K,11,) - VLOOKUP(A310,database!A:K,11,))/VLOOKUP(A310,database!A:K,11,)</f>
        <v/>
      </c>
    </row>
    <row r="323">
      <c r="A323" s="40" t="n">
        <v>34121</v>
      </c>
      <c r="B323" s="41">
        <f>VLOOKUP(Table8[[#This Row],[Month]],database!A:J,MATCH('Capacity Utilization'!$A$1,database!$A$1:$J$1,),)</f>
        <v/>
      </c>
      <c r="C323" s="76">
        <f>(VLOOKUP(A323,database!A:K,11,) - VLOOKUP(A311,database!A:K,11,))/VLOOKUP(A311,database!A:K,11,)</f>
        <v/>
      </c>
    </row>
    <row r="324">
      <c r="A324" s="40" t="n">
        <v>34151</v>
      </c>
      <c r="B324" s="41">
        <f>VLOOKUP(Table8[[#This Row],[Month]],database!A:J,MATCH('Capacity Utilization'!$A$1,database!$A$1:$J$1,),)</f>
        <v/>
      </c>
      <c r="C324" s="76">
        <f>(VLOOKUP(A324,database!A:K,11,) - VLOOKUP(A312,database!A:K,11,))/VLOOKUP(A312,database!A:K,11,)</f>
        <v/>
      </c>
    </row>
    <row r="325">
      <c r="A325" s="40" t="n">
        <v>34182</v>
      </c>
      <c r="B325" s="41">
        <f>VLOOKUP(Table8[[#This Row],[Month]],database!A:J,MATCH('Capacity Utilization'!$A$1,database!$A$1:$J$1,),)</f>
        <v/>
      </c>
      <c r="C325" s="76">
        <f>(VLOOKUP(A325,database!A:K,11,) - VLOOKUP(A313,database!A:K,11,))/VLOOKUP(A313,database!A:K,11,)</f>
        <v/>
      </c>
    </row>
    <row r="326">
      <c r="A326" s="40" t="n">
        <v>34213</v>
      </c>
      <c r="B326" s="41">
        <f>VLOOKUP(Table8[[#This Row],[Month]],database!A:J,MATCH('Capacity Utilization'!$A$1,database!$A$1:$J$1,),)</f>
        <v/>
      </c>
      <c r="C326" s="76">
        <f>(VLOOKUP(A326,database!A:K,11,) - VLOOKUP(A314,database!A:K,11,))/VLOOKUP(A314,database!A:K,11,)</f>
        <v/>
      </c>
    </row>
    <row r="327">
      <c r="A327" s="40" t="n">
        <v>34243</v>
      </c>
      <c r="B327" s="41">
        <f>VLOOKUP(Table8[[#This Row],[Month]],database!A:J,MATCH('Capacity Utilization'!$A$1,database!$A$1:$J$1,),)</f>
        <v/>
      </c>
      <c r="C327" s="76">
        <f>(VLOOKUP(A327,database!A:K,11,) - VLOOKUP(A315,database!A:K,11,))/VLOOKUP(A315,database!A:K,11,)</f>
        <v/>
      </c>
    </row>
    <row r="328">
      <c r="A328" s="40" t="n">
        <v>34274</v>
      </c>
      <c r="B328" s="41">
        <f>VLOOKUP(Table8[[#This Row],[Month]],database!A:J,MATCH('Capacity Utilization'!$A$1,database!$A$1:$J$1,),)</f>
        <v/>
      </c>
      <c r="C328" s="76">
        <f>(VLOOKUP(A328,database!A:K,11,) - VLOOKUP(A316,database!A:K,11,))/VLOOKUP(A316,database!A:K,11,)</f>
        <v/>
      </c>
    </row>
    <row r="329">
      <c r="A329" s="40" t="n">
        <v>34304</v>
      </c>
      <c r="B329" s="41">
        <f>VLOOKUP(Table8[[#This Row],[Month]],database!A:J,MATCH('Capacity Utilization'!$A$1,database!$A$1:$J$1,),)</f>
        <v/>
      </c>
      <c r="C329" s="76">
        <f>(VLOOKUP(A329,database!A:K,11,) - VLOOKUP(A317,database!A:K,11,))/VLOOKUP(A317,database!A:K,11,)</f>
        <v/>
      </c>
    </row>
    <row r="330">
      <c r="A330" s="40" t="n">
        <v>34335</v>
      </c>
      <c r="B330" s="41">
        <f>VLOOKUP(Table8[[#This Row],[Month]],database!A:J,MATCH('Capacity Utilization'!$A$1,database!$A$1:$J$1,),)</f>
        <v/>
      </c>
      <c r="C330" s="76">
        <f>(VLOOKUP(A330,database!A:K,11,) - VLOOKUP(A318,database!A:K,11,))/VLOOKUP(A318,database!A:K,11,)</f>
        <v/>
      </c>
    </row>
    <row r="331">
      <c r="A331" s="40" t="n">
        <v>34366</v>
      </c>
      <c r="B331" s="41">
        <f>VLOOKUP(Table8[[#This Row],[Month]],database!A:J,MATCH('Capacity Utilization'!$A$1,database!$A$1:$J$1,),)</f>
        <v/>
      </c>
      <c r="C331" s="76">
        <f>(VLOOKUP(A331,database!A:K,11,) - VLOOKUP(A319,database!A:K,11,))/VLOOKUP(A319,database!A:K,11,)</f>
        <v/>
      </c>
    </row>
    <row r="332">
      <c r="A332" s="40" t="n">
        <v>34394</v>
      </c>
      <c r="B332" s="41">
        <f>VLOOKUP(Table8[[#This Row],[Month]],database!A:J,MATCH('Capacity Utilization'!$A$1,database!$A$1:$J$1,),)</f>
        <v/>
      </c>
      <c r="C332" s="76">
        <f>(VLOOKUP(A332,database!A:K,11,) - VLOOKUP(A320,database!A:K,11,))/VLOOKUP(A320,database!A:K,11,)</f>
        <v/>
      </c>
    </row>
    <row r="333">
      <c r="A333" s="40" t="n">
        <v>34425</v>
      </c>
      <c r="B333" s="41">
        <f>VLOOKUP(Table8[[#This Row],[Month]],database!A:J,MATCH('Capacity Utilization'!$A$1,database!$A$1:$J$1,),)</f>
        <v/>
      </c>
      <c r="C333" s="76">
        <f>(VLOOKUP(A333,database!A:K,11,) - VLOOKUP(A321,database!A:K,11,))/VLOOKUP(A321,database!A:K,11,)</f>
        <v/>
      </c>
    </row>
    <row r="334">
      <c r="A334" s="40" t="n">
        <v>34455</v>
      </c>
      <c r="B334" s="41">
        <f>VLOOKUP(Table8[[#This Row],[Month]],database!A:J,MATCH('Capacity Utilization'!$A$1,database!$A$1:$J$1,),)</f>
        <v/>
      </c>
      <c r="C334" s="76">
        <f>(VLOOKUP(A334,database!A:K,11,) - VLOOKUP(A322,database!A:K,11,))/VLOOKUP(A322,database!A:K,11,)</f>
        <v/>
      </c>
    </row>
    <row r="335">
      <c r="A335" s="40" t="n">
        <v>34486</v>
      </c>
      <c r="B335" s="41">
        <f>VLOOKUP(Table8[[#This Row],[Month]],database!A:J,MATCH('Capacity Utilization'!$A$1,database!$A$1:$J$1,),)</f>
        <v/>
      </c>
      <c r="C335" s="76">
        <f>(VLOOKUP(A335,database!A:K,11,) - VLOOKUP(A323,database!A:K,11,))/VLOOKUP(A323,database!A:K,11,)</f>
        <v/>
      </c>
    </row>
    <row r="336">
      <c r="A336" s="40" t="n">
        <v>34516</v>
      </c>
      <c r="B336" s="41">
        <f>VLOOKUP(Table8[[#This Row],[Month]],database!A:J,MATCH('Capacity Utilization'!$A$1,database!$A$1:$J$1,),)</f>
        <v/>
      </c>
      <c r="C336" s="76">
        <f>(VLOOKUP(A336,database!A:K,11,) - VLOOKUP(A324,database!A:K,11,))/VLOOKUP(A324,database!A:K,11,)</f>
        <v/>
      </c>
    </row>
    <row r="337">
      <c r="A337" s="40" t="n">
        <v>34547</v>
      </c>
      <c r="B337" s="41">
        <f>VLOOKUP(Table8[[#This Row],[Month]],database!A:J,MATCH('Capacity Utilization'!$A$1,database!$A$1:$J$1,),)</f>
        <v/>
      </c>
      <c r="C337" s="76">
        <f>(VLOOKUP(A337,database!A:K,11,) - VLOOKUP(A325,database!A:K,11,))/VLOOKUP(A325,database!A:K,11,)</f>
        <v/>
      </c>
    </row>
    <row r="338">
      <c r="A338" s="40" t="n">
        <v>34578</v>
      </c>
      <c r="B338" s="41">
        <f>VLOOKUP(Table8[[#This Row],[Month]],database!A:J,MATCH('Capacity Utilization'!$A$1,database!$A$1:$J$1,),)</f>
        <v/>
      </c>
      <c r="C338" s="76">
        <f>(VLOOKUP(A338,database!A:K,11,) - VLOOKUP(A326,database!A:K,11,))/VLOOKUP(A326,database!A:K,11,)</f>
        <v/>
      </c>
    </row>
    <row r="339">
      <c r="A339" s="40" t="n">
        <v>34608</v>
      </c>
      <c r="B339" s="41">
        <f>VLOOKUP(Table8[[#This Row],[Month]],database!A:J,MATCH('Capacity Utilization'!$A$1,database!$A$1:$J$1,),)</f>
        <v/>
      </c>
      <c r="C339" s="76">
        <f>(VLOOKUP(A339,database!A:K,11,) - VLOOKUP(A327,database!A:K,11,))/VLOOKUP(A327,database!A:K,11,)</f>
        <v/>
      </c>
    </row>
    <row r="340">
      <c r="A340" s="40" t="n">
        <v>34639</v>
      </c>
      <c r="B340" s="41">
        <f>VLOOKUP(Table8[[#This Row],[Month]],database!A:J,MATCH('Capacity Utilization'!$A$1,database!$A$1:$J$1,),)</f>
        <v/>
      </c>
      <c r="C340" s="76">
        <f>(VLOOKUP(A340,database!A:K,11,) - VLOOKUP(A328,database!A:K,11,))/VLOOKUP(A328,database!A:K,11,)</f>
        <v/>
      </c>
    </row>
    <row r="341">
      <c r="A341" s="40" t="n">
        <v>34669</v>
      </c>
      <c r="B341" s="41">
        <f>VLOOKUP(Table8[[#This Row],[Month]],database!A:J,MATCH('Capacity Utilization'!$A$1,database!$A$1:$J$1,),)</f>
        <v/>
      </c>
      <c r="C341" s="76">
        <f>(VLOOKUP(A341,database!A:K,11,) - VLOOKUP(A329,database!A:K,11,))/VLOOKUP(A329,database!A:K,11,)</f>
        <v/>
      </c>
    </row>
    <row r="342">
      <c r="A342" s="40" t="n">
        <v>34700</v>
      </c>
      <c r="B342" s="41">
        <f>VLOOKUP(Table8[[#This Row],[Month]],database!A:J,MATCH('Capacity Utilization'!$A$1,database!$A$1:$J$1,),)</f>
        <v/>
      </c>
      <c r="C342" s="76">
        <f>(VLOOKUP(A342,database!A:K,11,) - VLOOKUP(A330,database!A:K,11,))/VLOOKUP(A330,database!A:K,11,)</f>
        <v/>
      </c>
    </row>
    <row r="343">
      <c r="A343" s="40" t="n">
        <v>34731</v>
      </c>
      <c r="B343" s="41">
        <f>VLOOKUP(Table8[[#This Row],[Month]],database!A:J,MATCH('Capacity Utilization'!$A$1,database!$A$1:$J$1,),)</f>
        <v/>
      </c>
      <c r="C343" s="76">
        <f>(VLOOKUP(A343,database!A:K,11,) - VLOOKUP(A331,database!A:K,11,))/VLOOKUP(A331,database!A:K,11,)</f>
        <v/>
      </c>
    </row>
    <row r="344">
      <c r="A344" s="40" t="n">
        <v>34759</v>
      </c>
      <c r="B344" s="41">
        <f>VLOOKUP(Table8[[#This Row],[Month]],database!A:J,MATCH('Capacity Utilization'!$A$1,database!$A$1:$J$1,),)</f>
        <v/>
      </c>
      <c r="C344" s="76">
        <f>(VLOOKUP(A344,database!A:K,11,) - VLOOKUP(A332,database!A:K,11,))/VLOOKUP(A332,database!A:K,11,)</f>
        <v/>
      </c>
    </row>
    <row r="345">
      <c r="A345" s="40" t="n">
        <v>34790</v>
      </c>
      <c r="B345" s="41">
        <f>VLOOKUP(Table8[[#This Row],[Month]],database!A:J,MATCH('Capacity Utilization'!$A$1,database!$A$1:$J$1,),)</f>
        <v/>
      </c>
      <c r="C345" s="76">
        <f>(VLOOKUP(A345,database!A:K,11,) - VLOOKUP(A333,database!A:K,11,))/VLOOKUP(A333,database!A:K,11,)</f>
        <v/>
      </c>
    </row>
    <row r="346">
      <c r="A346" s="40" t="n">
        <v>34820</v>
      </c>
      <c r="B346" s="41">
        <f>VLOOKUP(Table8[[#This Row],[Month]],database!A:J,MATCH('Capacity Utilization'!$A$1,database!$A$1:$J$1,),)</f>
        <v/>
      </c>
      <c r="C346" s="76">
        <f>(VLOOKUP(A346,database!A:K,11,) - VLOOKUP(A334,database!A:K,11,))/VLOOKUP(A334,database!A:K,11,)</f>
        <v/>
      </c>
    </row>
    <row r="347">
      <c r="A347" s="40" t="n">
        <v>34851</v>
      </c>
      <c r="B347" s="41">
        <f>VLOOKUP(Table8[[#This Row],[Month]],database!A:J,MATCH('Capacity Utilization'!$A$1,database!$A$1:$J$1,),)</f>
        <v/>
      </c>
      <c r="C347" s="76">
        <f>(VLOOKUP(A347,database!A:K,11,) - VLOOKUP(A335,database!A:K,11,))/VLOOKUP(A335,database!A:K,11,)</f>
        <v/>
      </c>
    </row>
    <row r="348">
      <c r="A348" s="40" t="n">
        <v>34881</v>
      </c>
      <c r="B348" s="41">
        <f>VLOOKUP(Table8[[#This Row],[Month]],database!A:J,MATCH('Capacity Utilization'!$A$1,database!$A$1:$J$1,),)</f>
        <v/>
      </c>
      <c r="C348" s="76">
        <f>(VLOOKUP(A348,database!A:K,11,) - VLOOKUP(A336,database!A:K,11,))/VLOOKUP(A336,database!A:K,11,)</f>
        <v/>
      </c>
    </row>
    <row r="349">
      <c r="A349" s="40" t="n">
        <v>34912</v>
      </c>
      <c r="B349" s="41">
        <f>VLOOKUP(Table8[[#This Row],[Month]],database!A:J,MATCH('Capacity Utilization'!$A$1,database!$A$1:$J$1,),)</f>
        <v/>
      </c>
      <c r="C349" s="76">
        <f>(VLOOKUP(A349,database!A:K,11,) - VLOOKUP(A337,database!A:K,11,))/VLOOKUP(A337,database!A:K,11,)</f>
        <v/>
      </c>
    </row>
    <row r="350">
      <c r="A350" s="40" t="n">
        <v>34943</v>
      </c>
      <c r="B350" s="41">
        <f>VLOOKUP(Table8[[#This Row],[Month]],database!A:J,MATCH('Capacity Utilization'!$A$1,database!$A$1:$J$1,),)</f>
        <v/>
      </c>
      <c r="C350" s="76">
        <f>(VLOOKUP(A350,database!A:K,11,) - VLOOKUP(A338,database!A:K,11,))/VLOOKUP(A338,database!A:K,11,)</f>
        <v/>
      </c>
    </row>
    <row r="351">
      <c r="A351" s="40" t="n">
        <v>34973</v>
      </c>
      <c r="B351" s="41">
        <f>VLOOKUP(Table8[[#This Row],[Month]],database!A:J,MATCH('Capacity Utilization'!$A$1,database!$A$1:$J$1,),)</f>
        <v/>
      </c>
      <c r="C351" s="76">
        <f>(VLOOKUP(A351,database!A:K,11,) - VLOOKUP(A339,database!A:K,11,))/VLOOKUP(A339,database!A:K,11,)</f>
        <v/>
      </c>
    </row>
    <row r="352">
      <c r="A352" s="40" t="n">
        <v>35004</v>
      </c>
      <c r="B352" s="41">
        <f>VLOOKUP(Table8[[#This Row],[Month]],database!A:J,MATCH('Capacity Utilization'!$A$1,database!$A$1:$J$1,),)</f>
        <v/>
      </c>
      <c r="C352" s="76">
        <f>(VLOOKUP(A352,database!A:K,11,) - VLOOKUP(A340,database!A:K,11,))/VLOOKUP(A340,database!A:K,11,)</f>
        <v/>
      </c>
    </row>
    <row r="353">
      <c r="A353" s="40" t="n">
        <v>35034</v>
      </c>
      <c r="B353" s="41">
        <f>VLOOKUP(Table8[[#This Row],[Month]],database!A:J,MATCH('Capacity Utilization'!$A$1,database!$A$1:$J$1,),)</f>
        <v/>
      </c>
      <c r="C353" s="76">
        <f>(VLOOKUP(A353,database!A:K,11,) - VLOOKUP(A341,database!A:K,11,))/VLOOKUP(A341,database!A:K,11,)</f>
        <v/>
      </c>
    </row>
    <row r="354">
      <c r="A354" s="40" t="n">
        <v>35065</v>
      </c>
      <c r="B354" s="41">
        <f>VLOOKUP(Table8[[#This Row],[Month]],database!A:J,MATCH('Capacity Utilization'!$A$1,database!$A$1:$J$1,),)</f>
        <v/>
      </c>
      <c r="C354" s="76">
        <f>(VLOOKUP(A354,database!A:K,11,) - VLOOKUP(A342,database!A:K,11,))/VLOOKUP(A342,database!A:K,11,)</f>
        <v/>
      </c>
    </row>
    <row r="355">
      <c r="A355" s="40" t="n">
        <v>35096</v>
      </c>
      <c r="B355" s="41">
        <f>VLOOKUP(Table8[[#This Row],[Month]],database!A:J,MATCH('Capacity Utilization'!$A$1,database!$A$1:$J$1,),)</f>
        <v/>
      </c>
      <c r="C355" s="76">
        <f>(VLOOKUP(A355,database!A:K,11,) - VLOOKUP(A343,database!A:K,11,))/VLOOKUP(A343,database!A:K,11,)</f>
        <v/>
      </c>
    </row>
    <row r="356">
      <c r="A356" s="40" t="n">
        <v>35125</v>
      </c>
      <c r="B356" s="41">
        <f>VLOOKUP(Table8[[#This Row],[Month]],database!A:J,MATCH('Capacity Utilization'!$A$1,database!$A$1:$J$1,),)</f>
        <v/>
      </c>
      <c r="C356" s="76">
        <f>(VLOOKUP(A356,database!A:K,11,) - VLOOKUP(A344,database!A:K,11,))/VLOOKUP(A344,database!A:K,11,)</f>
        <v/>
      </c>
    </row>
    <row r="357">
      <c r="A357" s="40" t="n">
        <v>35156</v>
      </c>
      <c r="B357" s="41">
        <f>VLOOKUP(Table8[[#This Row],[Month]],database!A:J,MATCH('Capacity Utilization'!$A$1,database!$A$1:$J$1,),)</f>
        <v/>
      </c>
      <c r="C357" s="76">
        <f>(VLOOKUP(A357,database!A:K,11,) - VLOOKUP(A345,database!A:K,11,))/VLOOKUP(A345,database!A:K,11,)</f>
        <v/>
      </c>
    </row>
    <row r="358">
      <c r="A358" s="40" t="n">
        <v>35186</v>
      </c>
      <c r="B358" s="41">
        <f>VLOOKUP(Table8[[#This Row],[Month]],database!A:J,MATCH('Capacity Utilization'!$A$1,database!$A$1:$J$1,),)</f>
        <v/>
      </c>
      <c r="C358" s="76">
        <f>(VLOOKUP(A358,database!A:K,11,) - VLOOKUP(A346,database!A:K,11,))/VLOOKUP(A346,database!A:K,11,)</f>
        <v/>
      </c>
    </row>
    <row r="359">
      <c r="A359" s="40" t="n">
        <v>35217</v>
      </c>
      <c r="B359" s="41">
        <f>VLOOKUP(Table8[[#This Row],[Month]],database!A:J,MATCH('Capacity Utilization'!$A$1,database!$A$1:$J$1,),)</f>
        <v/>
      </c>
      <c r="C359" s="76">
        <f>(VLOOKUP(A359,database!A:K,11,) - VLOOKUP(A347,database!A:K,11,))/VLOOKUP(A347,database!A:K,11,)</f>
        <v/>
      </c>
    </row>
    <row r="360">
      <c r="A360" s="40" t="n">
        <v>35247</v>
      </c>
      <c r="B360" s="41">
        <f>VLOOKUP(Table8[[#This Row],[Month]],database!A:J,MATCH('Capacity Utilization'!$A$1,database!$A$1:$J$1,),)</f>
        <v/>
      </c>
      <c r="C360" s="76">
        <f>(VLOOKUP(A360,database!A:K,11,) - VLOOKUP(A348,database!A:K,11,))/VLOOKUP(A348,database!A:K,11,)</f>
        <v/>
      </c>
    </row>
    <row r="361">
      <c r="A361" s="40" t="n">
        <v>35278</v>
      </c>
      <c r="B361" s="41">
        <f>VLOOKUP(Table8[[#This Row],[Month]],database!A:J,MATCH('Capacity Utilization'!$A$1,database!$A$1:$J$1,),)</f>
        <v/>
      </c>
      <c r="C361" s="76">
        <f>(VLOOKUP(A361,database!A:K,11,) - VLOOKUP(A349,database!A:K,11,))/VLOOKUP(A349,database!A:K,11,)</f>
        <v/>
      </c>
    </row>
    <row r="362">
      <c r="A362" s="40" t="n">
        <v>35309</v>
      </c>
      <c r="B362" s="41">
        <f>VLOOKUP(Table8[[#This Row],[Month]],database!A:J,MATCH('Capacity Utilization'!$A$1,database!$A$1:$J$1,),)</f>
        <v/>
      </c>
      <c r="C362" s="76">
        <f>(VLOOKUP(A362,database!A:K,11,) - VLOOKUP(A350,database!A:K,11,))/VLOOKUP(A350,database!A:K,11,)</f>
        <v/>
      </c>
    </row>
    <row r="363">
      <c r="A363" s="40" t="n">
        <v>35339</v>
      </c>
      <c r="B363" s="41">
        <f>VLOOKUP(Table8[[#This Row],[Month]],database!A:J,MATCH('Capacity Utilization'!$A$1,database!$A$1:$J$1,),)</f>
        <v/>
      </c>
      <c r="C363" s="76">
        <f>(VLOOKUP(A363,database!A:K,11,) - VLOOKUP(A351,database!A:K,11,))/VLOOKUP(A351,database!A:K,11,)</f>
        <v/>
      </c>
    </row>
    <row r="364">
      <c r="A364" s="40" t="n">
        <v>35370</v>
      </c>
      <c r="B364" s="41">
        <f>VLOOKUP(Table8[[#This Row],[Month]],database!A:J,MATCH('Capacity Utilization'!$A$1,database!$A$1:$J$1,),)</f>
        <v/>
      </c>
      <c r="C364" s="76">
        <f>(VLOOKUP(A364,database!A:K,11,) - VLOOKUP(A352,database!A:K,11,))/VLOOKUP(A352,database!A:K,11,)</f>
        <v/>
      </c>
    </row>
    <row r="365">
      <c r="A365" s="40" t="n">
        <v>35400</v>
      </c>
      <c r="B365" s="41">
        <f>VLOOKUP(Table8[[#This Row],[Month]],database!A:J,MATCH('Capacity Utilization'!$A$1,database!$A$1:$J$1,),)</f>
        <v/>
      </c>
      <c r="C365" s="76">
        <f>(VLOOKUP(A365,database!A:K,11,) - VLOOKUP(A353,database!A:K,11,))/VLOOKUP(A353,database!A:K,11,)</f>
        <v/>
      </c>
    </row>
    <row r="366">
      <c r="A366" s="40" t="n">
        <v>35431</v>
      </c>
      <c r="B366" s="41">
        <f>VLOOKUP(Table8[[#This Row],[Month]],database!A:J,MATCH('Capacity Utilization'!$A$1,database!$A$1:$J$1,),)</f>
        <v/>
      </c>
      <c r="C366" s="76">
        <f>(VLOOKUP(A366,database!A:K,11,) - VLOOKUP(A354,database!A:K,11,))/VLOOKUP(A354,database!A:K,11,)</f>
        <v/>
      </c>
    </row>
    <row r="367">
      <c r="A367" s="40" t="n">
        <v>35462</v>
      </c>
      <c r="B367" s="41">
        <f>VLOOKUP(Table8[[#This Row],[Month]],database!A:J,MATCH('Capacity Utilization'!$A$1,database!$A$1:$J$1,),)</f>
        <v/>
      </c>
      <c r="C367" s="76">
        <f>(VLOOKUP(A367,database!A:K,11,) - VLOOKUP(A355,database!A:K,11,))/VLOOKUP(A355,database!A:K,11,)</f>
        <v/>
      </c>
    </row>
    <row r="368">
      <c r="A368" s="40" t="n">
        <v>35490</v>
      </c>
      <c r="B368" s="41">
        <f>VLOOKUP(Table8[[#This Row],[Month]],database!A:J,MATCH('Capacity Utilization'!$A$1,database!$A$1:$J$1,),)</f>
        <v/>
      </c>
      <c r="C368" s="76">
        <f>(VLOOKUP(A368,database!A:K,11,) - VLOOKUP(A356,database!A:K,11,))/VLOOKUP(A356,database!A:K,11,)</f>
        <v/>
      </c>
    </row>
    <row r="369">
      <c r="A369" s="40" t="n">
        <v>35521</v>
      </c>
      <c r="B369" s="41">
        <f>VLOOKUP(Table8[[#This Row],[Month]],database!A:J,MATCH('Capacity Utilization'!$A$1,database!$A$1:$J$1,),)</f>
        <v/>
      </c>
      <c r="C369" s="76">
        <f>(VLOOKUP(A369,database!A:K,11,) - VLOOKUP(A357,database!A:K,11,))/VLOOKUP(A357,database!A:K,11,)</f>
        <v/>
      </c>
    </row>
    <row r="370">
      <c r="A370" s="40" t="n">
        <v>35551</v>
      </c>
      <c r="B370" s="41">
        <f>VLOOKUP(Table8[[#This Row],[Month]],database!A:J,MATCH('Capacity Utilization'!$A$1,database!$A$1:$J$1,),)</f>
        <v/>
      </c>
      <c r="C370" s="76">
        <f>(VLOOKUP(A370,database!A:K,11,) - VLOOKUP(A358,database!A:K,11,))/VLOOKUP(A358,database!A:K,11,)</f>
        <v/>
      </c>
    </row>
    <row r="371">
      <c r="A371" s="40" t="n">
        <v>35582</v>
      </c>
      <c r="B371" s="41">
        <f>VLOOKUP(Table8[[#This Row],[Month]],database!A:J,MATCH('Capacity Utilization'!$A$1,database!$A$1:$J$1,),)</f>
        <v/>
      </c>
      <c r="C371" s="76">
        <f>(VLOOKUP(A371,database!A:K,11,) - VLOOKUP(A359,database!A:K,11,))/VLOOKUP(A359,database!A:K,11,)</f>
        <v/>
      </c>
    </row>
    <row r="372">
      <c r="A372" s="40" t="n">
        <v>35612</v>
      </c>
      <c r="B372" s="41">
        <f>VLOOKUP(Table8[[#This Row],[Month]],database!A:J,MATCH('Capacity Utilization'!$A$1,database!$A$1:$J$1,),)</f>
        <v/>
      </c>
      <c r="C372" s="76">
        <f>(VLOOKUP(A372,database!A:K,11,) - VLOOKUP(A360,database!A:K,11,))/VLOOKUP(A360,database!A:K,11,)</f>
        <v/>
      </c>
    </row>
    <row r="373">
      <c r="A373" s="40" t="n">
        <v>35643</v>
      </c>
      <c r="B373" s="41">
        <f>VLOOKUP(Table8[[#This Row],[Month]],database!A:J,MATCH('Capacity Utilization'!$A$1,database!$A$1:$J$1,),)</f>
        <v/>
      </c>
      <c r="C373" s="76">
        <f>(VLOOKUP(A373,database!A:K,11,) - VLOOKUP(A361,database!A:K,11,))/VLOOKUP(A361,database!A:K,11,)</f>
        <v/>
      </c>
    </row>
    <row r="374">
      <c r="A374" s="40" t="n">
        <v>35674</v>
      </c>
      <c r="B374" s="41">
        <f>VLOOKUP(Table8[[#This Row],[Month]],database!A:J,MATCH('Capacity Utilization'!$A$1,database!$A$1:$J$1,),)</f>
        <v/>
      </c>
      <c r="C374" s="76">
        <f>(VLOOKUP(A374,database!A:K,11,) - VLOOKUP(A362,database!A:K,11,))/VLOOKUP(A362,database!A:K,11,)</f>
        <v/>
      </c>
    </row>
    <row r="375">
      <c r="A375" s="40" t="n">
        <v>35704</v>
      </c>
      <c r="B375" s="41">
        <f>VLOOKUP(Table8[[#This Row],[Month]],database!A:J,MATCH('Capacity Utilization'!$A$1,database!$A$1:$J$1,),)</f>
        <v/>
      </c>
      <c r="C375" s="76">
        <f>(VLOOKUP(A375,database!A:K,11,) - VLOOKUP(A363,database!A:K,11,))/VLOOKUP(A363,database!A:K,11,)</f>
        <v/>
      </c>
    </row>
    <row r="376">
      <c r="A376" s="40" t="n">
        <v>35735</v>
      </c>
      <c r="B376" s="41">
        <f>VLOOKUP(Table8[[#This Row],[Month]],database!A:J,MATCH('Capacity Utilization'!$A$1,database!$A$1:$J$1,),)</f>
        <v/>
      </c>
      <c r="C376" s="76">
        <f>(VLOOKUP(A376,database!A:K,11,) - VLOOKUP(A364,database!A:K,11,))/VLOOKUP(A364,database!A:K,11,)</f>
        <v/>
      </c>
    </row>
    <row r="377">
      <c r="A377" s="40" t="n">
        <v>35765</v>
      </c>
      <c r="B377" s="41">
        <f>VLOOKUP(Table8[[#This Row],[Month]],database!A:J,MATCH('Capacity Utilization'!$A$1,database!$A$1:$J$1,),)</f>
        <v/>
      </c>
      <c r="C377" s="76">
        <f>(VLOOKUP(A377,database!A:K,11,) - VLOOKUP(A365,database!A:K,11,))/VLOOKUP(A365,database!A:K,11,)</f>
        <v/>
      </c>
    </row>
    <row r="378">
      <c r="A378" s="40" t="n">
        <v>35796</v>
      </c>
      <c r="B378" s="41">
        <f>VLOOKUP(Table8[[#This Row],[Month]],database!A:J,MATCH('Capacity Utilization'!$A$1,database!$A$1:$J$1,),)</f>
        <v/>
      </c>
      <c r="C378" s="76">
        <f>(VLOOKUP(A378,database!A:K,11,) - VLOOKUP(A366,database!A:K,11,))/VLOOKUP(A366,database!A:K,11,)</f>
        <v/>
      </c>
    </row>
    <row r="379">
      <c r="A379" s="40" t="n">
        <v>35827</v>
      </c>
      <c r="B379" s="41">
        <f>VLOOKUP(Table8[[#This Row],[Month]],database!A:J,MATCH('Capacity Utilization'!$A$1,database!$A$1:$J$1,),)</f>
        <v/>
      </c>
      <c r="C379" s="76">
        <f>(VLOOKUP(A379,database!A:K,11,) - VLOOKUP(A367,database!A:K,11,))/VLOOKUP(A367,database!A:K,11,)</f>
        <v/>
      </c>
    </row>
    <row r="380">
      <c r="A380" s="40" t="n">
        <v>35855</v>
      </c>
      <c r="B380" s="41">
        <f>VLOOKUP(Table8[[#This Row],[Month]],database!A:J,MATCH('Capacity Utilization'!$A$1,database!$A$1:$J$1,),)</f>
        <v/>
      </c>
      <c r="C380" s="76">
        <f>(VLOOKUP(A380,database!A:K,11,) - VLOOKUP(A368,database!A:K,11,))/VLOOKUP(A368,database!A:K,11,)</f>
        <v/>
      </c>
    </row>
    <row r="381">
      <c r="A381" s="40" t="n">
        <v>35886</v>
      </c>
      <c r="B381" s="41">
        <f>VLOOKUP(Table8[[#This Row],[Month]],database!A:J,MATCH('Capacity Utilization'!$A$1,database!$A$1:$J$1,),)</f>
        <v/>
      </c>
      <c r="C381" s="76">
        <f>(VLOOKUP(A381,database!A:K,11,) - VLOOKUP(A369,database!A:K,11,))/VLOOKUP(A369,database!A:K,11,)</f>
        <v/>
      </c>
    </row>
    <row r="382">
      <c r="A382" s="40" t="n">
        <v>35916</v>
      </c>
      <c r="B382" s="41">
        <f>VLOOKUP(Table8[[#This Row],[Month]],database!A:J,MATCH('Capacity Utilization'!$A$1,database!$A$1:$J$1,),)</f>
        <v/>
      </c>
      <c r="C382" s="76">
        <f>(VLOOKUP(A382,database!A:K,11,) - VLOOKUP(A370,database!A:K,11,))/VLOOKUP(A370,database!A:K,11,)</f>
        <v/>
      </c>
    </row>
    <row r="383">
      <c r="A383" s="40" t="n">
        <v>35947</v>
      </c>
      <c r="B383" s="41">
        <f>VLOOKUP(Table8[[#This Row],[Month]],database!A:J,MATCH('Capacity Utilization'!$A$1,database!$A$1:$J$1,),)</f>
        <v/>
      </c>
      <c r="C383" s="76">
        <f>(VLOOKUP(A383,database!A:K,11,) - VLOOKUP(A371,database!A:K,11,))/VLOOKUP(A371,database!A:K,11,)</f>
        <v/>
      </c>
    </row>
    <row r="384">
      <c r="A384" s="40" t="n">
        <v>35977</v>
      </c>
      <c r="B384" s="41">
        <f>VLOOKUP(Table8[[#This Row],[Month]],database!A:J,MATCH('Capacity Utilization'!$A$1,database!$A$1:$J$1,),)</f>
        <v/>
      </c>
      <c r="C384" s="76">
        <f>(VLOOKUP(A384,database!A:K,11,) - VLOOKUP(A372,database!A:K,11,))/VLOOKUP(A372,database!A:K,11,)</f>
        <v/>
      </c>
    </row>
    <row r="385">
      <c r="A385" s="40" t="n">
        <v>36008</v>
      </c>
      <c r="B385" s="41">
        <f>VLOOKUP(Table8[[#This Row],[Month]],database!A:J,MATCH('Capacity Utilization'!$A$1,database!$A$1:$J$1,),)</f>
        <v/>
      </c>
      <c r="C385" s="76">
        <f>(VLOOKUP(A385,database!A:K,11,) - VLOOKUP(A373,database!A:K,11,))/VLOOKUP(A373,database!A:K,11,)</f>
        <v/>
      </c>
    </row>
    <row r="386">
      <c r="A386" s="40" t="n">
        <v>36039</v>
      </c>
      <c r="B386" s="41">
        <f>VLOOKUP(Table8[[#This Row],[Month]],database!A:J,MATCH('Capacity Utilization'!$A$1,database!$A$1:$J$1,),)</f>
        <v/>
      </c>
      <c r="C386" s="76">
        <f>(VLOOKUP(A386,database!A:K,11,) - VLOOKUP(A374,database!A:K,11,))/VLOOKUP(A374,database!A:K,11,)</f>
        <v/>
      </c>
    </row>
    <row r="387">
      <c r="A387" s="40" t="n">
        <v>36069</v>
      </c>
      <c r="B387" s="41">
        <f>VLOOKUP(Table8[[#This Row],[Month]],database!A:J,MATCH('Capacity Utilization'!$A$1,database!$A$1:$J$1,),)</f>
        <v/>
      </c>
      <c r="C387" s="76">
        <f>(VLOOKUP(A387,database!A:K,11,) - VLOOKUP(A375,database!A:K,11,))/VLOOKUP(A375,database!A:K,11,)</f>
        <v/>
      </c>
    </row>
    <row r="388">
      <c r="A388" s="40" t="n">
        <v>36100</v>
      </c>
      <c r="B388" s="41">
        <f>VLOOKUP(Table8[[#This Row],[Month]],database!A:J,MATCH('Capacity Utilization'!$A$1,database!$A$1:$J$1,),)</f>
        <v/>
      </c>
      <c r="C388" s="76">
        <f>(VLOOKUP(A388,database!A:K,11,) - VLOOKUP(A376,database!A:K,11,))/VLOOKUP(A376,database!A:K,11,)</f>
        <v/>
      </c>
    </row>
    <row r="389">
      <c r="A389" s="40" t="n">
        <v>36130</v>
      </c>
      <c r="B389" s="41">
        <f>VLOOKUP(Table8[[#This Row],[Month]],database!A:J,MATCH('Capacity Utilization'!$A$1,database!$A$1:$J$1,),)</f>
        <v/>
      </c>
      <c r="C389" s="76">
        <f>(VLOOKUP(A389,database!A:K,11,) - VLOOKUP(A377,database!A:K,11,))/VLOOKUP(A377,database!A:K,11,)</f>
        <v/>
      </c>
    </row>
    <row r="390">
      <c r="A390" s="40" t="n">
        <v>36161</v>
      </c>
      <c r="B390" s="41">
        <f>VLOOKUP(Table8[[#This Row],[Month]],database!A:J,MATCH('Capacity Utilization'!$A$1,database!$A$1:$J$1,),)</f>
        <v/>
      </c>
      <c r="C390" s="76">
        <f>(VLOOKUP(A390,database!A:K,11,) - VLOOKUP(A378,database!A:K,11,))/VLOOKUP(A378,database!A:K,11,)</f>
        <v/>
      </c>
    </row>
    <row r="391">
      <c r="A391" s="40" t="n">
        <v>36192</v>
      </c>
      <c r="B391" s="41">
        <f>VLOOKUP(Table8[[#This Row],[Month]],database!A:J,MATCH('Capacity Utilization'!$A$1,database!$A$1:$J$1,),)</f>
        <v/>
      </c>
      <c r="C391" s="76">
        <f>(VLOOKUP(A391,database!A:K,11,) - VLOOKUP(A379,database!A:K,11,))/VLOOKUP(A379,database!A:K,11,)</f>
        <v/>
      </c>
    </row>
    <row r="392">
      <c r="A392" s="40" t="n">
        <v>36220</v>
      </c>
      <c r="B392" s="41">
        <f>VLOOKUP(Table8[[#This Row],[Month]],database!A:J,MATCH('Capacity Utilization'!$A$1,database!$A$1:$J$1,),)</f>
        <v/>
      </c>
      <c r="C392" s="76">
        <f>(VLOOKUP(A392,database!A:K,11,) - VLOOKUP(A380,database!A:K,11,))/VLOOKUP(A380,database!A:K,11,)</f>
        <v/>
      </c>
    </row>
    <row r="393">
      <c r="A393" s="40" t="n">
        <v>36251</v>
      </c>
      <c r="B393" s="41">
        <f>VLOOKUP(Table8[[#This Row],[Month]],database!A:J,MATCH('Capacity Utilization'!$A$1,database!$A$1:$J$1,),)</f>
        <v/>
      </c>
      <c r="C393" s="76">
        <f>(VLOOKUP(A393,database!A:K,11,) - VLOOKUP(A381,database!A:K,11,))/VLOOKUP(A381,database!A:K,11,)</f>
        <v/>
      </c>
    </row>
    <row r="394">
      <c r="A394" s="40" t="n">
        <v>36281</v>
      </c>
      <c r="B394" s="41">
        <f>VLOOKUP(Table8[[#This Row],[Month]],database!A:J,MATCH('Capacity Utilization'!$A$1,database!$A$1:$J$1,),)</f>
        <v/>
      </c>
      <c r="C394" s="76">
        <f>(VLOOKUP(A394,database!A:K,11,) - VLOOKUP(A382,database!A:K,11,))/VLOOKUP(A382,database!A:K,11,)</f>
        <v/>
      </c>
    </row>
    <row r="395">
      <c r="A395" s="40" t="n">
        <v>36312</v>
      </c>
      <c r="B395" s="41">
        <f>VLOOKUP(Table8[[#This Row],[Month]],database!A:J,MATCH('Capacity Utilization'!$A$1,database!$A$1:$J$1,),)</f>
        <v/>
      </c>
      <c r="C395" s="76">
        <f>(VLOOKUP(A395,database!A:K,11,) - VLOOKUP(A383,database!A:K,11,))/VLOOKUP(A383,database!A:K,11,)</f>
        <v/>
      </c>
    </row>
    <row r="396">
      <c r="A396" s="40" t="n">
        <v>36342</v>
      </c>
      <c r="B396" s="41">
        <f>VLOOKUP(Table8[[#This Row],[Month]],database!A:J,MATCH('Capacity Utilization'!$A$1,database!$A$1:$J$1,),)</f>
        <v/>
      </c>
      <c r="C396" s="76">
        <f>(VLOOKUP(A396,database!A:K,11,) - VLOOKUP(A384,database!A:K,11,))/VLOOKUP(A384,database!A:K,11,)</f>
        <v/>
      </c>
    </row>
    <row r="397">
      <c r="A397" s="40" t="n">
        <v>36373</v>
      </c>
      <c r="B397" s="41">
        <f>VLOOKUP(Table8[[#This Row],[Month]],database!A:J,MATCH('Capacity Utilization'!$A$1,database!$A$1:$J$1,),)</f>
        <v/>
      </c>
      <c r="C397" s="76">
        <f>(VLOOKUP(A397,database!A:K,11,) - VLOOKUP(A385,database!A:K,11,))/VLOOKUP(A385,database!A:K,11,)</f>
        <v/>
      </c>
    </row>
    <row r="398">
      <c r="A398" s="40" t="n">
        <v>36404</v>
      </c>
      <c r="B398" s="41">
        <f>VLOOKUP(Table8[[#This Row],[Month]],database!A:J,MATCH('Capacity Utilization'!$A$1,database!$A$1:$J$1,),)</f>
        <v/>
      </c>
      <c r="C398" s="76">
        <f>(VLOOKUP(A398,database!A:K,11,) - VLOOKUP(A386,database!A:K,11,))/VLOOKUP(A386,database!A:K,11,)</f>
        <v/>
      </c>
    </row>
    <row r="399">
      <c r="A399" s="40" t="n">
        <v>36434</v>
      </c>
      <c r="B399" s="41">
        <f>VLOOKUP(Table8[[#This Row],[Month]],database!A:J,MATCH('Capacity Utilization'!$A$1,database!$A$1:$J$1,),)</f>
        <v/>
      </c>
      <c r="C399" s="76">
        <f>(VLOOKUP(A399,database!A:K,11,) - VLOOKUP(A387,database!A:K,11,))/VLOOKUP(A387,database!A:K,11,)</f>
        <v/>
      </c>
    </row>
    <row r="400">
      <c r="A400" s="40" t="n">
        <v>36465</v>
      </c>
      <c r="B400" s="41">
        <f>VLOOKUP(Table8[[#This Row],[Month]],database!A:J,MATCH('Capacity Utilization'!$A$1,database!$A$1:$J$1,),)</f>
        <v/>
      </c>
      <c r="C400" s="76">
        <f>(VLOOKUP(A400,database!A:K,11,) - VLOOKUP(A388,database!A:K,11,))/VLOOKUP(A388,database!A:K,11,)</f>
        <v/>
      </c>
    </row>
    <row r="401">
      <c r="A401" s="40" t="n">
        <v>36495</v>
      </c>
      <c r="B401" s="41">
        <f>VLOOKUP(Table8[[#This Row],[Month]],database!A:J,MATCH('Capacity Utilization'!$A$1,database!$A$1:$J$1,),)</f>
        <v/>
      </c>
      <c r="C401" s="76">
        <f>(VLOOKUP(A401,database!A:K,11,) - VLOOKUP(A389,database!A:K,11,))/VLOOKUP(A389,database!A:K,11,)</f>
        <v/>
      </c>
    </row>
    <row r="402">
      <c r="A402" s="40" t="n">
        <v>36526</v>
      </c>
      <c r="B402" s="41">
        <f>VLOOKUP(Table8[[#This Row],[Month]],database!A:J,MATCH('Capacity Utilization'!$A$1,database!$A$1:$J$1,),)</f>
        <v/>
      </c>
      <c r="C402" s="76">
        <f>(VLOOKUP(A402,database!A:K,11,) - VLOOKUP(A390,database!A:K,11,))/VLOOKUP(A390,database!A:K,11,)</f>
        <v/>
      </c>
    </row>
    <row r="403">
      <c r="A403" s="40" t="n">
        <v>36557</v>
      </c>
      <c r="B403" s="41">
        <f>VLOOKUP(Table8[[#This Row],[Month]],database!A:J,MATCH('Capacity Utilization'!$A$1,database!$A$1:$J$1,),)</f>
        <v/>
      </c>
      <c r="C403" s="76">
        <f>(VLOOKUP(A403,database!A:K,11,) - VLOOKUP(A391,database!A:K,11,))/VLOOKUP(A391,database!A:K,11,)</f>
        <v/>
      </c>
    </row>
    <row r="404">
      <c r="A404" s="40" t="n">
        <v>36586</v>
      </c>
      <c r="B404" s="41">
        <f>VLOOKUP(Table8[[#This Row],[Month]],database!A:J,MATCH('Capacity Utilization'!$A$1,database!$A$1:$J$1,),)</f>
        <v/>
      </c>
      <c r="C404" s="76">
        <f>(VLOOKUP(A404,database!A:K,11,) - VLOOKUP(A392,database!A:K,11,))/VLOOKUP(A392,database!A:K,11,)</f>
        <v/>
      </c>
    </row>
    <row r="405">
      <c r="A405" s="40" t="n">
        <v>36617</v>
      </c>
      <c r="B405" s="41">
        <f>VLOOKUP(Table8[[#This Row],[Month]],database!A:J,MATCH('Capacity Utilization'!$A$1,database!$A$1:$J$1,),)</f>
        <v/>
      </c>
      <c r="C405" s="76">
        <f>(VLOOKUP(A405,database!A:K,11,) - VLOOKUP(A393,database!A:K,11,))/VLOOKUP(A393,database!A:K,11,)</f>
        <v/>
      </c>
    </row>
    <row r="406">
      <c r="A406" s="40" t="n">
        <v>36647</v>
      </c>
      <c r="B406" s="41">
        <f>VLOOKUP(Table8[[#This Row],[Month]],database!A:J,MATCH('Capacity Utilization'!$A$1,database!$A$1:$J$1,),)</f>
        <v/>
      </c>
      <c r="C406" s="76">
        <f>(VLOOKUP(A406,database!A:K,11,) - VLOOKUP(A394,database!A:K,11,))/VLOOKUP(A394,database!A:K,11,)</f>
        <v/>
      </c>
    </row>
    <row r="407">
      <c r="A407" s="40" t="n">
        <v>36678</v>
      </c>
      <c r="B407" s="41">
        <f>VLOOKUP(Table8[[#This Row],[Month]],database!A:J,MATCH('Capacity Utilization'!$A$1,database!$A$1:$J$1,),)</f>
        <v/>
      </c>
      <c r="C407" s="76">
        <f>(VLOOKUP(A407,database!A:K,11,) - VLOOKUP(A395,database!A:K,11,))/VLOOKUP(A395,database!A:K,11,)</f>
        <v/>
      </c>
    </row>
    <row r="408">
      <c r="A408" s="40" t="n">
        <v>36708</v>
      </c>
      <c r="B408" s="41">
        <f>VLOOKUP(Table8[[#This Row],[Month]],database!A:J,MATCH('Capacity Utilization'!$A$1,database!$A$1:$J$1,),)</f>
        <v/>
      </c>
      <c r="C408" s="76">
        <f>(VLOOKUP(A408,database!A:K,11,) - VLOOKUP(A396,database!A:K,11,))/VLOOKUP(A396,database!A:K,11,)</f>
        <v/>
      </c>
    </row>
    <row r="409">
      <c r="A409" s="40" t="n">
        <v>36739</v>
      </c>
      <c r="B409" s="41">
        <f>VLOOKUP(Table8[[#This Row],[Month]],database!A:J,MATCH('Capacity Utilization'!$A$1,database!$A$1:$J$1,),)</f>
        <v/>
      </c>
      <c r="C409" s="76">
        <f>(VLOOKUP(A409,database!A:K,11,) - VLOOKUP(A397,database!A:K,11,))/VLOOKUP(A397,database!A:K,11,)</f>
        <v/>
      </c>
    </row>
    <row r="410">
      <c r="A410" s="40" t="n">
        <v>36770</v>
      </c>
      <c r="B410" s="41">
        <f>VLOOKUP(Table8[[#This Row],[Month]],database!A:J,MATCH('Capacity Utilization'!$A$1,database!$A$1:$J$1,),)</f>
        <v/>
      </c>
      <c r="C410" s="76">
        <f>(VLOOKUP(A410,database!A:K,11,) - VLOOKUP(A398,database!A:K,11,))/VLOOKUP(A398,database!A:K,11,)</f>
        <v/>
      </c>
    </row>
    <row r="411">
      <c r="A411" s="40" t="n">
        <v>36800</v>
      </c>
      <c r="B411" s="41">
        <f>VLOOKUP(Table8[[#This Row],[Month]],database!A:J,MATCH('Capacity Utilization'!$A$1,database!$A$1:$J$1,),)</f>
        <v/>
      </c>
      <c r="C411" s="76">
        <f>(VLOOKUP(A411,database!A:K,11,) - VLOOKUP(A399,database!A:K,11,))/VLOOKUP(A399,database!A:K,11,)</f>
        <v/>
      </c>
    </row>
    <row r="412">
      <c r="A412" s="40" t="n">
        <v>36831</v>
      </c>
      <c r="B412" s="41">
        <f>VLOOKUP(Table8[[#This Row],[Month]],database!A:J,MATCH('Capacity Utilization'!$A$1,database!$A$1:$J$1,),)</f>
        <v/>
      </c>
      <c r="C412" s="76">
        <f>(VLOOKUP(A412,database!A:K,11,) - VLOOKUP(A400,database!A:K,11,))/VLOOKUP(A400,database!A:K,11,)</f>
        <v/>
      </c>
    </row>
    <row r="413">
      <c r="A413" s="40" t="n">
        <v>36861</v>
      </c>
      <c r="B413" s="41">
        <f>VLOOKUP(Table8[[#This Row],[Month]],database!A:J,MATCH('Capacity Utilization'!$A$1,database!$A$1:$J$1,),)</f>
        <v/>
      </c>
      <c r="C413" s="76">
        <f>(VLOOKUP(A413,database!A:K,11,) - VLOOKUP(A401,database!A:K,11,))/VLOOKUP(A401,database!A:K,11,)</f>
        <v/>
      </c>
    </row>
    <row r="414">
      <c r="A414" s="40" t="n">
        <v>36892</v>
      </c>
      <c r="B414" s="41">
        <f>VLOOKUP(Table8[[#This Row],[Month]],database!A:J,MATCH('Capacity Utilization'!$A$1,database!$A$1:$J$1,),)</f>
        <v/>
      </c>
      <c r="C414" s="76">
        <f>(VLOOKUP(A414,database!A:K,11,) - VLOOKUP(A402,database!A:K,11,))/VLOOKUP(A402,database!A:K,11,)</f>
        <v/>
      </c>
    </row>
    <row r="415">
      <c r="A415" s="40" t="n">
        <v>36923</v>
      </c>
      <c r="B415" s="41">
        <f>VLOOKUP(Table8[[#This Row],[Month]],database!A:J,MATCH('Capacity Utilization'!$A$1,database!$A$1:$J$1,),)</f>
        <v/>
      </c>
      <c r="C415" s="76">
        <f>(VLOOKUP(A415,database!A:K,11,) - VLOOKUP(A403,database!A:K,11,))/VLOOKUP(A403,database!A:K,11,)</f>
        <v/>
      </c>
    </row>
    <row r="416">
      <c r="A416" s="40" t="n">
        <v>36951</v>
      </c>
      <c r="B416" s="41">
        <f>VLOOKUP(Table8[[#This Row],[Month]],database!A:J,MATCH('Capacity Utilization'!$A$1,database!$A$1:$J$1,),)</f>
        <v/>
      </c>
      <c r="C416" s="76">
        <f>(VLOOKUP(A416,database!A:K,11,) - VLOOKUP(A404,database!A:K,11,))/VLOOKUP(A404,database!A:K,11,)</f>
        <v/>
      </c>
    </row>
    <row r="417">
      <c r="A417" s="40" t="n">
        <v>36982</v>
      </c>
      <c r="B417" s="41">
        <f>VLOOKUP(Table8[[#This Row],[Month]],database!A:J,MATCH('Capacity Utilization'!$A$1,database!$A$1:$J$1,),)</f>
        <v/>
      </c>
      <c r="C417" s="76">
        <f>(VLOOKUP(A417,database!A:K,11,) - VLOOKUP(A405,database!A:K,11,))/VLOOKUP(A405,database!A:K,11,)</f>
        <v/>
      </c>
    </row>
    <row r="418">
      <c r="A418" s="40" t="n">
        <v>37012</v>
      </c>
      <c r="B418" s="41">
        <f>VLOOKUP(Table8[[#This Row],[Month]],database!A:J,MATCH('Capacity Utilization'!$A$1,database!$A$1:$J$1,),)</f>
        <v/>
      </c>
      <c r="C418" s="76">
        <f>(VLOOKUP(A418,database!A:K,11,) - VLOOKUP(A406,database!A:K,11,))/VLOOKUP(A406,database!A:K,11,)</f>
        <v/>
      </c>
    </row>
    <row r="419">
      <c r="A419" s="40" t="n">
        <v>37043</v>
      </c>
      <c r="B419" s="41">
        <f>VLOOKUP(Table8[[#This Row],[Month]],database!A:J,MATCH('Capacity Utilization'!$A$1,database!$A$1:$J$1,),)</f>
        <v/>
      </c>
      <c r="C419" s="76">
        <f>(VLOOKUP(A419,database!A:K,11,) - VLOOKUP(A407,database!A:K,11,))/VLOOKUP(A407,database!A:K,11,)</f>
        <v/>
      </c>
    </row>
    <row r="420">
      <c r="A420" s="40" t="n">
        <v>37073</v>
      </c>
      <c r="B420" s="41">
        <f>VLOOKUP(Table8[[#This Row],[Month]],database!A:J,MATCH('Capacity Utilization'!$A$1,database!$A$1:$J$1,),)</f>
        <v/>
      </c>
      <c r="C420" s="76">
        <f>(VLOOKUP(A420,database!A:K,11,) - VLOOKUP(A408,database!A:K,11,))/VLOOKUP(A408,database!A:K,11,)</f>
        <v/>
      </c>
    </row>
    <row r="421">
      <c r="A421" s="40" t="n">
        <v>37104</v>
      </c>
      <c r="B421" s="41">
        <f>VLOOKUP(Table8[[#This Row],[Month]],database!A:J,MATCH('Capacity Utilization'!$A$1,database!$A$1:$J$1,),)</f>
        <v/>
      </c>
      <c r="C421" s="76">
        <f>(VLOOKUP(A421,database!A:K,11,) - VLOOKUP(A409,database!A:K,11,))/VLOOKUP(A409,database!A:K,11,)</f>
        <v/>
      </c>
    </row>
    <row r="422">
      <c r="A422" s="40" t="n">
        <v>37135</v>
      </c>
      <c r="B422" s="41">
        <f>VLOOKUP(Table8[[#This Row],[Month]],database!A:J,MATCH('Capacity Utilization'!$A$1,database!$A$1:$J$1,),)</f>
        <v/>
      </c>
      <c r="C422" s="76">
        <f>(VLOOKUP(A422,database!A:K,11,) - VLOOKUP(A410,database!A:K,11,))/VLOOKUP(A410,database!A:K,11,)</f>
        <v/>
      </c>
    </row>
    <row r="423">
      <c r="A423" s="40" t="n">
        <v>37165</v>
      </c>
      <c r="B423" s="41">
        <f>VLOOKUP(Table8[[#This Row],[Month]],database!A:J,MATCH('Capacity Utilization'!$A$1,database!$A$1:$J$1,),)</f>
        <v/>
      </c>
      <c r="C423" s="76">
        <f>(VLOOKUP(A423,database!A:K,11,) - VLOOKUP(A411,database!A:K,11,))/VLOOKUP(A411,database!A:K,11,)</f>
        <v/>
      </c>
    </row>
    <row r="424">
      <c r="A424" s="40" t="n">
        <v>37196</v>
      </c>
      <c r="B424" s="41">
        <f>VLOOKUP(Table8[[#This Row],[Month]],database!A:J,MATCH('Capacity Utilization'!$A$1,database!$A$1:$J$1,),)</f>
        <v/>
      </c>
      <c r="C424" s="76">
        <f>(VLOOKUP(A424,database!A:K,11,) - VLOOKUP(A412,database!A:K,11,))/VLOOKUP(A412,database!A:K,11,)</f>
        <v/>
      </c>
    </row>
    <row r="425">
      <c r="A425" s="40" t="n">
        <v>37226</v>
      </c>
      <c r="B425" s="41">
        <f>VLOOKUP(Table8[[#This Row],[Month]],database!A:J,MATCH('Capacity Utilization'!$A$1,database!$A$1:$J$1,),)</f>
        <v/>
      </c>
      <c r="C425" s="76">
        <f>(VLOOKUP(A425,database!A:K,11,) - VLOOKUP(A413,database!A:K,11,))/VLOOKUP(A413,database!A:K,11,)</f>
        <v/>
      </c>
    </row>
    <row r="426">
      <c r="A426" s="40" t="n">
        <v>37257</v>
      </c>
      <c r="B426" s="41">
        <f>VLOOKUP(Table8[[#This Row],[Month]],database!A:J,MATCH('Capacity Utilization'!$A$1,database!$A$1:$J$1,),)</f>
        <v/>
      </c>
      <c r="C426" s="76">
        <f>(VLOOKUP(A426,database!A:K,11,) - VLOOKUP(A414,database!A:K,11,))/VLOOKUP(A414,database!A:K,11,)</f>
        <v/>
      </c>
    </row>
    <row r="427">
      <c r="A427" s="40" t="n">
        <v>37288</v>
      </c>
      <c r="B427" s="41">
        <f>VLOOKUP(Table8[[#This Row],[Month]],database!A:J,MATCH('Capacity Utilization'!$A$1,database!$A$1:$J$1,),)</f>
        <v/>
      </c>
      <c r="C427" s="76">
        <f>(VLOOKUP(A427,database!A:K,11,) - VLOOKUP(A415,database!A:K,11,))/VLOOKUP(A415,database!A:K,11,)</f>
        <v/>
      </c>
    </row>
    <row r="428">
      <c r="A428" s="40" t="n">
        <v>37316</v>
      </c>
      <c r="B428" s="41">
        <f>VLOOKUP(Table8[[#This Row],[Month]],database!A:J,MATCH('Capacity Utilization'!$A$1,database!$A$1:$J$1,),)</f>
        <v/>
      </c>
      <c r="C428" s="76">
        <f>(VLOOKUP(A428,database!A:K,11,) - VLOOKUP(A416,database!A:K,11,))/VLOOKUP(A416,database!A:K,11,)</f>
        <v/>
      </c>
    </row>
    <row r="429">
      <c r="A429" s="40" t="n">
        <v>37347</v>
      </c>
      <c r="B429" s="41">
        <f>VLOOKUP(Table8[[#This Row],[Month]],database!A:J,MATCH('Capacity Utilization'!$A$1,database!$A$1:$J$1,),)</f>
        <v/>
      </c>
      <c r="C429" s="76">
        <f>(VLOOKUP(A429,database!A:K,11,) - VLOOKUP(A417,database!A:K,11,))/VLOOKUP(A417,database!A:K,11,)</f>
        <v/>
      </c>
    </row>
    <row r="430">
      <c r="A430" s="40" t="n">
        <v>37377</v>
      </c>
      <c r="B430" s="41">
        <f>VLOOKUP(Table8[[#This Row],[Month]],database!A:J,MATCH('Capacity Utilization'!$A$1,database!$A$1:$J$1,),)</f>
        <v/>
      </c>
      <c r="C430" s="76">
        <f>(VLOOKUP(A430,database!A:K,11,) - VLOOKUP(A418,database!A:K,11,))/VLOOKUP(A418,database!A:K,11,)</f>
        <v/>
      </c>
    </row>
    <row r="431">
      <c r="A431" s="40" t="n">
        <v>37408</v>
      </c>
      <c r="B431" s="41">
        <f>VLOOKUP(Table8[[#This Row],[Month]],database!A:J,MATCH('Capacity Utilization'!$A$1,database!$A$1:$J$1,),)</f>
        <v/>
      </c>
      <c r="C431" s="76">
        <f>(VLOOKUP(A431,database!A:K,11,) - VLOOKUP(A419,database!A:K,11,))/VLOOKUP(A419,database!A:K,11,)</f>
        <v/>
      </c>
    </row>
    <row r="432">
      <c r="A432" s="40" t="n">
        <v>37438</v>
      </c>
      <c r="B432" s="41">
        <f>VLOOKUP(Table8[[#This Row],[Month]],database!A:J,MATCH('Capacity Utilization'!$A$1,database!$A$1:$J$1,),)</f>
        <v/>
      </c>
      <c r="C432" s="76">
        <f>(VLOOKUP(A432,database!A:K,11,) - VLOOKUP(A420,database!A:K,11,))/VLOOKUP(A420,database!A:K,11,)</f>
        <v/>
      </c>
    </row>
    <row r="433">
      <c r="A433" s="40" t="n">
        <v>37469</v>
      </c>
      <c r="B433" s="41">
        <f>VLOOKUP(Table8[[#This Row],[Month]],database!A:J,MATCH('Capacity Utilization'!$A$1,database!$A$1:$J$1,),)</f>
        <v/>
      </c>
      <c r="C433" s="76">
        <f>(VLOOKUP(A433,database!A:K,11,) - VLOOKUP(A421,database!A:K,11,))/VLOOKUP(A421,database!A:K,11,)</f>
        <v/>
      </c>
    </row>
    <row r="434">
      <c r="A434" s="40" t="n">
        <v>37500</v>
      </c>
      <c r="B434" s="41">
        <f>VLOOKUP(Table8[[#This Row],[Month]],database!A:J,MATCH('Capacity Utilization'!$A$1,database!$A$1:$J$1,),)</f>
        <v/>
      </c>
      <c r="C434" s="76">
        <f>(VLOOKUP(A434,database!A:K,11,) - VLOOKUP(A422,database!A:K,11,))/VLOOKUP(A422,database!A:K,11,)</f>
        <v/>
      </c>
    </row>
    <row r="435">
      <c r="A435" s="40" t="n">
        <v>37530</v>
      </c>
      <c r="B435" s="41">
        <f>VLOOKUP(Table8[[#This Row],[Month]],database!A:J,MATCH('Capacity Utilization'!$A$1,database!$A$1:$J$1,),)</f>
        <v/>
      </c>
      <c r="C435" s="76">
        <f>(VLOOKUP(A435,database!A:K,11,) - VLOOKUP(A423,database!A:K,11,))/VLOOKUP(A423,database!A:K,11,)</f>
        <v/>
      </c>
    </row>
    <row r="436">
      <c r="A436" s="40" t="n">
        <v>37561</v>
      </c>
      <c r="B436" s="41">
        <f>VLOOKUP(Table8[[#This Row],[Month]],database!A:J,MATCH('Capacity Utilization'!$A$1,database!$A$1:$J$1,),)</f>
        <v/>
      </c>
      <c r="C436" s="76">
        <f>(VLOOKUP(A436,database!A:K,11,) - VLOOKUP(A424,database!A:K,11,))/VLOOKUP(A424,database!A:K,11,)</f>
        <v/>
      </c>
    </row>
    <row r="437">
      <c r="A437" s="40" t="n">
        <v>37591</v>
      </c>
      <c r="B437" s="41">
        <f>VLOOKUP(Table8[[#This Row],[Month]],database!A:J,MATCH('Capacity Utilization'!$A$1,database!$A$1:$J$1,),)</f>
        <v/>
      </c>
      <c r="C437" s="76">
        <f>(VLOOKUP(A437,database!A:K,11,) - VLOOKUP(A425,database!A:K,11,))/VLOOKUP(A425,database!A:K,11,)</f>
        <v/>
      </c>
    </row>
    <row r="438">
      <c r="A438" s="40" t="n">
        <v>37622</v>
      </c>
      <c r="B438" s="41">
        <f>VLOOKUP(Table8[[#This Row],[Month]],database!A:J,MATCH('Capacity Utilization'!$A$1,database!$A$1:$J$1,),)</f>
        <v/>
      </c>
      <c r="C438" s="76">
        <f>(VLOOKUP(A438,database!A:K,11,) - VLOOKUP(A426,database!A:K,11,))/VLOOKUP(A426,database!A:K,11,)</f>
        <v/>
      </c>
    </row>
    <row r="439">
      <c r="A439" s="40" t="n">
        <v>37653</v>
      </c>
      <c r="B439" s="41">
        <f>VLOOKUP(Table8[[#This Row],[Month]],database!A:J,MATCH('Capacity Utilization'!$A$1,database!$A$1:$J$1,),)</f>
        <v/>
      </c>
      <c r="C439" s="76">
        <f>(VLOOKUP(A439,database!A:K,11,) - VLOOKUP(A427,database!A:K,11,))/VLOOKUP(A427,database!A:K,11,)</f>
        <v/>
      </c>
    </row>
    <row r="440">
      <c r="A440" s="40" t="n">
        <v>37681</v>
      </c>
      <c r="B440" s="41">
        <f>VLOOKUP(Table8[[#This Row],[Month]],database!A:J,MATCH('Capacity Utilization'!$A$1,database!$A$1:$J$1,),)</f>
        <v/>
      </c>
      <c r="C440" s="76">
        <f>(VLOOKUP(A440,database!A:K,11,) - VLOOKUP(A428,database!A:K,11,))/VLOOKUP(A428,database!A:K,11,)</f>
        <v/>
      </c>
    </row>
    <row r="441">
      <c r="A441" s="40" t="n">
        <v>37712</v>
      </c>
      <c r="B441" s="41">
        <f>VLOOKUP(Table8[[#This Row],[Month]],database!A:J,MATCH('Capacity Utilization'!$A$1,database!$A$1:$J$1,),)</f>
        <v/>
      </c>
      <c r="C441" s="76">
        <f>(VLOOKUP(A441,database!A:K,11,) - VLOOKUP(A429,database!A:K,11,))/VLOOKUP(A429,database!A:K,11,)</f>
        <v/>
      </c>
    </row>
    <row r="442">
      <c r="A442" s="40" t="n">
        <v>37742</v>
      </c>
      <c r="B442" s="41">
        <f>VLOOKUP(Table8[[#This Row],[Month]],database!A:J,MATCH('Capacity Utilization'!$A$1,database!$A$1:$J$1,),)</f>
        <v/>
      </c>
      <c r="C442" s="76">
        <f>(VLOOKUP(A442,database!A:K,11,) - VLOOKUP(A430,database!A:K,11,))/VLOOKUP(A430,database!A:K,11,)</f>
        <v/>
      </c>
    </row>
    <row r="443">
      <c r="A443" s="40" t="n">
        <v>37773</v>
      </c>
      <c r="B443" s="41">
        <f>VLOOKUP(Table8[[#This Row],[Month]],database!A:J,MATCH('Capacity Utilization'!$A$1,database!$A$1:$J$1,),)</f>
        <v/>
      </c>
      <c r="C443" s="76">
        <f>(VLOOKUP(A443,database!A:K,11,) - VLOOKUP(A431,database!A:K,11,))/VLOOKUP(A431,database!A:K,11,)</f>
        <v/>
      </c>
    </row>
    <row r="444">
      <c r="A444" s="40" t="n">
        <v>37803</v>
      </c>
      <c r="B444" s="41">
        <f>VLOOKUP(Table8[[#This Row],[Month]],database!A:J,MATCH('Capacity Utilization'!$A$1,database!$A$1:$J$1,),)</f>
        <v/>
      </c>
      <c r="C444" s="76">
        <f>(VLOOKUP(A444,database!A:K,11,) - VLOOKUP(A432,database!A:K,11,))/VLOOKUP(A432,database!A:K,11,)</f>
        <v/>
      </c>
    </row>
    <row r="445">
      <c r="A445" s="40" t="n">
        <v>37834</v>
      </c>
      <c r="B445" s="41">
        <f>VLOOKUP(Table8[[#This Row],[Month]],database!A:J,MATCH('Capacity Utilization'!$A$1,database!$A$1:$J$1,),)</f>
        <v/>
      </c>
      <c r="C445" s="76">
        <f>(VLOOKUP(A445,database!A:K,11,) - VLOOKUP(A433,database!A:K,11,))/VLOOKUP(A433,database!A:K,11,)</f>
        <v/>
      </c>
    </row>
    <row r="446">
      <c r="A446" s="40" t="n">
        <v>37865</v>
      </c>
      <c r="B446" s="41">
        <f>VLOOKUP(Table8[[#This Row],[Month]],database!A:J,MATCH('Capacity Utilization'!$A$1,database!$A$1:$J$1,),)</f>
        <v/>
      </c>
      <c r="C446" s="76">
        <f>(VLOOKUP(A446,database!A:K,11,) - VLOOKUP(A434,database!A:K,11,))/VLOOKUP(A434,database!A:K,11,)</f>
        <v/>
      </c>
    </row>
    <row r="447">
      <c r="A447" s="40" t="n">
        <v>37895</v>
      </c>
      <c r="B447" s="41">
        <f>VLOOKUP(Table8[[#This Row],[Month]],database!A:J,MATCH('Capacity Utilization'!$A$1,database!$A$1:$J$1,),)</f>
        <v/>
      </c>
      <c r="C447" s="76">
        <f>(VLOOKUP(A447,database!A:K,11,) - VLOOKUP(A435,database!A:K,11,))/VLOOKUP(A435,database!A:K,11,)</f>
        <v/>
      </c>
    </row>
    <row r="448">
      <c r="A448" s="40" t="n">
        <v>37926</v>
      </c>
      <c r="B448" s="41">
        <f>VLOOKUP(Table8[[#This Row],[Month]],database!A:J,MATCH('Capacity Utilization'!$A$1,database!$A$1:$J$1,),)</f>
        <v/>
      </c>
      <c r="C448" s="76">
        <f>(VLOOKUP(A448,database!A:K,11,) - VLOOKUP(A436,database!A:K,11,))/VLOOKUP(A436,database!A:K,11,)</f>
        <v/>
      </c>
    </row>
    <row r="449">
      <c r="A449" s="40" t="n">
        <v>37956</v>
      </c>
      <c r="B449" s="41">
        <f>VLOOKUP(Table8[[#This Row],[Month]],database!A:J,MATCH('Capacity Utilization'!$A$1,database!$A$1:$J$1,),)</f>
        <v/>
      </c>
      <c r="C449" s="76">
        <f>(VLOOKUP(A449,database!A:K,11,) - VLOOKUP(A437,database!A:K,11,))/VLOOKUP(A437,database!A:K,11,)</f>
        <v/>
      </c>
    </row>
    <row r="450">
      <c r="A450" s="40" t="n">
        <v>37987</v>
      </c>
      <c r="B450" s="41">
        <f>VLOOKUP(Table8[[#This Row],[Month]],database!A:J,MATCH('Capacity Utilization'!$A$1,database!$A$1:$J$1,),)</f>
        <v/>
      </c>
      <c r="C450" s="76">
        <f>(VLOOKUP(A450,database!A:K,11,) - VLOOKUP(A438,database!A:K,11,))/VLOOKUP(A438,database!A:K,11,)</f>
        <v/>
      </c>
    </row>
    <row r="451">
      <c r="A451" s="40" t="n">
        <v>38018</v>
      </c>
      <c r="B451" s="41">
        <f>VLOOKUP(Table8[[#This Row],[Month]],database!A:J,MATCH('Capacity Utilization'!$A$1,database!$A$1:$J$1,),)</f>
        <v/>
      </c>
      <c r="C451" s="76">
        <f>(VLOOKUP(A451,database!A:K,11,) - VLOOKUP(A439,database!A:K,11,))/VLOOKUP(A439,database!A:K,11,)</f>
        <v/>
      </c>
    </row>
    <row r="452">
      <c r="A452" s="40" t="n">
        <v>38047</v>
      </c>
      <c r="B452" s="41">
        <f>VLOOKUP(Table8[[#This Row],[Month]],database!A:J,MATCH('Capacity Utilization'!$A$1,database!$A$1:$J$1,),)</f>
        <v/>
      </c>
      <c r="C452" s="76">
        <f>(VLOOKUP(A452,database!A:K,11,) - VLOOKUP(A440,database!A:K,11,))/VLOOKUP(A440,database!A:K,11,)</f>
        <v/>
      </c>
    </row>
    <row r="453">
      <c r="A453" s="40" t="n">
        <v>38078</v>
      </c>
      <c r="B453" s="41">
        <f>VLOOKUP(Table8[[#This Row],[Month]],database!A:J,MATCH('Capacity Utilization'!$A$1,database!$A$1:$J$1,),)</f>
        <v/>
      </c>
      <c r="C453" s="76">
        <f>(VLOOKUP(A453,database!A:K,11,) - VLOOKUP(A441,database!A:K,11,))/VLOOKUP(A441,database!A:K,11,)</f>
        <v/>
      </c>
    </row>
    <row r="454">
      <c r="A454" s="40" t="n">
        <v>38108</v>
      </c>
      <c r="B454" s="41">
        <f>VLOOKUP(Table8[[#This Row],[Month]],database!A:J,MATCH('Capacity Utilization'!$A$1,database!$A$1:$J$1,),)</f>
        <v/>
      </c>
      <c r="C454" s="76">
        <f>(VLOOKUP(A454,database!A:K,11,) - VLOOKUP(A442,database!A:K,11,))/VLOOKUP(A442,database!A:K,11,)</f>
        <v/>
      </c>
    </row>
    <row r="455">
      <c r="A455" s="40" t="n">
        <v>38139</v>
      </c>
      <c r="B455" s="41">
        <f>VLOOKUP(Table8[[#This Row],[Month]],database!A:J,MATCH('Capacity Utilization'!$A$1,database!$A$1:$J$1,),)</f>
        <v/>
      </c>
      <c r="C455" s="76">
        <f>(VLOOKUP(A455,database!A:K,11,) - VLOOKUP(A443,database!A:K,11,))/VLOOKUP(A443,database!A:K,11,)</f>
        <v/>
      </c>
    </row>
    <row r="456">
      <c r="A456" s="40" t="n">
        <v>38169</v>
      </c>
      <c r="B456" s="41">
        <f>VLOOKUP(Table8[[#This Row],[Month]],database!A:J,MATCH('Capacity Utilization'!$A$1,database!$A$1:$J$1,),)</f>
        <v/>
      </c>
      <c r="C456" s="76">
        <f>(VLOOKUP(A456,database!A:K,11,) - VLOOKUP(A444,database!A:K,11,))/VLOOKUP(A444,database!A:K,11,)</f>
        <v/>
      </c>
    </row>
    <row r="457">
      <c r="A457" s="40" t="n">
        <v>38200</v>
      </c>
      <c r="B457" s="41">
        <f>VLOOKUP(Table8[[#This Row],[Month]],database!A:J,MATCH('Capacity Utilization'!$A$1,database!$A$1:$J$1,),)</f>
        <v/>
      </c>
      <c r="C457" s="76">
        <f>(VLOOKUP(A457,database!A:K,11,) - VLOOKUP(A445,database!A:K,11,))/VLOOKUP(A445,database!A:K,11,)</f>
        <v/>
      </c>
    </row>
    <row r="458">
      <c r="A458" s="40" t="n">
        <v>38231</v>
      </c>
      <c r="B458" s="41">
        <f>VLOOKUP(Table8[[#This Row],[Month]],database!A:J,MATCH('Capacity Utilization'!$A$1,database!$A$1:$J$1,),)</f>
        <v/>
      </c>
      <c r="C458" s="76">
        <f>(VLOOKUP(A458,database!A:K,11,) - VLOOKUP(A446,database!A:K,11,))/VLOOKUP(A446,database!A:K,11,)</f>
        <v/>
      </c>
    </row>
    <row r="459">
      <c r="A459" s="40" t="n">
        <v>38261</v>
      </c>
      <c r="B459" s="41">
        <f>VLOOKUP(Table8[[#This Row],[Month]],database!A:J,MATCH('Capacity Utilization'!$A$1,database!$A$1:$J$1,),)</f>
        <v/>
      </c>
      <c r="C459" s="76">
        <f>(VLOOKUP(A459,database!A:K,11,) - VLOOKUP(A447,database!A:K,11,))/VLOOKUP(A447,database!A:K,11,)</f>
        <v/>
      </c>
    </row>
    <row r="460">
      <c r="A460" s="40" t="n">
        <v>38292</v>
      </c>
      <c r="B460" s="41">
        <f>VLOOKUP(Table8[[#This Row],[Month]],database!A:J,MATCH('Capacity Utilization'!$A$1,database!$A$1:$J$1,),)</f>
        <v/>
      </c>
      <c r="C460" s="76">
        <f>(VLOOKUP(A460,database!A:K,11,) - VLOOKUP(A448,database!A:K,11,))/VLOOKUP(A448,database!A:K,11,)</f>
        <v/>
      </c>
    </row>
    <row r="461">
      <c r="A461" s="40" t="n">
        <v>38322</v>
      </c>
      <c r="B461" s="41">
        <f>VLOOKUP(Table8[[#This Row],[Month]],database!A:J,MATCH('Capacity Utilization'!$A$1,database!$A$1:$J$1,),)</f>
        <v/>
      </c>
      <c r="C461" s="76">
        <f>(VLOOKUP(A461,database!A:K,11,) - VLOOKUP(A449,database!A:K,11,))/VLOOKUP(A449,database!A:K,11,)</f>
        <v/>
      </c>
    </row>
    <row r="462">
      <c r="A462" s="40" t="n">
        <v>38353</v>
      </c>
      <c r="B462" s="41">
        <f>VLOOKUP(Table8[[#This Row],[Month]],database!A:J,MATCH('Capacity Utilization'!$A$1,database!$A$1:$J$1,),)</f>
        <v/>
      </c>
      <c r="C462" s="76">
        <f>(VLOOKUP(A462,database!A:K,11,) - VLOOKUP(A450,database!A:K,11,))/VLOOKUP(A450,database!A:K,11,)</f>
        <v/>
      </c>
    </row>
    <row r="463">
      <c r="A463" s="40" t="n">
        <v>38384</v>
      </c>
      <c r="B463" s="41">
        <f>VLOOKUP(Table8[[#This Row],[Month]],database!A:J,MATCH('Capacity Utilization'!$A$1,database!$A$1:$J$1,),)</f>
        <v/>
      </c>
      <c r="C463" s="76">
        <f>(VLOOKUP(A463,database!A:K,11,) - VLOOKUP(A451,database!A:K,11,))/VLOOKUP(A451,database!A:K,11,)</f>
        <v/>
      </c>
    </row>
    <row r="464">
      <c r="A464" s="40" t="n">
        <v>38412</v>
      </c>
      <c r="B464" s="41">
        <f>VLOOKUP(Table8[[#This Row],[Month]],database!A:J,MATCH('Capacity Utilization'!$A$1,database!$A$1:$J$1,),)</f>
        <v/>
      </c>
      <c r="C464" s="76">
        <f>(VLOOKUP(A464,database!A:K,11,) - VLOOKUP(A452,database!A:K,11,))/VLOOKUP(A452,database!A:K,11,)</f>
        <v/>
      </c>
    </row>
    <row r="465">
      <c r="A465" s="40" t="n">
        <v>38443</v>
      </c>
      <c r="B465" s="41">
        <f>VLOOKUP(Table8[[#This Row],[Month]],database!A:J,MATCH('Capacity Utilization'!$A$1,database!$A$1:$J$1,),)</f>
        <v/>
      </c>
      <c r="C465" s="76">
        <f>(VLOOKUP(A465,database!A:K,11,) - VLOOKUP(A453,database!A:K,11,))/VLOOKUP(A453,database!A:K,11,)</f>
        <v/>
      </c>
    </row>
    <row r="466">
      <c r="A466" s="40" t="n">
        <v>38473</v>
      </c>
      <c r="B466" s="41">
        <f>VLOOKUP(Table8[[#This Row],[Month]],database!A:J,MATCH('Capacity Utilization'!$A$1,database!$A$1:$J$1,),)</f>
        <v/>
      </c>
      <c r="C466" s="76">
        <f>(VLOOKUP(A466,database!A:K,11,) - VLOOKUP(A454,database!A:K,11,))/VLOOKUP(A454,database!A:K,11,)</f>
        <v/>
      </c>
    </row>
    <row r="467">
      <c r="A467" s="40" t="n">
        <v>38504</v>
      </c>
      <c r="B467" s="41">
        <f>VLOOKUP(Table8[[#This Row],[Month]],database!A:J,MATCH('Capacity Utilization'!$A$1,database!$A$1:$J$1,),)</f>
        <v/>
      </c>
      <c r="C467" s="76">
        <f>(VLOOKUP(A467,database!A:K,11,) - VLOOKUP(A455,database!A:K,11,))/VLOOKUP(A455,database!A:K,11,)</f>
        <v/>
      </c>
    </row>
    <row r="468">
      <c r="A468" s="40" t="n">
        <v>38534</v>
      </c>
      <c r="B468" s="41">
        <f>VLOOKUP(Table8[[#This Row],[Month]],database!A:J,MATCH('Capacity Utilization'!$A$1,database!$A$1:$J$1,),)</f>
        <v/>
      </c>
      <c r="C468" s="76">
        <f>(VLOOKUP(A468,database!A:K,11,) - VLOOKUP(A456,database!A:K,11,))/VLOOKUP(A456,database!A:K,11,)</f>
        <v/>
      </c>
    </row>
    <row r="469">
      <c r="A469" s="40" t="n">
        <v>38565</v>
      </c>
      <c r="B469" s="41">
        <f>VLOOKUP(Table8[[#This Row],[Month]],database!A:J,MATCH('Capacity Utilization'!$A$1,database!$A$1:$J$1,),)</f>
        <v/>
      </c>
      <c r="C469" s="76">
        <f>(VLOOKUP(A469,database!A:K,11,) - VLOOKUP(A457,database!A:K,11,))/VLOOKUP(A457,database!A:K,11,)</f>
        <v/>
      </c>
    </row>
    <row r="470">
      <c r="A470" s="40" t="n">
        <v>38596</v>
      </c>
      <c r="B470" s="41">
        <f>VLOOKUP(Table8[[#This Row],[Month]],database!A:J,MATCH('Capacity Utilization'!$A$1,database!$A$1:$J$1,),)</f>
        <v/>
      </c>
      <c r="C470" s="76">
        <f>(VLOOKUP(A470,database!A:K,11,) - VLOOKUP(A458,database!A:K,11,))/VLOOKUP(A458,database!A:K,11,)</f>
        <v/>
      </c>
    </row>
    <row r="471">
      <c r="A471" s="40" t="n">
        <v>38626</v>
      </c>
      <c r="B471" s="41">
        <f>VLOOKUP(Table8[[#This Row],[Month]],database!A:J,MATCH('Capacity Utilization'!$A$1,database!$A$1:$J$1,),)</f>
        <v/>
      </c>
      <c r="C471" s="76">
        <f>(VLOOKUP(A471,database!A:K,11,) - VLOOKUP(A459,database!A:K,11,))/VLOOKUP(A459,database!A:K,11,)</f>
        <v/>
      </c>
    </row>
    <row r="472">
      <c r="A472" s="40" t="n">
        <v>38657</v>
      </c>
      <c r="B472" s="41">
        <f>VLOOKUP(Table8[[#This Row],[Month]],database!A:J,MATCH('Capacity Utilization'!$A$1,database!$A$1:$J$1,),)</f>
        <v/>
      </c>
      <c r="C472" s="76">
        <f>(VLOOKUP(A472,database!A:K,11,) - VLOOKUP(A460,database!A:K,11,))/VLOOKUP(A460,database!A:K,11,)</f>
        <v/>
      </c>
    </row>
    <row r="473">
      <c r="A473" s="40" t="n">
        <v>38687</v>
      </c>
      <c r="B473" s="41">
        <f>VLOOKUP(Table8[[#This Row],[Month]],database!A:J,MATCH('Capacity Utilization'!$A$1,database!$A$1:$J$1,),)</f>
        <v/>
      </c>
      <c r="C473" s="76">
        <f>(VLOOKUP(A473,database!A:K,11,) - VLOOKUP(A461,database!A:K,11,))/VLOOKUP(A461,database!A:K,11,)</f>
        <v/>
      </c>
    </row>
    <row r="474">
      <c r="A474" s="40" t="n">
        <v>38718</v>
      </c>
      <c r="B474" s="41">
        <f>VLOOKUP(Table8[[#This Row],[Month]],database!A:J,MATCH('Capacity Utilization'!$A$1,database!$A$1:$J$1,),)</f>
        <v/>
      </c>
      <c r="C474" s="76">
        <f>(VLOOKUP(A474,database!A:K,11,) - VLOOKUP(A462,database!A:K,11,))/VLOOKUP(A462,database!A:K,11,)</f>
        <v/>
      </c>
    </row>
    <row r="475">
      <c r="A475" s="40" t="n">
        <v>38749</v>
      </c>
      <c r="B475" s="41">
        <f>VLOOKUP(Table8[[#This Row],[Month]],database!A:J,MATCH('Capacity Utilization'!$A$1,database!$A$1:$J$1,),)</f>
        <v/>
      </c>
      <c r="C475" s="76">
        <f>(VLOOKUP(A475,database!A:K,11,) - VLOOKUP(A463,database!A:K,11,))/VLOOKUP(A463,database!A:K,11,)</f>
        <v/>
      </c>
    </row>
    <row r="476">
      <c r="A476" s="40" t="n">
        <v>38777</v>
      </c>
      <c r="B476" s="41">
        <f>VLOOKUP(Table8[[#This Row],[Month]],database!A:J,MATCH('Capacity Utilization'!$A$1,database!$A$1:$J$1,),)</f>
        <v/>
      </c>
      <c r="C476" s="76">
        <f>(VLOOKUP(A476,database!A:K,11,) - VLOOKUP(A464,database!A:K,11,))/VLOOKUP(A464,database!A:K,11,)</f>
        <v/>
      </c>
    </row>
    <row r="477">
      <c r="A477" s="40" t="n">
        <v>38808</v>
      </c>
      <c r="B477" s="41">
        <f>VLOOKUP(Table8[[#This Row],[Month]],database!A:J,MATCH('Capacity Utilization'!$A$1,database!$A$1:$J$1,),)</f>
        <v/>
      </c>
      <c r="C477" s="76">
        <f>(VLOOKUP(A477,database!A:K,11,) - VLOOKUP(A465,database!A:K,11,))/VLOOKUP(A465,database!A:K,11,)</f>
        <v/>
      </c>
    </row>
    <row r="478">
      <c r="A478" s="40" t="n">
        <v>38838</v>
      </c>
      <c r="B478" s="41">
        <f>VLOOKUP(Table8[[#This Row],[Month]],database!A:J,MATCH('Capacity Utilization'!$A$1,database!$A$1:$J$1,),)</f>
        <v/>
      </c>
      <c r="C478" s="76">
        <f>(VLOOKUP(A478,database!A:K,11,) - VLOOKUP(A466,database!A:K,11,))/VLOOKUP(A466,database!A:K,11,)</f>
        <v/>
      </c>
    </row>
    <row r="479">
      <c r="A479" s="40" t="n">
        <v>38869</v>
      </c>
      <c r="B479" s="41">
        <f>VLOOKUP(Table8[[#This Row],[Month]],database!A:J,MATCH('Capacity Utilization'!$A$1,database!$A$1:$J$1,),)</f>
        <v/>
      </c>
      <c r="C479" s="76">
        <f>(VLOOKUP(A479,database!A:K,11,) - VLOOKUP(A467,database!A:K,11,))/VLOOKUP(A467,database!A:K,11,)</f>
        <v/>
      </c>
    </row>
    <row r="480">
      <c r="A480" s="40" t="n">
        <v>38899</v>
      </c>
      <c r="B480" s="41">
        <f>VLOOKUP(Table8[[#This Row],[Month]],database!A:J,MATCH('Capacity Utilization'!$A$1,database!$A$1:$J$1,),)</f>
        <v/>
      </c>
      <c r="C480" s="76">
        <f>(VLOOKUP(A480,database!A:K,11,) - VLOOKUP(A468,database!A:K,11,))/VLOOKUP(A468,database!A:K,11,)</f>
        <v/>
      </c>
    </row>
    <row r="481">
      <c r="A481" s="40" t="n">
        <v>38930</v>
      </c>
      <c r="B481" s="41">
        <f>VLOOKUP(Table8[[#This Row],[Month]],database!A:J,MATCH('Capacity Utilization'!$A$1,database!$A$1:$J$1,),)</f>
        <v/>
      </c>
      <c r="C481" s="76">
        <f>(VLOOKUP(A481,database!A:K,11,) - VLOOKUP(A469,database!A:K,11,))/VLOOKUP(A469,database!A:K,11,)</f>
        <v/>
      </c>
    </row>
    <row r="482">
      <c r="A482" s="40" t="n">
        <v>38961</v>
      </c>
      <c r="B482" s="41">
        <f>VLOOKUP(Table8[[#This Row],[Month]],database!A:J,MATCH('Capacity Utilization'!$A$1,database!$A$1:$J$1,),)</f>
        <v/>
      </c>
      <c r="C482" s="76">
        <f>(VLOOKUP(A482,database!A:K,11,) - VLOOKUP(A470,database!A:K,11,))/VLOOKUP(A470,database!A:K,11,)</f>
        <v/>
      </c>
    </row>
    <row r="483">
      <c r="A483" s="40" t="n">
        <v>38991</v>
      </c>
      <c r="B483" s="41">
        <f>VLOOKUP(Table8[[#This Row],[Month]],database!A:J,MATCH('Capacity Utilization'!$A$1,database!$A$1:$J$1,),)</f>
        <v/>
      </c>
      <c r="C483" s="76">
        <f>(VLOOKUP(A483,database!A:K,11,) - VLOOKUP(A471,database!A:K,11,))/VLOOKUP(A471,database!A:K,11,)</f>
        <v/>
      </c>
    </row>
    <row r="484">
      <c r="A484" s="40" t="n">
        <v>39022</v>
      </c>
      <c r="B484" s="41">
        <f>VLOOKUP(Table8[[#This Row],[Month]],database!A:J,MATCH('Capacity Utilization'!$A$1,database!$A$1:$J$1,),)</f>
        <v/>
      </c>
      <c r="C484" s="76">
        <f>(VLOOKUP(A484,database!A:K,11,) - VLOOKUP(A472,database!A:K,11,))/VLOOKUP(A472,database!A:K,11,)</f>
        <v/>
      </c>
    </row>
    <row r="485">
      <c r="A485" s="40" t="n">
        <v>39052</v>
      </c>
      <c r="B485" s="41">
        <f>VLOOKUP(Table8[[#This Row],[Month]],database!A:J,MATCH('Capacity Utilization'!$A$1,database!$A$1:$J$1,),)</f>
        <v/>
      </c>
      <c r="C485" s="76">
        <f>(VLOOKUP(A485,database!A:K,11,) - VLOOKUP(A473,database!A:K,11,))/VLOOKUP(A473,database!A:K,11,)</f>
        <v/>
      </c>
    </row>
    <row r="486">
      <c r="A486" s="40" t="n">
        <v>39083</v>
      </c>
      <c r="B486" s="41">
        <f>VLOOKUP(Table8[[#This Row],[Month]],database!A:J,MATCH('Capacity Utilization'!$A$1,database!$A$1:$J$1,),)</f>
        <v/>
      </c>
      <c r="C486" s="76">
        <f>(VLOOKUP(A486,database!A:K,11,) - VLOOKUP(A474,database!A:K,11,))/VLOOKUP(A474,database!A:K,11,)</f>
        <v/>
      </c>
    </row>
    <row r="487">
      <c r="A487" s="40" t="n">
        <v>39114</v>
      </c>
      <c r="B487" s="41">
        <f>VLOOKUP(Table8[[#This Row],[Month]],database!A:J,MATCH('Capacity Utilization'!$A$1,database!$A$1:$J$1,),)</f>
        <v/>
      </c>
      <c r="C487" s="76">
        <f>(VLOOKUP(A487,database!A:K,11,) - VLOOKUP(A475,database!A:K,11,))/VLOOKUP(A475,database!A:K,11,)</f>
        <v/>
      </c>
    </row>
    <row r="488">
      <c r="A488" s="40" t="n">
        <v>39142</v>
      </c>
      <c r="B488" s="41">
        <f>VLOOKUP(Table8[[#This Row],[Month]],database!A:J,MATCH('Capacity Utilization'!$A$1,database!$A$1:$J$1,),)</f>
        <v/>
      </c>
      <c r="C488" s="76">
        <f>(VLOOKUP(A488,database!A:K,11,) - VLOOKUP(A476,database!A:K,11,))/VLOOKUP(A476,database!A:K,11,)</f>
        <v/>
      </c>
    </row>
    <row r="489">
      <c r="A489" s="40" t="n">
        <v>39173</v>
      </c>
      <c r="B489" s="41">
        <f>VLOOKUP(Table8[[#This Row],[Month]],database!A:J,MATCH('Capacity Utilization'!$A$1,database!$A$1:$J$1,),)</f>
        <v/>
      </c>
      <c r="C489" s="76">
        <f>(VLOOKUP(A489,database!A:K,11,) - VLOOKUP(A477,database!A:K,11,))/VLOOKUP(A477,database!A:K,11,)</f>
        <v/>
      </c>
    </row>
    <row r="490">
      <c r="A490" s="40" t="n">
        <v>39203</v>
      </c>
      <c r="B490" s="41">
        <f>VLOOKUP(Table8[[#This Row],[Month]],database!A:J,MATCH('Capacity Utilization'!$A$1,database!$A$1:$J$1,),)</f>
        <v/>
      </c>
      <c r="C490" s="76">
        <f>(VLOOKUP(A490,database!A:K,11,) - VLOOKUP(A478,database!A:K,11,))/VLOOKUP(A478,database!A:K,11,)</f>
        <v/>
      </c>
    </row>
    <row r="491">
      <c r="A491" s="40" t="n">
        <v>39234</v>
      </c>
      <c r="B491" s="41">
        <f>VLOOKUP(Table8[[#This Row],[Month]],database!A:J,MATCH('Capacity Utilization'!$A$1,database!$A$1:$J$1,),)</f>
        <v/>
      </c>
      <c r="C491" s="76">
        <f>(VLOOKUP(A491,database!A:K,11,) - VLOOKUP(A479,database!A:K,11,))/VLOOKUP(A479,database!A:K,11,)</f>
        <v/>
      </c>
    </row>
    <row r="492">
      <c r="A492" s="40" t="n">
        <v>39264</v>
      </c>
      <c r="B492" s="41">
        <f>VLOOKUP(Table8[[#This Row],[Month]],database!A:J,MATCH('Capacity Utilization'!$A$1,database!$A$1:$J$1,),)</f>
        <v/>
      </c>
      <c r="C492" s="76">
        <f>(VLOOKUP(A492,database!A:K,11,) - VLOOKUP(A480,database!A:K,11,))/VLOOKUP(A480,database!A:K,11,)</f>
        <v/>
      </c>
    </row>
    <row r="493">
      <c r="A493" s="40" t="n">
        <v>39295</v>
      </c>
      <c r="B493" s="41">
        <f>VLOOKUP(Table8[[#This Row],[Month]],database!A:J,MATCH('Capacity Utilization'!$A$1,database!$A$1:$J$1,),)</f>
        <v/>
      </c>
      <c r="C493" s="76">
        <f>(VLOOKUP(A493,database!A:K,11,) - VLOOKUP(A481,database!A:K,11,))/VLOOKUP(A481,database!A:K,11,)</f>
        <v/>
      </c>
    </row>
    <row r="494">
      <c r="A494" s="40" t="n">
        <v>39326</v>
      </c>
      <c r="B494" s="41">
        <f>VLOOKUP(Table8[[#This Row],[Month]],database!A:J,MATCH('Capacity Utilization'!$A$1,database!$A$1:$J$1,),)</f>
        <v/>
      </c>
      <c r="C494" s="76">
        <f>(VLOOKUP(A494,database!A:K,11,) - VLOOKUP(A482,database!A:K,11,))/VLOOKUP(A482,database!A:K,11,)</f>
        <v/>
      </c>
    </row>
    <row r="495">
      <c r="A495" s="40" t="n">
        <v>39356</v>
      </c>
      <c r="B495" s="41">
        <f>VLOOKUP(Table8[[#This Row],[Month]],database!A:J,MATCH('Capacity Utilization'!$A$1,database!$A$1:$J$1,),)</f>
        <v/>
      </c>
      <c r="C495" s="76">
        <f>(VLOOKUP(A495,database!A:K,11,) - VLOOKUP(A483,database!A:K,11,))/VLOOKUP(A483,database!A:K,11,)</f>
        <v/>
      </c>
    </row>
    <row r="496">
      <c r="A496" s="40" t="n">
        <v>39387</v>
      </c>
      <c r="B496" s="41">
        <f>VLOOKUP(Table8[[#This Row],[Month]],database!A:J,MATCH('Capacity Utilization'!$A$1,database!$A$1:$J$1,),)</f>
        <v/>
      </c>
      <c r="C496" s="76">
        <f>(VLOOKUP(A496,database!A:K,11,) - VLOOKUP(A484,database!A:K,11,))/VLOOKUP(A484,database!A:K,11,)</f>
        <v/>
      </c>
    </row>
    <row r="497">
      <c r="A497" s="40" t="n">
        <v>39417</v>
      </c>
      <c r="B497" s="41">
        <f>VLOOKUP(Table8[[#This Row],[Month]],database!A:J,MATCH('Capacity Utilization'!$A$1,database!$A$1:$J$1,),)</f>
        <v/>
      </c>
      <c r="C497" s="76">
        <f>(VLOOKUP(A497,database!A:K,11,) - VLOOKUP(A485,database!A:K,11,))/VLOOKUP(A485,database!A:K,11,)</f>
        <v/>
      </c>
    </row>
    <row r="498">
      <c r="A498" s="40" t="n">
        <v>39448</v>
      </c>
      <c r="B498" s="41">
        <f>VLOOKUP(Table8[[#This Row],[Month]],database!A:J,MATCH('Capacity Utilization'!$A$1,database!$A$1:$J$1,),)</f>
        <v/>
      </c>
      <c r="C498" s="76">
        <f>(VLOOKUP(A498,database!A:K,11,) - VLOOKUP(A486,database!A:K,11,))/VLOOKUP(A486,database!A:K,11,)</f>
        <v/>
      </c>
    </row>
    <row r="499">
      <c r="A499" s="40" t="n">
        <v>39479</v>
      </c>
      <c r="B499" s="41">
        <f>VLOOKUP(Table8[[#This Row],[Month]],database!A:J,MATCH('Capacity Utilization'!$A$1,database!$A$1:$J$1,),)</f>
        <v/>
      </c>
      <c r="C499" s="76">
        <f>(VLOOKUP(A499,database!A:K,11,) - VLOOKUP(A487,database!A:K,11,))/VLOOKUP(A487,database!A:K,11,)</f>
        <v/>
      </c>
    </row>
    <row r="500">
      <c r="A500" s="40" t="n">
        <v>39508</v>
      </c>
      <c r="B500" s="41">
        <f>VLOOKUP(Table8[[#This Row],[Month]],database!A:J,MATCH('Capacity Utilization'!$A$1,database!$A$1:$J$1,),)</f>
        <v/>
      </c>
      <c r="C500" s="76">
        <f>(VLOOKUP(A500,database!A:K,11,) - VLOOKUP(A488,database!A:K,11,))/VLOOKUP(A488,database!A:K,11,)</f>
        <v/>
      </c>
    </row>
    <row r="501">
      <c r="A501" s="40" t="n">
        <v>39539</v>
      </c>
      <c r="B501" s="41">
        <f>VLOOKUP(Table8[[#This Row],[Month]],database!A:J,MATCH('Capacity Utilization'!$A$1,database!$A$1:$J$1,),)</f>
        <v/>
      </c>
      <c r="C501" s="76">
        <f>(VLOOKUP(A501,database!A:K,11,) - VLOOKUP(A489,database!A:K,11,))/VLOOKUP(A489,database!A:K,11,)</f>
        <v/>
      </c>
    </row>
    <row r="502">
      <c r="A502" s="40" t="n">
        <v>39569</v>
      </c>
      <c r="B502" s="41">
        <f>VLOOKUP(Table8[[#This Row],[Month]],database!A:J,MATCH('Capacity Utilization'!$A$1,database!$A$1:$J$1,),)</f>
        <v/>
      </c>
      <c r="C502" s="76">
        <f>(VLOOKUP(A502,database!A:K,11,) - VLOOKUP(A490,database!A:K,11,))/VLOOKUP(A490,database!A:K,11,)</f>
        <v/>
      </c>
    </row>
    <row r="503">
      <c r="A503" s="40" t="n">
        <v>39600</v>
      </c>
      <c r="B503" s="41">
        <f>VLOOKUP(Table8[[#This Row],[Month]],database!A:J,MATCH('Capacity Utilization'!$A$1,database!$A$1:$J$1,),)</f>
        <v/>
      </c>
      <c r="C503" s="76">
        <f>(VLOOKUP(A503,database!A:K,11,) - VLOOKUP(A491,database!A:K,11,))/VLOOKUP(A491,database!A:K,11,)</f>
        <v/>
      </c>
    </row>
    <row r="504">
      <c r="A504" s="40" t="n">
        <v>39630</v>
      </c>
      <c r="B504" s="41">
        <f>VLOOKUP(Table8[[#This Row],[Month]],database!A:J,MATCH('Capacity Utilization'!$A$1,database!$A$1:$J$1,),)</f>
        <v/>
      </c>
      <c r="C504" s="76">
        <f>(VLOOKUP(A504,database!A:K,11,) - VLOOKUP(A492,database!A:K,11,))/VLOOKUP(A492,database!A:K,11,)</f>
        <v/>
      </c>
    </row>
    <row r="505">
      <c r="A505" s="40" t="n">
        <v>39661</v>
      </c>
      <c r="B505" s="41">
        <f>VLOOKUP(Table8[[#This Row],[Month]],database!A:J,MATCH('Capacity Utilization'!$A$1,database!$A$1:$J$1,),)</f>
        <v/>
      </c>
      <c r="C505" s="76">
        <f>(VLOOKUP(A505,database!A:K,11,) - VLOOKUP(A493,database!A:K,11,))/VLOOKUP(A493,database!A:K,11,)</f>
        <v/>
      </c>
    </row>
    <row r="506">
      <c r="A506" s="40" t="n">
        <v>39692</v>
      </c>
      <c r="B506" s="41">
        <f>VLOOKUP(Table8[[#This Row],[Month]],database!A:J,MATCH('Capacity Utilization'!$A$1,database!$A$1:$J$1,),)</f>
        <v/>
      </c>
      <c r="C506" s="76">
        <f>(VLOOKUP(A506,database!A:K,11,) - VLOOKUP(A494,database!A:K,11,))/VLOOKUP(A494,database!A:K,11,)</f>
        <v/>
      </c>
    </row>
    <row r="507">
      <c r="A507" s="40" t="n">
        <v>39722</v>
      </c>
      <c r="B507" s="41">
        <f>VLOOKUP(Table8[[#This Row],[Month]],database!A:J,MATCH('Capacity Utilization'!$A$1,database!$A$1:$J$1,),)</f>
        <v/>
      </c>
      <c r="C507" s="76">
        <f>(VLOOKUP(A507,database!A:K,11,) - VLOOKUP(A495,database!A:K,11,))/VLOOKUP(A495,database!A:K,11,)</f>
        <v/>
      </c>
    </row>
    <row r="508">
      <c r="A508" s="40" t="n">
        <v>39753</v>
      </c>
      <c r="B508" s="41">
        <f>VLOOKUP(Table8[[#This Row],[Month]],database!A:J,MATCH('Capacity Utilization'!$A$1,database!$A$1:$J$1,),)</f>
        <v/>
      </c>
      <c r="C508" s="76">
        <f>(VLOOKUP(A508,database!A:K,11,) - VLOOKUP(A496,database!A:K,11,))/VLOOKUP(A496,database!A:K,11,)</f>
        <v/>
      </c>
    </row>
    <row r="509">
      <c r="A509" s="40" t="n">
        <v>39783</v>
      </c>
      <c r="B509" s="41">
        <f>VLOOKUP(Table8[[#This Row],[Month]],database!A:J,MATCH('Capacity Utilization'!$A$1,database!$A$1:$J$1,),)</f>
        <v/>
      </c>
      <c r="C509" s="76">
        <f>(VLOOKUP(A509,database!A:K,11,) - VLOOKUP(A497,database!A:K,11,))/VLOOKUP(A497,database!A:K,11,)</f>
        <v/>
      </c>
    </row>
    <row r="510">
      <c r="A510" s="40" t="n">
        <v>39814</v>
      </c>
      <c r="B510" s="41">
        <f>VLOOKUP(Table8[[#This Row],[Month]],database!A:J,MATCH('Capacity Utilization'!$A$1,database!$A$1:$J$1,),)</f>
        <v/>
      </c>
      <c r="C510" s="76">
        <f>(VLOOKUP(A510,database!A:K,11,) - VLOOKUP(A498,database!A:K,11,))/VLOOKUP(A498,database!A:K,11,)</f>
        <v/>
      </c>
    </row>
    <row r="511">
      <c r="A511" s="40" t="n">
        <v>39845</v>
      </c>
      <c r="B511" s="41">
        <f>VLOOKUP(Table8[[#This Row],[Month]],database!A:J,MATCH('Capacity Utilization'!$A$1,database!$A$1:$J$1,),)</f>
        <v/>
      </c>
      <c r="C511" s="76">
        <f>(VLOOKUP(A511,database!A:K,11,) - VLOOKUP(A499,database!A:K,11,))/VLOOKUP(A499,database!A:K,11,)</f>
        <v/>
      </c>
    </row>
    <row r="512">
      <c r="A512" s="40" t="n">
        <v>39873</v>
      </c>
      <c r="B512" s="41">
        <f>VLOOKUP(Table8[[#This Row],[Month]],database!A:J,MATCH('Capacity Utilization'!$A$1,database!$A$1:$J$1,),)</f>
        <v/>
      </c>
      <c r="C512" s="76">
        <f>(VLOOKUP(A512,database!A:K,11,) - VLOOKUP(A500,database!A:K,11,))/VLOOKUP(A500,database!A:K,11,)</f>
        <v/>
      </c>
    </row>
    <row r="513">
      <c r="A513" s="40" t="n">
        <v>39904</v>
      </c>
      <c r="B513" s="41">
        <f>VLOOKUP(Table8[[#This Row],[Month]],database!A:J,MATCH('Capacity Utilization'!$A$1,database!$A$1:$J$1,),)</f>
        <v/>
      </c>
      <c r="C513" s="76">
        <f>(VLOOKUP(A513,database!A:K,11,) - VLOOKUP(A501,database!A:K,11,))/VLOOKUP(A501,database!A:K,11,)</f>
        <v/>
      </c>
    </row>
    <row r="514">
      <c r="A514" s="40" t="n">
        <v>39934</v>
      </c>
      <c r="B514" s="41">
        <f>VLOOKUP(Table8[[#This Row],[Month]],database!A:J,MATCH('Capacity Utilization'!$A$1,database!$A$1:$J$1,),)</f>
        <v/>
      </c>
      <c r="C514" s="76">
        <f>(VLOOKUP(A514,database!A:K,11,) - VLOOKUP(A502,database!A:K,11,))/VLOOKUP(A502,database!A:K,11,)</f>
        <v/>
      </c>
    </row>
    <row r="515">
      <c r="A515" s="40" t="n">
        <v>39965</v>
      </c>
      <c r="B515" s="41">
        <f>VLOOKUP(Table8[[#This Row],[Month]],database!A:J,MATCH('Capacity Utilization'!$A$1,database!$A$1:$J$1,),)</f>
        <v/>
      </c>
      <c r="C515" s="76">
        <f>(VLOOKUP(A515,database!A:K,11,) - VLOOKUP(A503,database!A:K,11,))/VLOOKUP(A503,database!A:K,11,)</f>
        <v/>
      </c>
    </row>
    <row r="516">
      <c r="A516" s="40" t="n">
        <v>39995</v>
      </c>
      <c r="B516" s="41">
        <f>VLOOKUP(Table8[[#This Row],[Month]],database!A:J,MATCH('Capacity Utilization'!$A$1,database!$A$1:$J$1,),)</f>
        <v/>
      </c>
      <c r="C516" s="76">
        <f>(VLOOKUP(A516,database!A:K,11,) - VLOOKUP(A504,database!A:K,11,))/VLOOKUP(A504,database!A:K,11,)</f>
        <v/>
      </c>
    </row>
    <row r="517">
      <c r="A517" s="40" t="n">
        <v>40026</v>
      </c>
      <c r="B517" s="41">
        <f>VLOOKUP(Table8[[#This Row],[Month]],database!A:J,MATCH('Capacity Utilization'!$A$1,database!$A$1:$J$1,),)</f>
        <v/>
      </c>
      <c r="C517" s="76">
        <f>(VLOOKUP(A517,database!A:K,11,) - VLOOKUP(A505,database!A:K,11,))/VLOOKUP(A505,database!A:K,11,)</f>
        <v/>
      </c>
    </row>
    <row r="518">
      <c r="A518" s="40" t="n">
        <v>40057</v>
      </c>
      <c r="B518" s="41">
        <f>VLOOKUP(Table8[[#This Row],[Month]],database!A:J,MATCH('Capacity Utilization'!$A$1,database!$A$1:$J$1,),)</f>
        <v/>
      </c>
      <c r="C518" s="76">
        <f>(VLOOKUP(A518,database!A:K,11,) - VLOOKUP(A506,database!A:K,11,))/VLOOKUP(A506,database!A:K,11,)</f>
        <v/>
      </c>
    </row>
    <row r="519">
      <c r="A519" s="40" t="n">
        <v>40087</v>
      </c>
      <c r="B519" s="41">
        <f>VLOOKUP(Table8[[#This Row],[Month]],database!A:J,MATCH('Capacity Utilization'!$A$1,database!$A$1:$J$1,),)</f>
        <v/>
      </c>
      <c r="C519" s="76">
        <f>(VLOOKUP(A519,database!A:K,11,) - VLOOKUP(A507,database!A:K,11,))/VLOOKUP(A507,database!A:K,11,)</f>
        <v/>
      </c>
    </row>
    <row r="520">
      <c r="A520" s="40" t="n">
        <v>40118</v>
      </c>
      <c r="B520" s="41">
        <f>VLOOKUP(Table8[[#This Row],[Month]],database!A:J,MATCH('Capacity Utilization'!$A$1,database!$A$1:$J$1,),)</f>
        <v/>
      </c>
      <c r="C520" s="76">
        <f>(VLOOKUP(A520,database!A:K,11,) - VLOOKUP(A508,database!A:K,11,))/VLOOKUP(A508,database!A:K,11,)</f>
        <v/>
      </c>
    </row>
    <row r="521">
      <c r="A521" s="40" t="n">
        <v>40148</v>
      </c>
      <c r="B521" s="41">
        <f>VLOOKUP(Table8[[#This Row],[Month]],database!A:J,MATCH('Capacity Utilization'!$A$1,database!$A$1:$J$1,),)</f>
        <v/>
      </c>
      <c r="C521" s="76">
        <f>(VLOOKUP(A521,database!A:K,11,) - VLOOKUP(A509,database!A:K,11,))/VLOOKUP(A509,database!A:K,11,)</f>
        <v/>
      </c>
    </row>
    <row r="522">
      <c r="A522" s="40" t="n">
        <v>40179</v>
      </c>
      <c r="B522" s="41">
        <f>VLOOKUP(Table8[[#This Row],[Month]],database!A:J,MATCH('Capacity Utilization'!$A$1,database!$A$1:$J$1,),)</f>
        <v/>
      </c>
      <c r="C522" s="76">
        <f>(VLOOKUP(A522,database!A:K,11,) - VLOOKUP(A510,database!A:K,11,))/VLOOKUP(A510,database!A:K,11,)</f>
        <v/>
      </c>
    </row>
    <row r="523">
      <c r="A523" s="40" t="n">
        <v>40210</v>
      </c>
      <c r="B523" s="41">
        <f>VLOOKUP(Table8[[#This Row],[Month]],database!A:J,MATCH('Capacity Utilization'!$A$1,database!$A$1:$J$1,),)</f>
        <v/>
      </c>
      <c r="C523" s="76">
        <f>(VLOOKUP(A523,database!A:K,11,) - VLOOKUP(A511,database!A:K,11,))/VLOOKUP(A511,database!A:K,11,)</f>
        <v/>
      </c>
    </row>
    <row r="524">
      <c r="A524" s="40" t="n">
        <v>40238</v>
      </c>
      <c r="B524" s="41">
        <f>VLOOKUP(Table8[[#This Row],[Month]],database!A:J,MATCH('Capacity Utilization'!$A$1,database!$A$1:$J$1,),)</f>
        <v/>
      </c>
      <c r="C524" s="76">
        <f>(VLOOKUP(A524,database!A:K,11,) - VLOOKUP(A512,database!A:K,11,))/VLOOKUP(A512,database!A:K,11,)</f>
        <v/>
      </c>
    </row>
    <row r="525">
      <c r="A525" s="40" t="n">
        <v>40269</v>
      </c>
      <c r="B525" s="41">
        <f>VLOOKUP(Table8[[#This Row],[Month]],database!A:J,MATCH('Capacity Utilization'!$A$1,database!$A$1:$J$1,),)</f>
        <v/>
      </c>
      <c r="C525" s="76">
        <f>(VLOOKUP(A525,database!A:K,11,) - VLOOKUP(A513,database!A:K,11,))/VLOOKUP(A513,database!A:K,11,)</f>
        <v/>
      </c>
    </row>
    <row r="526">
      <c r="A526" s="40" t="n">
        <v>40299</v>
      </c>
      <c r="B526" s="41">
        <f>VLOOKUP(Table8[[#This Row],[Month]],database!A:J,MATCH('Capacity Utilization'!$A$1,database!$A$1:$J$1,),)</f>
        <v/>
      </c>
      <c r="C526" s="76">
        <f>(VLOOKUP(A526,database!A:K,11,) - VLOOKUP(A514,database!A:K,11,))/VLOOKUP(A514,database!A:K,11,)</f>
        <v/>
      </c>
    </row>
    <row r="527">
      <c r="A527" s="40" t="n">
        <v>40330</v>
      </c>
      <c r="B527" s="41">
        <f>VLOOKUP(Table8[[#This Row],[Month]],database!A:J,MATCH('Capacity Utilization'!$A$1,database!$A$1:$J$1,),)</f>
        <v/>
      </c>
      <c r="C527" s="76">
        <f>(VLOOKUP(A527,database!A:K,11,) - VLOOKUP(A515,database!A:K,11,))/VLOOKUP(A515,database!A:K,11,)</f>
        <v/>
      </c>
    </row>
    <row r="528">
      <c r="A528" s="40" t="n">
        <v>40360</v>
      </c>
      <c r="B528" s="41">
        <f>VLOOKUP(Table8[[#This Row],[Month]],database!A:J,MATCH('Capacity Utilization'!$A$1,database!$A$1:$J$1,),)</f>
        <v/>
      </c>
      <c r="C528" s="76">
        <f>(VLOOKUP(A528,database!A:K,11,) - VLOOKUP(A516,database!A:K,11,))/VLOOKUP(A516,database!A:K,11,)</f>
        <v/>
      </c>
    </row>
    <row r="529">
      <c r="A529" s="40" t="n">
        <v>40391</v>
      </c>
      <c r="B529" s="41">
        <f>VLOOKUP(Table8[[#This Row],[Month]],database!A:J,MATCH('Capacity Utilization'!$A$1,database!$A$1:$J$1,),)</f>
        <v/>
      </c>
      <c r="C529" s="76">
        <f>(VLOOKUP(A529,database!A:K,11,) - VLOOKUP(A517,database!A:K,11,))/VLOOKUP(A517,database!A:K,11,)</f>
        <v/>
      </c>
    </row>
    <row r="530">
      <c r="A530" s="40" t="n">
        <v>40422</v>
      </c>
      <c r="B530" s="41">
        <f>VLOOKUP(Table8[[#This Row],[Month]],database!A:J,MATCH('Capacity Utilization'!$A$1,database!$A$1:$J$1,),)</f>
        <v/>
      </c>
      <c r="C530" s="76">
        <f>(VLOOKUP(A530,database!A:K,11,) - VLOOKUP(A518,database!A:K,11,))/VLOOKUP(A518,database!A:K,11,)</f>
        <v/>
      </c>
    </row>
    <row r="531">
      <c r="A531" s="40" t="n">
        <v>40452</v>
      </c>
      <c r="B531" s="41">
        <f>VLOOKUP(Table8[[#This Row],[Month]],database!A:J,MATCH('Capacity Utilization'!$A$1,database!$A$1:$J$1,),)</f>
        <v/>
      </c>
      <c r="C531" s="76">
        <f>(VLOOKUP(A531,database!A:K,11,) - VLOOKUP(A519,database!A:K,11,))/VLOOKUP(A519,database!A:K,11,)</f>
        <v/>
      </c>
    </row>
    <row r="532">
      <c r="A532" s="40" t="n">
        <v>40483</v>
      </c>
      <c r="B532" s="41">
        <f>VLOOKUP(Table8[[#This Row],[Month]],database!A:J,MATCH('Capacity Utilization'!$A$1,database!$A$1:$J$1,),)</f>
        <v/>
      </c>
      <c r="C532" s="76">
        <f>(VLOOKUP(A532,database!A:K,11,) - VLOOKUP(A520,database!A:K,11,))/VLOOKUP(A520,database!A:K,11,)</f>
        <v/>
      </c>
    </row>
    <row r="533">
      <c r="A533" s="40" t="n">
        <v>40513</v>
      </c>
      <c r="B533" s="41">
        <f>VLOOKUP(Table8[[#This Row],[Month]],database!A:J,MATCH('Capacity Utilization'!$A$1,database!$A$1:$J$1,),)</f>
        <v/>
      </c>
      <c r="C533" s="76">
        <f>(VLOOKUP(A533,database!A:K,11,) - VLOOKUP(A521,database!A:K,11,))/VLOOKUP(A521,database!A:K,11,)</f>
        <v/>
      </c>
    </row>
    <row r="534">
      <c r="A534" s="40" t="n">
        <v>40544</v>
      </c>
      <c r="B534" s="41">
        <f>VLOOKUP(Table8[[#This Row],[Month]],database!A:J,MATCH('Capacity Utilization'!$A$1,database!$A$1:$J$1,),)</f>
        <v/>
      </c>
      <c r="C534" s="76">
        <f>(VLOOKUP(A534,database!A:K,11,) - VLOOKUP(A522,database!A:K,11,))/VLOOKUP(A522,database!A:K,11,)</f>
        <v/>
      </c>
    </row>
    <row r="535">
      <c r="A535" s="40" t="n">
        <v>40575</v>
      </c>
      <c r="B535" s="41">
        <f>VLOOKUP(Table8[[#This Row],[Month]],database!A:J,MATCH('Capacity Utilization'!$A$1,database!$A$1:$J$1,),)</f>
        <v/>
      </c>
      <c r="C535" s="76">
        <f>(VLOOKUP(A535,database!A:K,11,) - VLOOKUP(A523,database!A:K,11,))/VLOOKUP(A523,database!A:K,11,)</f>
        <v/>
      </c>
    </row>
    <row r="536">
      <c r="A536" s="40" t="n">
        <v>40603</v>
      </c>
      <c r="B536" s="41">
        <f>VLOOKUP(Table8[[#This Row],[Month]],database!A:J,MATCH('Capacity Utilization'!$A$1,database!$A$1:$J$1,),)</f>
        <v/>
      </c>
      <c r="C536" s="76">
        <f>(VLOOKUP(A536,database!A:K,11,) - VLOOKUP(A524,database!A:K,11,))/VLOOKUP(A524,database!A:K,11,)</f>
        <v/>
      </c>
    </row>
    <row r="537">
      <c r="A537" s="40" t="n">
        <v>40634</v>
      </c>
      <c r="B537" s="41">
        <f>VLOOKUP(Table8[[#This Row],[Month]],database!A:J,MATCH('Capacity Utilization'!$A$1,database!$A$1:$J$1,),)</f>
        <v/>
      </c>
      <c r="C537" s="76">
        <f>(VLOOKUP(A537,database!A:K,11,) - VLOOKUP(A525,database!A:K,11,))/VLOOKUP(A525,database!A:K,11,)</f>
        <v/>
      </c>
    </row>
    <row r="538">
      <c r="A538" s="40" t="n">
        <v>40664</v>
      </c>
      <c r="B538" s="41">
        <f>VLOOKUP(Table8[[#This Row],[Month]],database!A:J,MATCH('Capacity Utilization'!$A$1,database!$A$1:$J$1,),)</f>
        <v/>
      </c>
      <c r="C538" s="76">
        <f>(VLOOKUP(A538,database!A:K,11,) - VLOOKUP(A526,database!A:K,11,))/VLOOKUP(A526,database!A:K,11,)</f>
        <v/>
      </c>
    </row>
    <row r="539">
      <c r="A539" s="40" t="n">
        <v>40695</v>
      </c>
      <c r="B539" s="41">
        <f>VLOOKUP(Table8[[#This Row],[Month]],database!A:J,MATCH('Capacity Utilization'!$A$1,database!$A$1:$J$1,),)</f>
        <v/>
      </c>
      <c r="C539" s="76">
        <f>(VLOOKUP(A539,database!A:K,11,) - VLOOKUP(A527,database!A:K,11,))/VLOOKUP(A527,database!A:K,11,)</f>
        <v/>
      </c>
    </row>
    <row r="540">
      <c r="A540" s="40" t="n">
        <v>40725</v>
      </c>
      <c r="B540" s="41">
        <f>VLOOKUP(Table8[[#This Row],[Month]],database!A:J,MATCH('Capacity Utilization'!$A$1,database!$A$1:$J$1,),)</f>
        <v/>
      </c>
      <c r="C540" s="76">
        <f>(VLOOKUP(A540,database!A:K,11,) - VLOOKUP(A528,database!A:K,11,))/VLOOKUP(A528,database!A:K,11,)</f>
        <v/>
      </c>
    </row>
    <row r="541">
      <c r="A541" s="40" t="n">
        <v>40756</v>
      </c>
      <c r="B541" s="41">
        <f>VLOOKUP(Table8[[#This Row],[Month]],database!A:J,MATCH('Capacity Utilization'!$A$1,database!$A$1:$J$1,),)</f>
        <v/>
      </c>
      <c r="C541" s="76">
        <f>(VLOOKUP(A541,database!A:K,11,) - VLOOKUP(A529,database!A:K,11,))/VLOOKUP(A529,database!A:K,11,)</f>
        <v/>
      </c>
    </row>
    <row r="542">
      <c r="A542" s="40" t="n">
        <v>40787</v>
      </c>
      <c r="B542" s="41">
        <f>VLOOKUP(Table8[[#This Row],[Month]],database!A:J,MATCH('Capacity Utilization'!$A$1,database!$A$1:$J$1,),)</f>
        <v/>
      </c>
      <c r="C542" s="76">
        <f>(VLOOKUP(A542,database!A:K,11,) - VLOOKUP(A530,database!A:K,11,))/VLOOKUP(A530,database!A:K,11,)</f>
        <v/>
      </c>
    </row>
    <row r="543">
      <c r="A543" s="40" t="n">
        <v>40817</v>
      </c>
      <c r="B543" s="41">
        <f>VLOOKUP(Table8[[#This Row],[Month]],database!A:J,MATCH('Capacity Utilization'!$A$1,database!$A$1:$J$1,),)</f>
        <v/>
      </c>
      <c r="C543" s="76">
        <f>(VLOOKUP(A543,database!A:K,11,) - VLOOKUP(A531,database!A:K,11,))/VLOOKUP(A531,database!A:K,11,)</f>
        <v/>
      </c>
    </row>
    <row r="544">
      <c r="A544" s="40" t="n">
        <v>40848</v>
      </c>
      <c r="B544" s="41">
        <f>VLOOKUP(Table8[[#This Row],[Month]],database!A:J,MATCH('Capacity Utilization'!$A$1,database!$A$1:$J$1,),)</f>
        <v/>
      </c>
      <c r="C544" s="76">
        <f>(VLOOKUP(A544,database!A:K,11,) - VLOOKUP(A532,database!A:K,11,))/VLOOKUP(A532,database!A:K,11,)</f>
        <v/>
      </c>
    </row>
    <row r="545">
      <c r="A545" s="40" t="n">
        <v>40878</v>
      </c>
      <c r="B545" s="41">
        <f>VLOOKUP(Table8[[#This Row],[Month]],database!A:J,MATCH('Capacity Utilization'!$A$1,database!$A$1:$J$1,),)</f>
        <v/>
      </c>
      <c r="C545" s="76">
        <f>(VLOOKUP(A545,database!A:K,11,) - VLOOKUP(A533,database!A:K,11,))/VLOOKUP(A533,database!A:K,11,)</f>
        <v/>
      </c>
    </row>
    <row r="546">
      <c r="A546" s="40" t="n">
        <v>40909</v>
      </c>
      <c r="B546" s="41">
        <f>VLOOKUP(Table8[[#This Row],[Month]],database!A:J,MATCH('Capacity Utilization'!$A$1,database!$A$1:$J$1,),)</f>
        <v/>
      </c>
      <c r="C546" s="76">
        <f>(VLOOKUP(A546,database!A:K,11,) - VLOOKUP(A534,database!A:K,11,))/VLOOKUP(A534,database!A:K,11,)</f>
        <v/>
      </c>
    </row>
    <row r="547">
      <c r="A547" s="40" t="n">
        <v>40940</v>
      </c>
      <c r="B547" s="41">
        <f>VLOOKUP(Table8[[#This Row],[Month]],database!A:J,MATCH('Capacity Utilization'!$A$1,database!$A$1:$J$1,),)</f>
        <v/>
      </c>
      <c r="C547" s="76">
        <f>(VLOOKUP(A547,database!A:K,11,) - VLOOKUP(A535,database!A:K,11,))/VLOOKUP(A535,database!A:K,11,)</f>
        <v/>
      </c>
    </row>
    <row r="548">
      <c r="A548" s="40" t="n">
        <v>40969</v>
      </c>
      <c r="B548" s="41">
        <f>VLOOKUP(Table8[[#This Row],[Month]],database!A:J,MATCH('Capacity Utilization'!$A$1,database!$A$1:$J$1,),)</f>
        <v/>
      </c>
      <c r="C548" s="76">
        <f>(VLOOKUP(A548,database!A:K,11,) - VLOOKUP(A536,database!A:K,11,))/VLOOKUP(A536,database!A:K,11,)</f>
        <v/>
      </c>
    </row>
    <row r="549">
      <c r="A549" s="40" t="n">
        <v>41000</v>
      </c>
      <c r="B549" s="41">
        <f>VLOOKUP(Table8[[#This Row],[Month]],database!A:J,MATCH('Capacity Utilization'!$A$1,database!$A$1:$J$1,),)</f>
        <v/>
      </c>
      <c r="C549" s="76">
        <f>(VLOOKUP(A549,database!A:K,11,) - VLOOKUP(A537,database!A:K,11,))/VLOOKUP(A537,database!A:K,11,)</f>
        <v/>
      </c>
    </row>
    <row r="550">
      <c r="A550" s="40" t="n">
        <v>41030</v>
      </c>
      <c r="B550" s="41">
        <f>VLOOKUP(Table8[[#This Row],[Month]],database!A:J,MATCH('Capacity Utilization'!$A$1,database!$A$1:$J$1,),)</f>
        <v/>
      </c>
      <c r="C550" s="76">
        <f>(VLOOKUP(A550,database!A:K,11,) - VLOOKUP(A538,database!A:K,11,))/VLOOKUP(A538,database!A:K,11,)</f>
        <v/>
      </c>
    </row>
    <row r="551">
      <c r="A551" s="40" t="n">
        <v>41061</v>
      </c>
      <c r="B551" s="41">
        <f>VLOOKUP(Table8[[#This Row],[Month]],database!A:J,MATCH('Capacity Utilization'!$A$1,database!$A$1:$J$1,),)</f>
        <v/>
      </c>
      <c r="C551" s="76">
        <f>(VLOOKUP(A551,database!A:K,11,) - VLOOKUP(A539,database!A:K,11,))/VLOOKUP(A539,database!A:K,11,)</f>
        <v/>
      </c>
    </row>
    <row r="552">
      <c r="A552" s="40" t="n">
        <v>41091</v>
      </c>
      <c r="B552" s="41">
        <f>VLOOKUP(Table8[[#This Row],[Month]],database!A:J,MATCH('Capacity Utilization'!$A$1,database!$A$1:$J$1,),)</f>
        <v/>
      </c>
      <c r="C552" s="76">
        <f>(VLOOKUP(A552,database!A:K,11,) - VLOOKUP(A540,database!A:K,11,))/VLOOKUP(A540,database!A:K,11,)</f>
        <v/>
      </c>
    </row>
    <row r="553">
      <c r="A553" s="40" t="n">
        <v>41122</v>
      </c>
      <c r="B553" s="41">
        <f>VLOOKUP(Table8[[#This Row],[Month]],database!A:J,MATCH('Capacity Utilization'!$A$1,database!$A$1:$J$1,),)</f>
        <v/>
      </c>
      <c r="C553" s="76">
        <f>(VLOOKUP(A553,database!A:K,11,) - VLOOKUP(A541,database!A:K,11,))/VLOOKUP(A541,database!A:K,11,)</f>
        <v/>
      </c>
    </row>
    <row r="554">
      <c r="A554" s="40" t="n">
        <v>41153</v>
      </c>
      <c r="B554" s="41">
        <f>VLOOKUP(Table8[[#This Row],[Month]],database!A:J,MATCH('Capacity Utilization'!$A$1,database!$A$1:$J$1,),)</f>
        <v/>
      </c>
      <c r="C554" s="76">
        <f>(VLOOKUP(A554,database!A:K,11,) - VLOOKUP(A542,database!A:K,11,))/VLOOKUP(A542,database!A:K,11,)</f>
        <v/>
      </c>
    </row>
    <row r="555">
      <c r="A555" s="40" t="n">
        <v>41183</v>
      </c>
      <c r="B555" s="41">
        <f>VLOOKUP(Table8[[#This Row],[Month]],database!A:J,MATCH('Capacity Utilization'!$A$1,database!$A$1:$J$1,),)</f>
        <v/>
      </c>
      <c r="C555" s="76">
        <f>(VLOOKUP(A555,database!A:K,11,) - VLOOKUP(A543,database!A:K,11,))/VLOOKUP(A543,database!A:K,11,)</f>
        <v/>
      </c>
    </row>
    <row r="556">
      <c r="A556" s="40" t="n">
        <v>41214</v>
      </c>
      <c r="B556" s="41">
        <f>VLOOKUP(Table8[[#This Row],[Month]],database!A:J,MATCH('Capacity Utilization'!$A$1,database!$A$1:$J$1,),)</f>
        <v/>
      </c>
      <c r="C556" s="76">
        <f>(VLOOKUP(A556,database!A:K,11,) - VLOOKUP(A544,database!A:K,11,))/VLOOKUP(A544,database!A:K,11,)</f>
        <v/>
      </c>
    </row>
    <row r="557">
      <c r="A557" s="40" t="n">
        <v>41244</v>
      </c>
      <c r="B557" s="41">
        <f>VLOOKUP(Table8[[#This Row],[Month]],database!A:J,MATCH('Capacity Utilization'!$A$1,database!$A$1:$J$1,),)</f>
        <v/>
      </c>
      <c r="C557" s="76">
        <f>(VLOOKUP(A557,database!A:K,11,) - VLOOKUP(A545,database!A:K,11,))/VLOOKUP(A545,database!A:K,11,)</f>
        <v/>
      </c>
    </row>
    <row r="558">
      <c r="A558" s="40" t="n">
        <v>41275</v>
      </c>
      <c r="B558" s="41">
        <f>VLOOKUP(Table8[[#This Row],[Month]],database!A:J,MATCH('Capacity Utilization'!$A$1,database!$A$1:$J$1,),)</f>
        <v/>
      </c>
      <c r="C558" s="76">
        <f>(VLOOKUP(A558,database!A:K,11,) - VLOOKUP(A546,database!A:K,11,))/VLOOKUP(A546,database!A:K,11,)</f>
        <v/>
      </c>
    </row>
    <row r="559">
      <c r="A559" s="40" t="n">
        <v>41306</v>
      </c>
      <c r="B559" s="41">
        <f>VLOOKUP(Table8[[#This Row],[Month]],database!A:J,MATCH('Capacity Utilization'!$A$1,database!$A$1:$J$1,),)</f>
        <v/>
      </c>
      <c r="C559" s="76">
        <f>(VLOOKUP(A559,database!A:K,11,) - VLOOKUP(A547,database!A:K,11,))/VLOOKUP(A547,database!A:K,11,)</f>
        <v/>
      </c>
    </row>
    <row r="560">
      <c r="A560" s="40" t="n">
        <v>41334</v>
      </c>
      <c r="B560" s="41">
        <f>VLOOKUP(Table8[[#This Row],[Month]],database!A:J,MATCH('Capacity Utilization'!$A$1,database!$A$1:$J$1,),)</f>
        <v/>
      </c>
      <c r="C560" s="76">
        <f>(VLOOKUP(A560,database!A:K,11,) - VLOOKUP(A548,database!A:K,11,))/VLOOKUP(A548,database!A:K,11,)</f>
        <v/>
      </c>
    </row>
    <row r="561">
      <c r="A561" s="40" t="n">
        <v>41365</v>
      </c>
      <c r="B561" s="41">
        <f>VLOOKUP(Table8[[#This Row],[Month]],database!A:J,MATCH('Capacity Utilization'!$A$1,database!$A$1:$J$1,),)</f>
        <v/>
      </c>
      <c r="C561" s="76">
        <f>(VLOOKUP(A561,database!A:K,11,) - VLOOKUP(A549,database!A:K,11,))/VLOOKUP(A549,database!A:K,11,)</f>
        <v/>
      </c>
    </row>
    <row r="562">
      <c r="A562" s="40" t="n">
        <v>41395</v>
      </c>
      <c r="B562" s="41">
        <f>VLOOKUP(Table8[[#This Row],[Month]],database!A:J,MATCH('Capacity Utilization'!$A$1,database!$A$1:$J$1,),)</f>
        <v/>
      </c>
      <c r="C562" s="76">
        <f>(VLOOKUP(A562,database!A:K,11,) - VLOOKUP(A550,database!A:K,11,))/VLOOKUP(A550,database!A:K,11,)</f>
        <v/>
      </c>
    </row>
    <row r="563">
      <c r="A563" s="40" t="n">
        <v>41426</v>
      </c>
      <c r="B563" s="41">
        <f>VLOOKUP(Table8[[#This Row],[Month]],database!A:J,MATCH('Capacity Utilization'!$A$1,database!$A$1:$J$1,),)</f>
        <v/>
      </c>
      <c r="C563" s="76">
        <f>(VLOOKUP(A563,database!A:K,11,) - VLOOKUP(A551,database!A:K,11,))/VLOOKUP(A551,database!A:K,11,)</f>
        <v/>
      </c>
    </row>
    <row r="564">
      <c r="A564" s="40" t="n">
        <v>41456</v>
      </c>
      <c r="B564" s="41">
        <f>VLOOKUP(Table8[[#This Row],[Month]],database!A:J,MATCH('Capacity Utilization'!$A$1,database!$A$1:$J$1,),)</f>
        <v/>
      </c>
      <c r="C564" s="76">
        <f>(VLOOKUP(A564,database!A:K,11,) - VLOOKUP(A552,database!A:K,11,))/VLOOKUP(A552,database!A:K,11,)</f>
        <v/>
      </c>
    </row>
    <row r="565">
      <c r="A565" s="40" t="n">
        <v>41487</v>
      </c>
      <c r="B565" s="41">
        <f>VLOOKUP(Table8[[#This Row],[Month]],database!A:J,MATCH('Capacity Utilization'!$A$1,database!$A$1:$J$1,),)</f>
        <v/>
      </c>
      <c r="C565" s="76">
        <f>(VLOOKUP(A565,database!A:K,11,) - VLOOKUP(A553,database!A:K,11,))/VLOOKUP(A553,database!A:K,11,)</f>
        <v/>
      </c>
    </row>
    <row r="566">
      <c r="A566" s="40" t="n">
        <v>41518</v>
      </c>
      <c r="B566" s="41">
        <f>VLOOKUP(Table8[[#This Row],[Month]],database!A:J,MATCH('Capacity Utilization'!$A$1,database!$A$1:$J$1,),)</f>
        <v/>
      </c>
      <c r="C566" s="76">
        <f>(VLOOKUP(A566,database!A:K,11,) - VLOOKUP(A554,database!A:K,11,))/VLOOKUP(A554,database!A:K,11,)</f>
        <v/>
      </c>
    </row>
    <row r="567">
      <c r="A567" s="40" t="n">
        <v>41548</v>
      </c>
      <c r="B567" s="41">
        <f>VLOOKUP(Table8[[#This Row],[Month]],database!A:J,MATCH('Capacity Utilization'!$A$1,database!$A$1:$J$1,),)</f>
        <v/>
      </c>
      <c r="C567" s="76">
        <f>(VLOOKUP(A567,database!A:K,11,) - VLOOKUP(A555,database!A:K,11,))/VLOOKUP(A555,database!A:K,11,)</f>
        <v/>
      </c>
    </row>
    <row r="568">
      <c r="A568" s="40" t="n">
        <v>41579</v>
      </c>
      <c r="B568" s="41">
        <f>VLOOKUP(Table8[[#This Row],[Month]],database!A:J,MATCH('Capacity Utilization'!$A$1,database!$A$1:$J$1,),)</f>
        <v/>
      </c>
      <c r="C568" s="76">
        <f>(VLOOKUP(A568,database!A:K,11,) - VLOOKUP(A556,database!A:K,11,))/VLOOKUP(A556,database!A:K,11,)</f>
        <v/>
      </c>
    </row>
    <row r="569">
      <c r="A569" s="40" t="n">
        <v>41609</v>
      </c>
      <c r="B569" s="41">
        <f>VLOOKUP(Table8[[#This Row],[Month]],database!A:J,MATCH('Capacity Utilization'!$A$1,database!$A$1:$J$1,),)</f>
        <v/>
      </c>
      <c r="C569" s="76">
        <f>(VLOOKUP(A569,database!A:K,11,) - VLOOKUP(A557,database!A:K,11,))/VLOOKUP(A557,database!A:K,11,)</f>
        <v/>
      </c>
    </row>
    <row r="570">
      <c r="A570" s="40" t="n">
        <v>41640</v>
      </c>
      <c r="B570" s="41">
        <f>VLOOKUP(Table8[[#This Row],[Month]],database!A:J,MATCH('Capacity Utilization'!$A$1,database!$A$1:$J$1,),)</f>
        <v/>
      </c>
      <c r="C570" s="76">
        <f>(VLOOKUP(A570,database!A:K,11,) - VLOOKUP(A558,database!A:K,11,))/VLOOKUP(A558,database!A:K,11,)</f>
        <v/>
      </c>
    </row>
    <row r="571">
      <c r="A571" s="40" t="n">
        <v>41671</v>
      </c>
      <c r="B571" s="41">
        <f>VLOOKUP(Table8[[#This Row],[Month]],database!A:J,MATCH('Capacity Utilization'!$A$1,database!$A$1:$J$1,),)</f>
        <v/>
      </c>
      <c r="C571" s="76">
        <f>(VLOOKUP(A571,database!A:K,11,) - VLOOKUP(A559,database!A:K,11,))/VLOOKUP(A559,database!A:K,11,)</f>
        <v/>
      </c>
    </row>
    <row r="572">
      <c r="A572" s="40" t="n">
        <v>41699</v>
      </c>
      <c r="B572" s="41">
        <f>VLOOKUP(Table8[[#This Row],[Month]],database!A:J,MATCH('Capacity Utilization'!$A$1,database!$A$1:$J$1,),)</f>
        <v/>
      </c>
      <c r="C572" s="76">
        <f>(VLOOKUP(A572,database!A:K,11,) - VLOOKUP(A560,database!A:K,11,))/VLOOKUP(A560,database!A:K,11,)</f>
        <v/>
      </c>
    </row>
    <row r="573">
      <c r="A573" s="40" t="n">
        <v>41730</v>
      </c>
      <c r="B573" s="41">
        <f>VLOOKUP(Table8[[#This Row],[Month]],database!A:J,MATCH('Capacity Utilization'!$A$1,database!$A$1:$J$1,),)</f>
        <v/>
      </c>
      <c r="C573" s="76">
        <f>(VLOOKUP(A573,database!A:K,11,) - VLOOKUP(A561,database!A:K,11,))/VLOOKUP(A561,database!A:K,11,)</f>
        <v/>
      </c>
    </row>
    <row r="574">
      <c r="A574" s="40" t="n">
        <v>41760</v>
      </c>
      <c r="B574" s="41">
        <f>VLOOKUP(Table8[[#This Row],[Month]],database!A:J,MATCH('Capacity Utilization'!$A$1,database!$A$1:$J$1,),)</f>
        <v/>
      </c>
      <c r="C574" s="76">
        <f>(VLOOKUP(A574,database!A:K,11,) - VLOOKUP(A562,database!A:K,11,))/VLOOKUP(A562,database!A:K,11,)</f>
        <v/>
      </c>
    </row>
    <row r="575">
      <c r="A575" s="40" t="n">
        <v>41791</v>
      </c>
      <c r="B575" s="41">
        <f>VLOOKUP(Table8[[#This Row],[Month]],database!A:J,MATCH('Capacity Utilization'!$A$1,database!$A$1:$J$1,),)</f>
        <v/>
      </c>
      <c r="C575" s="76">
        <f>(VLOOKUP(A575,database!A:K,11,) - VLOOKUP(A563,database!A:K,11,))/VLOOKUP(A563,database!A:K,11,)</f>
        <v/>
      </c>
    </row>
    <row r="576">
      <c r="A576" s="40" t="n">
        <v>41821</v>
      </c>
      <c r="B576" s="41">
        <f>VLOOKUP(Table8[[#This Row],[Month]],database!A:J,MATCH('Capacity Utilization'!$A$1,database!$A$1:$J$1,),)</f>
        <v/>
      </c>
      <c r="C576" s="76">
        <f>(VLOOKUP(A576,database!A:K,11,) - VLOOKUP(A564,database!A:K,11,))/VLOOKUP(A564,database!A:K,11,)</f>
        <v/>
      </c>
    </row>
    <row r="577">
      <c r="A577" s="40" t="n">
        <v>41852</v>
      </c>
      <c r="B577" s="41">
        <f>VLOOKUP(Table8[[#This Row],[Month]],database!A:J,MATCH('Capacity Utilization'!$A$1,database!$A$1:$J$1,),)</f>
        <v/>
      </c>
      <c r="C577" s="76">
        <f>(VLOOKUP(A577,database!A:K,11,) - VLOOKUP(A565,database!A:K,11,))/VLOOKUP(A565,database!A:K,11,)</f>
        <v/>
      </c>
    </row>
    <row r="578">
      <c r="A578" s="40" t="n">
        <v>41883</v>
      </c>
      <c r="B578" s="41">
        <f>VLOOKUP(Table8[[#This Row],[Month]],database!A:J,MATCH('Capacity Utilization'!$A$1,database!$A$1:$J$1,),)</f>
        <v/>
      </c>
      <c r="C578" s="76">
        <f>(VLOOKUP(A578,database!A:K,11,) - VLOOKUP(A566,database!A:K,11,))/VLOOKUP(A566,database!A:K,11,)</f>
        <v/>
      </c>
    </row>
    <row r="579">
      <c r="A579" s="40" t="n">
        <v>41913</v>
      </c>
      <c r="B579" s="41">
        <f>VLOOKUP(Table8[[#This Row],[Month]],database!A:J,MATCH('Capacity Utilization'!$A$1,database!$A$1:$J$1,),)</f>
        <v/>
      </c>
      <c r="C579" s="76">
        <f>(VLOOKUP(A579,database!A:K,11,) - VLOOKUP(A567,database!A:K,11,))/VLOOKUP(A567,database!A:K,11,)</f>
        <v/>
      </c>
    </row>
    <row r="580">
      <c r="A580" s="40" t="n">
        <v>41944</v>
      </c>
      <c r="B580" s="41">
        <f>VLOOKUP(Table8[[#This Row],[Month]],database!A:J,MATCH('Capacity Utilization'!$A$1,database!$A$1:$J$1,),)</f>
        <v/>
      </c>
      <c r="C580" s="76">
        <f>(VLOOKUP(A580,database!A:K,11,) - VLOOKUP(A568,database!A:K,11,))/VLOOKUP(A568,database!A:K,11,)</f>
        <v/>
      </c>
    </row>
    <row r="581">
      <c r="A581" s="40" t="n">
        <v>41974</v>
      </c>
      <c r="B581" s="41">
        <f>VLOOKUP(Table8[[#This Row],[Month]],database!A:J,MATCH('Capacity Utilization'!$A$1,database!$A$1:$J$1,),)</f>
        <v/>
      </c>
      <c r="C581" s="76">
        <f>(VLOOKUP(A581,database!A:K,11,) - VLOOKUP(A569,database!A:K,11,))/VLOOKUP(A569,database!A:K,11,)</f>
        <v/>
      </c>
    </row>
    <row r="582">
      <c r="A582" s="40" t="n">
        <v>42005</v>
      </c>
      <c r="B582" s="41">
        <f>VLOOKUP(Table8[[#This Row],[Month]],database!A:J,MATCH('Capacity Utilization'!$A$1,database!$A$1:$J$1,),)</f>
        <v/>
      </c>
      <c r="C582" s="76">
        <f>(VLOOKUP(A582,database!A:K,11,) - VLOOKUP(A570,database!A:K,11,))/VLOOKUP(A570,database!A:K,11,)</f>
        <v/>
      </c>
    </row>
    <row r="583">
      <c r="A583" s="40" t="n">
        <v>42036</v>
      </c>
      <c r="B583" s="41">
        <f>VLOOKUP(Table8[[#This Row],[Month]],database!A:J,MATCH('Capacity Utilization'!$A$1,database!$A$1:$J$1,),)</f>
        <v/>
      </c>
      <c r="C583" s="76">
        <f>(VLOOKUP(A583,database!A:K,11,) - VLOOKUP(A571,database!A:K,11,))/VLOOKUP(A571,database!A:K,11,)</f>
        <v/>
      </c>
    </row>
    <row r="584">
      <c r="A584" s="40" t="n">
        <v>42064</v>
      </c>
      <c r="B584" s="41">
        <f>VLOOKUP(Table8[[#This Row],[Month]],database!A:J,MATCH('Capacity Utilization'!$A$1,database!$A$1:$J$1,),)</f>
        <v/>
      </c>
      <c r="C584" s="76">
        <f>(VLOOKUP(A584,database!A:K,11,) - VLOOKUP(A572,database!A:K,11,))/VLOOKUP(A572,database!A:K,11,)</f>
        <v/>
      </c>
    </row>
    <row r="585">
      <c r="A585" s="40" t="n">
        <v>42095</v>
      </c>
      <c r="B585" s="41">
        <f>VLOOKUP(Table8[[#This Row],[Month]],database!A:J,MATCH('Capacity Utilization'!$A$1,database!$A$1:$J$1,),)</f>
        <v/>
      </c>
      <c r="C585" s="76">
        <f>(VLOOKUP(A585,database!A:K,11,) - VLOOKUP(A573,database!A:K,11,))/VLOOKUP(A573,database!A:K,11,)</f>
        <v/>
      </c>
    </row>
    <row r="586">
      <c r="A586" s="40" t="n">
        <v>42125</v>
      </c>
      <c r="B586" s="41">
        <f>VLOOKUP(Table8[[#This Row],[Month]],database!A:J,MATCH('Capacity Utilization'!$A$1,database!$A$1:$J$1,),)</f>
        <v/>
      </c>
      <c r="C586" s="76">
        <f>(VLOOKUP(A586,database!A:K,11,) - VLOOKUP(A574,database!A:K,11,))/VLOOKUP(A574,database!A:K,11,)</f>
        <v/>
      </c>
    </row>
    <row r="587">
      <c r="A587" s="40" t="n">
        <v>42156</v>
      </c>
      <c r="B587" s="41">
        <f>VLOOKUP(Table8[[#This Row],[Month]],database!A:J,MATCH('Capacity Utilization'!$A$1,database!$A$1:$J$1,),)</f>
        <v/>
      </c>
      <c r="C587" s="76">
        <f>(VLOOKUP(A587,database!A:K,11,) - VLOOKUP(A575,database!A:K,11,))/VLOOKUP(A575,database!A:K,11,)</f>
        <v/>
      </c>
    </row>
    <row r="588">
      <c r="A588" s="40" t="n">
        <v>42186</v>
      </c>
      <c r="B588" s="41">
        <f>VLOOKUP(Table8[[#This Row],[Month]],database!A:J,MATCH('Capacity Utilization'!$A$1,database!$A$1:$J$1,),)</f>
        <v/>
      </c>
      <c r="C588" s="76">
        <f>(VLOOKUP(A588,database!A:K,11,) - VLOOKUP(A576,database!A:K,11,))/VLOOKUP(A576,database!A:K,11,)</f>
        <v/>
      </c>
    </row>
    <row r="589">
      <c r="A589" s="40" t="n">
        <v>42217</v>
      </c>
      <c r="B589" s="41">
        <f>VLOOKUP(Table8[[#This Row],[Month]],database!A:J,MATCH('Capacity Utilization'!$A$1,database!$A$1:$J$1,),)</f>
        <v/>
      </c>
      <c r="C589" s="76">
        <f>(VLOOKUP(A589,database!A:K,11,) - VLOOKUP(A577,database!A:K,11,))/VLOOKUP(A577,database!A:K,11,)</f>
        <v/>
      </c>
    </row>
    <row r="590">
      <c r="A590" s="40" t="n">
        <v>42248</v>
      </c>
      <c r="B590" s="41">
        <f>VLOOKUP(Table8[[#This Row],[Month]],database!A:J,MATCH('Capacity Utilization'!$A$1,database!$A$1:$J$1,),)</f>
        <v/>
      </c>
      <c r="C590" s="76">
        <f>(VLOOKUP(A590,database!A:K,11,) - VLOOKUP(A578,database!A:K,11,))/VLOOKUP(A578,database!A:K,11,)</f>
        <v/>
      </c>
    </row>
    <row r="591">
      <c r="A591" s="40" t="n">
        <v>42278</v>
      </c>
      <c r="B591" s="41">
        <f>VLOOKUP(Table8[[#This Row],[Month]],database!A:J,MATCH('Capacity Utilization'!$A$1,database!$A$1:$J$1,),)</f>
        <v/>
      </c>
      <c r="C591" s="76">
        <f>(VLOOKUP(A591,database!A:K,11,) - VLOOKUP(A579,database!A:K,11,))/VLOOKUP(A579,database!A:K,11,)</f>
        <v/>
      </c>
    </row>
    <row r="592">
      <c r="A592" s="40" t="n">
        <v>42309</v>
      </c>
      <c r="B592" s="41">
        <f>VLOOKUP(Table8[[#This Row],[Month]],database!A:J,MATCH('Capacity Utilization'!$A$1,database!$A$1:$J$1,),)</f>
        <v/>
      </c>
      <c r="C592" s="76">
        <f>(VLOOKUP(A592,database!A:K,11,) - VLOOKUP(A580,database!A:K,11,))/VLOOKUP(A580,database!A:K,11,)</f>
        <v/>
      </c>
    </row>
    <row r="593">
      <c r="A593" s="40" t="n">
        <v>42339</v>
      </c>
      <c r="B593" s="41">
        <f>VLOOKUP(Table8[[#This Row],[Month]],database!A:J,MATCH('Capacity Utilization'!$A$1,database!$A$1:$J$1,),)</f>
        <v/>
      </c>
      <c r="C593" s="76">
        <f>(VLOOKUP(A593,database!A:K,11,) - VLOOKUP(A581,database!A:K,11,))/VLOOKUP(A581,database!A:K,11,)</f>
        <v/>
      </c>
    </row>
    <row r="594">
      <c r="A594" s="40" t="n">
        <v>42370</v>
      </c>
      <c r="B594" s="41">
        <f>VLOOKUP(Table8[[#This Row],[Month]],database!A:J,MATCH('Capacity Utilization'!$A$1,database!$A$1:$J$1,),)</f>
        <v/>
      </c>
      <c r="C594" s="76">
        <f>(VLOOKUP(A594,database!A:K,11,) - VLOOKUP(A582,database!A:K,11,))/VLOOKUP(A582,database!A:K,11,)</f>
        <v/>
      </c>
    </row>
    <row r="595">
      <c r="A595" s="40" t="n">
        <v>42401</v>
      </c>
      <c r="B595" s="41">
        <f>VLOOKUP(Table8[[#This Row],[Month]],database!A:J,MATCH('Capacity Utilization'!$A$1,database!$A$1:$J$1,),)</f>
        <v/>
      </c>
      <c r="C595" s="76">
        <f>(VLOOKUP(A595,database!A:K,11,) - VLOOKUP(A583,database!A:K,11,))/VLOOKUP(A583,database!A:K,11,)</f>
        <v/>
      </c>
    </row>
    <row r="596">
      <c r="A596" s="40" t="n">
        <v>42430</v>
      </c>
      <c r="B596" s="41">
        <f>VLOOKUP(Table8[[#This Row],[Month]],database!A:J,MATCH('Capacity Utilization'!$A$1,database!$A$1:$J$1,),)</f>
        <v/>
      </c>
      <c r="C596" s="76">
        <f>(VLOOKUP(A596,database!A:K,11,) - VLOOKUP(A584,database!A:K,11,))/VLOOKUP(A584,database!A:K,11,)</f>
        <v/>
      </c>
    </row>
    <row r="597">
      <c r="A597" s="40" t="n">
        <v>42461</v>
      </c>
      <c r="B597" s="41">
        <f>VLOOKUP(Table8[[#This Row],[Month]],database!A:J,MATCH('Capacity Utilization'!$A$1,database!$A$1:$J$1,),)</f>
        <v/>
      </c>
      <c r="C597" s="76">
        <f>(VLOOKUP(A597,database!A:K,11,) - VLOOKUP(A585,database!A:K,11,))/VLOOKUP(A585,database!A:K,11,)</f>
        <v/>
      </c>
    </row>
    <row r="598">
      <c r="A598" s="40" t="n">
        <v>42491</v>
      </c>
      <c r="B598" s="41">
        <f>VLOOKUP(Table8[[#This Row],[Month]],database!A:J,MATCH('Capacity Utilization'!$A$1,database!$A$1:$J$1,),)</f>
        <v/>
      </c>
      <c r="C598" s="76">
        <f>(VLOOKUP(A598,database!A:K,11,) - VLOOKUP(A586,database!A:K,11,))/VLOOKUP(A586,database!A:K,11,)</f>
        <v/>
      </c>
    </row>
    <row r="599">
      <c r="A599" s="40" t="n">
        <v>42522</v>
      </c>
      <c r="B599" s="41">
        <f>VLOOKUP(Table8[[#This Row],[Month]],database!A:J,MATCH('Capacity Utilization'!$A$1,database!$A$1:$J$1,),)</f>
        <v/>
      </c>
      <c r="C599" s="76">
        <f>(VLOOKUP(A599,database!A:K,11,) - VLOOKUP(A587,database!A:K,11,))/VLOOKUP(A587,database!A:K,11,)</f>
        <v/>
      </c>
    </row>
    <row r="600">
      <c r="A600" s="40" t="n">
        <v>42552</v>
      </c>
      <c r="B600" s="41">
        <f>VLOOKUP(Table8[[#This Row],[Month]],database!A:J,MATCH('Capacity Utilization'!$A$1,database!$A$1:$J$1,),)</f>
        <v/>
      </c>
      <c r="C600" s="76">
        <f>(VLOOKUP(A600,database!A:K,11,) - VLOOKUP(A588,database!A:K,11,))/VLOOKUP(A588,database!A:K,11,)</f>
        <v/>
      </c>
    </row>
    <row r="601">
      <c r="A601" s="40" t="n">
        <v>42583</v>
      </c>
      <c r="B601" s="41">
        <f>VLOOKUP(Table8[[#This Row],[Month]],database!A:J,MATCH('Capacity Utilization'!$A$1,database!$A$1:$J$1,),)</f>
        <v/>
      </c>
      <c r="C601" s="76">
        <f>(VLOOKUP(A601,database!A:K,11,) - VLOOKUP(A589,database!A:K,11,))/VLOOKUP(A589,database!A:K,11,)</f>
        <v/>
      </c>
    </row>
    <row r="602">
      <c r="A602" s="40" t="n">
        <v>42614</v>
      </c>
      <c r="B602" s="41">
        <f>VLOOKUP(Table8[[#This Row],[Month]],database!A:J,MATCH('Capacity Utilization'!$A$1,database!$A$1:$J$1,),)</f>
        <v/>
      </c>
      <c r="C602" s="76">
        <f>(VLOOKUP(A602,database!A:K,11,) - VLOOKUP(A590,database!A:K,11,))/VLOOKUP(A590,database!A:K,11,)</f>
        <v/>
      </c>
    </row>
    <row r="603">
      <c r="A603" s="40" t="n">
        <v>42644</v>
      </c>
      <c r="B603" s="41">
        <f>VLOOKUP(Table8[[#This Row],[Month]],database!A:J,MATCH('Capacity Utilization'!$A$1,database!$A$1:$J$1,),)</f>
        <v/>
      </c>
      <c r="C603" s="76">
        <f>(VLOOKUP(A603,database!A:K,11,) - VLOOKUP(A591,database!A:K,11,))/VLOOKUP(A591,database!A:K,11,)</f>
        <v/>
      </c>
    </row>
    <row r="604">
      <c r="A604" s="40" t="n">
        <v>42675</v>
      </c>
      <c r="B604" s="41">
        <f>VLOOKUP(Table8[[#This Row],[Month]],database!A:J,MATCH('Capacity Utilization'!$A$1,database!$A$1:$J$1,),)</f>
        <v/>
      </c>
      <c r="C604" s="76">
        <f>(VLOOKUP(A604,database!A:K,11,) - VLOOKUP(A592,database!A:K,11,))/VLOOKUP(A592,database!A:K,11,)</f>
        <v/>
      </c>
    </row>
    <row r="605">
      <c r="A605" s="40" t="n">
        <v>42705</v>
      </c>
      <c r="B605" s="41">
        <f>VLOOKUP(Table8[[#This Row],[Month]],database!A:J,MATCH('Capacity Utilization'!$A$1,database!$A$1:$J$1,),)</f>
        <v/>
      </c>
      <c r="C605" s="76">
        <f>(VLOOKUP(A605,database!A:K,11,) - VLOOKUP(A593,database!A:K,11,))/VLOOKUP(A593,database!A:K,11,)</f>
        <v/>
      </c>
    </row>
    <row r="606">
      <c r="A606" s="40" t="n">
        <v>42736</v>
      </c>
      <c r="B606" s="41">
        <f>VLOOKUP(Table8[[#This Row],[Month]],database!A:J,MATCH('Capacity Utilization'!$A$1,database!$A$1:$J$1,),)</f>
        <v/>
      </c>
      <c r="C606" s="76">
        <f>(VLOOKUP(A606,database!A:K,11,) - VLOOKUP(A594,database!A:K,11,))/VLOOKUP(A594,database!A:K,11,)</f>
        <v/>
      </c>
    </row>
    <row r="607">
      <c r="A607" s="40" t="n">
        <v>42767</v>
      </c>
      <c r="B607" s="41">
        <f>VLOOKUP(Table8[[#This Row],[Month]],database!A:J,MATCH('Capacity Utilization'!$A$1,database!$A$1:$J$1,),)</f>
        <v/>
      </c>
      <c r="C607" s="76">
        <f>(VLOOKUP(A607,database!A:K,11,) - VLOOKUP(A595,database!A:K,11,))/VLOOKUP(A595,database!A:K,11,)</f>
        <v/>
      </c>
    </row>
    <row r="608">
      <c r="A608" s="40" t="n">
        <v>42795</v>
      </c>
      <c r="B608" s="41">
        <f>VLOOKUP(Table8[[#This Row],[Month]],database!A:J,MATCH('Capacity Utilization'!$A$1,database!$A$1:$J$1,),)</f>
        <v/>
      </c>
      <c r="C608" s="76">
        <f>(VLOOKUP(A608,database!A:K,11,) - VLOOKUP(A596,database!A:K,11,))/VLOOKUP(A596,database!A:K,11,)</f>
        <v/>
      </c>
    </row>
    <row r="609">
      <c r="A609" s="40" t="n">
        <v>42826</v>
      </c>
      <c r="B609" s="41">
        <f>VLOOKUP(Table8[[#This Row],[Month]],database!A:J,MATCH('Capacity Utilization'!$A$1,database!$A$1:$J$1,),)</f>
        <v/>
      </c>
      <c r="C609" s="76">
        <f>(VLOOKUP(A609,database!A:K,11,) - VLOOKUP(A597,database!A:K,11,))/VLOOKUP(A597,database!A:K,11,)</f>
        <v/>
      </c>
    </row>
    <row r="610">
      <c r="A610" s="40" t="n">
        <v>42856</v>
      </c>
      <c r="B610" s="41">
        <f>VLOOKUP(Table8[[#This Row],[Month]],database!A:J,MATCH('Capacity Utilization'!$A$1,database!$A$1:$J$1,),)</f>
        <v/>
      </c>
      <c r="C610" s="76">
        <f>(VLOOKUP(A610,database!A:K,11,) - VLOOKUP(A598,database!A:K,11,))/VLOOKUP(A598,database!A:K,11,)</f>
        <v/>
      </c>
    </row>
    <row r="611">
      <c r="A611" s="40" t="n">
        <v>42887</v>
      </c>
      <c r="B611" s="41">
        <f>VLOOKUP(Table8[[#This Row],[Month]],database!A:J,MATCH('Capacity Utilization'!$A$1,database!$A$1:$J$1,),)</f>
        <v/>
      </c>
      <c r="C611" s="76">
        <f>(VLOOKUP(A611,database!A:K,11,) - VLOOKUP(A599,database!A:K,11,))/VLOOKUP(A599,database!A:K,11,)</f>
        <v/>
      </c>
    </row>
    <row r="612">
      <c r="A612" s="40" t="n">
        <v>42917</v>
      </c>
      <c r="B612" s="41">
        <f>VLOOKUP(Table8[[#This Row],[Month]],database!A:J,MATCH('Capacity Utilization'!$A$1,database!$A$1:$J$1,),)</f>
        <v/>
      </c>
      <c r="C612" s="76">
        <f>(VLOOKUP(A612,database!A:K,11,) - VLOOKUP(A600,database!A:K,11,))/VLOOKUP(A600,database!A:K,11,)</f>
        <v/>
      </c>
    </row>
    <row r="613">
      <c r="A613" s="40" t="n">
        <v>42948</v>
      </c>
      <c r="B613" s="41">
        <f>VLOOKUP(Table8[[#This Row],[Month]],database!A:J,MATCH('Capacity Utilization'!$A$1,database!$A$1:$J$1,),)</f>
        <v/>
      </c>
      <c r="C613" s="76">
        <f>(VLOOKUP(A613,database!A:K,11,) - VLOOKUP(A601,database!A:K,11,))/VLOOKUP(A601,database!A:K,11,)</f>
        <v/>
      </c>
    </row>
    <row r="614">
      <c r="A614" s="40" t="n">
        <v>42979</v>
      </c>
      <c r="B614" s="41">
        <f>VLOOKUP(Table8[[#This Row],[Month]],database!A:J,MATCH('Capacity Utilization'!$A$1,database!$A$1:$J$1,),)</f>
        <v/>
      </c>
      <c r="C614" s="76">
        <f>(VLOOKUP(A614,database!A:K,11,) - VLOOKUP(A602,database!A:K,11,))/VLOOKUP(A602,database!A:K,11,)</f>
        <v/>
      </c>
    </row>
    <row r="615">
      <c r="A615" s="40" t="n">
        <v>43009</v>
      </c>
      <c r="B615" s="41">
        <f>VLOOKUP(Table8[[#This Row],[Month]],database!A:J,MATCH('Capacity Utilization'!$A$1,database!$A$1:$J$1,),)</f>
        <v/>
      </c>
      <c r="C615" s="76">
        <f>(VLOOKUP(A615,database!A:K,11,) - VLOOKUP(A603,database!A:K,11,))/VLOOKUP(A603,database!A:K,11,)</f>
        <v/>
      </c>
    </row>
    <row r="616">
      <c r="A616" s="40" t="n">
        <v>43040</v>
      </c>
      <c r="B616" s="41">
        <f>VLOOKUP(Table8[[#This Row],[Month]],database!A:J,MATCH('Capacity Utilization'!$A$1,database!$A$1:$J$1,),)</f>
        <v/>
      </c>
      <c r="C616" s="76">
        <f>(VLOOKUP(A616,database!A:K,11,) - VLOOKUP(A604,database!A:K,11,))/VLOOKUP(A604,database!A:K,11,)</f>
        <v/>
      </c>
    </row>
    <row r="617">
      <c r="A617" s="40" t="n">
        <v>43070</v>
      </c>
      <c r="B617" s="41">
        <f>VLOOKUP(Table8[[#This Row],[Month]],database!A:J,MATCH('Capacity Utilization'!$A$1,database!$A$1:$J$1,),)</f>
        <v/>
      </c>
      <c r="C617" s="76">
        <f>(VLOOKUP(A617,database!A:K,11,) - VLOOKUP(A605,database!A:K,11,))/VLOOKUP(A605,database!A:K,11,)</f>
        <v/>
      </c>
    </row>
    <row r="618">
      <c r="A618" s="40" t="n">
        <v>43101</v>
      </c>
      <c r="B618" s="41">
        <f>VLOOKUP(Table8[[#This Row],[Month]],database!A:J,MATCH('Capacity Utilization'!$A$1,database!$A$1:$J$1,),)</f>
        <v/>
      </c>
      <c r="C618" s="76">
        <f>(VLOOKUP(A618,database!A:K,11,) - VLOOKUP(A606,database!A:K,11,))/VLOOKUP(A606,database!A:K,11,)</f>
        <v/>
      </c>
    </row>
    <row r="619">
      <c r="A619" s="40" t="n">
        <v>43132</v>
      </c>
      <c r="B619" s="41">
        <f>VLOOKUP(Table8[[#This Row],[Month]],database!A:J,MATCH('Capacity Utilization'!$A$1,database!$A$1:$J$1,),)</f>
        <v/>
      </c>
      <c r="C619" s="76">
        <f>(VLOOKUP(A619,database!A:K,11,) - VLOOKUP(A607,database!A:K,11,))/VLOOKUP(A607,database!A:K,11,)</f>
        <v/>
      </c>
    </row>
    <row r="620">
      <c r="A620" s="40" t="n">
        <v>43160</v>
      </c>
      <c r="B620" s="41">
        <f>VLOOKUP(Table8[[#This Row],[Month]],database!A:J,MATCH('Capacity Utilization'!$A$1,database!$A$1:$J$1,),)</f>
        <v/>
      </c>
      <c r="C620" s="76">
        <f>(VLOOKUP(A620,database!A:K,11,) - VLOOKUP(A608,database!A:K,11,))/VLOOKUP(A608,database!A:K,11,)</f>
        <v/>
      </c>
    </row>
    <row r="621">
      <c r="A621" s="40" t="n">
        <v>43191</v>
      </c>
      <c r="B621" s="41">
        <f>VLOOKUP(Table8[[#This Row],[Month]],database!A:J,MATCH('Capacity Utilization'!$A$1,database!$A$1:$J$1,),)</f>
        <v/>
      </c>
      <c r="C621" s="76">
        <f>(VLOOKUP(A621,database!A:K,11,) - VLOOKUP(A609,database!A:K,11,))/VLOOKUP(A609,database!A:K,11,)</f>
        <v/>
      </c>
    </row>
    <row r="622">
      <c r="A622" s="40" t="n">
        <v>43221</v>
      </c>
      <c r="B622" s="41">
        <f>VLOOKUP(Table8[[#This Row],[Month]],database!A:J,MATCH('Capacity Utilization'!$A$1,database!$A$1:$J$1,),)</f>
        <v/>
      </c>
      <c r="C622" s="76">
        <f>(VLOOKUP(A622,database!A:K,11,) - VLOOKUP(A610,database!A:K,11,))/VLOOKUP(A610,database!A:K,11,)</f>
        <v/>
      </c>
    </row>
    <row r="623">
      <c r="A623" s="40" t="n">
        <v>43252</v>
      </c>
      <c r="B623" s="41">
        <f>VLOOKUP(Table8[[#This Row],[Month]],database!A:J,MATCH('Capacity Utilization'!$A$1,database!$A$1:$J$1,),)</f>
        <v/>
      </c>
      <c r="C623" s="76">
        <f>(VLOOKUP(A623,database!A:K,11,) - VLOOKUP(A611,database!A:K,11,))/VLOOKUP(A611,database!A:K,11,)</f>
        <v/>
      </c>
    </row>
    <row r="624">
      <c r="A624" s="40" t="n">
        <v>43282</v>
      </c>
      <c r="B624" s="41">
        <f>VLOOKUP(Table8[[#This Row],[Month]],database!A:J,MATCH('Capacity Utilization'!$A$1,database!$A$1:$J$1,),)</f>
        <v/>
      </c>
      <c r="C624" s="76">
        <f>(VLOOKUP(A624,database!A:K,11,) - VLOOKUP(A612,database!A:K,11,))/VLOOKUP(A612,database!A:K,11,)</f>
        <v/>
      </c>
    </row>
    <row r="625">
      <c r="A625" s="40" t="n">
        <v>43313</v>
      </c>
      <c r="B625" s="41">
        <f>VLOOKUP(Table8[[#This Row],[Month]],database!A:J,MATCH('Capacity Utilization'!$A$1,database!$A$1:$J$1,),)</f>
        <v/>
      </c>
      <c r="C625" s="76">
        <f>(VLOOKUP(A625,database!A:K,11,) - VLOOKUP(A613,database!A:K,11,))/VLOOKUP(A613,database!A:K,11,)</f>
        <v/>
      </c>
    </row>
    <row r="626">
      <c r="A626" s="40" t="n">
        <v>43344</v>
      </c>
      <c r="B626" s="41">
        <f>VLOOKUP(Table8[[#This Row],[Month]],database!A:J,MATCH('Capacity Utilization'!$A$1,database!$A$1:$J$1,),)</f>
        <v/>
      </c>
      <c r="C626" s="76">
        <f>(VLOOKUP(A626,database!A:K,11,) - VLOOKUP(A614,database!A:K,11,))/VLOOKUP(A614,database!A:K,11,)</f>
        <v/>
      </c>
    </row>
    <row r="627">
      <c r="A627" s="40" t="n">
        <v>43374</v>
      </c>
      <c r="B627" s="41">
        <f>VLOOKUP(Table8[[#This Row],[Month]],database!A:J,MATCH('Capacity Utilization'!$A$1,database!$A$1:$J$1,),)</f>
        <v/>
      </c>
      <c r="C627" s="76">
        <f>(VLOOKUP(A627,database!A:K,11,) - VLOOKUP(A615,database!A:K,11,))/VLOOKUP(A615,database!A:K,11,)</f>
        <v/>
      </c>
    </row>
    <row r="628">
      <c r="A628" s="40" t="n">
        <v>43405</v>
      </c>
      <c r="B628" s="41">
        <f>VLOOKUP(Table8[[#This Row],[Month]],database!A:J,MATCH('Capacity Utilization'!$A$1,database!$A$1:$J$1,),)</f>
        <v/>
      </c>
      <c r="C628" s="76">
        <f>(VLOOKUP(A628,database!A:K,11,) - VLOOKUP(A616,database!A:K,11,))/VLOOKUP(A616,database!A:K,11,)</f>
        <v/>
      </c>
    </row>
    <row r="629">
      <c r="A629" s="40" t="n">
        <v>43435</v>
      </c>
      <c r="B629" s="41">
        <f>VLOOKUP(Table8[[#This Row],[Month]],database!A:J,MATCH('Capacity Utilization'!$A$1,database!$A$1:$J$1,),)</f>
        <v/>
      </c>
      <c r="C629" s="76">
        <f>(VLOOKUP(A629,database!A:K,11,) - VLOOKUP(A617,database!A:K,11,))/VLOOKUP(A617,database!A:K,11,)</f>
        <v/>
      </c>
    </row>
    <row r="630">
      <c r="A630" s="40" t="n">
        <v>43466</v>
      </c>
      <c r="B630" s="41">
        <f>VLOOKUP(Table8[[#This Row],[Month]],database!A:J,MATCH('Capacity Utilization'!$A$1,database!$A$1:$J$1,),)</f>
        <v/>
      </c>
      <c r="C630" s="76">
        <f>(VLOOKUP(A630,database!A:K,11,) - VLOOKUP(A618,database!A:K,11,))/VLOOKUP(A618,database!A:K,11,)</f>
        <v/>
      </c>
    </row>
    <row r="631">
      <c r="A631" s="40" t="n">
        <v>43497</v>
      </c>
      <c r="B631" s="41">
        <f>VLOOKUP(Table8[[#This Row],[Month]],database!A:J,MATCH('Capacity Utilization'!$A$1,database!$A$1:$J$1,),)</f>
        <v/>
      </c>
      <c r="C631" s="76">
        <f>(VLOOKUP(A631,database!A:K,11,) - VLOOKUP(A619,database!A:K,11,))/VLOOKUP(A619,database!A:K,11,)</f>
        <v/>
      </c>
    </row>
    <row r="632">
      <c r="A632" s="40" t="n">
        <v>43525</v>
      </c>
      <c r="B632" s="41">
        <f>VLOOKUP(Table8[[#This Row],[Month]],database!A:J,MATCH('Capacity Utilization'!$A$1,database!$A$1:$J$1,),)</f>
        <v/>
      </c>
      <c r="C632" s="76">
        <f>(VLOOKUP(A632,database!A:K,11,) - VLOOKUP(A620,database!A:K,11,))/VLOOKUP(A620,database!A:K,11,)</f>
        <v/>
      </c>
    </row>
    <row r="633">
      <c r="A633" s="40" t="n">
        <v>43556</v>
      </c>
      <c r="B633" s="41">
        <f>VLOOKUP(Table8[[#This Row],[Month]],database!A:J,MATCH('Capacity Utilization'!$A$1,database!$A$1:$J$1,),)</f>
        <v/>
      </c>
      <c r="C633" s="76">
        <f>(VLOOKUP(A633,database!A:K,11,) - VLOOKUP(A621,database!A:K,11,))/VLOOKUP(A621,database!A:K,11,)</f>
        <v/>
      </c>
    </row>
    <row r="634">
      <c r="A634" s="40" t="n">
        <v>43586</v>
      </c>
      <c r="B634" s="41">
        <f>VLOOKUP(Table8[[#This Row],[Month]],database!A:J,MATCH('Capacity Utilization'!$A$1,database!$A$1:$J$1,),)</f>
        <v/>
      </c>
      <c r="C634" s="76">
        <f>(VLOOKUP(A634,database!A:K,11,) - VLOOKUP(A622,database!A:K,11,))/VLOOKUP(A622,database!A:K,11,)</f>
        <v/>
      </c>
    </row>
    <row r="635">
      <c r="A635" s="40" t="n">
        <v>43617</v>
      </c>
      <c r="B635" s="41">
        <f>VLOOKUP(Table8[[#This Row],[Month]],database!A:J,MATCH('Capacity Utilization'!$A$1,database!$A$1:$J$1,),)</f>
        <v/>
      </c>
      <c r="C635" s="76">
        <f>(VLOOKUP(A635,database!A:K,11,) - VLOOKUP(A623,database!A:K,11,))/VLOOKUP(A623,database!A:K,11,)</f>
        <v/>
      </c>
    </row>
    <row r="636">
      <c r="A636" s="40" t="n">
        <v>43647</v>
      </c>
      <c r="B636" s="41">
        <f>VLOOKUP(Table8[[#This Row],[Month]],database!A:J,MATCH('Capacity Utilization'!$A$1,database!$A$1:$J$1,),)</f>
        <v/>
      </c>
      <c r="C636" s="76">
        <f>(VLOOKUP(A636,database!A:K,11,) - VLOOKUP(A624,database!A:K,11,))/VLOOKUP(A624,database!A:K,11,)</f>
        <v/>
      </c>
    </row>
    <row r="637">
      <c r="A637" s="40" t="n">
        <v>43678</v>
      </c>
      <c r="B637" s="41">
        <f>VLOOKUP(Table8[[#This Row],[Month]],database!A:J,MATCH('Capacity Utilization'!$A$1,database!$A$1:$J$1,),)</f>
        <v/>
      </c>
      <c r="C637" s="76">
        <f>(VLOOKUP(A637,database!A:K,11,) - VLOOKUP(A625,database!A:K,11,))/VLOOKUP(A625,database!A:K,11,)</f>
        <v/>
      </c>
    </row>
    <row r="638">
      <c r="A638" s="40" t="n">
        <v>43709</v>
      </c>
      <c r="B638" s="41">
        <f>VLOOKUP(Table8[[#This Row],[Month]],database!A:J,MATCH('Capacity Utilization'!$A$1,database!$A$1:$J$1,),)</f>
        <v/>
      </c>
      <c r="C638" s="76">
        <f>(VLOOKUP(A638,database!A:K,11,) - VLOOKUP(A626,database!A:K,11,))/VLOOKUP(A626,database!A:K,11,)</f>
        <v/>
      </c>
    </row>
    <row r="639">
      <c r="A639" s="40" t="n">
        <v>43739</v>
      </c>
      <c r="B639" s="41">
        <f>VLOOKUP(Table8[[#This Row],[Month]],database!A:J,MATCH('Capacity Utilization'!$A$1,database!$A$1:$J$1,),)</f>
        <v/>
      </c>
      <c r="C639" s="76">
        <f>(VLOOKUP(A639,database!A:K,11,) - VLOOKUP(A627,database!A:K,11,))/VLOOKUP(A627,database!A:K,11,)</f>
        <v/>
      </c>
    </row>
    <row r="640">
      <c r="A640" s="40" t="n">
        <v>43770</v>
      </c>
      <c r="B640" s="41">
        <f>VLOOKUP(Table8[[#This Row],[Month]],database!A:J,MATCH('Capacity Utilization'!$A$1,database!$A$1:$J$1,),)</f>
        <v/>
      </c>
      <c r="C640" s="76">
        <f>(VLOOKUP(A640,database!A:K,11,) - VLOOKUP(A628,database!A:K,11,))/VLOOKUP(A628,database!A:K,11,)</f>
        <v/>
      </c>
    </row>
    <row r="641">
      <c r="A641" s="40" t="n">
        <v>43800</v>
      </c>
      <c r="B641" s="41">
        <f>VLOOKUP(Table8[[#This Row],[Month]],database!A:J,MATCH('Capacity Utilization'!$A$1,database!$A$1:$J$1,),)</f>
        <v/>
      </c>
      <c r="C641" s="76">
        <f>(VLOOKUP(A641,database!A:K,11,) - VLOOKUP(A629,database!A:K,11,))/VLOOKUP(A629,database!A:K,11,)</f>
        <v/>
      </c>
    </row>
    <row r="642">
      <c r="A642" s="40" t="n">
        <v>43831</v>
      </c>
      <c r="B642" s="41">
        <f>VLOOKUP(Table8[[#This Row],[Month]],database!A:J,MATCH('Capacity Utilization'!$A$1,database!$A$1:$J$1,),)</f>
        <v/>
      </c>
      <c r="C642" s="76">
        <f>(VLOOKUP(A642,database!A:K,11,) - VLOOKUP(A630,database!A:K,11,))/VLOOKUP(A630,database!A:K,11,)</f>
        <v/>
      </c>
    </row>
    <row r="643">
      <c r="A643" s="40" t="n">
        <v>43862</v>
      </c>
      <c r="B643" s="41">
        <f>VLOOKUP(Table8[[#This Row],[Month]],database!A:J,MATCH('Capacity Utilization'!$A$1,database!$A$1:$J$1,),)</f>
        <v/>
      </c>
      <c r="C643" s="76">
        <f>(VLOOKUP(A643,database!A:K,11,) - VLOOKUP(A631,database!A:K,11,))/VLOOKUP(A631,database!A:K,11,)</f>
        <v/>
      </c>
    </row>
    <row r="644">
      <c r="A644" s="40" t="n">
        <v>43891</v>
      </c>
      <c r="B644" s="41">
        <f>VLOOKUP(Table8[[#This Row],[Month]],database!A:J,MATCH('Capacity Utilization'!$A$1,database!$A$1:$J$1,),)</f>
        <v/>
      </c>
      <c r="C644" s="76">
        <f>(VLOOKUP(A644,database!A:K,11,) - VLOOKUP(A632,database!A:K,11,))/VLOOKUP(A632,database!A:K,11,)</f>
        <v/>
      </c>
    </row>
    <row r="645">
      <c r="A645" s="40" t="n">
        <v>43922</v>
      </c>
      <c r="B645" s="41">
        <f>VLOOKUP(Table8[[#This Row],[Month]],database!A:J,MATCH('Capacity Utilization'!$A$1,database!$A$1:$J$1,),)</f>
        <v/>
      </c>
      <c r="C645" s="76">
        <f>(VLOOKUP(A645,database!A:K,11,) - VLOOKUP(A633,database!A:K,11,))/VLOOKUP(A633,database!A:K,11,)</f>
        <v/>
      </c>
    </row>
    <row r="646">
      <c r="A646" s="40" t="n">
        <v>43952</v>
      </c>
      <c r="B646" s="41">
        <f>VLOOKUP(Table8[[#This Row],[Month]],database!A:J,MATCH('Capacity Utilization'!$A$1,database!$A$1:$J$1,),)</f>
        <v/>
      </c>
      <c r="C646" s="76">
        <f>(VLOOKUP(A646,database!A:K,11,) - VLOOKUP(A634,database!A:K,11,))/VLOOKUP(A634,database!A:K,11,)</f>
        <v/>
      </c>
    </row>
    <row r="647">
      <c r="A647" s="40" t="n">
        <v>43983</v>
      </c>
      <c r="B647" s="41">
        <f>VLOOKUP(Table8[[#This Row],[Month]],database!A:J,MATCH('Capacity Utilization'!$A$1,database!$A$1:$J$1,),)</f>
        <v/>
      </c>
      <c r="C647" s="76">
        <f>(VLOOKUP(A647,database!A:K,11,) - VLOOKUP(A635,database!A:K,11,))/VLOOKUP(A635,database!A:K,11,)</f>
        <v/>
      </c>
    </row>
    <row r="648">
      <c r="A648" s="40" t="n">
        <v>44013</v>
      </c>
      <c r="B648" s="41">
        <f>VLOOKUP(Table8[[#This Row],[Month]],database!A:J,MATCH('Capacity Utilization'!$A$1,database!$A$1:$J$1,),)</f>
        <v/>
      </c>
      <c r="C648" s="76">
        <f>(VLOOKUP(A648,database!A:K,11,) - VLOOKUP(A636,database!A:K,11,))/VLOOKUP(A636,database!A:K,11,)</f>
        <v/>
      </c>
    </row>
    <row r="649">
      <c r="A649" s="40" t="n">
        <v>44044</v>
      </c>
      <c r="B649" s="41">
        <f>VLOOKUP(Table8[[#This Row],[Month]],database!A:J,MATCH('Capacity Utilization'!$A$1,database!$A$1:$J$1,),)</f>
        <v/>
      </c>
      <c r="C649" s="76">
        <f>(VLOOKUP(A649,database!A:K,11,) - VLOOKUP(A637,database!A:K,11,))/VLOOKUP(A637,database!A:K,11,)</f>
        <v/>
      </c>
    </row>
    <row r="650">
      <c r="A650" s="40" t="n">
        <v>44075</v>
      </c>
      <c r="B650" s="41">
        <f>VLOOKUP(Table8[[#This Row],[Month]],database!A:J,MATCH('Capacity Utilization'!$A$1,database!$A$1:$J$1,),)</f>
        <v/>
      </c>
      <c r="C650" s="76">
        <f>(VLOOKUP(A650,database!A:K,11,) - VLOOKUP(A638,database!A:K,11,))/VLOOKUP(A638,database!A:K,11,)</f>
        <v/>
      </c>
    </row>
    <row r="651">
      <c r="A651" s="40" t="n">
        <v>44105</v>
      </c>
      <c r="B651" s="41">
        <f>VLOOKUP(Table8[[#This Row],[Month]],database!A:J,MATCH('Capacity Utilization'!$A$1,database!$A$1:$J$1,),)</f>
        <v/>
      </c>
      <c r="C651" s="76">
        <f>(VLOOKUP(A651,database!A:K,11,) - VLOOKUP(A639,database!A:K,11,))/VLOOKUP(A639,database!A:K,11,)</f>
        <v/>
      </c>
    </row>
    <row r="652">
      <c r="A652" s="40" t="n">
        <v>44136</v>
      </c>
      <c r="B652" s="41">
        <f>VLOOKUP(Table8[[#This Row],[Month]],database!A:J,MATCH('Capacity Utilization'!$A$1,database!$A$1:$J$1,),)</f>
        <v/>
      </c>
      <c r="C652" s="76">
        <f>(VLOOKUP(A652,database!A:K,11,) - VLOOKUP(A640,database!A:K,11,))/VLOOKUP(A640,database!A:K,11,)</f>
        <v/>
      </c>
    </row>
    <row r="653">
      <c r="A653" s="40" t="n">
        <v>44166</v>
      </c>
      <c r="B653" s="41">
        <f>VLOOKUP(Table8[[#This Row],[Month]],database!A:J,MATCH('Capacity Utilization'!$A$1,database!$A$1:$J$1,),)</f>
        <v/>
      </c>
      <c r="C653" s="76">
        <f>(VLOOKUP(A653,database!A:K,11,) - VLOOKUP(A641,database!A:K,11,))/VLOOKUP(A641,database!A:K,11,)</f>
        <v/>
      </c>
    </row>
    <row r="654">
      <c r="A654" s="40" t="n">
        <v>44197</v>
      </c>
      <c r="B654" s="41">
        <f>VLOOKUP(Table8[[#This Row],[Month]],database!A:J,MATCH('Capacity Utilization'!$A$1,database!$A$1:$J$1,),)</f>
        <v/>
      </c>
      <c r="C654" s="76">
        <f>(VLOOKUP(A654,database!A:K,11,) - VLOOKUP(A642,database!A:K,11,))/VLOOKUP(A642,database!A:K,11,)</f>
        <v/>
      </c>
    </row>
    <row r="655">
      <c r="A655" s="40" t="n">
        <v>44228</v>
      </c>
      <c r="B655" s="41">
        <f>VLOOKUP(Table8[[#This Row],[Month]],database!A:J,MATCH('Capacity Utilization'!$A$1,database!$A$1:$J$1,),)</f>
        <v/>
      </c>
      <c r="C655" s="76">
        <f>(VLOOKUP(A655,database!A:K,11,) - VLOOKUP(A643,database!A:K,11,))/VLOOKUP(A643,database!A:K,11,)</f>
        <v/>
      </c>
    </row>
    <row r="656">
      <c r="A656" s="40" t="n">
        <v>44256</v>
      </c>
      <c r="B656" s="41">
        <f>VLOOKUP(Table8[[#This Row],[Month]],database!A:J,MATCH('Capacity Utilization'!$A$1,database!$A$1:$J$1,),)</f>
        <v/>
      </c>
      <c r="C656" s="76">
        <f>(VLOOKUP(A656,database!A:K,11,) - VLOOKUP(A644,database!A:K,11,))/VLOOKUP(A644,database!A:K,11,)</f>
        <v/>
      </c>
    </row>
    <row r="657">
      <c r="A657" s="40" t="n">
        <v>44287</v>
      </c>
      <c r="B657" s="41">
        <f>VLOOKUP(Table8[[#This Row],[Month]],database!A:J,MATCH('Capacity Utilization'!$A$1,database!$A$1:$J$1,),)</f>
        <v/>
      </c>
      <c r="C657" s="76">
        <f>(VLOOKUP(A657,database!A:K,11,) - VLOOKUP(A645,database!A:K,11,))/VLOOKUP(A645,database!A:K,11,)</f>
        <v/>
      </c>
    </row>
    <row r="658">
      <c r="A658" s="40" t="n">
        <v>44317</v>
      </c>
      <c r="B658" s="41">
        <f>VLOOKUP(Table8[[#This Row],[Month]],database!A:J,MATCH('Capacity Utilization'!$A$1,database!$A$1:$J$1,),)</f>
        <v/>
      </c>
      <c r="C658" s="76">
        <f>(VLOOKUP(A658,database!A:K,11,) - VLOOKUP(A646,database!A:K,11,))/VLOOKUP(A646,database!A:K,11,)</f>
        <v/>
      </c>
    </row>
    <row r="659">
      <c r="A659" s="40" t="n">
        <v>44348</v>
      </c>
      <c r="B659" s="41">
        <f>VLOOKUP(Table8[[#This Row],[Month]],database!A:J,MATCH('Capacity Utilization'!$A$1,database!$A$1:$J$1,),)</f>
        <v/>
      </c>
      <c r="C659" s="76">
        <f>(VLOOKUP(A659,database!A:K,11,) - VLOOKUP(A647,database!A:K,11,))/VLOOKUP(A647,database!A:K,11,)</f>
        <v/>
      </c>
    </row>
    <row r="660">
      <c r="A660" s="40" t="n">
        <v>44378</v>
      </c>
      <c r="B660" s="41">
        <f>VLOOKUP(Table8[[#This Row],[Month]],database!A:J,MATCH('Capacity Utilization'!$A$1,database!$A$1:$J$1,),)</f>
        <v/>
      </c>
      <c r="C660" s="76">
        <f>(VLOOKUP(A660,database!A:K,11,) - VLOOKUP(A648,database!A:K,11,))/VLOOKUP(A648,database!A:K,11,)</f>
        <v/>
      </c>
    </row>
    <row r="661">
      <c r="A661" s="40" t="n">
        <v>44409</v>
      </c>
      <c r="B661" s="41">
        <f>VLOOKUP(Table8[[#This Row],[Month]],database!A:J,MATCH('Capacity Utilization'!$A$1,database!$A$1:$J$1,),)</f>
        <v/>
      </c>
      <c r="C661" s="76">
        <f>(VLOOKUP(A661,database!A:K,11,) - VLOOKUP(A649,database!A:K,11,))/VLOOKUP(A649,database!A:K,11,)</f>
        <v/>
      </c>
    </row>
    <row r="662">
      <c r="A662" s="40" t="n">
        <v>44440</v>
      </c>
      <c r="B662" s="41">
        <f>VLOOKUP(Table8[[#This Row],[Month]],database!A:J,MATCH('Capacity Utilization'!$A$1,database!$A$1:$J$1,),)</f>
        <v/>
      </c>
      <c r="C662" s="76">
        <f>(VLOOKUP(A662,database!A:K,11,) - VLOOKUP(A650,database!A:K,11,))/VLOOKUP(A650,database!A:K,11,)</f>
        <v/>
      </c>
    </row>
    <row r="663">
      <c r="A663" s="40" t="n">
        <v>44470</v>
      </c>
      <c r="B663" s="41">
        <f>VLOOKUP(Table8[[#This Row],[Month]],database!A:J,MATCH('Capacity Utilization'!$A$1,database!$A$1:$J$1,),)</f>
        <v/>
      </c>
      <c r="C663" s="76">
        <f>(VLOOKUP(A663,database!A:K,11,) - VLOOKUP(A651,database!A:K,11,))/VLOOKUP(A651,database!A:K,11,)</f>
        <v/>
      </c>
    </row>
    <row r="664">
      <c r="A664" s="40" t="n">
        <v>44501</v>
      </c>
      <c r="B664" s="41">
        <f>VLOOKUP(Table8[[#This Row],[Month]],database!A:J,MATCH('Capacity Utilization'!$A$1,database!$A$1:$J$1,),)</f>
        <v/>
      </c>
      <c r="C664" s="76">
        <f>(VLOOKUP(A664,database!A:K,11,) - VLOOKUP(A652,database!A:K,11,))/VLOOKUP(A652,database!A:K,11,)</f>
        <v/>
      </c>
    </row>
    <row r="665">
      <c r="A665" s="40" t="n">
        <v>44531</v>
      </c>
      <c r="B665" s="41">
        <f>VLOOKUP(Table8[[#This Row],[Month]],database!A:J,MATCH('Capacity Utilization'!$A$1,database!$A$1:$J$1,),)</f>
        <v/>
      </c>
      <c r="C665" s="76">
        <f>(VLOOKUP(A665,database!A:K,11,) - VLOOKUP(A653,database!A:K,11,))/VLOOKUP(A653,database!A:K,11,)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6"/>
  <sheetViews>
    <sheetView zoomScale="150" zoomScaleNormal="150" workbookViewId="0">
      <pane ySplit="6" topLeftCell="A565" activePane="bottomLeft" state="frozen"/>
      <selection activeCell="A572" sqref="A572:D575"/>
      <selection pane="bottomLeft" activeCell="Y577" sqref="Y577"/>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IPMAT</t>
        </is>
      </c>
      <c r="B1" s="81" t="n"/>
      <c r="C1" s="81" t="n"/>
      <c r="S1" s="57" t="inlineStr">
        <is>
          <t>Industrial Production: Materials</t>
        </is>
      </c>
      <c r="T1" s="70" t="inlineStr">
        <is>
          <t xml:space="preserve"> since 2000 - </t>
        </is>
      </c>
      <c r="U1" s="81">
        <f>S1&amp;T1</f>
        <v/>
      </c>
      <c r="Y1" s="66">
        <f>U2&amp; T1</f>
        <v/>
      </c>
    </row>
    <row r="2">
      <c r="A2" s="18" t="n"/>
      <c r="B2" s="81" t="n"/>
      <c r="C2" s="81" t="n"/>
      <c r="S2" s="58" t="n"/>
      <c r="T2" s="70" t="n"/>
      <c r="U2" s="81">
        <f>S1&amp;Table17[[#Headers],[ yoy]]</f>
        <v/>
      </c>
    </row>
    <row r="3">
      <c r="A3" s="18" t="n"/>
      <c r="B3" s="58" t="n"/>
      <c r="C3" s="70" t="n"/>
    </row>
    <row r="4">
      <c r="A4" s="18" t="n"/>
      <c r="B4" s="58" t="n"/>
      <c r="C4" s="70" t="n"/>
    </row>
    <row r="5" ht="16" customHeight="1" s="54" thickBot="1">
      <c r="A5" s="18" t="n"/>
      <c r="B5" s="58" t="n"/>
      <c r="C5" s="70" t="n"/>
    </row>
    <row r="6" ht="16" customHeight="1" s="54" thickBot="1">
      <c r="A6" s="38" t="inlineStr">
        <is>
          <t>Date</t>
        </is>
      </c>
      <c r="B6" s="59" t="inlineStr">
        <is>
          <t>Index</t>
        </is>
      </c>
      <c r="C6" s="71" t="inlineStr">
        <is>
          <t>mom</t>
        </is>
      </c>
      <c r="D6" s="72" t="inlineStr">
        <is>
          <t xml:space="preserve"> yoy</t>
        </is>
      </c>
    </row>
    <row r="7">
      <c r="A7" s="37" t="n">
        <v>26299</v>
      </c>
      <c r="B7" s="60">
        <f>VLOOKUP(Table17[[#This Row],[Date]],database!A:H,7,)</f>
        <v/>
      </c>
      <c r="C7" s="73" t="n"/>
      <c r="D7" s="73" t="n"/>
    </row>
    <row r="8">
      <c r="A8" s="19" t="n">
        <v>26330</v>
      </c>
      <c r="B8" s="61">
        <f>VLOOKUP(Table17[[#This Row],[Date]],database!A:H,7,)</f>
        <v/>
      </c>
      <c r="C8" s="74">
        <f>B8/B7-1</f>
        <v/>
      </c>
      <c r="D8" s="74" t="n"/>
    </row>
    <row r="9">
      <c r="A9" s="19" t="n">
        <v>26359</v>
      </c>
      <c r="B9" s="61">
        <f>VLOOKUP(Table17[[#This Row],[Date]],database!A:H,7,)</f>
        <v/>
      </c>
      <c r="C9" s="74">
        <f>B9/B8-1</f>
        <v/>
      </c>
      <c r="D9" s="74" t="n"/>
    </row>
    <row r="10">
      <c r="A10" s="19" t="n">
        <v>26390</v>
      </c>
      <c r="B10" s="61">
        <f>VLOOKUP(Table17[[#This Row],[Date]],database!A:H,7,)</f>
        <v/>
      </c>
      <c r="C10" s="74">
        <f>B10/B9-1</f>
        <v/>
      </c>
      <c r="D10" s="74" t="n"/>
    </row>
    <row r="11">
      <c r="A11" s="19" t="n">
        <v>26420</v>
      </c>
      <c r="B11" s="61">
        <f>VLOOKUP(Table17[[#This Row],[Date]],database!A:H,7,)</f>
        <v/>
      </c>
      <c r="C11" s="74">
        <f>B11/B10-1</f>
        <v/>
      </c>
      <c r="D11" s="74" t="n"/>
    </row>
    <row r="12">
      <c r="A12" s="19" t="n">
        <v>26451</v>
      </c>
      <c r="B12" s="61">
        <f>VLOOKUP(Table17[[#This Row],[Date]],database!A:H,7,)</f>
        <v/>
      </c>
      <c r="C12" s="74">
        <f>B12/B11-1</f>
        <v/>
      </c>
      <c r="D12" s="74" t="n"/>
    </row>
    <row r="13">
      <c r="A13" s="19" t="n">
        <v>26481</v>
      </c>
      <c r="B13" s="61">
        <f>VLOOKUP(Table17[[#This Row],[Date]],database!A:H,7,)</f>
        <v/>
      </c>
      <c r="C13" s="74">
        <f>B13/B12-1</f>
        <v/>
      </c>
      <c r="D13" s="74" t="n"/>
    </row>
    <row r="14">
      <c r="A14" s="19" t="n">
        <v>26512</v>
      </c>
      <c r="B14" s="61">
        <f>VLOOKUP(Table17[[#This Row],[Date]],database!A:H,7,)</f>
        <v/>
      </c>
      <c r="C14" s="74">
        <f>B14/B13-1</f>
        <v/>
      </c>
      <c r="D14" s="74" t="n"/>
    </row>
    <row r="15">
      <c r="A15" s="19" t="n">
        <v>26543</v>
      </c>
      <c r="B15" s="61">
        <f>VLOOKUP(Table17[[#This Row],[Date]],database!A:H,7,)</f>
        <v/>
      </c>
      <c r="C15" s="74">
        <f>B15/B14-1</f>
        <v/>
      </c>
      <c r="D15" s="74" t="n"/>
    </row>
    <row r="16">
      <c r="A16" s="19" t="n">
        <v>26573</v>
      </c>
      <c r="B16" s="61">
        <f>VLOOKUP(Table17[[#This Row],[Date]],database!A:H,7,)</f>
        <v/>
      </c>
      <c r="C16" s="74">
        <f>B16/B15-1</f>
        <v/>
      </c>
      <c r="D16" s="74" t="n"/>
    </row>
    <row r="17">
      <c r="A17" s="19" t="n">
        <v>26604</v>
      </c>
      <c r="B17" s="61">
        <f>VLOOKUP(Table17[[#This Row],[Date]],database!A:H,7,)</f>
        <v/>
      </c>
      <c r="C17" s="74">
        <f>B17/B16-1</f>
        <v/>
      </c>
      <c r="D17" s="74" t="n"/>
    </row>
    <row r="18">
      <c r="A18" s="19" t="n">
        <v>26634</v>
      </c>
      <c r="B18" s="61">
        <f>VLOOKUP(Table17[[#This Row],[Date]],database!A:H,7,)</f>
        <v/>
      </c>
      <c r="C18" s="74">
        <f>B18/B17-1</f>
        <v/>
      </c>
      <c r="D18" s="74" t="n"/>
    </row>
    <row r="19">
      <c r="A19" s="19" t="n">
        <v>26665</v>
      </c>
      <c r="B19" s="61">
        <f>VLOOKUP(Table17[[#This Row],[Date]],database!A:H,7,)</f>
        <v/>
      </c>
      <c r="C19" s="74">
        <f>B19/B18-1</f>
        <v/>
      </c>
      <c r="D19" s="74" t="n"/>
    </row>
    <row r="20">
      <c r="A20" s="19" t="n">
        <v>26696</v>
      </c>
      <c r="B20" s="61">
        <f>VLOOKUP(Table17[[#This Row],[Date]],database!A:H,7,)</f>
        <v/>
      </c>
      <c r="C20" s="74">
        <f>B20/B19-1</f>
        <v/>
      </c>
      <c r="D20" s="74">
        <f>(Table17[[#This Row],[Index]]-B8)/B8</f>
        <v/>
      </c>
    </row>
    <row r="21">
      <c r="A21" s="19" t="n">
        <v>26724</v>
      </c>
      <c r="B21" s="61">
        <f>VLOOKUP(Table17[[#This Row],[Date]],database!A:H,7,)</f>
        <v/>
      </c>
      <c r="C21" s="74">
        <f>B21/B20-1</f>
        <v/>
      </c>
      <c r="D21" s="74">
        <f>(Table17[[#This Row],[Index]]-B9)/B9</f>
        <v/>
      </c>
    </row>
    <row r="22">
      <c r="A22" s="19" t="n">
        <v>26755</v>
      </c>
      <c r="B22" s="61">
        <f>VLOOKUP(Table17[[#This Row],[Date]],database!A:H,7,)</f>
        <v/>
      </c>
      <c r="C22" s="74">
        <f>B22/B21-1</f>
        <v/>
      </c>
      <c r="D22" s="74">
        <f>(Table17[[#This Row],[Index]]-B10)/B10</f>
        <v/>
      </c>
    </row>
    <row r="23">
      <c r="A23" s="19" t="n">
        <v>26785</v>
      </c>
      <c r="B23" s="61">
        <f>VLOOKUP(Table17[[#This Row],[Date]],database!A:H,7,)</f>
        <v/>
      </c>
      <c r="C23" s="74">
        <f>B23/B22-1</f>
        <v/>
      </c>
      <c r="D23" s="74">
        <f>(Table17[[#This Row],[Index]]-B11)/B11</f>
        <v/>
      </c>
    </row>
    <row r="24">
      <c r="A24" s="19" t="n">
        <v>26816</v>
      </c>
      <c r="B24" s="61">
        <f>VLOOKUP(Table17[[#This Row],[Date]],database!A:H,7,)</f>
        <v/>
      </c>
      <c r="C24" s="74">
        <f>B24/B23-1</f>
        <v/>
      </c>
      <c r="D24" s="74">
        <f>(Table17[[#This Row],[Index]]-B12)/B12</f>
        <v/>
      </c>
    </row>
    <row r="25">
      <c r="A25" s="19" t="n">
        <v>26846</v>
      </c>
      <c r="B25" s="61">
        <f>VLOOKUP(Table17[[#This Row],[Date]],database!A:H,7,)</f>
        <v/>
      </c>
      <c r="C25" s="74">
        <f>B25/B24-1</f>
        <v/>
      </c>
      <c r="D25" s="74">
        <f>(Table17[[#This Row],[Index]]-B13)/B13</f>
        <v/>
      </c>
    </row>
    <row r="26">
      <c r="A26" s="19" t="n">
        <v>26877</v>
      </c>
      <c r="B26" s="61">
        <f>VLOOKUP(Table17[[#This Row],[Date]],database!A:H,7,)</f>
        <v/>
      </c>
      <c r="C26" s="74">
        <f>B26/B25-1</f>
        <v/>
      </c>
      <c r="D26" s="74">
        <f>(Table17[[#This Row],[Index]]-B14)/B14</f>
        <v/>
      </c>
    </row>
    <row r="27">
      <c r="A27" s="19" t="n">
        <v>26908</v>
      </c>
      <c r="B27" s="61">
        <f>VLOOKUP(Table17[[#This Row],[Date]],database!A:H,7,)</f>
        <v/>
      </c>
      <c r="C27" s="74">
        <f>B27/B26-1</f>
        <v/>
      </c>
      <c r="D27" s="74">
        <f>(Table17[[#This Row],[Index]]-B15)/B15</f>
        <v/>
      </c>
    </row>
    <row r="28">
      <c r="A28" s="19" t="n">
        <v>26938</v>
      </c>
      <c r="B28" s="61">
        <f>VLOOKUP(Table17[[#This Row],[Date]],database!A:H,7,)</f>
        <v/>
      </c>
      <c r="C28" s="74">
        <f>B28/B27-1</f>
        <v/>
      </c>
      <c r="D28" s="74">
        <f>(Table17[[#This Row],[Index]]-B16)/B16</f>
        <v/>
      </c>
    </row>
    <row r="29">
      <c r="A29" s="19" t="n">
        <v>26969</v>
      </c>
      <c r="B29" s="61">
        <f>VLOOKUP(Table17[[#This Row],[Date]],database!A:H,7,)</f>
        <v/>
      </c>
      <c r="C29" s="74">
        <f>B29/B28-1</f>
        <v/>
      </c>
      <c r="D29" s="74">
        <f>(Table17[[#This Row],[Index]]-B17)/B17</f>
        <v/>
      </c>
    </row>
    <row r="30">
      <c r="A30" s="19" t="n">
        <v>26999</v>
      </c>
      <c r="B30" s="61">
        <f>VLOOKUP(Table17[[#This Row],[Date]],database!A:H,7,)</f>
        <v/>
      </c>
      <c r="C30" s="74">
        <f>B30/B29-1</f>
        <v/>
      </c>
      <c r="D30" s="74">
        <f>(Table17[[#This Row],[Index]]-B18)/B18</f>
        <v/>
      </c>
    </row>
    <row r="31">
      <c r="A31" s="19" t="n">
        <v>27030</v>
      </c>
      <c r="B31" s="61">
        <f>VLOOKUP(Table17[[#This Row],[Date]],database!A:H,7,)</f>
        <v/>
      </c>
      <c r="C31" s="74">
        <f>B31/B30-1</f>
        <v/>
      </c>
      <c r="D31" s="74">
        <f>(Table17[[#This Row],[Index]]-B19)/B19</f>
        <v/>
      </c>
    </row>
    <row r="32">
      <c r="A32" s="19" t="n">
        <v>27061</v>
      </c>
      <c r="B32" s="61">
        <f>VLOOKUP(Table17[[#This Row],[Date]],database!A:H,7,)</f>
        <v/>
      </c>
      <c r="C32" s="74">
        <f>B32/B31-1</f>
        <v/>
      </c>
      <c r="D32" s="74">
        <f>(Table17[[#This Row],[Index]]-B20)/B20</f>
        <v/>
      </c>
    </row>
    <row r="33">
      <c r="A33" s="19" t="n">
        <v>27089</v>
      </c>
      <c r="B33" s="61">
        <f>VLOOKUP(Table17[[#This Row],[Date]],database!A:H,7,)</f>
        <v/>
      </c>
      <c r="C33" s="74">
        <f>B33/B32-1</f>
        <v/>
      </c>
      <c r="D33" s="74">
        <f>(Table17[[#This Row],[Index]]-B21)/B21</f>
        <v/>
      </c>
    </row>
    <row r="34">
      <c r="A34" s="19" t="n">
        <v>27120</v>
      </c>
      <c r="B34" s="61">
        <f>VLOOKUP(Table17[[#This Row],[Date]],database!A:H,7,)</f>
        <v/>
      </c>
      <c r="C34" s="74">
        <f>B34/B33-1</f>
        <v/>
      </c>
      <c r="D34" s="74">
        <f>(Table17[[#This Row],[Index]]-B22)/B22</f>
        <v/>
      </c>
    </row>
    <row r="35">
      <c r="A35" s="19" t="n">
        <v>27150</v>
      </c>
      <c r="B35" s="61">
        <f>VLOOKUP(Table17[[#This Row],[Date]],database!A:H,7,)</f>
        <v/>
      </c>
      <c r="C35" s="74">
        <f>B35/B34-1</f>
        <v/>
      </c>
      <c r="D35" s="74">
        <f>(Table17[[#This Row],[Index]]-B23)/B23</f>
        <v/>
      </c>
    </row>
    <row r="36">
      <c r="A36" s="19" t="n">
        <v>27181</v>
      </c>
      <c r="B36" s="61">
        <f>VLOOKUP(Table17[[#This Row],[Date]],database!A:H,7,)</f>
        <v/>
      </c>
      <c r="C36" s="74">
        <f>B36/B35-1</f>
        <v/>
      </c>
      <c r="D36" s="74">
        <f>(Table17[[#This Row],[Index]]-B24)/B24</f>
        <v/>
      </c>
    </row>
    <row r="37">
      <c r="A37" s="19" t="n">
        <v>27211</v>
      </c>
      <c r="B37" s="61">
        <f>VLOOKUP(Table17[[#This Row],[Date]],database!A:H,7,)</f>
        <v/>
      </c>
      <c r="C37" s="74">
        <f>B37/B36-1</f>
        <v/>
      </c>
      <c r="D37" s="74">
        <f>(Table17[[#This Row],[Index]]-B25)/B25</f>
        <v/>
      </c>
    </row>
    <row r="38">
      <c r="A38" s="19" t="n">
        <v>27242</v>
      </c>
      <c r="B38" s="61">
        <f>VLOOKUP(Table17[[#This Row],[Date]],database!A:H,7,)</f>
        <v/>
      </c>
      <c r="C38" s="74">
        <f>B38/B37-1</f>
        <v/>
      </c>
      <c r="D38" s="74">
        <f>(Table17[[#This Row],[Index]]-B26)/B26</f>
        <v/>
      </c>
    </row>
    <row r="39">
      <c r="A39" s="19" t="n">
        <v>27273</v>
      </c>
      <c r="B39" s="61">
        <f>VLOOKUP(Table17[[#This Row],[Date]],database!A:H,7,)</f>
        <v/>
      </c>
      <c r="C39" s="74">
        <f>B39/B38-1</f>
        <v/>
      </c>
      <c r="D39" s="74">
        <f>(Table17[[#This Row],[Index]]-B27)/B27</f>
        <v/>
      </c>
    </row>
    <row r="40">
      <c r="A40" s="19" t="n">
        <v>27303</v>
      </c>
      <c r="B40" s="61">
        <f>VLOOKUP(Table17[[#This Row],[Date]],database!A:H,7,)</f>
        <v/>
      </c>
      <c r="C40" s="74">
        <f>B40/B39-1</f>
        <v/>
      </c>
      <c r="D40" s="74">
        <f>(Table17[[#This Row],[Index]]-B28)/B28</f>
        <v/>
      </c>
    </row>
    <row r="41">
      <c r="A41" s="19" t="n">
        <v>27334</v>
      </c>
      <c r="B41" s="61">
        <f>VLOOKUP(Table17[[#This Row],[Date]],database!A:H,7,)</f>
        <v/>
      </c>
      <c r="C41" s="74">
        <f>B41/B40-1</f>
        <v/>
      </c>
      <c r="D41" s="74">
        <f>(Table17[[#This Row],[Index]]-B29)/B29</f>
        <v/>
      </c>
    </row>
    <row r="42">
      <c r="A42" s="19" t="n">
        <v>27364</v>
      </c>
      <c r="B42" s="61">
        <f>VLOOKUP(Table17[[#This Row],[Date]],database!A:H,7,)</f>
        <v/>
      </c>
      <c r="C42" s="74">
        <f>B42/B41-1</f>
        <v/>
      </c>
      <c r="D42" s="74">
        <f>(Table17[[#This Row],[Index]]-B30)/B30</f>
        <v/>
      </c>
    </row>
    <row r="43">
      <c r="A43" s="19" t="n">
        <v>27395</v>
      </c>
      <c r="B43" s="61">
        <f>VLOOKUP(Table17[[#This Row],[Date]],database!A:H,7,)</f>
        <v/>
      </c>
      <c r="C43" s="74">
        <f>B43/B42-1</f>
        <v/>
      </c>
      <c r="D43" s="74">
        <f>(Table17[[#This Row],[Index]]-B31)/B31</f>
        <v/>
      </c>
    </row>
    <row r="44">
      <c r="A44" s="19" t="n">
        <v>27426</v>
      </c>
      <c r="B44" s="61">
        <f>VLOOKUP(Table17[[#This Row],[Date]],database!A:H,7,)</f>
        <v/>
      </c>
      <c r="C44" s="74">
        <f>B44/B43-1</f>
        <v/>
      </c>
      <c r="D44" s="74">
        <f>(Table17[[#This Row],[Index]]-B32)/B32</f>
        <v/>
      </c>
    </row>
    <row r="45">
      <c r="A45" s="19" t="n">
        <v>27454</v>
      </c>
      <c r="B45" s="61">
        <f>VLOOKUP(Table17[[#This Row],[Date]],database!A:H,7,)</f>
        <v/>
      </c>
      <c r="C45" s="74">
        <f>B45/B44-1</f>
        <v/>
      </c>
      <c r="D45" s="74">
        <f>(Table17[[#This Row],[Index]]-B33)/B33</f>
        <v/>
      </c>
    </row>
    <row r="46">
      <c r="A46" s="19" t="n">
        <v>27485</v>
      </c>
      <c r="B46" s="61">
        <f>VLOOKUP(Table17[[#This Row],[Date]],database!A:H,7,)</f>
        <v/>
      </c>
      <c r="C46" s="74">
        <f>B46/B45-1</f>
        <v/>
      </c>
      <c r="D46" s="74">
        <f>(Table17[[#This Row],[Index]]-B34)/B34</f>
        <v/>
      </c>
    </row>
    <row r="47">
      <c r="A47" s="19" t="n">
        <v>27515</v>
      </c>
      <c r="B47" s="61">
        <f>VLOOKUP(Table17[[#This Row],[Date]],database!A:H,7,)</f>
        <v/>
      </c>
      <c r="C47" s="74">
        <f>B47/B46-1</f>
        <v/>
      </c>
      <c r="D47" s="74">
        <f>(Table17[[#This Row],[Index]]-B35)/B35</f>
        <v/>
      </c>
    </row>
    <row r="48">
      <c r="A48" s="19" t="n">
        <v>27546</v>
      </c>
      <c r="B48" s="61">
        <f>VLOOKUP(Table17[[#This Row],[Date]],database!A:H,7,)</f>
        <v/>
      </c>
      <c r="C48" s="74">
        <f>B48/B47-1</f>
        <v/>
      </c>
      <c r="D48" s="74">
        <f>(Table17[[#This Row],[Index]]-B36)/B36</f>
        <v/>
      </c>
    </row>
    <row r="49">
      <c r="A49" s="19" t="n">
        <v>27576</v>
      </c>
      <c r="B49" s="61">
        <f>VLOOKUP(Table17[[#This Row],[Date]],database!A:H,7,)</f>
        <v/>
      </c>
      <c r="C49" s="74">
        <f>B49/B48-1</f>
        <v/>
      </c>
      <c r="D49" s="74">
        <f>(Table17[[#This Row],[Index]]-B37)/B37</f>
        <v/>
      </c>
    </row>
    <row r="50">
      <c r="A50" s="19" t="n">
        <v>27607</v>
      </c>
      <c r="B50" s="61">
        <f>VLOOKUP(Table17[[#This Row],[Date]],database!A:H,7,)</f>
        <v/>
      </c>
      <c r="C50" s="74">
        <f>B50/B49-1</f>
        <v/>
      </c>
      <c r="D50" s="74">
        <f>(Table17[[#This Row],[Index]]-B38)/B38</f>
        <v/>
      </c>
    </row>
    <row r="51">
      <c r="A51" s="19" t="n">
        <v>27638</v>
      </c>
      <c r="B51" s="61">
        <f>VLOOKUP(Table17[[#This Row],[Date]],database!A:H,7,)</f>
        <v/>
      </c>
      <c r="C51" s="74">
        <f>B51/B50-1</f>
        <v/>
      </c>
      <c r="D51" s="74">
        <f>(Table17[[#This Row],[Index]]-B39)/B39</f>
        <v/>
      </c>
    </row>
    <row r="52">
      <c r="A52" s="19" t="n">
        <v>27668</v>
      </c>
      <c r="B52" s="61">
        <f>VLOOKUP(Table17[[#This Row],[Date]],database!A:H,7,)</f>
        <v/>
      </c>
      <c r="C52" s="74">
        <f>B52/B51-1</f>
        <v/>
      </c>
      <c r="D52" s="74">
        <f>(Table17[[#This Row],[Index]]-B40)/B40</f>
        <v/>
      </c>
    </row>
    <row r="53">
      <c r="A53" s="19" t="n">
        <v>27699</v>
      </c>
      <c r="B53" s="61">
        <f>VLOOKUP(Table17[[#This Row],[Date]],database!A:H,7,)</f>
        <v/>
      </c>
      <c r="C53" s="74">
        <f>B53/B52-1</f>
        <v/>
      </c>
      <c r="D53" s="74">
        <f>(Table17[[#This Row],[Index]]-B41)/B41</f>
        <v/>
      </c>
    </row>
    <row r="54">
      <c r="A54" s="19" t="n">
        <v>27729</v>
      </c>
      <c r="B54" s="61">
        <f>VLOOKUP(Table17[[#This Row],[Date]],database!A:H,7,)</f>
        <v/>
      </c>
      <c r="C54" s="74">
        <f>B54/B53-1</f>
        <v/>
      </c>
      <c r="D54" s="74">
        <f>(Table17[[#This Row],[Index]]-B42)/B42</f>
        <v/>
      </c>
    </row>
    <row r="55">
      <c r="A55" s="19" t="n">
        <v>27760</v>
      </c>
      <c r="B55" s="61">
        <f>VLOOKUP(Table17[[#This Row],[Date]],database!A:H,7,)</f>
        <v/>
      </c>
      <c r="C55" s="74">
        <f>B55/B54-1</f>
        <v/>
      </c>
      <c r="D55" s="74">
        <f>(Table17[[#This Row],[Index]]-B43)/B43</f>
        <v/>
      </c>
    </row>
    <row r="56">
      <c r="A56" s="19" t="n">
        <v>27791</v>
      </c>
      <c r="B56" s="61">
        <f>VLOOKUP(Table17[[#This Row],[Date]],database!A:H,7,)</f>
        <v/>
      </c>
      <c r="C56" s="74">
        <f>B56/B55-1</f>
        <v/>
      </c>
      <c r="D56" s="74">
        <f>(Table17[[#This Row],[Index]]-B44)/B44</f>
        <v/>
      </c>
    </row>
    <row r="57">
      <c r="A57" s="19" t="n">
        <v>27820</v>
      </c>
      <c r="B57" s="61">
        <f>VLOOKUP(Table17[[#This Row],[Date]],database!A:H,7,)</f>
        <v/>
      </c>
      <c r="C57" s="74">
        <f>B57/B56-1</f>
        <v/>
      </c>
      <c r="D57" s="74">
        <f>(Table17[[#This Row],[Index]]-B45)/B45</f>
        <v/>
      </c>
    </row>
    <row r="58">
      <c r="A58" s="19" t="n">
        <v>27851</v>
      </c>
      <c r="B58" s="61">
        <f>VLOOKUP(Table17[[#This Row],[Date]],database!A:H,7,)</f>
        <v/>
      </c>
      <c r="C58" s="74">
        <f>B58/B57-1</f>
        <v/>
      </c>
      <c r="D58" s="74">
        <f>(Table17[[#This Row],[Index]]-B46)/B46</f>
        <v/>
      </c>
    </row>
    <row r="59">
      <c r="A59" s="19" t="n">
        <v>27881</v>
      </c>
      <c r="B59" s="61">
        <f>VLOOKUP(Table17[[#This Row],[Date]],database!A:H,7,)</f>
        <v/>
      </c>
      <c r="C59" s="74">
        <f>B59/B58-1</f>
        <v/>
      </c>
      <c r="D59" s="74">
        <f>(Table17[[#This Row],[Index]]-B47)/B47</f>
        <v/>
      </c>
    </row>
    <row r="60">
      <c r="A60" s="19" t="n">
        <v>27912</v>
      </c>
      <c r="B60" s="61">
        <f>VLOOKUP(Table17[[#This Row],[Date]],database!A:H,7,)</f>
        <v/>
      </c>
      <c r="C60" s="74">
        <f>B60/B59-1</f>
        <v/>
      </c>
      <c r="D60" s="74">
        <f>(Table17[[#This Row],[Index]]-B48)/B48</f>
        <v/>
      </c>
    </row>
    <row r="61">
      <c r="A61" s="19" t="n">
        <v>27942</v>
      </c>
      <c r="B61" s="61">
        <f>VLOOKUP(Table17[[#This Row],[Date]],database!A:H,7,)</f>
        <v/>
      </c>
      <c r="C61" s="74">
        <f>B61/B60-1</f>
        <v/>
      </c>
      <c r="D61" s="74">
        <f>(Table17[[#This Row],[Index]]-B49)/B49</f>
        <v/>
      </c>
    </row>
    <row r="62">
      <c r="A62" s="19" t="n">
        <v>27973</v>
      </c>
      <c r="B62" s="61">
        <f>VLOOKUP(Table17[[#This Row],[Date]],database!A:H,7,)</f>
        <v/>
      </c>
      <c r="C62" s="74">
        <f>B62/B61-1</f>
        <v/>
      </c>
      <c r="D62" s="74">
        <f>(Table17[[#This Row],[Index]]-B50)/B50</f>
        <v/>
      </c>
    </row>
    <row r="63">
      <c r="A63" s="19" t="n">
        <v>28004</v>
      </c>
      <c r="B63" s="61">
        <f>VLOOKUP(Table17[[#This Row],[Date]],database!A:H,7,)</f>
        <v/>
      </c>
      <c r="C63" s="74">
        <f>B63/B62-1</f>
        <v/>
      </c>
      <c r="D63" s="74">
        <f>(Table17[[#This Row],[Index]]-B51)/B51</f>
        <v/>
      </c>
    </row>
    <row r="64">
      <c r="A64" s="19" t="n">
        <v>28034</v>
      </c>
      <c r="B64" s="61">
        <f>VLOOKUP(Table17[[#This Row],[Date]],database!A:H,7,)</f>
        <v/>
      </c>
      <c r="C64" s="74">
        <f>B64/B63-1</f>
        <v/>
      </c>
      <c r="D64" s="74">
        <f>(Table17[[#This Row],[Index]]-B52)/B52</f>
        <v/>
      </c>
    </row>
    <row r="65">
      <c r="A65" s="19" t="n">
        <v>28065</v>
      </c>
      <c r="B65" s="61">
        <f>VLOOKUP(Table17[[#This Row],[Date]],database!A:H,7,)</f>
        <v/>
      </c>
      <c r="C65" s="74">
        <f>B65/B64-1</f>
        <v/>
      </c>
      <c r="D65" s="74">
        <f>(Table17[[#This Row],[Index]]-B53)/B53</f>
        <v/>
      </c>
    </row>
    <row r="66">
      <c r="A66" s="19" t="n">
        <v>28095</v>
      </c>
      <c r="B66" s="61">
        <f>VLOOKUP(Table17[[#This Row],[Date]],database!A:H,7,)</f>
        <v/>
      </c>
      <c r="C66" s="74">
        <f>B66/B65-1</f>
        <v/>
      </c>
      <c r="D66" s="74">
        <f>(Table17[[#This Row],[Index]]-B54)/B54</f>
        <v/>
      </c>
    </row>
    <row r="67">
      <c r="A67" s="19" t="n">
        <v>28126</v>
      </c>
      <c r="B67" s="61">
        <f>VLOOKUP(Table17[[#This Row],[Date]],database!A:H,7,)</f>
        <v/>
      </c>
      <c r="C67" s="74">
        <f>B67/B66-1</f>
        <v/>
      </c>
      <c r="D67" s="74">
        <f>(Table17[[#This Row],[Index]]-B55)/B55</f>
        <v/>
      </c>
    </row>
    <row r="68">
      <c r="A68" s="19" t="n">
        <v>28157</v>
      </c>
      <c r="B68" s="61">
        <f>VLOOKUP(Table17[[#This Row],[Date]],database!A:H,7,)</f>
        <v/>
      </c>
      <c r="C68" s="74">
        <f>B68/B67-1</f>
        <v/>
      </c>
      <c r="D68" s="74">
        <f>(Table17[[#This Row],[Index]]-B56)/B56</f>
        <v/>
      </c>
    </row>
    <row r="69">
      <c r="A69" s="19" t="n">
        <v>28185</v>
      </c>
      <c r="B69" s="61">
        <f>VLOOKUP(Table17[[#This Row],[Date]],database!A:H,7,)</f>
        <v/>
      </c>
      <c r="C69" s="74">
        <f>B69/B68-1</f>
        <v/>
      </c>
      <c r="D69" s="74">
        <f>(Table17[[#This Row],[Index]]-B57)/B57</f>
        <v/>
      </c>
    </row>
    <row r="70">
      <c r="A70" s="19" t="n">
        <v>28216</v>
      </c>
      <c r="B70" s="61">
        <f>VLOOKUP(Table17[[#This Row],[Date]],database!A:H,7,)</f>
        <v/>
      </c>
      <c r="C70" s="74">
        <f>B70/B69-1</f>
        <v/>
      </c>
      <c r="D70" s="74">
        <f>(Table17[[#This Row],[Index]]-B58)/B58</f>
        <v/>
      </c>
    </row>
    <row r="71">
      <c r="A71" s="19" t="n">
        <v>28246</v>
      </c>
      <c r="B71" s="61">
        <f>VLOOKUP(Table17[[#This Row],[Date]],database!A:H,7,)</f>
        <v/>
      </c>
      <c r="C71" s="74">
        <f>B71/B70-1</f>
        <v/>
      </c>
      <c r="D71" s="74">
        <f>(Table17[[#This Row],[Index]]-B59)/B59</f>
        <v/>
      </c>
    </row>
    <row r="72">
      <c r="A72" s="19" t="n">
        <v>28277</v>
      </c>
      <c r="B72" s="61">
        <f>VLOOKUP(Table17[[#This Row],[Date]],database!A:H,7,)</f>
        <v/>
      </c>
      <c r="C72" s="74">
        <f>B72/B71-1</f>
        <v/>
      </c>
      <c r="D72" s="74">
        <f>(Table17[[#This Row],[Index]]-B60)/B60</f>
        <v/>
      </c>
    </row>
    <row r="73">
      <c r="A73" s="19" t="n">
        <v>28307</v>
      </c>
      <c r="B73" s="61">
        <f>VLOOKUP(Table17[[#This Row],[Date]],database!A:H,7,)</f>
        <v/>
      </c>
      <c r="C73" s="74">
        <f>B73/B72-1</f>
        <v/>
      </c>
      <c r="D73" s="74">
        <f>(Table17[[#This Row],[Index]]-B61)/B61</f>
        <v/>
      </c>
    </row>
    <row r="74">
      <c r="A74" s="19" t="n">
        <v>28338</v>
      </c>
      <c r="B74" s="61">
        <f>VLOOKUP(Table17[[#This Row],[Date]],database!A:H,7,)</f>
        <v/>
      </c>
      <c r="C74" s="74">
        <f>B74/B73-1</f>
        <v/>
      </c>
      <c r="D74" s="74">
        <f>(Table17[[#This Row],[Index]]-B62)/B62</f>
        <v/>
      </c>
    </row>
    <row r="75">
      <c r="A75" s="19" t="n">
        <v>28369</v>
      </c>
      <c r="B75" s="61">
        <f>VLOOKUP(Table17[[#This Row],[Date]],database!A:H,7,)</f>
        <v/>
      </c>
      <c r="C75" s="74">
        <f>B75/B74-1</f>
        <v/>
      </c>
      <c r="D75" s="74">
        <f>(Table17[[#This Row],[Index]]-B63)/B63</f>
        <v/>
      </c>
    </row>
    <row r="76">
      <c r="A76" s="19" t="n">
        <v>28399</v>
      </c>
      <c r="B76" s="61">
        <f>VLOOKUP(Table17[[#This Row],[Date]],database!A:H,7,)</f>
        <v/>
      </c>
      <c r="C76" s="74">
        <f>B76/B75-1</f>
        <v/>
      </c>
      <c r="D76" s="74">
        <f>(Table17[[#This Row],[Index]]-B64)/B64</f>
        <v/>
      </c>
    </row>
    <row r="77">
      <c r="A77" s="19" t="n">
        <v>28430</v>
      </c>
      <c r="B77" s="61">
        <f>VLOOKUP(Table17[[#This Row],[Date]],database!A:H,7,)</f>
        <v/>
      </c>
      <c r="C77" s="74">
        <f>B77/B76-1</f>
        <v/>
      </c>
      <c r="D77" s="74">
        <f>(Table17[[#This Row],[Index]]-B65)/B65</f>
        <v/>
      </c>
    </row>
    <row r="78">
      <c r="A78" s="19" t="n">
        <v>28460</v>
      </c>
      <c r="B78" s="61">
        <f>VLOOKUP(Table17[[#This Row],[Date]],database!A:H,7,)</f>
        <v/>
      </c>
      <c r="C78" s="74">
        <f>B78/B77-1</f>
        <v/>
      </c>
      <c r="D78" s="74">
        <f>(Table17[[#This Row],[Index]]-B66)/B66</f>
        <v/>
      </c>
    </row>
    <row r="79">
      <c r="A79" s="19" t="n">
        <v>28491</v>
      </c>
      <c r="B79" s="61">
        <f>VLOOKUP(Table17[[#This Row],[Date]],database!A:H,7,)</f>
        <v/>
      </c>
      <c r="C79" s="74">
        <f>B79/B78-1</f>
        <v/>
      </c>
      <c r="D79" s="74">
        <f>(Table17[[#This Row],[Index]]-B67)/B67</f>
        <v/>
      </c>
    </row>
    <row r="80">
      <c r="A80" s="19" t="n">
        <v>28522</v>
      </c>
      <c r="B80" s="61">
        <f>VLOOKUP(Table17[[#This Row],[Date]],database!A:H,7,)</f>
        <v/>
      </c>
      <c r="C80" s="74">
        <f>B80/B79-1</f>
        <v/>
      </c>
      <c r="D80" s="74">
        <f>(Table17[[#This Row],[Index]]-B68)/B68</f>
        <v/>
      </c>
    </row>
    <row r="81">
      <c r="A81" s="19" t="n">
        <v>28550</v>
      </c>
      <c r="B81" s="61">
        <f>VLOOKUP(Table17[[#This Row],[Date]],database!A:H,7,)</f>
        <v/>
      </c>
      <c r="C81" s="74">
        <f>B81/B80-1</f>
        <v/>
      </c>
      <c r="D81" s="74">
        <f>(Table17[[#This Row],[Index]]-B69)/B69</f>
        <v/>
      </c>
    </row>
    <row r="82">
      <c r="A82" s="19" t="n">
        <v>28581</v>
      </c>
      <c r="B82" s="61">
        <f>VLOOKUP(Table17[[#This Row],[Date]],database!A:H,7,)</f>
        <v/>
      </c>
      <c r="C82" s="74">
        <f>B82/B81-1</f>
        <v/>
      </c>
      <c r="D82" s="74">
        <f>(Table17[[#This Row],[Index]]-B70)/B70</f>
        <v/>
      </c>
    </row>
    <row r="83">
      <c r="A83" s="19" t="n">
        <v>28611</v>
      </c>
      <c r="B83" s="61">
        <f>VLOOKUP(Table17[[#This Row],[Date]],database!A:H,7,)</f>
        <v/>
      </c>
      <c r="C83" s="74">
        <f>B83/B82-1</f>
        <v/>
      </c>
      <c r="D83" s="74">
        <f>(Table17[[#This Row],[Index]]-B71)/B71</f>
        <v/>
      </c>
    </row>
    <row r="84">
      <c r="A84" s="19" t="n">
        <v>28642</v>
      </c>
      <c r="B84" s="61">
        <f>VLOOKUP(Table17[[#This Row],[Date]],database!A:H,7,)</f>
        <v/>
      </c>
      <c r="C84" s="74">
        <f>B84/B83-1</f>
        <v/>
      </c>
      <c r="D84" s="74">
        <f>(Table17[[#This Row],[Index]]-B72)/B72</f>
        <v/>
      </c>
    </row>
    <row r="85">
      <c r="A85" s="19" t="n">
        <v>28672</v>
      </c>
      <c r="B85" s="61">
        <f>VLOOKUP(Table17[[#This Row],[Date]],database!A:H,7,)</f>
        <v/>
      </c>
      <c r="C85" s="74">
        <f>B85/B84-1</f>
        <v/>
      </c>
      <c r="D85" s="74">
        <f>(Table17[[#This Row],[Index]]-B73)/B73</f>
        <v/>
      </c>
    </row>
    <row r="86">
      <c r="A86" s="19" t="n">
        <v>28703</v>
      </c>
      <c r="B86" s="61">
        <f>VLOOKUP(Table17[[#This Row],[Date]],database!A:H,7,)</f>
        <v/>
      </c>
      <c r="C86" s="74">
        <f>B86/B85-1</f>
        <v/>
      </c>
      <c r="D86" s="74">
        <f>(Table17[[#This Row],[Index]]-B74)/B74</f>
        <v/>
      </c>
    </row>
    <row r="87">
      <c r="A87" s="19" t="n">
        <v>28734</v>
      </c>
      <c r="B87" s="61">
        <f>VLOOKUP(Table17[[#This Row],[Date]],database!A:H,7,)</f>
        <v/>
      </c>
      <c r="C87" s="74">
        <f>B87/B86-1</f>
        <v/>
      </c>
      <c r="D87" s="74">
        <f>(Table17[[#This Row],[Index]]-B75)/B75</f>
        <v/>
      </c>
    </row>
    <row r="88">
      <c r="A88" s="19" t="n">
        <v>28764</v>
      </c>
      <c r="B88" s="61">
        <f>VLOOKUP(Table17[[#This Row],[Date]],database!A:H,7,)</f>
        <v/>
      </c>
      <c r="C88" s="74">
        <f>B88/B87-1</f>
        <v/>
      </c>
      <c r="D88" s="74">
        <f>(Table17[[#This Row],[Index]]-B76)/B76</f>
        <v/>
      </c>
    </row>
    <row r="89">
      <c r="A89" s="19" t="n">
        <v>28795</v>
      </c>
      <c r="B89" s="61">
        <f>VLOOKUP(Table17[[#This Row],[Date]],database!A:H,7,)</f>
        <v/>
      </c>
      <c r="C89" s="74">
        <f>B89/B88-1</f>
        <v/>
      </c>
      <c r="D89" s="74">
        <f>(Table17[[#This Row],[Index]]-B77)/B77</f>
        <v/>
      </c>
    </row>
    <row r="90">
      <c r="A90" s="19" t="n">
        <v>28825</v>
      </c>
      <c r="B90" s="61">
        <f>VLOOKUP(Table17[[#This Row],[Date]],database!A:H,7,)</f>
        <v/>
      </c>
      <c r="C90" s="74">
        <f>B90/B89-1</f>
        <v/>
      </c>
      <c r="D90" s="74">
        <f>(Table17[[#This Row],[Index]]-B78)/B78</f>
        <v/>
      </c>
    </row>
    <row r="91">
      <c r="A91" s="19" t="n">
        <v>28856</v>
      </c>
      <c r="B91" s="61">
        <f>VLOOKUP(Table17[[#This Row],[Date]],database!A:H,7,)</f>
        <v/>
      </c>
      <c r="C91" s="74">
        <f>B91/B90-1</f>
        <v/>
      </c>
      <c r="D91" s="74">
        <f>(Table17[[#This Row],[Index]]-B79)/B79</f>
        <v/>
      </c>
    </row>
    <row r="92">
      <c r="A92" s="19" t="n">
        <v>28887</v>
      </c>
      <c r="B92" s="61">
        <f>VLOOKUP(Table17[[#This Row],[Date]],database!A:H,7,)</f>
        <v/>
      </c>
      <c r="C92" s="74">
        <f>B92/B91-1</f>
        <v/>
      </c>
      <c r="D92" s="74">
        <f>(Table17[[#This Row],[Index]]-B80)/B80</f>
        <v/>
      </c>
    </row>
    <row r="93">
      <c r="A93" s="19" t="n">
        <v>28915</v>
      </c>
      <c r="B93" s="61">
        <f>VLOOKUP(Table17[[#This Row],[Date]],database!A:H,7,)</f>
        <v/>
      </c>
      <c r="C93" s="74">
        <f>B93/B92-1</f>
        <v/>
      </c>
      <c r="D93" s="74">
        <f>(Table17[[#This Row],[Index]]-B81)/B81</f>
        <v/>
      </c>
    </row>
    <row r="94">
      <c r="A94" s="19" t="n">
        <v>28946</v>
      </c>
      <c r="B94" s="61">
        <f>VLOOKUP(Table17[[#This Row],[Date]],database!A:H,7,)</f>
        <v/>
      </c>
      <c r="C94" s="74">
        <f>B94/B93-1</f>
        <v/>
      </c>
      <c r="D94" s="74">
        <f>(Table17[[#This Row],[Index]]-B82)/B82</f>
        <v/>
      </c>
    </row>
    <row r="95">
      <c r="A95" s="19" t="n">
        <v>28976</v>
      </c>
      <c r="B95" s="61">
        <f>VLOOKUP(Table17[[#This Row],[Date]],database!A:H,7,)</f>
        <v/>
      </c>
      <c r="C95" s="74">
        <f>B95/B94-1</f>
        <v/>
      </c>
      <c r="D95" s="74">
        <f>(Table17[[#This Row],[Index]]-B83)/B83</f>
        <v/>
      </c>
    </row>
    <row r="96">
      <c r="A96" s="19" t="n">
        <v>29007</v>
      </c>
      <c r="B96" s="61">
        <f>VLOOKUP(Table17[[#This Row],[Date]],database!A:H,7,)</f>
        <v/>
      </c>
      <c r="C96" s="74">
        <f>B96/B95-1</f>
        <v/>
      </c>
      <c r="D96" s="74">
        <f>(Table17[[#This Row],[Index]]-B84)/B84</f>
        <v/>
      </c>
    </row>
    <row r="97">
      <c r="A97" s="19" t="n">
        <v>29037</v>
      </c>
      <c r="B97" s="61">
        <f>VLOOKUP(Table17[[#This Row],[Date]],database!A:H,7,)</f>
        <v/>
      </c>
      <c r="C97" s="74">
        <f>B97/B96-1</f>
        <v/>
      </c>
      <c r="D97" s="74">
        <f>(Table17[[#This Row],[Index]]-B85)/B85</f>
        <v/>
      </c>
    </row>
    <row r="98">
      <c r="A98" s="19" t="n">
        <v>29068</v>
      </c>
      <c r="B98" s="61">
        <f>VLOOKUP(Table17[[#This Row],[Date]],database!A:H,7,)</f>
        <v/>
      </c>
      <c r="C98" s="74">
        <f>B98/B97-1</f>
        <v/>
      </c>
      <c r="D98" s="74">
        <f>(Table17[[#This Row],[Index]]-B86)/B86</f>
        <v/>
      </c>
    </row>
    <row r="99">
      <c r="A99" s="19" t="n">
        <v>29099</v>
      </c>
      <c r="B99" s="61">
        <f>VLOOKUP(Table17[[#This Row],[Date]],database!A:H,7,)</f>
        <v/>
      </c>
      <c r="C99" s="74">
        <f>B99/B98-1</f>
        <v/>
      </c>
      <c r="D99" s="74">
        <f>(Table17[[#This Row],[Index]]-B87)/B87</f>
        <v/>
      </c>
    </row>
    <row r="100">
      <c r="A100" s="19" t="n">
        <v>29129</v>
      </c>
      <c r="B100" s="61">
        <f>VLOOKUP(Table17[[#This Row],[Date]],database!A:H,7,)</f>
        <v/>
      </c>
      <c r="C100" s="74">
        <f>B100/B99-1</f>
        <v/>
      </c>
      <c r="D100" s="74">
        <f>(Table17[[#This Row],[Index]]-B88)/B88</f>
        <v/>
      </c>
    </row>
    <row r="101">
      <c r="A101" s="19" t="n">
        <v>29160</v>
      </c>
      <c r="B101" s="61">
        <f>VLOOKUP(Table17[[#This Row],[Date]],database!A:H,7,)</f>
        <v/>
      </c>
      <c r="C101" s="74">
        <f>B101/B100-1</f>
        <v/>
      </c>
      <c r="D101" s="74">
        <f>(Table17[[#This Row],[Index]]-B89)/B89</f>
        <v/>
      </c>
    </row>
    <row r="102">
      <c r="A102" s="19" t="n">
        <v>29190</v>
      </c>
      <c r="B102" s="61">
        <f>VLOOKUP(Table17[[#This Row],[Date]],database!A:H,7,)</f>
        <v/>
      </c>
      <c r="C102" s="74">
        <f>B102/B101-1</f>
        <v/>
      </c>
      <c r="D102" s="74">
        <f>(Table17[[#This Row],[Index]]-B90)/B90</f>
        <v/>
      </c>
    </row>
    <row r="103">
      <c r="A103" s="19" t="n">
        <v>29221</v>
      </c>
      <c r="B103" s="61">
        <f>VLOOKUP(Table17[[#This Row],[Date]],database!A:H,7,)</f>
        <v/>
      </c>
      <c r="C103" s="74">
        <f>B103/B102-1</f>
        <v/>
      </c>
      <c r="D103" s="74">
        <f>(Table17[[#This Row],[Index]]-B91)/B91</f>
        <v/>
      </c>
    </row>
    <row r="104">
      <c r="A104" s="19" t="n">
        <v>29252</v>
      </c>
      <c r="B104" s="61">
        <f>VLOOKUP(Table17[[#This Row],[Date]],database!A:H,7,)</f>
        <v/>
      </c>
      <c r="C104" s="74">
        <f>B104/B103-1</f>
        <v/>
      </c>
      <c r="D104" s="74">
        <f>(Table17[[#This Row],[Index]]-B92)/B92</f>
        <v/>
      </c>
    </row>
    <row r="105">
      <c r="A105" s="19" t="n">
        <v>29281</v>
      </c>
      <c r="B105" s="61">
        <f>VLOOKUP(Table17[[#This Row],[Date]],database!A:H,7,)</f>
        <v/>
      </c>
      <c r="C105" s="74">
        <f>B105/B104-1</f>
        <v/>
      </c>
      <c r="D105" s="74">
        <f>(Table17[[#This Row],[Index]]-B93)/B93</f>
        <v/>
      </c>
    </row>
    <row r="106">
      <c r="A106" s="19" t="n">
        <v>29312</v>
      </c>
      <c r="B106" s="61">
        <f>VLOOKUP(Table17[[#This Row],[Date]],database!A:H,7,)</f>
        <v/>
      </c>
      <c r="C106" s="74">
        <f>B106/B105-1</f>
        <v/>
      </c>
      <c r="D106" s="74">
        <f>(Table17[[#This Row],[Index]]-B94)/B94</f>
        <v/>
      </c>
    </row>
    <row r="107">
      <c r="A107" s="19" t="n">
        <v>29342</v>
      </c>
      <c r="B107" s="61">
        <f>VLOOKUP(Table17[[#This Row],[Date]],database!A:H,7,)</f>
        <v/>
      </c>
      <c r="C107" s="74">
        <f>B107/B106-1</f>
        <v/>
      </c>
      <c r="D107" s="74">
        <f>(Table17[[#This Row],[Index]]-B95)/B95</f>
        <v/>
      </c>
    </row>
    <row r="108">
      <c r="A108" s="19" t="n">
        <v>29373</v>
      </c>
      <c r="B108" s="61">
        <f>VLOOKUP(Table17[[#This Row],[Date]],database!A:H,7,)</f>
        <v/>
      </c>
      <c r="C108" s="74">
        <f>B108/B107-1</f>
        <v/>
      </c>
      <c r="D108" s="74">
        <f>(Table17[[#This Row],[Index]]-B96)/B96</f>
        <v/>
      </c>
    </row>
    <row r="109">
      <c r="A109" s="19" t="n">
        <v>29403</v>
      </c>
      <c r="B109" s="61">
        <f>VLOOKUP(Table17[[#This Row],[Date]],database!A:H,7,)</f>
        <v/>
      </c>
      <c r="C109" s="74">
        <f>B109/B108-1</f>
        <v/>
      </c>
      <c r="D109" s="74">
        <f>(Table17[[#This Row],[Index]]-B97)/B97</f>
        <v/>
      </c>
    </row>
    <row r="110">
      <c r="A110" s="19" t="n">
        <v>29434</v>
      </c>
      <c r="B110" s="61">
        <f>VLOOKUP(Table17[[#This Row],[Date]],database!A:H,7,)</f>
        <v/>
      </c>
      <c r="C110" s="74">
        <f>B110/B109-1</f>
        <v/>
      </c>
      <c r="D110" s="74">
        <f>(Table17[[#This Row],[Index]]-B98)/B98</f>
        <v/>
      </c>
    </row>
    <row r="111">
      <c r="A111" s="19" t="n">
        <v>29465</v>
      </c>
      <c r="B111" s="61">
        <f>VLOOKUP(Table17[[#This Row],[Date]],database!A:H,7,)</f>
        <v/>
      </c>
      <c r="C111" s="74">
        <f>B111/B110-1</f>
        <v/>
      </c>
      <c r="D111" s="74">
        <f>(Table17[[#This Row],[Index]]-B99)/B99</f>
        <v/>
      </c>
    </row>
    <row r="112">
      <c r="A112" s="19" t="n">
        <v>29495</v>
      </c>
      <c r="B112" s="61">
        <f>VLOOKUP(Table17[[#This Row],[Date]],database!A:H,7,)</f>
        <v/>
      </c>
      <c r="C112" s="74">
        <f>B112/B111-1</f>
        <v/>
      </c>
      <c r="D112" s="74">
        <f>(Table17[[#This Row],[Index]]-B100)/B100</f>
        <v/>
      </c>
    </row>
    <row r="113">
      <c r="A113" s="19" t="n">
        <v>29526</v>
      </c>
      <c r="B113" s="61">
        <f>VLOOKUP(Table17[[#This Row],[Date]],database!A:H,7,)</f>
        <v/>
      </c>
      <c r="C113" s="74">
        <f>B113/B112-1</f>
        <v/>
      </c>
      <c r="D113" s="74">
        <f>(Table17[[#This Row],[Index]]-B101)/B101</f>
        <v/>
      </c>
    </row>
    <row r="114">
      <c r="A114" s="19" t="n">
        <v>29556</v>
      </c>
      <c r="B114" s="61">
        <f>VLOOKUP(Table17[[#This Row],[Date]],database!A:H,7,)</f>
        <v/>
      </c>
      <c r="C114" s="74">
        <f>B114/B113-1</f>
        <v/>
      </c>
      <c r="D114" s="74">
        <f>(Table17[[#This Row],[Index]]-B102)/B102</f>
        <v/>
      </c>
    </row>
    <row r="115">
      <c r="A115" s="19" t="n">
        <v>29587</v>
      </c>
      <c r="B115" s="61">
        <f>VLOOKUP(Table17[[#This Row],[Date]],database!A:H,7,)</f>
        <v/>
      </c>
      <c r="C115" s="74">
        <f>B115/B114-1</f>
        <v/>
      </c>
      <c r="D115" s="74">
        <f>(Table17[[#This Row],[Index]]-B103)/B103</f>
        <v/>
      </c>
    </row>
    <row r="116">
      <c r="A116" s="19" t="n">
        <v>29618</v>
      </c>
      <c r="B116" s="61">
        <f>VLOOKUP(Table17[[#This Row],[Date]],database!A:H,7,)</f>
        <v/>
      </c>
      <c r="C116" s="74">
        <f>B116/B115-1</f>
        <v/>
      </c>
      <c r="D116" s="74">
        <f>(Table17[[#This Row],[Index]]-B104)/B104</f>
        <v/>
      </c>
    </row>
    <row r="117">
      <c r="A117" s="19" t="n">
        <v>29646</v>
      </c>
      <c r="B117" s="61">
        <f>VLOOKUP(Table17[[#This Row],[Date]],database!A:H,7,)</f>
        <v/>
      </c>
      <c r="C117" s="74">
        <f>B117/B116-1</f>
        <v/>
      </c>
      <c r="D117" s="74">
        <f>(Table17[[#This Row],[Index]]-B105)/B105</f>
        <v/>
      </c>
    </row>
    <row r="118">
      <c r="A118" s="19" t="n">
        <v>29677</v>
      </c>
      <c r="B118" s="61">
        <f>VLOOKUP(Table17[[#This Row],[Date]],database!A:H,7,)</f>
        <v/>
      </c>
      <c r="C118" s="74">
        <f>B118/B117-1</f>
        <v/>
      </c>
      <c r="D118" s="74">
        <f>(Table17[[#This Row],[Index]]-B106)/B106</f>
        <v/>
      </c>
    </row>
    <row r="119">
      <c r="A119" s="19" t="n">
        <v>29707</v>
      </c>
      <c r="B119" s="61">
        <f>VLOOKUP(Table17[[#This Row],[Date]],database!A:H,7,)</f>
        <v/>
      </c>
      <c r="C119" s="74">
        <f>B119/B118-1</f>
        <v/>
      </c>
      <c r="D119" s="74">
        <f>(Table17[[#This Row],[Index]]-B107)/B107</f>
        <v/>
      </c>
    </row>
    <row r="120">
      <c r="A120" s="19" t="n">
        <v>29738</v>
      </c>
      <c r="B120" s="61">
        <f>VLOOKUP(Table17[[#This Row],[Date]],database!A:H,7,)</f>
        <v/>
      </c>
      <c r="C120" s="74">
        <f>B120/B119-1</f>
        <v/>
      </c>
      <c r="D120" s="74">
        <f>(Table17[[#This Row],[Index]]-B108)/B108</f>
        <v/>
      </c>
    </row>
    <row r="121">
      <c r="A121" s="19" t="n">
        <v>29768</v>
      </c>
      <c r="B121" s="61">
        <f>VLOOKUP(Table17[[#This Row],[Date]],database!A:H,7,)</f>
        <v/>
      </c>
      <c r="C121" s="74">
        <f>B121/B120-1</f>
        <v/>
      </c>
      <c r="D121" s="74">
        <f>(Table17[[#This Row],[Index]]-B109)/B109</f>
        <v/>
      </c>
    </row>
    <row r="122">
      <c r="A122" s="19" t="n">
        <v>29799</v>
      </c>
      <c r="B122" s="61">
        <f>VLOOKUP(Table17[[#This Row],[Date]],database!A:H,7,)</f>
        <v/>
      </c>
      <c r="C122" s="74">
        <f>B122/B121-1</f>
        <v/>
      </c>
      <c r="D122" s="74">
        <f>(Table17[[#This Row],[Index]]-B110)/B110</f>
        <v/>
      </c>
    </row>
    <row r="123">
      <c r="A123" s="19" t="n">
        <v>29830</v>
      </c>
      <c r="B123" s="61">
        <f>VLOOKUP(Table17[[#This Row],[Date]],database!A:H,7,)</f>
        <v/>
      </c>
      <c r="C123" s="74">
        <f>B123/B122-1</f>
        <v/>
      </c>
      <c r="D123" s="74">
        <f>(Table17[[#This Row],[Index]]-B111)/B111</f>
        <v/>
      </c>
    </row>
    <row r="124">
      <c r="A124" s="19" t="n">
        <v>29860</v>
      </c>
      <c r="B124" s="61">
        <f>VLOOKUP(Table17[[#This Row],[Date]],database!A:H,7,)</f>
        <v/>
      </c>
      <c r="C124" s="74">
        <f>B124/B123-1</f>
        <v/>
      </c>
      <c r="D124" s="74">
        <f>(Table17[[#This Row],[Index]]-B112)/B112</f>
        <v/>
      </c>
    </row>
    <row r="125">
      <c r="A125" s="19" t="n">
        <v>29891</v>
      </c>
      <c r="B125" s="61">
        <f>VLOOKUP(Table17[[#This Row],[Date]],database!A:H,7,)</f>
        <v/>
      </c>
      <c r="C125" s="74">
        <f>B125/B124-1</f>
        <v/>
      </c>
      <c r="D125" s="74">
        <f>(Table17[[#This Row],[Index]]-B113)/B113</f>
        <v/>
      </c>
    </row>
    <row r="126">
      <c r="A126" s="19" t="n">
        <v>29921</v>
      </c>
      <c r="B126" s="61">
        <f>VLOOKUP(Table17[[#This Row],[Date]],database!A:H,7,)</f>
        <v/>
      </c>
      <c r="C126" s="74">
        <f>B126/B125-1</f>
        <v/>
      </c>
      <c r="D126" s="74">
        <f>(Table17[[#This Row],[Index]]-B114)/B114</f>
        <v/>
      </c>
    </row>
    <row r="127">
      <c r="A127" s="19" t="n">
        <v>29952</v>
      </c>
      <c r="B127" s="61">
        <f>VLOOKUP(Table17[[#This Row],[Date]],database!A:H,7,)</f>
        <v/>
      </c>
      <c r="C127" s="74">
        <f>B127/B126-1</f>
        <v/>
      </c>
      <c r="D127" s="74">
        <f>(Table17[[#This Row],[Index]]-B115)/B115</f>
        <v/>
      </c>
    </row>
    <row r="128">
      <c r="A128" s="19" t="n">
        <v>29983</v>
      </c>
      <c r="B128" s="61">
        <f>VLOOKUP(Table17[[#This Row],[Date]],database!A:H,7,)</f>
        <v/>
      </c>
      <c r="C128" s="74">
        <f>B128/B127-1</f>
        <v/>
      </c>
      <c r="D128" s="74">
        <f>(Table17[[#This Row],[Index]]-B116)/B116</f>
        <v/>
      </c>
    </row>
    <row r="129">
      <c r="A129" s="19" t="n">
        <v>30011</v>
      </c>
      <c r="B129" s="61">
        <f>VLOOKUP(Table17[[#This Row],[Date]],database!A:H,7,)</f>
        <v/>
      </c>
      <c r="C129" s="74">
        <f>B129/B128-1</f>
        <v/>
      </c>
      <c r="D129" s="74">
        <f>(Table17[[#This Row],[Index]]-B117)/B117</f>
        <v/>
      </c>
    </row>
    <row r="130">
      <c r="A130" s="19" t="n">
        <v>30042</v>
      </c>
      <c r="B130" s="61">
        <f>VLOOKUP(Table17[[#This Row],[Date]],database!A:H,7,)</f>
        <v/>
      </c>
      <c r="C130" s="74">
        <f>B130/B129-1</f>
        <v/>
      </c>
      <c r="D130" s="74">
        <f>(Table17[[#This Row],[Index]]-B118)/B118</f>
        <v/>
      </c>
    </row>
    <row r="131">
      <c r="A131" s="19" t="n">
        <v>30072</v>
      </c>
      <c r="B131" s="61">
        <f>VLOOKUP(Table17[[#This Row],[Date]],database!A:H,7,)</f>
        <v/>
      </c>
      <c r="C131" s="74">
        <f>B131/B130-1</f>
        <v/>
      </c>
      <c r="D131" s="74">
        <f>(Table17[[#This Row],[Index]]-B119)/B119</f>
        <v/>
      </c>
    </row>
    <row r="132">
      <c r="A132" s="19" t="n">
        <v>30103</v>
      </c>
      <c r="B132" s="61">
        <f>VLOOKUP(Table17[[#This Row],[Date]],database!A:H,7,)</f>
        <v/>
      </c>
      <c r="C132" s="74">
        <f>B132/B131-1</f>
        <v/>
      </c>
      <c r="D132" s="74">
        <f>(Table17[[#This Row],[Index]]-B120)/B120</f>
        <v/>
      </c>
    </row>
    <row r="133">
      <c r="A133" s="19" t="n">
        <v>30133</v>
      </c>
      <c r="B133" s="61">
        <f>VLOOKUP(Table17[[#This Row],[Date]],database!A:H,7,)</f>
        <v/>
      </c>
      <c r="C133" s="74">
        <f>B133/B132-1</f>
        <v/>
      </c>
      <c r="D133" s="74">
        <f>(Table17[[#This Row],[Index]]-B121)/B121</f>
        <v/>
      </c>
    </row>
    <row r="134">
      <c r="A134" s="19" t="n">
        <v>30164</v>
      </c>
      <c r="B134" s="61">
        <f>VLOOKUP(Table17[[#This Row],[Date]],database!A:H,7,)</f>
        <v/>
      </c>
      <c r="C134" s="74">
        <f>B134/B133-1</f>
        <v/>
      </c>
      <c r="D134" s="74">
        <f>(Table17[[#This Row],[Index]]-B122)/B122</f>
        <v/>
      </c>
    </row>
    <row r="135">
      <c r="A135" s="19" t="n">
        <v>30195</v>
      </c>
      <c r="B135" s="61">
        <f>VLOOKUP(Table17[[#This Row],[Date]],database!A:H,7,)</f>
        <v/>
      </c>
      <c r="C135" s="74">
        <f>B135/B134-1</f>
        <v/>
      </c>
      <c r="D135" s="74">
        <f>(Table17[[#This Row],[Index]]-B123)/B123</f>
        <v/>
      </c>
    </row>
    <row r="136">
      <c r="A136" s="19" t="n">
        <v>30225</v>
      </c>
      <c r="B136" s="61">
        <f>VLOOKUP(Table17[[#This Row],[Date]],database!A:H,7,)</f>
        <v/>
      </c>
      <c r="C136" s="74">
        <f>B136/B135-1</f>
        <v/>
      </c>
      <c r="D136" s="74">
        <f>(Table17[[#This Row],[Index]]-B124)/B124</f>
        <v/>
      </c>
    </row>
    <row r="137">
      <c r="A137" s="19" t="n">
        <v>30256</v>
      </c>
      <c r="B137" s="61">
        <f>VLOOKUP(Table17[[#This Row],[Date]],database!A:H,7,)</f>
        <v/>
      </c>
      <c r="C137" s="74">
        <f>B137/B136-1</f>
        <v/>
      </c>
      <c r="D137" s="74">
        <f>(Table17[[#This Row],[Index]]-B125)/B125</f>
        <v/>
      </c>
    </row>
    <row r="138">
      <c r="A138" s="19" t="n">
        <v>30286</v>
      </c>
      <c r="B138" s="61">
        <f>VLOOKUP(Table17[[#This Row],[Date]],database!A:H,7,)</f>
        <v/>
      </c>
      <c r="C138" s="74">
        <f>B138/B137-1</f>
        <v/>
      </c>
      <c r="D138" s="74">
        <f>(Table17[[#This Row],[Index]]-B126)/B126</f>
        <v/>
      </c>
    </row>
    <row r="139">
      <c r="A139" s="19" t="n">
        <v>30317</v>
      </c>
      <c r="B139" s="61">
        <f>VLOOKUP(Table17[[#This Row],[Date]],database!A:H,7,)</f>
        <v/>
      </c>
      <c r="C139" s="74">
        <f>B139/B138-1</f>
        <v/>
      </c>
      <c r="D139" s="74">
        <f>(Table17[[#This Row],[Index]]-B127)/B127</f>
        <v/>
      </c>
    </row>
    <row r="140">
      <c r="A140" s="19" t="n">
        <v>30348</v>
      </c>
      <c r="B140" s="61">
        <f>VLOOKUP(Table17[[#This Row],[Date]],database!A:H,7,)</f>
        <v/>
      </c>
      <c r="C140" s="74">
        <f>B140/B139-1</f>
        <v/>
      </c>
      <c r="D140" s="74">
        <f>(Table17[[#This Row],[Index]]-B128)/B128</f>
        <v/>
      </c>
    </row>
    <row r="141">
      <c r="A141" s="19" t="n">
        <v>30376</v>
      </c>
      <c r="B141" s="61">
        <f>VLOOKUP(Table17[[#This Row],[Date]],database!A:H,7,)</f>
        <v/>
      </c>
      <c r="C141" s="74">
        <f>B141/B140-1</f>
        <v/>
      </c>
      <c r="D141" s="74">
        <f>(Table17[[#This Row],[Index]]-B129)/B129</f>
        <v/>
      </c>
    </row>
    <row r="142">
      <c r="A142" s="19" t="n">
        <v>30407</v>
      </c>
      <c r="B142" s="61">
        <f>VLOOKUP(Table17[[#This Row],[Date]],database!A:H,7,)</f>
        <v/>
      </c>
      <c r="C142" s="74">
        <f>B142/B141-1</f>
        <v/>
      </c>
      <c r="D142" s="74">
        <f>(Table17[[#This Row],[Index]]-B130)/B130</f>
        <v/>
      </c>
    </row>
    <row r="143">
      <c r="A143" s="19" t="n">
        <v>30437</v>
      </c>
      <c r="B143" s="61">
        <f>VLOOKUP(Table17[[#This Row],[Date]],database!A:H,7,)</f>
        <v/>
      </c>
      <c r="C143" s="74">
        <f>B143/B142-1</f>
        <v/>
      </c>
      <c r="D143" s="74">
        <f>(Table17[[#This Row],[Index]]-B131)/B131</f>
        <v/>
      </c>
    </row>
    <row r="144">
      <c r="A144" s="19" t="n">
        <v>30468</v>
      </c>
      <c r="B144" s="61">
        <f>VLOOKUP(Table17[[#This Row],[Date]],database!A:H,7,)</f>
        <v/>
      </c>
      <c r="C144" s="74">
        <f>B144/B143-1</f>
        <v/>
      </c>
      <c r="D144" s="74">
        <f>(Table17[[#This Row],[Index]]-B132)/B132</f>
        <v/>
      </c>
    </row>
    <row r="145">
      <c r="A145" s="19" t="n">
        <v>30498</v>
      </c>
      <c r="B145" s="61">
        <f>VLOOKUP(Table17[[#This Row],[Date]],database!A:H,7,)</f>
        <v/>
      </c>
      <c r="C145" s="74">
        <f>B145/B144-1</f>
        <v/>
      </c>
      <c r="D145" s="74">
        <f>(Table17[[#This Row],[Index]]-B133)/B133</f>
        <v/>
      </c>
    </row>
    <row r="146">
      <c r="A146" s="19" t="n">
        <v>30529</v>
      </c>
      <c r="B146" s="61">
        <f>VLOOKUP(Table17[[#This Row],[Date]],database!A:H,7,)</f>
        <v/>
      </c>
      <c r="C146" s="74">
        <f>B146/B145-1</f>
        <v/>
      </c>
      <c r="D146" s="74">
        <f>(Table17[[#This Row],[Index]]-B134)/B134</f>
        <v/>
      </c>
    </row>
    <row r="147">
      <c r="A147" s="19" t="n">
        <v>30560</v>
      </c>
      <c r="B147" s="61">
        <f>VLOOKUP(Table17[[#This Row],[Date]],database!A:H,7,)</f>
        <v/>
      </c>
      <c r="C147" s="74">
        <f>B147/B146-1</f>
        <v/>
      </c>
      <c r="D147" s="74">
        <f>(Table17[[#This Row],[Index]]-B135)/B135</f>
        <v/>
      </c>
    </row>
    <row r="148">
      <c r="A148" s="19" t="n">
        <v>30590</v>
      </c>
      <c r="B148" s="61">
        <f>VLOOKUP(Table17[[#This Row],[Date]],database!A:H,7,)</f>
        <v/>
      </c>
      <c r="C148" s="74">
        <f>B148/B147-1</f>
        <v/>
      </c>
      <c r="D148" s="74">
        <f>(Table17[[#This Row],[Index]]-B136)/B136</f>
        <v/>
      </c>
    </row>
    <row r="149">
      <c r="A149" s="19" t="n">
        <v>30621</v>
      </c>
      <c r="B149" s="61">
        <f>VLOOKUP(Table17[[#This Row],[Date]],database!A:H,7,)</f>
        <v/>
      </c>
      <c r="C149" s="74">
        <f>B149/B148-1</f>
        <v/>
      </c>
      <c r="D149" s="74">
        <f>(Table17[[#This Row],[Index]]-B137)/B137</f>
        <v/>
      </c>
    </row>
    <row r="150">
      <c r="A150" s="19" t="n">
        <v>30651</v>
      </c>
      <c r="B150" s="61">
        <f>VLOOKUP(Table17[[#This Row],[Date]],database!A:H,7,)</f>
        <v/>
      </c>
      <c r="C150" s="74">
        <f>B150/B149-1</f>
        <v/>
      </c>
      <c r="D150" s="74">
        <f>(Table17[[#This Row],[Index]]-B138)/B138</f>
        <v/>
      </c>
    </row>
    <row r="151">
      <c r="A151" s="19" t="n">
        <v>30682</v>
      </c>
      <c r="B151" s="61">
        <f>VLOOKUP(Table17[[#This Row],[Date]],database!A:H,7,)</f>
        <v/>
      </c>
      <c r="C151" s="74">
        <f>B151/B150-1</f>
        <v/>
      </c>
      <c r="D151" s="74">
        <f>(Table17[[#This Row],[Index]]-B139)/B139</f>
        <v/>
      </c>
    </row>
    <row r="152">
      <c r="A152" s="19" t="n">
        <v>30713</v>
      </c>
      <c r="B152" s="61">
        <f>VLOOKUP(Table17[[#This Row],[Date]],database!A:H,7,)</f>
        <v/>
      </c>
      <c r="C152" s="74">
        <f>B152/B151-1</f>
        <v/>
      </c>
      <c r="D152" s="74">
        <f>(Table17[[#This Row],[Index]]-B140)/B140</f>
        <v/>
      </c>
    </row>
    <row r="153">
      <c r="A153" s="19" t="n">
        <v>30742</v>
      </c>
      <c r="B153" s="61">
        <f>VLOOKUP(Table17[[#This Row],[Date]],database!A:H,7,)</f>
        <v/>
      </c>
      <c r="C153" s="74">
        <f>B153/B152-1</f>
        <v/>
      </c>
      <c r="D153" s="74">
        <f>(Table17[[#This Row],[Index]]-B141)/B141</f>
        <v/>
      </c>
    </row>
    <row r="154">
      <c r="A154" s="19" t="n">
        <v>30773</v>
      </c>
      <c r="B154" s="61">
        <f>VLOOKUP(Table17[[#This Row],[Date]],database!A:H,7,)</f>
        <v/>
      </c>
      <c r="C154" s="74">
        <f>B154/B153-1</f>
        <v/>
      </c>
      <c r="D154" s="74">
        <f>(Table17[[#This Row],[Index]]-B142)/B142</f>
        <v/>
      </c>
    </row>
    <row r="155">
      <c r="A155" s="19" t="n">
        <v>30803</v>
      </c>
      <c r="B155" s="61">
        <f>VLOOKUP(Table17[[#This Row],[Date]],database!A:H,7,)</f>
        <v/>
      </c>
      <c r="C155" s="74">
        <f>B155/B154-1</f>
        <v/>
      </c>
      <c r="D155" s="74">
        <f>(Table17[[#This Row],[Index]]-B143)/B143</f>
        <v/>
      </c>
    </row>
    <row r="156">
      <c r="A156" s="19" t="n">
        <v>30834</v>
      </c>
      <c r="B156" s="61">
        <f>VLOOKUP(Table17[[#This Row],[Date]],database!A:H,7,)</f>
        <v/>
      </c>
      <c r="C156" s="74">
        <f>B156/B155-1</f>
        <v/>
      </c>
      <c r="D156" s="74">
        <f>(Table17[[#This Row],[Index]]-B144)/B144</f>
        <v/>
      </c>
    </row>
    <row r="157">
      <c r="A157" s="19" t="n">
        <v>30864</v>
      </c>
      <c r="B157" s="61">
        <f>VLOOKUP(Table17[[#This Row],[Date]],database!A:H,7,)</f>
        <v/>
      </c>
      <c r="C157" s="74">
        <f>B157/B156-1</f>
        <v/>
      </c>
      <c r="D157" s="74">
        <f>(Table17[[#This Row],[Index]]-B145)/B145</f>
        <v/>
      </c>
    </row>
    <row r="158">
      <c r="A158" s="19" t="n">
        <v>30895</v>
      </c>
      <c r="B158" s="61">
        <f>VLOOKUP(Table17[[#This Row],[Date]],database!A:H,7,)</f>
        <v/>
      </c>
      <c r="C158" s="74">
        <f>B158/B157-1</f>
        <v/>
      </c>
      <c r="D158" s="74">
        <f>(Table17[[#This Row],[Index]]-B146)/B146</f>
        <v/>
      </c>
    </row>
    <row r="159">
      <c r="A159" s="19" t="n">
        <v>30926</v>
      </c>
      <c r="B159" s="61">
        <f>VLOOKUP(Table17[[#This Row],[Date]],database!A:H,7,)</f>
        <v/>
      </c>
      <c r="C159" s="74">
        <f>B159/B158-1</f>
        <v/>
      </c>
      <c r="D159" s="74">
        <f>(Table17[[#This Row],[Index]]-B147)/B147</f>
        <v/>
      </c>
    </row>
    <row r="160">
      <c r="A160" s="19" t="n">
        <v>30956</v>
      </c>
      <c r="B160" s="61">
        <f>VLOOKUP(Table17[[#This Row],[Date]],database!A:H,7,)</f>
        <v/>
      </c>
      <c r="C160" s="74">
        <f>B160/B159-1</f>
        <v/>
      </c>
      <c r="D160" s="74">
        <f>(Table17[[#This Row],[Index]]-B148)/B148</f>
        <v/>
      </c>
    </row>
    <row r="161">
      <c r="A161" s="19" t="n">
        <v>30987</v>
      </c>
      <c r="B161" s="61">
        <f>VLOOKUP(Table17[[#This Row],[Date]],database!A:H,7,)</f>
        <v/>
      </c>
      <c r="C161" s="74">
        <f>B161/B160-1</f>
        <v/>
      </c>
      <c r="D161" s="74">
        <f>(Table17[[#This Row],[Index]]-B149)/B149</f>
        <v/>
      </c>
    </row>
    <row r="162">
      <c r="A162" s="19" t="n">
        <v>31017</v>
      </c>
      <c r="B162" s="61">
        <f>VLOOKUP(Table17[[#This Row],[Date]],database!A:H,7,)</f>
        <v/>
      </c>
      <c r="C162" s="74">
        <f>B162/B161-1</f>
        <v/>
      </c>
      <c r="D162" s="74">
        <f>(Table17[[#This Row],[Index]]-B150)/B150</f>
        <v/>
      </c>
    </row>
    <row r="163">
      <c r="A163" s="19" t="n">
        <v>31048</v>
      </c>
      <c r="B163" s="61">
        <f>VLOOKUP(Table17[[#This Row],[Date]],database!A:H,7,)</f>
        <v/>
      </c>
      <c r="C163" s="74">
        <f>B163/B162-1</f>
        <v/>
      </c>
      <c r="D163" s="74">
        <f>(Table17[[#This Row],[Index]]-B151)/B151</f>
        <v/>
      </c>
    </row>
    <row r="164">
      <c r="A164" s="19" t="n">
        <v>31079</v>
      </c>
      <c r="B164" s="61">
        <f>VLOOKUP(Table17[[#This Row],[Date]],database!A:H,7,)</f>
        <v/>
      </c>
      <c r="C164" s="74">
        <f>B164/B163-1</f>
        <v/>
      </c>
      <c r="D164" s="74">
        <f>(Table17[[#This Row],[Index]]-B152)/B152</f>
        <v/>
      </c>
    </row>
    <row r="165">
      <c r="A165" s="19" t="n">
        <v>31107</v>
      </c>
      <c r="B165" s="61">
        <f>VLOOKUP(Table17[[#This Row],[Date]],database!A:H,7,)</f>
        <v/>
      </c>
      <c r="C165" s="74">
        <f>B165/B164-1</f>
        <v/>
      </c>
      <c r="D165" s="74">
        <f>(Table17[[#This Row],[Index]]-B153)/B153</f>
        <v/>
      </c>
    </row>
    <row r="166">
      <c r="A166" s="19" t="n">
        <v>31138</v>
      </c>
      <c r="B166" s="61">
        <f>VLOOKUP(Table17[[#This Row],[Date]],database!A:H,7,)</f>
        <v/>
      </c>
      <c r="C166" s="74">
        <f>B166/B165-1</f>
        <v/>
      </c>
      <c r="D166" s="74">
        <f>(Table17[[#This Row],[Index]]-B154)/B154</f>
        <v/>
      </c>
    </row>
    <row r="167">
      <c r="A167" s="19" t="n">
        <v>31168</v>
      </c>
      <c r="B167" s="61">
        <f>VLOOKUP(Table17[[#This Row],[Date]],database!A:H,7,)</f>
        <v/>
      </c>
      <c r="C167" s="74">
        <f>B167/B166-1</f>
        <v/>
      </c>
      <c r="D167" s="74">
        <f>(Table17[[#This Row],[Index]]-B155)/B155</f>
        <v/>
      </c>
    </row>
    <row r="168">
      <c r="A168" s="19" t="n">
        <v>31199</v>
      </c>
      <c r="B168" s="61">
        <f>VLOOKUP(Table17[[#This Row],[Date]],database!A:H,7,)</f>
        <v/>
      </c>
      <c r="C168" s="74">
        <f>B168/B167-1</f>
        <v/>
      </c>
      <c r="D168" s="74">
        <f>(Table17[[#This Row],[Index]]-B156)/B156</f>
        <v/>
      </c>
    </row>
    <row r="169">
      <c r="A169" s="19" t="n">
        <v>31229</v>
      </c>
      <c r="B169" s="61">
        <f>VLOOKUP(Table17[[#This Row],[Date]],database!A:H,7,)</f>
        <v/>
      </c>
      <c r="C169" s="74">
        <f>B169/B168-1</f>
        <v/>
      </c>
      <c r="D169" s="74">
        <f>(Table17[[#This Row],[Index]]-B157)/B157</f>
        <v/>
      </c>
    </row>
    <row r="170">
      <c r="A170" s="19" t="n">
        <v>31260</v>
      </c>
      <c r="B170" s="61">
        <f>VLOOKUP(Table17[[#This Row],[Date]],database!A:H,7,)</f>
        <v/>
      </c>
      <c r="C170" s="74">
        <f>B170/B169-1</f>
        <v/>
      </c>
      <c r="D170" s="74">
        <f>(Table17[[#This Row],[Index]]-B158)/B158</f>
        <v/>
      </c>
    </row>
    <row r="171">
      <c r="A171" s="19" t="n">
        <v>31291</v>
      </c>
      <c r="B171" s="61">
        <f>VLOOKUP(Table17[[#This Row],[Date]],database!A:H,7,)</f>
        <v/>
      </c>
      <c r="C171" s="74">
        <f>B171/B170-1</f>
        <v/>
      </c>
      <c r="D171" s="74">
        <f>(Table17[[#This Row],[Index]]-B159)/B159</f>
        <v/>
      </c>
    </row>
    <row r="172">
      <c r="A172" s="19" t="n">
        <v>31321</v>
      </c>
      <c r="B172" s="61">
        <f>VLOOKUP(Table17[[#This Row],[Date]],database!A:H,7,)</f>
        <v/>
      </c>
      <c r="C172" s="74">
        <f>B172/B171-1</f>
        <v/>
      </c>
      <c r="D172" s="74">
        <f>(Table17[[#This Row],[Index]]-B160)/B160</f>
        <v/>
      </c>
    </row>
    <row r="173">
      <c r="A173" s="19" t="n">
        <v>31352</v>
      </c>
      <c r="B173" s="61">
        <f>VLOOKUP(Table17[[#This Row],[Date]],database!A:H,7,)</f>
        <v/>
      </c>
      <c r="C173" s="74">
        <f>B173/B172-1</f>
        <v/>
      </c>
      <c r="D173" s="74">
        <f>(Table17[[#This Row],[Index]]-B161)/B161</f>
        <v/>
      </c>
    </row>
    <row r="174">
      <c r="A174" s="19" t="n">
        <v>31382</v>
      </c>
      <c r="B174" s="61">
        <f>VLOOKUP(Table17[[#This Row],[Date]],database!A:H,7,)</f>
        <v/>
      </c>
      <c r="C174" s="74">
        <f>B174/B173-1</f>
        <v/>
      </c>
      <c r="D174" s="74">
        <f>(Table17[[#This Row],[Index]]-B162)/B162</f>
        <v/>
      </c>
    </row>
    <row r="175">
      <c r="A175" s="19" t="n">
        <v>31413</v>
      </c>
      <c r="B175" s="61">
        <f>VLOOKUP(Table17[[#This Row],[Date]],database!A:H,7,)</f>
        <v/>
      </c>
      <c r="C175" s="74">
        <f>B175/B174-1</f>
        <v/>
      </c>
      <c r="D175" s="74">
        <f>(Table17[[#This Row],[Index]]-B163)/B163</f>
        <v/>
      </c>
    </row>
    <row r="176">
      <c r="A176" s="19" t="n">
        <v>31444</v>
      </c>
      <c r="B176" s="61">
        <f>VLOOKUP(Table17[[#This Row],[Date]],database!A:H,7,)</f>
        <v/>
      </c>
      <c r="C176" s="74">
        <f>B176/B175-1</f>
        <v/>
      </c>
      <c r="D176" s="74">
        <f>(Table17[[#This Row],[Index]]-B164)/B164</f>
        <v/>
      </c>
    </row>
    <row r="177">
      <c r="A177" s="19" t="n">
        <v>31472</v>
      </c>
      <c r="B177" s="61">
        <f>VLOOKUP(Table17[[#This Row],[Date]],database!A:H,7,)</f>
        <v/>
      </c>
      <c r="C177" s="74">
        <f>B177/B176-1</f>
        <v/>
      </c>
      <c r="D177" s="74">
        <f>(Table17[[#This Row],[Index]]-B165)/B165</f>
        <v/>
      </c>
    </row>
    <row r="178">
      <c r="A178" s="19" t="n">
        <v>31503</v>
      </c>
      <c r="B178" s="61">
        <f>VLOOKUP(Table17[[#This Row],[Date]],database!A:H,7,)</f>
        <v/>
      </c>
      <c r="C178" s="74">
        <f>B178/B177-1</f>
        <v/>
      </c>
      <c r="D178" s="74">
        <f>(Table17[[#This Row],[Index]]-B166)/B166</f>
        <v/>
      </c>
    </row>
    <row r="179">
      <c r="A179" s="19" t="n">
        <v>31533</v>
      </c>
      <c r="B179" s="61">
        <f>VLOOKUP(Table17[[#This Row],[Date]],database!A:H,7,)</f>
        <v/>
      </c>
      <c r="C179" s="74">
        <f>B179/B178-1</f>
        <v/>
      </c>
      <c r="D179" s="74">
        <f>(Table17[[#This Row],[Index]]-B167)/B167</f>
        <v/>
      </c>
    </row>
    <row r="180">
      <c r="A180" s="19" t="n">
        <v>31564</v>
      </c>
      <c r="B180" s="61">
        <f>VLOOKUP(Table17[[#This Row],[Date]],database!A:H,7,)</f>
        <v/>
      </c>
      <c r="C180" s="74">
        <f>B180/B179-1</f>
        <v/>
      </c>
      <c r="D180" s="74">
        <f>(Table17[[#This Row],[Index]]-B168)/B168</f>
        <v/>
      </c>
    </row>
    <row r="181">
      <c r="A181" s="19" t="n">
        <v>31594</v>
      </c>
      <c r="B181" s="61">
        <f>VLOOKUP(Table17[[#This Row],[Date]],database!A:H,7,)</f>
        <v/>
      </c>
      <c r="C181" s="74">
        <f>B181/B180-1</f>
        <v/>
      </c>
      <c r="D181" s="74">
        <f>(Table17[[#This Row],[Index]]-B169)/B169</f>
        <v/>
      </c>
    </row>
    <row r="182">
      <c r="A182" s="19" t="n">
        <v>31625</v>
      </c>
      <c r="B182" s="61">
        <f>VLOOKUP(Table17[[#This Row],[Date]],database!A:H,7,)</f>
        <v/>
      </c>
      <c r="C182" s="74">
        <f>B182/B181-1</f>
        <v/>
      </c>
      <c r="D182" s="74">
        <f>(Table17[[#This Row],[Index]]-B170)/B170</f>
        <v/>
      </c>
    </row>
    <row r="183">
      <c r="A183" s="19" t="n">
        <v>31656</v>
      </c>
      <c r="B183" s="61">
        <f>VLOOKUP(Table17[[#This Row],[Date]],database!A:H,7,)</f>
        <v/>
      </c>
      <c r="C183" s="74">
        <f>B183/B182-1</f>
        <v/>
      </c>
      <c r="D183" s="74">
        <f>(Table17[[#This Row],[Index]]-B171)/B171</f>
        <v/>
      </c>
    </row>
    <row r="184">
      <c r="A184" s="19" t="n">
        <v>31686</v>
      </c>
      <c r="B184" s="61">
        <f>VLOOKUP(Table17[[#This Row],[Date]],database!A:H,7,)</f>
        <v/>
      </c>
      <c r="C184" s="74">
        <f>B184/B183-1</f>
        <v/>
      </c>
      <c r="D184" s="74">
        <f>(Table17[[#This Row],[Index]]-B172)/B172</f>
        <v/>
      </c>
    </row>
    <row r="185">
      <c r="A185" s="19" t="n">
        <v>31717</v>
      </c>
      <c r="B185" s="61">
        <f>VLOOKUP(Table17[[#This Row],[Date]],database!A:H,7,)</f>
        <v/>
      </c>
      <c r="C185" s="74">
        <f>B185/B184-1</f>
        <v/>
      </c>
      <c r="D185" s="74">
        <f>(Table17[[#This Row],[Index]]-B173)/B173</f>
        <v/>
      </c>
    </row>
    <row r="186">
      <c r="A186" s="19" t="n">
        <v>31747</v>
      </c>
      <c r="B186" s="61">
        <f>VLOOKUP(Table17[[#This Row],[Date]],database!A:H,7,)</f>
        <v/>
      </c>
      <c r="C186" s="74">
        <f>B186/B185-1</f>
        <v/>
      </c>
      <c r="D186" s="74">
        <f>(Table17[[#This Row],[Index]]-B174)/B174</f>
        <v/>
      </c>
    </row>
    <row r="187">
      <c r="A187" s="19" t="n">
        <v>31778</v>
      </c>
      <c r="B187" s="61">
        <f>VLOOKUP(Table17[[#This Row],[Date]],database!A:H,7,)</f>
        <v/>
      </c>
      <c r="C187" s="74">
        <f>B187/B186-1</f>
        <v/>
      </c>
      <c r="D187" s="74">
        <f>(Table17[[#This Row],[Index]]-B175)/B175</f>
        <v/>
      </c>
    </row>
    <row r="188">
      <c r="A188" s="19" t="n">
        <v>31809</v>
      </c>
      <c r="B188" s="61">
        <f>VLOOKUP(Table17[[#This Row],[Date]],database!A:H,7,)</f>
        <v/>
      </c>
      <c r="C188" s="74">
        <f>B188/B187-1</f>
        <v/>
      </c>
      <c r="D188" s="74">
        <f>(Table17[[#This Row],[Index]]-B176)/B176</f>
        <v/>
      </c>
    </row>
    <row r="189">
      <c r="A189" s="19" t="n">
        <v>31837</v>
      </c>
      <c r="B189" s="61">
        <f>VLOOKUP(Table17[[#This Row],[Date]],database!A:H,7,)</f>
        <v/>
      </c>
      <c r="C189" s="74">
        <f>B189/B188-1</f>
        <v/>
      </c>
      <c r="D189" s="74">
        <f>(Table17[[#This Row],[Index]]-B177)/B177</f>
        <v/>
      </c>
    </row>
    <row r="190">
      <c r="A190" s="19" t="n">
        <v>31868</v>
      </c>
      <c r="B190" s="61">
        <f>VLOOKUP(Table17[[#This Row],[Date]],database!A:H,7,)</f>
        <v/>
      </c>
      <c r="C190" s="74">
        <f>B190/B189-1</f>
        <v/>
      </c>
      <c r="D190" s="74">
        <f>(Table17[[#This Row],[Index]]-B178)/B178</f>
        <v/>
      </c>
    </row>
    <row r="191">
      <c r="A191" s="19" t="n">
        <v>31898</v>
      </c>
      <c r="B191" s="61">
        <f>VLOOKUP(Table17[[#This Row],[Date]],database!A:H,7,)</f>
        <v/>
      </c>
      <c r="C191" s="74">
        <f>B191/B190-1</f>
        <v/>
      </c>
      <c r="D191" s="74">
        <f>(Table17[[#This Row],[Index]]-B179)/B179</f>
        <v/>
      </c>
    </row>
    <row r="192">
      <c r="A192" s="19" t="n">
        <v>31929</v>
      </c>
      <c r="B192" s="61">
        <f>VLOOKUP(Table17[[#This Row],[Date]],database!A:H,7,)</f>
        <v/>
      </c>
      <c r="C192" s="74">
        <f>B192/B191-1</f>
        <v/>
      </c>
      <c r="D192" s="74">
        <f>(Table17[[#This Row],[Index]]-B180)/B180</f>
        <v/>
      </c>
    </row>
    <row r="193">
      <c r="A193" s="19" t="n">
        <v>31959</v>
      </c>
      <c r="B193" s="61">
        <f>VLOOKUP(Table17[[#This Row],[Date]],database!A:H,7,)</f>
        <v/>
      </c>
      <c r="C193" s="74">
        <f>B193/B192-1</f>
        <v/>
      </c>
      <c r="D193" s="74">
        <f>(Table17[[#This Row],[Index]]-B181)/B181</f>
        <v/>
      </c>
    </row>
    <row r="194">
      <c r="A194" s="19" t="n">
        <v>31990</v>
      </c>
      <c r="B194" s="61">
        <f>VLOOKUP(Table17[[#This Row],[Date]],database!A:H,7,)</f>
        <v/>
      </c>
      <c r="C194" s="74">
        <f>B194/B193-1</f>
        <v/>
      </c>
      <c r="D194" s="74">
        <f>(Table17[[#This Row],[Index]]-B182)/B182</f>
        <v/>
      </c>
    </row>
    <row r="195">
      <c r="A195" s="19" t="n">
        <v>32021</v>
      </c>
      <c r="B195" s="61">
        <f>VLOOKUP(Table17[[#This Row],[Date]],database!A:H,7,)</f>
        <v/>
      </c>
      <c r="C195" s="74">
        <f>B195/B194-1</f>
        <v/>
      </c>
      <c r="D195" s="74">
        <f>(Table17[[#This Row],[Index]]-B183)/B183</f>
        <v/>
      </c>
    </row>
    <row r="196">
      <c r="A196" s="19" t="n">
        <v>32051</v>
      </c>
      <c r="B196" s="61">
        <f>VLOOKUP(Table17[[#This Row],[Date]],database!A:H,7,)</f>
        <v/>
      </c>
      <c r="C196" s="74">
        <f>B196/B195-1</f>
        <v/>
      </c>
      <c r="D196" s="74">
        <f>(Table17[[#This Row],[Index]]-B184)/B184</f>
        <v/>
      </c>
    </row>
    <row r="197">
      <c r="A197" s="19" t="n">
        <v>32082</v>
      </c>
      <c r="B197" s="61">
        <f>VLOOKUP(Table17[[#This Row],[Date]],database!A:H,7,)</f>
        <v/>
      </c>
      <c r="C197" s="74">
        <f>B197/B196-1</f>
        <v/>
      </c>
      <c r="D197" s="74">
        <f>(Table17[[#This Row],[Index]]-B185)/B185</f>
        <v/>
      </c>
    </row>
    <row r="198">
      <c r="A198" s="19" t="n">
        <v>32112</v>
      </c>
      <c r="B198" s="61">
        <f>VLOOKUP(Table17[[#This Row],[Date]],database!A:H,7,)</f>
        <v/>
      </c>
      <c r="C198" s="74">
        <f>B198/B197-1</f>
        <v/>
      </c>
      <c r="D198" s="74">
        <f>(Table17[[#This Row],[Index]]-B186)/B186</f>
        <v/>
      </c>
    </row>
    <row r="199">
      <c r="A199" s="19" t="n">
        <v>32143</v>
      </c>
      <c r="B199" s="61">
        <f>VLOOKUP(Table17[[#This Row],[Date]],database!A:H,7,)</f>
        <v/>
      </c>
      <c r="C199" s="74">
        <f>B199/B198-1</f>
        <v/>
      </c>
      <c r="D199" s="74">
        <f>(Table17[[#This Row],[Index]]-B187)/B187</f>
        <v/>
      </c>
    </row>
    <row r="200">
      <c r="A200" s="19" t="n">
        <v>32174</v>
      </c>
      <c r="B200" s="61">
        <f>VLOOKUP(Table17[[#This Row],[Date]],database!A:H,7,)</f>
        <v/>
      </c>
      <c r="C200" s="74">
        <f>B200/B199-1</f>
        <v/>
      </c>
      <c r="D200" s="74">
        <f>(Table17[[#This Row],[Index]]-B188)/B188</f>
        <v/>
      </c>
    </row>
    <row r="201">
      <c r="A201" s="19" t="n">
        <v>32203</v>
      </c>
      <c r="B201" s="61">
        <f>VLOOKUP(Table17[[#This Row],[Date]],database!A:H,7,)</f>
        <v/>
      </c>
      <c r="C201" s="74">
        <f>B201/B200-1</f>
        <v/>
      </c>
      <c r="D201" s="74">
        <f>(Table17[[#This Row],[Index]]-B189)/B189</f>
        <v/>
      </c>
    </row>
    <row r="202">
      <c r="A202" s="19" t="n">
        <v>32234</v>
      </c>
      <c r="B202" s="61">
        <f>VLOOKUP(Table17[[#This Row],[Date]],database!A:H,7,)</f>
        <v/>
      </c>
      <c r="C202" s="74">
        <f>B202/B201-1</f>
        <v/>
      </c>
      <c r="D202" s="74">
        <f>(Table17[[#This Row],[Index]]-B190)/B190</f>
        <v/>
      </c>
    </row>
    <row r="203">
      <c r="A203" s="19" t="n">
        <v>32264</v>
      </c>
      <c r="B203" s="61">
        <f>VLOOKUP(Table17[[#This Row],[Date]],database!A:H,7,)</f>
        <v/>
      </c>
      <c r="C203" s="74">
        <f>B203/B202-1</f>
        <v/>
      </c>
      <c r="D203" s="74">
        <f>(Table17[[#This Row],[Index]]-B191)/B191</f>
        <v/>
      </c>
    </row>
    <row r="204">
      <c r="A204" s="19" t="n">
        <v>32295</v>
      </c>
      <c r="B204" s="61">
        <f>VLOOKUP(Table17[[#This Row],[Date]],database!A:H,7,)</f>
        <v/>
      </c>
      <c r="C204" s="74">
        <f>B204/B203-1</f>
        <v/>
      </c>
      <c r="D204" s="74">
        <f>(Table17[[#This Row],[Index]]-B192)/B192</f>
        <v/>
      </c>
    </row>
    <row r="205">
      <c r="A205" s="19" t="n">
        <v>32325</v>
      </c>
      <c r="B205" s="61">
        <f>VLOOKUP(Table17[[#This Row],[Date]],database!A:H,7,)</f>
        <v/>
      </c>
      <c r="C205" s="74">
        <f>B205/B204-1</f>
        <v/>
      </c>
      <c r="D205" s="74">
        <f>(Table17[[#This Row],[Index]]-B193)/B193</f>
        <v/>
      </c>
    </row>
    <row r="206">
      <c r="A206" s="19" t="n">
        <v>32356</v>
      </c>
      <c r="B206" s="61">
        <f>VLOOKUP(Table17[[#This Row],[Date]],database!A:H,7,)</f>
        <v/>
      </c>
      <c r="C206" s="74">
        <f>B206/B205-1</f>
        <v/>
      </c>
      <c r="D206" s="74">
        <f>(Table17[[#This Row],[Index]]-B194)/B194</f>
        <v/>
      </c>
    </row>
    <row r="207">
      <c r="A207" s="19" t="n">
        <v>32387</v>
      </c>
      <c r="B207" s="61">
        <f>VLOOKUP(Table17[[#This Row],[Date]],database!A:H,7,)</f>
        <v/>
      </c>
      <c r="C207" s="74">
        <f>B207/B206-1</f>
        <v/>
      </c>
      <c r="D207" s="74">
        <f>(Table17[[#This Row],[Index]]-B195)/B195</f>
        <v/>
      </c>
    </row>
    <row r="208">
      <c r="A208" s="19" t="n">
        <v>32417</v>
      </c>
      <c r="B208" s="61">
        <f>VLOOKUP(Table17[[#This Row],[Date]],database!A:H,7,)</f>
        <v/>
      </c>
      <c r="C208" s="74">
        <f>B208/B207-1</f>
        <v/>
      </c>
      <c r="D208" s="74">
        <f>(Table17[[#This Row],[Index]]-B196)/B196</f>
        <v/>
      </c>
    </row>
    <row r="209">
      <c r="A209" s="19" t="n">
        <v>32448</v>
      </c>
      <c r="B209" s="61">
        <f>VLOOKUP(Table17[[#This Row],[Date]],database!A:H,7,)</f>
        <v/>
      </c>
      <c r="C209" s="74">
        <f>B209/B208-1</f>
        <v/>
      </c>
      <c r="D209" s="74">
        <f>(Table17[[#This Row],[Index]]-B197)/B197</f>
        <v/>
      </c>
    </row>
    <row r="210">
      <c r="A210" s="19" t="n">
        <v>32478</v>
      </c>
      <c r="B210" s="61">
        <f>VLOOKUP(Table17[[#This Row],[Date]],database!A:H,7,)</f>
        <v/>
      </c>
      <c r="C210" s="74">
        <f>B210/B209-1</f>
        <v/>
      </c>
      <c r="D210" s="74">
        <f>(Table17[[#This Row],[Index]]-B198)/B198</f>
        <v/>
      </c>
    </row>
    <row r="211">
      <c r="A211" s="19" t="n">
        <v>32509</v>
      </c>
      <c r="B211" s="61">
        <f>VLOOKUP(Table17[[#This Row],[Date]],database!A:H,7,)</f>
        <v/>
      </c>
      <c r="C211" s="74">
        <f>B211/B210-1</f>
        <v/>
      </c>
      <c r="D211" s="74">
        <f>(Table17[[#This Row],[Index]]-B199)/B199</f>
        <v/>
      </c>
    </row>
    <row r="212">
      <c r="A212" s="19" t="n">
        <v>32540</v>
      </c>
      <c r="B212" s="61">
        <f>VLOOKUP(Table17[[#This Row],[Date]],database!A:H,7,)</f>
        <v/>
      </c>
      <c r="C212" s="74">
        <f>B212/B211-1</f>
        <v/>
      </c>
      <c r="D212" s="74">
        <f>(Table17[[#This Row],[Index]]-B200)/B200</f>
        <v/>
      </c>
    </row>
    <row r="213">
      <c r="A213" s="19" t="n">
        <v>32568</v>
      </c>
      <c r="B213" s="61">
        <f>VLOOKUP(Table17[[#This Row],[Date]],database!A:H,7,)</f>
        <v/>
      </c>
      <c r="C213" s="74">
        <f>B213/B212-1</f>
        <v/>
      </c>
      <c r="D213" s="74">
        <f>(Table17[[#This Row],[Index]]-B201)/B201</f>
        <v/>
      </c>
    </row>
    <row r="214">
      <c r="A214" s="19" t="n">
        <v>32599</v>
      </c>
      <c r="B214" s="61">
        <f>VLOOKUP(Table17[[#This Row],[Date]],database!A:H,7,)</f>
        <v/>
      </c>
      <c r="C214" s="74">
        <f>B214/B213-1</f>
        <v/>
      </c>
      <c r="D214" s="74">
        <f>(Table17[[#This Row],[Index]]-B202)/B202</f>
        <v/>
      </c>
    </row>
    <row r="215">
      <c r="A215" s="19" t="n">
        <v>32629</v>
      </c>
      <c r="B215" s="61">
        <f>VLOOKUP(Table17[[#This Row],[Date]],database!A:H,7,)</f>
        <v/>
      </c>
      <c r="C215" s="74">
        <f>B215/B214-1</f>
        <v/>
      </c>
      <c r="D215" s="74">
        <f>(Table17[[#This Row],[Index]]-B203)/B203</f>
        <v/>
      </c>
    </row>
    <row r="216">
      <c r="A216" s="19" t="n">
        <v>32660</v>
      </c>
      <c r="B216" s="61">
        <f>VLOOKUP(Table17[[#This Row],[Date]],database!A:H,7,)</f>
        <v/>
      </c>
      <c r="C216" s="74">
        <f>B216/B215-1</f>
        <v/>
      </c>
      <c r="D216" s="74">
        <f>(Table17[[#This Row],[Index]]-B204)/B204</f>
        <v/>
      </c>
    </row>
    <row r="217">
      <c r="A217" s="19" t="n">
        <v>32690</v>
      </c>
      <c r="B217" s="61">
        <f>VLOOKUP(Table17[[#This Row],[Date]],database!A:H,7,)</f>
        <v/>
      </c>
      <c r="C217" s="74">
        <f>B217/B216-1</f>
        <v/>
      </c>
      <c r="D217" s="74">
        <f>(Table17[[#This Row],[Index]]-B205)/B205</f>
        <v/>
      </c>
    </row>
    <row r="218">
      <c r="A218" s="19" t="n">
        <v>32721</v>
      </c>
      <c r="B218" s="61">
        <f>VLOOKUP(Table17[[#This Row],[Date]],database!A:H,7,)</f>
        <v/>
      </c>
      <c r="C218" s="74">
        <f>B218/B217-1</f>
        <v/>
      </c>
      <c r="D218" s="74">
        <f>(Table17[[#This Row],[Index]]-B206)/B206</f>
        <v/>
      </c>
    </row>
    <row r="219">
      <c r="A219" s="19" t="n">
        <v>32752</v>
      </c>
      <c r="B219" s="61">
        <f>VLOOKUP(Table17[[#This Row],[Date]],database!A:H,7,)</f>
        <v/>
      </c>
      <c r="C219" s="74">
        <f>B219/B218-1</f>
        <v/>
      </c>
      <c r="D219" s="74">
        <f>(Table17[[#This Row],[Index]]-B207)/B207</f>
        <v/>
      </c>
    </row>
    <row r="220">
      <c r="A220" s="19" t="n">
        <v>32782</v>
      </c>
      <c r="B220" s="61">
        <f>VLOOKUP(Table17[[#This Row],[Date]],database!A:H,7,)</f>
        <v/>
      </c>
      <c r="C220" s="74">
        <f>B220/B219-1</f>
        <v/>
      </c>
      <c r="D220" s="74">
        <f>(Table17[[#This Row],[Index]]-B208)/B208</f>
        <v/>
      </c>
    </row>
    <row r="221">
      <c r="A221" s="19" t="n">
        <v>32813</v>
      </c>
      <c r="B221" s="61">
        <f>VLOOKUP(Table17[[#This Row],[Date]],database!A:H,7,)</f>
        <v/>
      </c>
      <c r="C221" s="74">
        <f>B221/B220-1</f>
        <v/>
      </c>
      <c r="D221" s="74">
        <f>(Table17[[#This Row],[Index]]-B209)/B209</f>
        <v/>
      </c>
    </row>
    <row r="222">
      <c r="A222" s="19" t="n">
        <v>32843</v>
      </c>
      <c r="B222" s="61">
        <f>VLOOKUP(Table17[[#This Row],[Date]],database!A:H,7,)</f>
        <v/>
      </c>
      <c r="C222" s="74">
        <f>B222/B221-1</f>
        <v/>
      </c>
      <c r="D222" s="74">
        <f>(Table17[[#This Row],[Index]]-B210)/B210</f>
        <v/>
      </c>
    </row>
    <row r="223">
      <c r="A223" s="19" t="n">
        <v>32874</v>
      </c>
      <c r="B223" s="61">
        <f>VLOOKUP(Table17[[#This Row],[Date]],database!A:H,7,)</f>
        <v/>
      </c>
      <c r="C223" s="74">
        <f>B223/B222-1</f>
        <v/>
      </c>
      <c r="D223" s="74">
        <f>(Table17[[#This Row],[Index]]-B211)/B211</f>
        <v/>
      </c>
    </row>
    <row r="224">
      <c r="A224" s="19" t="n">
        <v>32905</v>
      </c>
      <c r="B224" s="61">
        <f>VLOOKUP(Table17[[#This Row],[Date]],database!A:H,7,)</f>
        <v/>
      </c>
      <c r="C224" s="74">
        <f>B224/B223-1</f>
        <v/>
      </c>
      <c r="D224" s="74">
        <f>(Table17[[#This Row],[Index]]-B212)/B212</f>
        <v/>
      </c>
    </row>
    <row r="225">
      <c r="A225" s="19" t="n">
        <v>32933</v>
      </c>
      <c r="B225" s="61">
        <f>VLOOKUP(Table17[[#This Row],[Date]],database!A:H,7,)</f>
        <v/>
      </c>
      <c r="C225" s="74">
        <f>B225/B224-1</f>
        <v/>
      </c>
      <c r="D225" s="74">
        <f>(Table17[[#This Row],[Index]]-B213)/B213</f>
        <v/>
      </c>
    </row>
    <row r="226">
      <c r="A226" s="19" t="n">
        <v>32964</v>
      </c>
      <c r="B226" s="61">
        <f>VLOOKUP(Table17[[#This Row],[Date]],database!A:H,7,)</f>
        <v/>
      </c>
      <c r="C226" s="74">
        <f>B226/B225-1</f>
        <v/>
      </c>
      <c r="D226" s="74">
        <f>(Table17[[#This Row],[Index]]-B214)/B214</f>
        <v/>
      </c>
    </row>
    <row r="227">
      <c r="A227" s="19" t="n">
        <v>32994</v>
      </c>
      <c r="B227" s="61">
        <f>VLOOKUP(Table17[[#This Row],[Date]],database!A:H,7,)</f>
        <v/>
      </c>
      <c r="C227" s="74">
        <f>B227/B226-1</f>
        <v/>
      </c>
      <c r="D227" s="74">
        <f>(Table17[[#This Row],[Index]]-B215)/B215</f>
        <v/>
      </c>
    </row>
    <row r="228">
      <c r="A228" s="19" t="n">
        <v>33025</v>
      </c>
      <c r="B228" s="61">
        <f>VLOOKUP(Table17[[#This Row],[Date]],database!A:H,7,)</f>
        <v/>
      </c>
      <c r="C228" s="74">
        <f>B228/B227-1</f>
        <v/>
      </c>
      <c r="D228" s="74">
        <f>(Table17[[#This Row],[Index]]-B216)/B216</f>
        <v/>
      </c>
    </row>
    <row r="229">
      <c r="A229" s="19" t="n">
        <v>33055</v>
      </c>
      <c r="B229" s="61">
        <f>VLOOKUP(Table17[[#This Row],[Date]],database!A:H,7,)</f>
        <v/>
      </c>
      <c r="C229" s="74">
        <f>B229/B228-1</f>
        <v/>
      </c>
      <c r="D229" s="74">
        <f>(Table17[[#This Row],[Index]]-B217)/B217</f>
        <v/>
      </c>
    </row>
    <row r="230">
      <c r="A230" s="19" t="n">
        <v>33086</v>
      </c>
      <c r="B230" s="61">
        <f>VLOOKUP(Table17[[#This Row],[Date]],database!A:H,7,)</f>
        <v/>
      </c>
      <c r="C230" s="74">
        <f>B230/B229-1</f>
        <v/>
      </c>
      <c r="D230" s="74">
        <f>(Table17[[#This Row],[Index]]-B218)/B218</f>
        <v/>
      </c>
    </row>
    <row r="231">
      <c r="A231" s="19" t="n">
        <v>33117</v>
      </c>
      <c r="B231" s="61">
        <f>VLOOKUP(Table17[[#This Row],[Date]],database!A:H,7,)</f>
        <v/>
      </c>
      <c r="C231" s="74">
        <f>B231/B230-1</f>
        <v/>
      </c>
      <c r="D231" s="74">
        <f>(Table17[[#This Row],[Index]]-B219)/B219</f>
        <v/>
      </c>
    </row>
    <row r="232">
      <c r="A232" s="19" t="n">
        <v>33147</v>
      </c>
      <c r="B232" s="61">
        <f>VLOOKUP(Table17[[#This Row],[Date]],database!A:H,7,)</f>
        <v/>
      </c>
      <c r="C232" s="74">
        <f>B232/B231-1</f>
        <v/>
      </c>
      <c r="D232" s="74">
        <f>(Table17[[#This Row],[Index]]-B220)/B220</f>
        <v/>
      </c>
    </row>
    <row r="233">
      <c r="A233" s="19" t="n">
        <v>33178</v>
      </c>
      <c r="B233" s="61">
        <f>VLOOKUP(Table17[[#This Row],[Date]],database!A:H,7,)</f>
        <v/>
      </c>
      <c r="C233" s="74">
        <f>B233/B232-1</f>
        <v/>
      </c>
      <c r="D233" s="74">
        <f>(Table17[[#This Row],[Index]]-B221)/B221</f>
        <v/>
      </c>
    </row>
    <row r="234">
      <c r="A234" s="19" t="n">
        <v>33208</v>
      </c>
      <c r="B234" s="61">
        <f>VLOOKUP(Table17[[#This Row],[Date]],database!A:H,7,)</f>
        <v/>
      </c>
      <c r="C234" s="74">
        <f>B234/B233-1</f>
        <v/>
      </c>
      <c r="D234" s="74">
        <f>(Table17[[#This Row],[Index]]-B222)/B222</f>
        <v/>
      </c>
    </row>
    <row r="235">
      <c r="A235" s="19" t="n">
        <v>33239</v>
      </c>
      <c r="B235" s="61">
        <f>VLOOKUP(Table17[[#This Row],[Date]],database!A:H,7,)</f>
        <v/>
      </c>
      <c r="C235" s="74">
        <f>B235/B234-1</f>
        <v/>
      </c>
      <c r="D235" s="74">
        <f>(Table17[[#This Row],[Index]]-B223)/B223</f>
        <v/>
      </c>
    </row>
    <row r="236">
      <c r="A236" s="19" t="n">
        <v>33270</v>
      </c>
      <c r="B236" s="61">
        <f>VLOOKUP(Table17[[#This Row],[Date]],database!A:H,7,)</f>
        <v/>
      </c>
      <c r="C236" s="74">
        <f>B236/B235-1</f>
        <v/>
      </c>
      <c r="D236" s="74">
        <f>(Table17[[#This Row],[Index]]-B224)/B224</f>
        <v/>
      </c>
    </row>
    <row r="237">
      <c r="A237" s="19" t="n">
        <v>33298</v>
      </c>
      <c r="B237" s="61">
        <f>VLOOKUP(Table17[[#This Row],[Date]],database!A:H,7,)</f>
        <v/>
      </c>
      <c r="C237" s="74">
        <f>B237/B236-1</f>
        <v/>
      </c>
      <c r="D237" s="74">
        <f>(Table17[[#This Row],[Index]]-B225)/B225</f>
        <v/>
      </c>
    </row>
    <row r="238">
      <c r="A238" s="19" t="n">
        <v>33329</v>
      </c>
      <c r="B238" s="61">
        <f>VLOOKUP(Table17[[#This Row],[Date]],database!A:H,7,)</f>
        <v/>
      </c>
      <c r="C238" s="74">
        <f>B238/B237-1</f>
        <v/>
      </c>
      <c r="D238" s="74">
        <f>(Table17[[#This Row],[Index]]-B226)/B226</f>
        <v/>
      </c>
    </row>
    <row r="239">
      <c r="A239" s="19" t="n">
        <v>33359</v>
      </c>
      <c r="B239" s="61">
        <f>VLOOKUP(Table17[[#This Row],[Date]],database!A:H,7,)</f>
        <v/>
      </c>
      <c r="C239" s="74">
        <f>B239/B238-1</f>
        <v/>
      </c>
      <c r="D239" s="74">
        <f>(Table17[[#This Row],[Index]]-B227)/B227</f>
        <v/>
      </c>
    </row>
    <row r="240">
      <c r="A240" s="19" t="n">
        <v>33390</v>
      </c>
      <c r="B240" s="61">
        <f>VLOOKUP(Table17[[#This Row],[Date]],database!A:H,7,)</f>
        <v/>
      </c>
      <c r="C240" s="74">
        <f>B240/B239-1</f>
        <v/>
      </c>
      <c r="D240" s="74">
        <f>(Table17[[#This Row],[Index]]-B228)/B228</f>
        <v/>
      </c>
    </row>
    <row r="241">
      <c r="A241" s="19" t="n">
        <v>33420</v>
      </c>
      <c r="B241" s="61">
        <f>VLOOKUP(Table17[[#This Row],[Date]],database!A:H,7,)</f>
        <v/>
      </c>
      <c r="C241" s="74">
        <f>B241/B240-1</f>
        <v/>
      </c>
      <c r="D241" s="74">
        <f>(Table17[[#This Row],[Index]]-B229)/B229</f>
        <v/>
      </c>
    </row>
    <row r="242">
      <c r="A242" s="19" t="n">
        <v>33451</v>
      </c>
      <c r="B242" s="61">
        <f>VLOOKUP(Table17[[#This Row],[Date]],database!A:H,7,)</f>
        <v/>
      </c>
      <c r="C242" s="74">
        <f>B242/B241-1</f>
        <v/>
      </c>
      <c r="D242" s="74">
        <f>(Table17[[#This Row],[Index]]-B230)/B230</f>
        <v/>
      </c>
    </row>
    <row r="243">
      <c r="A243" s="19" t="n">
        <v>33482</v>
      </c>
      <c r="B243" s="61">
        <f>VLOOKUP(Table17[[#This Row],[Date]],database!A:H,7,)</f>
        <v/>
      </c>
      <c r="C243" s="74">
        <f>B243/B242-1</f>
        <v/>
      </c>
      <c r="D243" s="74">
        <f>(Table17[[#This Row],[Index]]-B231)/B231</f>
        <v/>
      </c>
    </row>
    <row r="244">
      <c r="A244" s="19" t="n">
        <v>33512</v>
      </c>
      <c r="B244" s="61">
        <f>VLOOKUP(Table17[[#This Row],[Date]],database!A:H,7,)</f>
        <v/>
      </c>
      <c r="C244" s="74">
        <f>B244/B243-1</f>
        <v/>
      </c>
      <c r="D244" s="74">
        <f>(Table17[[#This Row],[Index]]-B232)/B232</f>
        <v/>
      </c>
    </row>
    <row r="245">
      <c r="A245" s="19" t="n">
        <v>33543</v>
      </c>
      <c r="B245" s="61">
        <f>VLOOKUP(Table17[[#This Row],[Date]],database!A:H,7,)</f>
        <v/>
      </c>
      <c r="C245" s="74">
        <f>B245/B244-1</f>
        <v/>
      </c>
      <c r="D245" s="74">
        <f>(Table17[[#This Row],[Index]]-B233)/B233</f>
        <v/>
      </c>
    </row>
    <row r="246">
      <c r="A246" s="19" t="n">
        <v>33573</v>
      </c>
      <c r="B246" s="61">
        <f>VLOOKUP(Table17[[#This Row],[Date]],database!A:H,7,)</f>
        <v/>
      </c>
      <c r="C246" s="74">
        <f>B246/B245-1</f>
        <v/>
      </c>
      <c r="D246" s="74">
        <f>(Table17[[#This Row],[Index]]-B234)/B234</f>
        <v/>
      </c>
    </row>
    <row r="247">
      <c r="A247" s="19" t="n">
        <v>33604</v>
      </c>
      <c r="B247" s="61">
        <f>VLOOKUP(Table17[[#This Row],[Date]],database!A:H,7,)</f>
        <v/>
      </c>
      <c r="C247" s="74">
        <f>B247/B246-1</f>
        <v/>
      </c>
      <c r="D247" s="74">
        <f>(Table17[[#This Row],[Index]]-B235)/B235</f>
        <v/>
      </c>
    </row>
    <row r="248">
      <c r="A248" s="19" t="n">
        <v>33635</v>
      </c>
      <c r="B248" s="61">
        <f>VLOOKUP(Table17[[#This Row],[Date]],database!A:H,7,)</f>
        <v/>
      </c>
      <c r="C248" s="74">
        <f>B248/B247-1</f>
        <v/>
      </c>
      <c r="D248" s="74">
        <f>(Table17[[#This Row],[Index]]-B236)/B236</f>
        <v/>
      </c>
    </row>
    <row r="249">
      <c r="A249" s="19" t="n">
        <v>33664</v>
      </c>
      <c r="B249" s="61">
        <f>VLOOKUP(Table17[[#This Row],[Date]],database!A:H,7,)</f>
        <v/>
      </c>
      <c r="C249" s="74">
        <f>B249/B248-1</f>
        <v/>
      </c>
      <c r="D249" s="74">
        <f>(Table17[[#This Row],[Index]]-B237)/B237</f>
        <v/>
      </c>
    </row>
    <row r="250">
      <c r="A250" s="19" t="n">
        <v>33695</v>
      </c>
      <c r="B250" s="61">
        <f>VLOOKUP(Table17[[#This Row],[Date]],database!A:H,7,)</f>
        <v/>
      </c>
      <c r="C250" s="74">
        <f>B250/B249-1</f>
        <v/>
      </c>
      <c r="D250" s="74">
        <f>(Table17[[#This Row],[Index]]-B238)/B238</f>
        <v/>
      </c>
    </row>
    <row r="251">
      <c r="A251" s="19" t="n">
        <v>33725</v>
      </c>
      <c r="B251" s="61">
        <f>VLOOKUP(Table17[[#This Row],[Date]],database!A:H,7,)</f>
        <v/>
      </c>
      <c r="C251" s="74">
        <f>B251/B250-1</f>
        <v/>
      </c>
      <c r="D251" s="74">
        <f>(Table17[[#This Row],[Index]]-B239)/B239</f>
        <v/>
      </c>
    </row>
    <row r="252">
      <c r="A252" s="19" t="n">
        <v>33756</v>
      </c>
      <c r="B252" s="61">
        <f>VLOOKUP(Table17[[#This Row],[Date]],database!A:H,7,)</f>
        <v/>
      </c>
      <c r="C252" s="74">
        <f>B252/B251-1</f>
        <v/>
      </c>
      <c r="D252" s="74">
        <f>(Table17[[#This Row],[Index]]-B240)/B240</f>
        <v/>
      </c>
    </row>
    <row r="253">
      <c r="A253" s="19" t="n">
        <v>33786</v>
      </c>
      <c r="B253" s="61">
        <f>VLOOKUP(Table17[[#This Row],[Date]],database!A:H,7,)</f>
        <v/>
      </c>
      <c r="C253" s="74">
        <f>B253/B252-1</f>
        <v/>
      </c>
      <c r="D253" s="74">
        <f>(Table17[[#This Row],[Index]]-B241)/B241</f>
        <v/>
      </c>
    </row>
    <row r="254">
      <c r="A254" s="19" t="n">
        <v>33817</v>
      </c>
      <c r="B254" s="61">
        <f>VLOOKUP(Table17[[#This Row],[Date]],database!A:H,7,)</f>
        <v/>
      </c>
      <c r="C254" s="74">
        <f>B254/B253-1</f>
        <v/>
      </c>
      <c r="D254" s="74">
        <f>(Table17[[#This Row],[Index]]-B242)/B242</f>
        <v/>
      </c>
    </row>
    <row r="255">
      <c r="A255" s="19" t="n">
        <v>33848</v>
      </c>
      <c r="B255" s="61">
        <f>VLOOKUP(Table17[[#This Row],[Date]],database!A:H,7,)</f>
        <v/>
      </c>
      <c r="C255" s="74">
        <f>B255/B254-1</f>
        <v/>
      </c>
      <c r="D255" s="74">
        <f>(Table17[[#This Row],[Index]]-B243)/B243</f>
        <v/>
      </c>
    </row>
    <row r="256">
      <c r="A256" s="19" t="n">
        <v>33878</v>
      </c>
      <c r="B256" s="61">
        <f>VLOOKUP(Table17[[#This Row],[Date]],database!A:H,7,)</f>
        <v/>
      </c>
      <c r="C256" s="74">
        <f>B256/B255-1</f>
        <v/>
      </c>
      <c r="D256" s="74">
        <f>(Table17[[#This Row],[Index]]-B244)/B244</f>
        <v/>
      </c>
    </row>
    <row r="257">
      <c r="A257" s="19" t="n">
        <v>33909</v>
      </c>
      <c r="B257" s="61">
        <f>VLOOKUP(Table17[[#This Row],[Date]],database!A:H,7,)</f>
        <v/>
      </c>
      <c r="C257" s="74">
        <f>B257/B256-1</f>
        <v/>
      </c>
      <c r="D257" s="74">
        <f>(Table17[[#This Row],[Index]]-B245)/B245</f>
        <v/>
      </c>
    </row>
    <row r="258">
      <c r="A258" s="19" t="n">
        <v>33939</v>
      </c>
      <c r="B258" s="61">
        <f>VLOOKUP(Table17[[#This Row],[Date]],database!A:H,7,)</f>
        <v/>
      </c>
      <c r="C258" s="74">
        <f>B258/B257-1</f>
        <v/>
      </c>
      <c r="D258" s="74">
        <f>(Table17[[#This Row],[Index]]-B246)/B246</f>
        <v/>
      </c>
    </row>
    <row r="259">
      <c r="A259" s="19" t="n">
        <v>33970</v>
      </c>
      <c r="B259" s="61">
        <f>VLOOKUP(Table17[[#This Row],[Date]],database!A:H,7,)</f>
        <v/>
      </c>
      <c r="C259" s="74">
        <f>B259/B258-1</f>
        <v/>
      </c>
      <c r="D259" s="74">
        <f>(Table17[[#This Row],[Index]]-B247)/B247</f>
        <v/>
      </c>
    </row>
    <row r="260">
      <c r="A260" s="19" t="n">
        <v>34001</v>
      </c>
      <c r="B260" s="61">
        <f>VLOOKUP(Table17[[#This Row],[Date]],database!A:H,7,)</f>
        <v/>
      </c>
      <c r="C260" s="74">
        <f>B260/B259-1</f>
        <v/>
      </c>
      <c r="D260" s="74">
        <f>(Table17[[#This Row],[Index]]-B248)/B248</f>
        <v/>
      </c>
    </row>
    <row r="261">
      <c r="A261" s="19" t="n">
        <v>34029</v>
      </c>
      <c r="B261" s="61">
        <f>VLOOKUP(Table17[[#This Row],[Date]],database!A:H,7,)</f>
        <v/>
      </c>
      <c r="C261" s="74">
        <f>B261/B260-1</f>
        <v/>
      </c>
      <c r="D261" s="74">
        <f>(Table17[[#This Row],[Index]]-B249)/B249</f>
        <v/>
      </c>
    </row>
    <row r="262">
      <c r="A262" s="19" t="n">
        <v>34060</v>
      </c>
      <c r="B262" s="61">
        <f>VLOOKUP(Table17[[#This Row],[Date]],database!A:H,7,)</f>
        <v/>
      </c>
      <c r="C262" s="74">
        <f>B262/B261-1</f>
        <v/>
      </c>
      <c r="D262" s="74">
        <f>(Table17[[#This Row],[Index]]-B250)/B250</f>
        <v/>
      </c>
    </row>
    <row r="263">
      <c r="A263" s="19" t="n">
        <v>34090</v>
      </c>
      <c r="B263" s="61">
        <f>VLOOKUP(Table17[[#This Row],[Date]],database!A:H,7,)</f>
        <v/>
      </c>
      <c r="C263" s="74">
        <f>B263/B262-1</f>
        <v/>
      </c>
      <c r="D263" s="74">
        <f>(Table17[[#This Row],[Index]]-B251)/B251</f>
        <v/>
      </c>
    </row>
    <row r="264">
      <c r="A264" s="19" t="n">
        <v>34121</v>
      </c>
      <c r="B264" s="61">
        <f>VLOOKUP(Table17[[#This Row],[Date]],database!A:H,7,)</f>
        <v/>
      </c>
      <c r="C264" s="74">
        <f>B264/B263-1</f>
        <v/>
      </c>
      <c r="D264" s="74">
        <f>(Table17[[#This Row],[Index]]-B252)/B252</f>
        <v/>
      </c>
    </row>
    <row r="265">
      <c r="A265" s="19" t="n">
        <v>34151</v>
      </c>
      <c r="B265" s="61">
        <f>VLOOKUP(Table17[[#This Row],[Date]],database!A:H,7,)</f>
        <v/>
      </c>
      <c r="C265" s="74">
        <f>B265/B264-1</f>
        <v/>
      </c>
      <c r="D265" s="74">
        <f>(Table17[[#This Row],[Index]]-B253)/B253</f>
        <v/>
      </c>
    </row>
    <row r="266">
      <c r="A266" s="19" t="n">
        <v>34182</v>
      </c>
      <c r="B266" s="61">
        <f>VLOOKUP(Table17[[#This Row],[Date]],database!A:H,7,)</f>
        <v/>
      </c>
      <c r="C266" s="74">
        <f>B266/B265-1</f>
        <v/>
      </c>
      <c r="D266" s="74">
        <f>(Table17[[#This Row],[Index]]-B254)/B254</f>
        <v/>
      </c>
    </row>
    <row r="267">
      <c r="A267" s="19" t="n">
        <v>34213</v>
      </c>
      <c r="B267" s="61">
        <f>VLOOKUP(Table17[[#This Row],[Date]],database!A:H,7,)</f>
        <v/>
      </c>
      <c r="C267" s="74">
        <f>B267/B266-1</f>
        <v/>
      </c>
      <c r="D267" s="74">
        <f>(Table17[[#This Row],[Index]]-B255)/B255</f>
        <v/>
      </c>
    </row>
    <row r="268">
      <c r="A268" s="19" t="n">
        <v>34243</v>
      </c>
      <c r="B268" s="61">
        <f>VLOOKUP(Table17[[#This Row],[Date]],database!A:H,7,)</f>
        <v/>
      </c>
      <c r="C268" s="74">
        <f>B268/B267-1</f>
        <v/>
      </c>
      <c r="D268" s="74">
        <f>(Table17[[#This Row],[Index]]-B256)/B256</f>
        <v/>
      </c>
    </row>
    <row r="269">
      <c r="A269" s="19" t="n">
        <v>34274</v>
      </c>
      <c r="B269" s="61">
        <f>VLOOKUP(Table17[[#This Row],[Date]],database!A:H,7,)</f>
        <v/>
      </c>
      <c r="C269" s="74">
        <f>B269/B268-1</f>
        <v/>
      </c>
      <c r="D269" s="74">
        <f>(Table17[[#This Row],[Index]]-B257)/B257</f>
        <v/>
      </c>
    </row>
    <row r="270">
      <c r="A270" s="19" t="n">
        <v>34304</v>
      </c>
      <c r="B270" s="61">
        <f>VLOOKUP(Table17[[#This Row],[Date]],database!A:H,7,)</f>
        <v/>
      </c>
      <c r="C270" s="74">
        <f>B270/B269-1</f>
        <v/>
      </c>
      <c r="D270" s="74">
        <f>(Table17[[#This Row],[Index]]-B258)/B258</f>
        <v/>
      </c>
    </row>
    <row r="271">
      <c r="A271" s="19" t="n">
        <v>34335</v>
      </c>
      <c r="B271" s="61">
        <f>VLOOKUP(Table17[[#This Row],[Date]],database!A:H,7,)</f>
        <v/>
      </c>
      <c r="C271" s="74">
        <f>B271/B270-1</f>
        <v/>
      </c>
      <c r="D271" s="74">
        <f>(Table17[[#This Row],[Index]]-B259)/B259</f>
        <v/>
      </c>
    </row>
    <row r="272">
      <c r="A272" s="19" t="n">
        <v>34366</v>
      </c>
      <c r="B272" s="61">
        <f>VLOOKUP(Table17[[#This Row],[Date]],database!A:H,7,)</f>
        <v/>
      </c>
      <c r="C272" s="74">
        <f>B272/B271-1</f>
        <v/>
      </c>
      <c r="D272" s="74">
        <f>(Table17[[#This Row],[Index]]-B260)/B260</f>
        <v/>
      </c>
    </row>
    <row r="273">
      <c r="A273" s="19" t="n">
        <v>34394</v>
      </c>
      <c r="B273" s="61">
        <f>VLOOKUP(Table17[[#This Row],[Date]],database!A:H,7,)</f>
        <v/>
      </c>
      <c r="C273" s="74">
        <f>B273/B272-1</f>
        <v/>
      </c>
      <c r="D273" s="74">
        <f>(Table17[[#This Row],[Index]]-B261)/B261</f>
        <v/>
      </c>
    </row>
    <row r="274">
      <c r="A274" s="19" t="n">
        <v>34425</v>
      </c>
      <c r="B274" s="61">
        <f>VLOOKUP(Table17[[#This Row],[Date]],database!A:H,7,)</f>
        <v/>
      </c>
      <c r="C274" s="74">
        <f>B274/B273-1</f>
        <v/>
      </c>
      <c r="D274" s="74">
        <f>(Table17[[#This Row],[Index]]-B262)/B262</f>
        <v/>
      </c>
    </row>
    <row r="275">
      <c r="A275" s="19" t="n">
        <v>34455</v>
      </c>
      <c r="B275" s="61">
        <f>VLOOKUP(Table17[[#This Row],[Date]],database!A:H,7,)</f>
        <v/>
      </c>
      <c r="C275" s="74">
        <f>B275/B274-1</f>
        <v/>
      </c>
      <c r="D275" s="74">
        <f>(Table17[[#This Row],[Index]]-B263)/B263</f>
        <v/>
      </c>
    </row>
    <row r="276">
      <c r="A276" s="19" t="n">
        <v>34486</v>
      </c>
      <c r="B276" s="61">
        <f>VLOOKUP(Table17[[#This Row],[Date]],database!A:H,7,)</f>
        <v/>
      </c>
      <c r="C276" s="74">
        <f>B276/B275-1</f>
        <v/>
      </c>
      <c r="D276" s="74">
        <f>(Table17[[#This Row],[Index]]-B264)/B264</f>
        <v/>
      </c>
    </row>
    <row r="277">
      <c r="A277" s="19" t="n">
        <v>34516</v>
      </c>
      <c r="B277" s="61">
        <f>VLOOKUP(Table17[[#This Row],[Date]],database!A:H,7,)</f>
        <v/>
      </c>
      <c r="C277" s="74">
        <f>B277/B276-1</f>
        <v/>
      </c>
      <c r="D277" s="74">
        <f>(Table17[[#This Row],[Index]]-B265)/B265</f>
        <v/>
      </c>
    </row>
    <row r="278">
      <c r="A278" s="19" t="n">
        <v>34547</v>
      </c>
      <c r="B278" s="61">
        <f>VLOOKUP(Table17[[#This Row],[Date]],database!A:H,7,)</f>
        <v/>
      </c>
      <c r="C278" s="74">
        <f>B278/B277-1</f>
        <v/>
      </c>
      <c r="D278" s="74">
        <f>(Table17[[#This Row],[Index]]-B266)/B266</f>
        <v/>
      </c>
    </row>
    <row r="279">
      <c r="A279" s="19" t="n">
        <v>34578</v>
      </c>
      <c r="B279" s="61">
        <f>VLOOKUP(Table17[[#This Row],[Date]],database!A:H,7,)</f>
        <v/>
      </c>
      <c r="C279" s="74">
        <f>B279/B278-1</f>
        <v/>
      </c>
      <c r="D279" s="74">
        <f>(Table17[[#This Row],[Index]]-B267)/B267</f>
        <v/>
      </c>
    </row>
    <row r="280">
      <c r="A280" s="19" t="n">
        <v>34608</v>
      </c>
      <c r="B280" s="61">
        <f>VLOOKUP(Table17[[#This Row],[Date]],database!A:H,7,)</f>
        <v/>
      </c>
      <c r="C280" s="74">
        <f>B280/B279-1</f>
        <v/>
      </c>
      <c r="D280" s="74">
        <f>(Table17[[#This Row],[Index]]-B268)/B268</f>
        <v/>
      </c>
    </row>
    <row r="281">
      <c r="A281" s="19" t="n">
        <v>34639</v>
      </c>
      <c r="B281" s="61">
        <f>VLOOKUP(Table17[[#This Row],[Date]],database!A:H,7,)</f>
        <v/>
      </c>
      <c r="C281" s="74">
        <f>B281/B280-1</f>
        <v/>
      </c>
      <c r="D281" s="74">
        <f>(Table17[[#This Row],[Index]]-B269)/B269</f>
        <v/>
      </c>
    </row>
    <row r="282">
      <c r="A282" s="19" t="n">
        <v>34669</v>
      </c>
      <c r="B282" s="61">
        <f>VLOOKUP(Table17[[#This Row],[Date]],database!A:H,7,)</f>
        <v/>
      </c>
      <c r="C282" s="74">
        <f>B282/B281-1</f>
        <v/>
      </c>
      <c r="D282" s="74">
        <f>(Table17[[#This Row],[Index]]-B270)/B270</f>
        <v/>
      </c>
    </row>
    <row r="283">
      <c r="A283" s="19" t="n">
        <v>34700</v>
      </c>
      <c r="B283" s="61">
        <f>VLOOKUP(Table17[[#This Row],[Date]],database!A:H,7,)</f>
        <v/>
      </c>
      <c r="C283" s="74">
        <f>B283/B282-1</f>
        <v/>
      </c>
      <c r="D283" s="74">
        <f>(Table17[[#This Row],[Index]]-B271)/B271</f>
        <v/>
      </c>
    </row>
    <row r="284">
      <c r="A284" s="19" t="n">
        <v>34731</v>
      </c>
      <c r="B284" s="61">
        <f>VLOOKUP(Table17[[#This Row],[Date]],database!A:H,7,)</f>
        <v/>
      </c>
      <c r="C284" s="74">
        <f>B284/B283-1</f>
        <v/>
      </c>
      <c r="D284" s="74">
        <f>(Table17[[#This Row],[Index]]-B272)/B272</f>
        <v/>
      </c>
    </row>
    <row r="285">
      <c r="A285" s="19" t="n">
        <v>34759</v>
      </c>
      <c r="B285" s="61">
        <f>VLOOKUP(Table17[[#This Row],[Date]],database!A:H,7,)</f>
        <v/>
      </c>
      <c r="C285" s="74">
        <f>B285/B284-1</f>
        <v/>
      </c>
      <c r="D285" s="74">
        <f>(Table17[[#This Row],[Index]]-B273)/B273</f>
        <v/>
      </c>
    </row>
    <row r="286">
      <c r="A286" s="19" t="n">
        <v>34790</v>
      </c>
      <c r="B286" s="61">
        <f>VLOOKUP(Table17[[#This Row],[Date]],database!A:H,7,)</f>
        <v/>
      </c>
      <c r="C286" s="74">
        <f>B286/B285-1</f>
        <v/>
      </c>
      <c r="D286" s="74">
        <f>(Table17[[#This Row],[Index]]-B274)/B274</f>
        <v/>
      </c>
    </row>
    <row r="287">
      <c r="A287" s="19" t="n">
        <v>34820</v>
      </c>
      <c r="B287" s="61">
        <f>VLOOKUP(Table17[[#This Row],[Date]],database!A:H,7,)</f>
        <v/>
      </c>
      <c r="C287" s="74">
        <f>B287/B286-1</f>
        <v/>
      </c>
      <c r="D287" s="74">
        <f>(Table17[[#This Row],[Index]]-B275)/B275</f>
        <v/>
      </c>
    </row>
    <row r="288">
      <c r="A288" s="19" t="n">
        <v>34851</v>
      </c>
      <c r="B288" s="61">
        <f>VLOOKUP(Table17[[#This Row],[Date]],database!A:H,7,)</f>
        <v/>
      </c>
      <c r="C288" s="74">
        <f>B288/B287-1</f>
        <v/>
      </c>
      <c r="D288" s="74">
        <f>(Table17[[#This Row],[Index]]-B276)/B276</f>
        <v/>
      </c>
    </row>
    <row r="289">
      <c r="A289" s="19" t="n">
        <v>34881</v>
      </c>
      <c r="B289" s="61">
        <f>VLOOKUP(Table17[[#This Row],[Date]],database!A:H,7,)</f>
        <v/>
      </c>
      <c r="C289" s="74">
        <f>B289/B288-1</f>
        <v/>
      </c>
      <c r="D289" s="74">
        <f>(Table17[[#This Row],[Index]]-B277)/B277</f>
        <v/>
      </c>
    </row>
    <row r="290">
      <c r="A290" s="19" t="n">
        <v>34912</v>
      </c>
      <c r="B290" s="61">
        <f>VLOOKUP(Table17[[#This Row],[Date]],database!A:H,7,)</f>
        <v/>
      </c>
      <c r="C290" s="74">
        <f>B290/B289-1</f>
        <v/>
      </c>
      <c r="D290" s="74">
        <f>(Table17[[#This Row],[Index]]-B278)/B278</f>
        <v/>
      </c>
    </row>
    <row r="291">
      <c r="A291" s="19" t="n">
        <v>34943</v>
      </c>
      <c r="B291" s="61">
        <f>VLOOKUP(Table17[[#This Row],[Date]],database!A:H,7,)</f>
        <v/>
      </c>
      <c r="C291" s="74">
        <f>B291/B290-1</f>
        <v/>
      </c>
      <c r="D291" s="74">
        <f>(Table17[[#This Row],[Index]]-B279)/B279</f>
        <v/>
      </c>
    </row>
    <row r="292">
      <c r="A292" s="19" t="n">
        <v>34973</v>
      </c>
      <c r="B292" s="61">
        <f>VLOOKUP(Table17[[#This Row],[Date]],database!A:H,7,)</f>
        <v/>
      </c>
      <c r="C292" s="74">
        <f>B292/B291-1</f>
        <v/>
      </c>
      <c r="D292" s="74">
        <f>(Table17[[#This Row],[Index]]-B280)/B280</f>
        <v/>
      </c>
    </row>
    <row r="293">
      <c r="A293" s="19" t="n">
        <v>35004</v>
      </c>
      <c r="B293" s="61">
        <f>VLOOKUP(Table17[[#This Row],[Date]],database!A:H,7,)</f>
        <v/>
      </c>
      <c r="C293" s="74">
        <f>B293/B292-1</f>
        <v/>
      </c>
      <c r="D293" s="74">
        <f>(Table17[[#This Row],[Index]]-B281)/B281</f>
        <v/>
      </c>
    </row>
    <row r="294">
      <c r="A294" s="19" t="n">
        <v>35034</v>
      </c>
      <c r="B294" s="61">
        <f>VLOOKUP(Table17[[#This Row],[Date]],database!A:H,7,)</f>
        <v/>
      </c>
      <c r="C294" s="74">
        <f>B294/B293-1</f>
        <v/>
      </c>
      <c r="D294" s="74">
        <f>(Table17[[#This Row],[Index]]-B282)/B282</f>
        <v/>
      </c>
    </row>
    <row r="295">
      <c r="A295" s="19" t="n">
        <v>35065</v>
      </c>
      <c r="B295" s="61">
        <f>VLOOKUP(Table17[[#This Row],[Date]],database!A:H,7,)</f>
        <v/>
      </c>
      <c r="C295" s="74">
        <f>B295/B294-1</f>
        <v/>
      </c>
      <c r="D295" s="74">
        <f>(Table17[[#This Row],[Index]]-B283)/B283</f>
        <v/>
      </c>
    </row>
    <row r="296">
      <c r="A296" s="19" t="n">
        <v>35096</v>
      </c>
      <c r="B296" s="61">
        <f>VLOOKUP(Table17[[#This Row],[Date]],database!A:H,7,)</f>
        <v/>
      </c>
      <c r="C296" s="74">
        <f>B296/B295-1</f>
        <v/>
      </c>
      <c r="D296" s="74">
        <f>(Table17[[#This Row],[Index]]-B284)/B284</f>
        <v/>
      </c>
    </row>
    <row r="297">
      <c r="A297" s="19" t="n">
        <v>35125</v>
      </c>
      <c r="B297" s="61">
        <f>VLOOKUP(Table17[[#This Row],[Date]],database!A:H,7,)</f>
        <v/>
      </c>
      <c r="C297" s="74">
        <f>B297/B296-1</f>
        <v/>
      </c>
      <c r="D297" s="74">
        <f>(Table17[[#This Row],[Index]]-B285)/B285</f>
        <v/>
      </c>
    </row>
    <row r="298">
      <c r="A298" s="19" t="n">
        <v>35156</v>
      </c>
      <c r="B298" s="61">
        <f>VLOOKUP(Table17[[#This Row],[Date]],database!A:H,7,)</f>
        <v/>
      </c>
      <c r="C298" s="74">
        <f>B298/B297-1</f>
        <v/>
      </c>
      <c r="D298" s="74">
        <f>(Table17[[#This Row],[Index]]-B286)/B286</f>
        <v/>
      </c>
    </row>
    <row r="299">
      <c r="A299" s="19" t="n">
        <v>35186</v>
      </c>
      <c r="B299" s="61">
        <f>VLOOKUP(Table17[[#This Row],[Date]],database!A:H,7,)</f>
        <v/>
      </c>
      <c r="C299" s="74">
        <f>B299/B298-1</f>
        <v/>
      </c>
      <c r="D299" s="74">
        <f>(Table17[[#This Row],[Index]]-B287)/B287</f>
        <v/>
      </c>
    </row>
    <row r="300">
      <c r="A300" s="19" t="n">
        <v>35217</v>
      </c>
      <c r="B300" s="61">
        <f>VLOOKUP(Table17[[#This Row],[Date]],database!A:H,7,)</f>
        <v/>
      </c>
      <c r="C300" s="74">
        <f>B300/B299-1</f>
        <v/>
      </c>
      <c r="D300" s="74">
        <f>(Table17[[#This Row],[Index]]-B288)/B288</f>
        <v/>
      </c>
    </row>
    <row r="301">
      <c r="A301" s="19" t="n">
        <v>35247</v>
      </c>
      <c r="B301" s="61">
        <f>VLOOKUP(Table17[[#This Row],[Date]],database!A:H,7,)</f>
        <v/>
      </c>
      <c r="C301" s="74">
        <f>B301/B300-1</f>
        <v/>
      </c>
      <c r="D301" s="74">
        <f>(Table17[[#This Row],[Index]]-B289)/B289</f>
        <v/>
      </c>
    </row>
    <row r="302">
      <c r="A302" s="19" t="n">
        <v>35278</v>
      </c>
      <c r="B302" s="61">
        <f>VLOOKUP(Table17[[#This Row],[Date]],database!A:H,7,)</f>
        <v/>
      </c>
      <c r="C302" s="74">
        <f>B302/B301-1</f>
        <v/>
      </c>
      <c r="D302" s="74">
        <f>(Table17[[#This Row],[Index]]-B290)/B290</f>
        <v/>
      </c>
    </row>
    <row r="303">
      <c r="A303" s="19" t="n">
        <v>35309</v>
      </c>
      <c r="B303" s="61">
        <f>VLOOKUP(Table17[[#This Row],[Date]],database!A:H,7,)</f>
        <v/>
      </c>
      <c r="C303" s="74">
        <f>B303/B302-1</f>
        <v/>
      </c>
      <c r="D303" s="74">
        <f>(Table17[[#This Row],[Index]]-B291)/B291</f>
        <v/>
      </c>
    </row>
    <row r="304">
      <c r="A304" s="19" t="n">
        <v>35339</v>
      </c>
      <c r="B304" s="61">
        <f>VLOOKUP(Table17[[#This Row],[Date]],database!A:H,7,)</f>
        <v/>
      </c>
      <c r="C304" s="74">
        <f>B304/B303-1</f>
        <v/>
      </c>
      <c r="D304" s="74">
        <f>(Table17[[#This Row],[Index]]-B292)/B292</f>
        <v/>
      </c>
    </row>
    <row r="305">
      <c r="A305" s="19" t="n">
        <v>35370</v>
      </c>
      <c r="B305" s="61">
        <f>VLOOKUP(Table17[[#This Row],[Date]],database!A:H,7,)</f>
        <v/>
      </c>
      <c r="C305" s="74">
        <f>B305/B304-1</f>
        <v/>
      </c>
      <c r="D305" s="74">
        <f>(Table17[[#This Row],[Index]]-B293)/B293</f>
        <v/>
      </c>
    </row>
    <row r="306">
      <c r="A306" s="19" t="n">
        <v>35400</v>
      </c>
      <c r="B306" s="61">
        <f>VLOOKUP(Table17[[#This Row],[Date]],database!A:H,7,)</f>
        <v/>
      </c>
      <c r="C306" s="74">
        <f>B306/B305-1</f>
        <v/>
      </c>
      <c r="D306" s="74">
        <f>(Table17[[#This Row],[Index]]-B294)/B294</f>
        <v/>
      </c>
    </row>
    <row r="307">
      <c r="A307" s="19" t="n">
        <v>35431</v>
      </c>
      <c r="B307" s="61">
        <f>VLOOKUP(Table17[[#This Row],[Date]],database!A:H,7,)</f>
        <v/>
      </c>
      <c r="C307" s="74">
        <f>B307/B306-1</f>
        <v/>
      </c>
      <c r="D307" s="74">
        <f>(Table17[[#This Row],[Index]]-B295)/B295</f>
        <v/>
      </c>
    </row>
    <row r="308">
      <c r="A308" s="19" t="n">
        <v>35462</v>
      </c>
      <c r="B308" s="61">
        <f>VLOOKUP(Table17[[#This Row],[Date]],database!A:H,7,)</f>
        <v/>
      </c>
      <c r="C308" s="74">
        <f>B308/B307-1</f>
        <v/>
      </c>
      <c r="D308" s="74">
        <f>(Table17[[#This Row],[Index]]-B296)/B296</f>
        <v/>
      </c>
    </row>
    <row r="309">
      <c r="A309" s="19" t="n">
        <v>35490</v>
      </c>
      <c r="B309" s="61">
        <f>VLOOKUP(Table17[[#This Row],[Date]],database!A:H,7,)</f>
        <v/>
      </c>
      <c r="C309" s="74">
        <f>B309/B308-1</f>
        <v/>
      </c>
      <c r="D309" s="74">
        <f>(Table17[[#This Row],[Index]]-B297)/B297</f>
        <v/>
      </c>
    </row>
    <row r="310">
      <c r="A310" s="19" t="n">
        <v>35521</v>
      </c>
      <c r="B310" s="61">
        <f>VLOOKUP(Table17[[#This Row],[Date]],database!A:H,7,)</f>
        <v/>
      </c>
      <c r="C310" s="74">
        <f>B310/B309-1</f>
        <v/>
      </c>
      <c r="D310" s="74">
        <f>(Table17[[#This Row],[Index]]-B298)/B298</f>
        <v/>
      </c>
    </row>
    <row r="311">
      <c r="A311" s="19" t="n">
        <v>35551</v>
      </c>
      <c r="B311" s="61">
        <f>VLOOKUP(Table17[[#This Row],[Date]],database!A:H,7,)</f>
        <v/>
      </c>
      <c r="C311" s="74">
        <f>B311/B310-1</f>
        <v/>
      </c>
      <c r="D311" s="74">
        <f>(Table17[[#This Row],[Index]]-B299)/B299</f>
        <v/>
      </c>
    </row>
    <row r="312">
      <c r="A312" s="19" t="n">
        <v>35582</v>
      </c>
      <c r="B312" s="61">
        <f>VLOOKUP(Table17[[#This Row],[Date]],database!A:H,7,)</f>
        <v/>
      </c>
      <c r="C312" s="74">
        <f>B312/B311-1</f>
        <v/>
      </c>
      <c r="D312" s="74">
        <f>(Table17[[#This Row],[Index]]-B300)/B300</f>
        <v/>
      </c>
    </row>
    <row r="313">
      <c r="A313" s="19" t="n">
        <v>35612</v>
      </c>
      <c r="B313" s="61">
        <f>VLOOKUP(Table17[[#This Row],[Date]],database!A:H,7,)</f>
        <v/>
      </c>
      <c r="C313" s="74">
        <f>B313/B312-1</f>
        <v/>
      </c>
      <c r="D313" s="74">
        <f>(Table17[[#This Row],[Index]]-B301)/B301</f>
        <v/>
      </c>
    </row>
    <row r="314">
      <c r="A314" s="19" t="n">
        <v>35643</v>
      </c>
      <c r="B314" s="61">
        <f>VLOOKUP(Table17[[#This Row],[Date]],database!A:H,7,)</f>
        <v/>
      </c>
      <c r="C314" s="74">
        <f>B314/B313-1</f>
        <v/>
      </c>
      <c r="D314" s="74">
        <f>(Table17[[#This Row],[Index]]-B302)/B302</f>
        <v/>
      </c>
    </row>
    <row r="315">
      <c r="A315" s="19" t="n">
        <v>35674</v>
      </c>
      <c r="B315" s="61">
        <f>VLOOKUP(Table17[[#This Row],[Date]],database!A:H,7,)</f>
        <v/>
      </c>
      <c r="C315" s="74">
        <f>B315/B314-1</f>
        <v/>
      </c>
      <c r="D315" s="74">
        <f>(Table17[[#This Row],[Index]]-B303)/B303</f>
        <v/>
      </c>
    </row>
    <row r="316">
      <c r="A316" s="19" t="n">
        <v>35704</v>
      </c>
      <c r="B316" s="61">
        <f>VLOOKUP(Table17[[#This Row],[Date]],database!A:H,7,)</f>
        <v/>
      </c>
      <c r="C316" s="74">
        <f>B316/B315-1</f>
        <v/>
      </c>
      <c r="D316" s="74">
        <f>(Table17[[#This Row],[Index]]-B304)/B304</f>
        <v/>
      </c>
    </row>
    <row r="317">
      <c r="A317" s="19" t="n">
        <v>35735</v>
      </c>
      <c r="B317" s="61">
        <f>VLOOKUP(Table17[[#This Row],[Date]],database!A:H,7,)</f>
        <v/>
      </c>
      <c r="C317" s="74">
        <f>B317/B316-1</f>
        <v/>
      </c>
      <c r="D317" s="74">
        <f>(Table17[[#This Row],[Index]]-B305)/B305</f>
        <v/>
      </c>
    </row>
    <row r="318">
      <c r="A318" s="19" t="n">
        <v>35765</v>
      </c>
      <c r="B318" s="61">
        <f>VLOOKUP(Table17[[#This Row],[Date]],database!A:H,7,)</f>
        <v/>
      </c>
      <c r="C318" s="74">
        <f>B318/B317-1</f>
        <v/>
      </c>
      <c r="D318" s="74">
        <f>(Table17[[#This Row],[Index]]-B306)/B306</f>
        <v/>
      </c>
    </row>
    <row r="319">
      <c r="A319" s="19" t="n">
        <v>35796</v>
      </c>
      <c r="B319" s="61">
        <f>VLOOKUP(Table17[[#This Row],[Date]],database!A:H,7,)</f>
        <v/>
      </c>
      <c r="C319" s="74">
        <f>B319/B318-1</f>
        <v/>
      </c>
      <c r="D319" s="74">
        <f>(Table17[[#This Row],[Index]]-B307)/B307</f>
        <v/>
      </c>
    </row>
    <row r="320">
      <c r="A320" s="19" t="n">
        <v>35827</v>
      </c>
      <c r="B320" s="61">
        <f>VLOOKUP(Table17[[#This Row],[Date]],database!A:H,7,)</f>
        <v/>
      </c>
      <c r="C320" s="74">
        <f>B320/B319-1</f>
        <v/>
      </c>
      <c r="D320" s="74">
        <f>(Table17[[#This Row],[Index]]-B308)/B308</f>
        <v/>
      </c>
    </row>
    <row r="321">
      <c r="A321" s="19" t="n">
        <v>35855</v>
      </c>
      <c r="B321" s="61">
        <f>VLOOKUP(Table17[[#This Row],[Date]],database!A:H,7,)</f>
        <v/>
      </c>
      <c r="C321" s="74">
        <f>B321/B320-1</f>
        <v/>
      </c>
      <c r="D321" s="74">
        <f>(Table17[[#This Row],[Index]]-B309)/B309</f>
        <v/>
      </c>
    </row>
    <row r="322">
      <c r="A322" s="19" t="n">
        <v>35886</v>
      </c>
      <c r="B322" s="61">
        <f>VLOOKUP(Table17[[#This Row],[Date]],database!A:H,7,)</f>
        <v/>
      </c>
      <c r="C322" s="74">
        <f>B322/B321-1</f>
        <v/>
      </c>
      <c r="D322" s="74">
        <f>(Table17[[#This Row],[Index]]-B310)/B310</f>
        <v/>
      </c>
    </row>
    <row r="323">
      <c r="A323" s="19" t="n">
        <v>35916</v>
      </c>
      <c r="B323" s="61">
        <f>VLOOKUP(Table17[[#This Row],[Date]],database!A:H,7,)</f>
        <v/>
      </c>
      <c r="C323" s="74">
        <f>B323/B322-1</f>
        <v/>
      </c>
      <c r="D323" s="74">
        <f>(Table17[[#This Row],[Index]]-B311)/B311</f>
        <v/>
      </c>
    </row>
    <row r="324">
      <c r="A324" s="19" t="n">
        <v>35947</v>
      </c>
      <c r="B324" s="61">
        <f>VLOOKUP(Table17[[#This Row],[Date]],database!A:H,7,)</f>
        <v/>
      </c>
      <c r="C324" s="74">
        <f>B324/B323-1</f>
        <v/>
      </c>
      <c r="D324" s="74">
        <f>(Table17[[#This Row],[Index]]-B312)/B312</f>
        <v/>
      </c>
    </row>
    <row r="325">
      <c r="A325" s="19" t="n">
        <v>35977</v>
      </c>
      <c r="B325" s="61">
        <f>VLOOKUP(Table17[[#This Row],[Date]],database!A:H,7,)</f>
        <v/>
      </c>
      <c r="C325" s="74">
        <f>B325/B324-1</f>
        <v/>
      </c>
      <c r="D325" s="74">
        <f>(Table17[[#This Row],[Index]]-B313)/B313</f>
        <v/>
      </c>
    </row>
    <row r="326">
      <c r="A326" s="19" t="n">
        <v>36008</v>
      </c>
      <c r="B326" s="61">
        <f>VLOOKUP(Table17[[#This Row],[Date]],database!A:H,7,)</f>
        <v/>
      </c>
      <c r="C326" s="74">
        <f>B326/B325-1</f>
        <v/>
      </c>
      <c r="D326" s="74">
        <f>(Table17[[#This Row],[Index]]-B314)/B314</f>
        <v/>
      </c>
    </row>
    <row r="327">
      <c r="A327" s="19" t="n">
        <v>36039</v>
      </c>
      <c r="B327" s="61">
        <f>VLOOKUP(Table17[[#This Row],[Date]],database!A:H,7,)</f>
        <v/>
      </c>
      <c r="C327" s="74">
        <f>B327/B326-1</f>
        <v/>
      </c>
      <c r="D327" s="74">
        <f>(Table17[[#This Row],[Index]]-B315)/B315</f>
        <v/>
      </c>
    </row>
    <row r="328">
      <c r="A328" s="19" t="n">
        <v>36069</v>
      </c>
      <c r="B328" s="61">
        <f>VLOOKUP(Table17[[#This Row],[Date]],database!A:H,7,)</f>
        <v/>
      </c>
      <c r="C328" s="74">
        <f>B328/B327-1</f>
        <v/>
      </c>
      <c r="D328" s="74">
        <f>(Table17[[#This Row],[Index]]-B316)/B316</f>
        <v/>
      </c>
    </row>
    <row r="329">
      <c r="A329" s="19" t="n">
        <v>36100</v>
      </c>
      <c r="B329" s="61">
        <f>VLOOKUP(Table17[[#This Row],[Date]],database!A:H,7,)</f>
        <v/>
      </c>
      <c r="C329" s="74">
        <f>B329/B328-1</f>
        <v/>
      </c>
      <c r="D329" s="74">
        <f>(Table17[[#This Row],[Index]]-B317)/B317</f>
        <v/>
      </c>
    </row>
    <row r="330">
      <c r="A330" s="19" t="n">
        <v>36130</v>
      </c>
      <c r="B330" s="61">
        <f>VLOOKUP(Table17[[#This Row],[Date]],database!A:H,7,)</f>
        <v/>
      </c>
      <c r="C330" s="74">
        <f>B330/B329-1</f>
        <v/>
      </c>
      <c r="D330" s="74">
        <f>(Table17[[#This Row],[Index]]-B318)/B318</f>
        <v/>
      </c>
    </row>
    <row r="331">
      <c r="A331" s="19" t="n">
        <v>36161</v>
      </c>
      <c r="B331" s="61">
        <f>VLOOKUP(Table17[[#This Row],[Date]],database!A:H,7,)</f>
        <v/>
      </c>
      <c r="C331" s="74">
        <f>B331/B330-1</f>
        <v/>
      </c>
      <c r="D331" s="74">
        <f>(Table17[[#This Row],[Index]]-B319)/B319</f>
        <v/>
      </c>
    </row>
    <row r="332">
      <c r="A332" s="19" t="n">
        <v>36192</v>
      </c>
      <c r="B332" s="61">
        <f>VLOOKUP(Table17[[#This Row],[Date]],database!A:H,7,)</f>
        <v/>
      </c>
      <c r="C332" s="74">
        <f>B332/B331-1</f>
        <v/>
      </c>
      <c r="D332" s="74">
        <f>(Table17[[#This Row],[Index]]-B320)/B320</f>
        <v/>
      </c>
    </row>
    <row r="333">
      <c r="A333" s="19" t="n">
        <v>36220</v>
      </c>
      <c r="B333" s="61">
        <f>VLOOKUP(Table17[[#This Row],[Date]],database!A:H,7,)</f>
        <v/>
      </c>
      <c r="C333" s="74">
        <f>B333/B332-1</f>
        <v/>
      </c>
      <c r="D333" s="74">
        <f>(Table17[[#This Row],[Index]]-B321)/B321</f>
        <v/>
      </c>
    </row>
    <row r="334">
      <c r="A334" s="19" t="n">
        <v>36251</v>
      </c>
      <c r="B334" s="61">
        <f>VLOOKUP(Table17[[#This Row],[Date]],database!A:H,7,)</f>
        <v/>
      </c>
      <c r="C334" s="74">
        <f>B334/B333-1</f>
        <v/>
      </c>
      <c r="D334" s="74">
        <f>(Table17[[#This Row],[Index]]-B322)/B322</f>
        <v/>
      </c>
    </row>
    <row r="335">
      <c r="A335" s="19" t="n">
        <v>36281</v>
      </c>
      <c r="B335" s="61">
        <f>VLOOKUP(Table17[[#This Row],[Date]],database!A:H,7,)</f>
        <v/>
      </c>
      <c r="C335" s="74">
        <f>B335/B334-1</f>
        <v/>
      </c>
      <c r="D335" s="74">
        <f>(Table17[[#This Row],[Index]]-B323)/B323</f>
        <v/>
      </c>
    </row>
    <row r="336">
      <c r="A336" s="19" t="n">
        <v>36312</v>
      </c>
      <c r="B336" s="61">
        <f>VLOOKUP(Table17[[#This Row],[Date]],database!A:H,7,)</f>
        <v/>
      </c>
      <c r="C336" s="74">
        <f>B336/B335-1</f>
        <v/>
      </c>
      <c r="D336" s="74">
        <f>(Table17[[#This Row],[Index]]-B324)/B324</f>
        <v/>
      </c>
    </row>
    <row r="337">
      <c r="A337" s="19" t="n">
        <v>36342</v>
      </c>
      <c r="B337" s="61">
        <f>VLOOKUP(Table17[[#This Row],[Date]],database!A:H,7,)</f>
        <v/>
      </c>
      <c r="C337" s="74">
        <f>B337/B336-1</f>
        <v/>
      </c>
      <c r="D337" s="74">
        <f>(Table17[[#This Row],[Index]]-B325)/B325</f>
        <v/>
      </c>
    </row>
    <row r="338">
      <c r="A338" s="19" t="n">
        <v>36373</v>
      </c>
      <c r="B338" s="61">
        <f>VLOOKUP(Table17[[#This Row],[Date]],database!A:H,7,)</f>
        <v/>
      </c>
      <c r="C338" s="74">
        <f>B338/B337-1</f>
        <v/>
      </c>
      <c r="D338" s="74">
        <f>(Table17[[#This Row],[Index]]-B326)/B326</f>
        <v/>
      </c>
    </row>
    <row r="339">
      <c r="A339" s="19" t="n">
        <v>36404</v>
      </c>
      <c r="B339" s="61">
        <f>VLOOKUP(Table17[[#This Row],[Date]],database!A:H,7,)</f>
        <v/>
      </c>
      <c r="C339" s="74">
        <f>B339/B338-1</f>
        <v/>
      </c>
      <c r="D339" s="74">
        <f>(Table17[[#This Row],[Index]]-B327)/B327</f>
        <v/>
      </c>
    </row>
    <row r="340">
      <c r="A340" s="19" t="n">
        <v>36434</v>
      </c>
      <c r="B340" s="61">
        <f>VLOOKUP(Table17[[#This Row],[Date]],database!A:H,7,)</f>
        <v/>
      </c>
      <c r="C340" s="74">
        <f>B340/B339-1</f>
        <v/>
      </c>
      <c r="D340" s="74">
        <f>(Table17[[#This Row],[Index]]-B328)/B328</f>
        <v/>
      </c>
    </row>
    <row r="341">
      <c r="A341" s="19" t="n">
        <v>36465</v>
      </c>
      <c r="B341" s="61">
        <f>VLOOKUP(Table17[[#This Row],[Date]],database!A:H,7,)</f>
        <v/>
      </c>
      <c r="C341" s="74">
        <f>B341/B340-1</f>
        <v/>
      </c>
      <c r="D341" s="74">
        <f>(Table17[[#This Row],[Index]]-B329)/B329</f>
        <v/>
      </c>
    </row>
    <row r="342">
      <c r="A342" s="19" t="n">
        <v>36495</v>
      </c>
      <c r="B342" s="61">
        <f>VLOOKUP(Table17[[#This Row],[Date]],database!A:H,7,)</f>
        <v/>
      </c>
      <c r="C342" s="74">
        <f>B342/B341-1</f>
        <v/>
      </c>
      <c r="D342" s="74">
        <f>(Table17[[#This Row],[Index]]-B330)/B330</f>
        <v/>
      </c>
    </row>
    <row r="343">
      <c r="A343" s="19" t="n">
        <v>36526</v>
      </c>
      <c r="B343" s="61">
        <f>VLOOKUP(Table17[[#This Row],[Date]],database!A:H,7,)</f>
        <v/>
      </c>
      <c r="C343" s="74">
        <f>B343/B342-1</f>
        <v/>
      </c>
      <c r="D343" s="74">
        <f>(Table17[[#This Row],[Index]]-B331)/B331</f>
        <v/>
      </c>
    </row>
    <row r="344">
      <c r="A344" s="19" t="n">
        <v>36557</v>
      </c>
      <c r="B344" s="61">
        <f>VLOOKUP(Table17[[#This Row],[Date]],database!A:H,7,)</f>
        <v/>
      </c>
      <c r="C344" s="74">
        <f>B344/B343-1</f>
        <v/>
      </c>
      <c r="D344" s="74">
        <f>(Table17[[#This Row],[Index]]-B332)/B332</f>
        <v/>
      </c>
    </row>
    <row r="345">
      <c r="A345" s="19" t="n">
        <v>36586</v>
      </c>
      <c r="B345" s="61">
        <f>VLOOKUP(Table17[[#This Row],[Date]],database!A:H,7,)</f>
        <v/>
      </c>
      <c r="C345" s="74">
        <f>B345/B344-1</f>
        <v/>
      </c>
      <c r="D345" s="74">
        <f>(Table17[[#This Row],[Index]]-B333)/B333</f>
        <v/>
      </c>
    </row>
    <row r="346">
      <c r="A346" s="19" t="n">
        <v>36617</v>
      </c>
      <c r="B346" s="61">
        <f>VLOOKUP(Table17[[#This Row],[Date]],database!A:H,7,)</f>
        <v/>
      </c>
      <c r="C346" s="74">
        <f>B346/B345-1</f>
        <v/>
      </c>
      <c r="D346" s="74">
        <f>(Table17[[#This Row],[Index]]-B334)/B334</f>
        <v/>
      </c>
    </row>
    <row r="347">
      <c r="A347" s="19" t="n">
        <v>36647</v>
      </c>
      <c r="B347" s="61">
        <f>VLOOKUP(Table17[[#This Row],[Date]],database!A:H,7,)</f>
        <v/>
      </c>
      <c r="C347" s="74">
        <f>B347/B346-1</f>
        <v/>
      </c>
      <c r="D347" s="74">
        <f>(Table17[[#This Row],[Index]]-B335)/B335</f>
        <v/>
      </c>
    </row>
    <row r="348">
      <c r="A348" s="19" t="n">
        <v>36678</v>
      </c>
      <c r="B348" s="61">
        <f>VLOOKUP(Table17[[#This Row],[Date]],database!A:H,7,)</f>
        <v/>
      </c>
      <c r="C348" s="74">
        <f>B348/B347-1</f>
        <v/>
      </c>
      <c r="D348" s="74">
        <f>(Table17[[#This Row],[Index]]-B336)/B336</f>
        <v/>
      </c>
    </row>
    <row r="349">
      <c r="A349" s="19" t="n">
        <v>36708</v>
      </c>
      <c r="B349" s="61">
        <f>VLOOKUP(Table17[[#This Row],[Date]],database!A:H,7,)</f>
        <v/>
      </c>
      <c r="C349" s="74">
        <f>B349/B348-1</f>
        <v/>
      </c>
      <c r="D349" s="74">
        <f>(Table17[[#This Row],[Index]]-B337)/B337</f>
        <v/>
      </c>
    </row>
    <row r="350">
      <c r="A350" s="19" t="n">
        <v>36739</v>
      </c>
      <c r="B350" s="61">
        <f>VLOOKUP(Table17[[#This Row],[Date]],database!A:H,7,)</f>
        <v/>
      </c>
      <c r="C350" s="74">
        <f>B350/B349-1</f>
        <v/>
      </c>
      <c r="D350" s="74">
        <f>(Table17[[#This Row],[Index]]-B338)/B338</f>
        <v/>
      </c>
    </row>
    <row r="351">
      <c r="A351" s="19" t="n">
        <v>36770</v>
      </c>
      <c r="B351" s="61">
        <f>VLOOKUP(Table17[[#This Row],[Date]],database!A:H,7,)</f>
        <v/>
      </c>
      <c r="C351" s="74">
        <f>B351/B350-1</f>
        <v/>
      </c>
      <c r="D351" s="74">
        <f>(Table17[[#This Row],[Index]]-B339)/B339</f>
        <v/>
      </c>
    </row>
    <row r="352">
      <c r="A352" s="19" t="n">
        <v>36800</v>
      </c>
      <c r="B352" s="61">
        <f>VLOOKUP(Table17[[#This Row],[Date]],database!A:H,7,)</f>
        <v/>
      </c>
      <c r="C352" s="74">
        <f>B352/B351-1</f>
        <v/>
      </c>
      <c r="D352" s="74">
        <f>(Table17[[#This Row],[Index]]-B340)/B340</f>
        <v/>
      </c>
    </row>
    <row r="353">
      <c r="A353" s="19" t="n">
        <v>36831</v>
      </c>
      <c r="B353" s="61">
        <f>VLOOKUP(Table17[[#This Row],[Date]],database!A:H,7,)</f>
        <v/>
      </c>
      <c r="C353" s="74">
        <f>B353/B352-1</f>
        <v/>
      </c>
      <c r="D353" s="74">
        <f>(Table17[[#This Row],[Index]]-B341)/B341</f>
        <v/>
      </c>
    </row>
    <row r="354">
      <c r="A354" s="19" t="n">
        <v>36861</v>
      </c>
      <c r="B354" s="61">
        <f>VLOOKUP(Table17[[#This Row],[Date]],database!A:H,7,)</f>
        <v/>
      </c>
      <c r="C354" s="74">
        <f>B354/B353-1</f>
        <v/>
      </c>
      <c r="D354" s="74">
        <f>(Table17[[#This Row],[Index]]-B342)/B342</f>
        <v/>
      </c>
    </row>
    <row r="355">
      <c r="A355" s="19" t="n">
        <v>36892</v>
      </c>
      <c r="B355" s="61">
        <f>VLOOKUP(Table17[[#This Row],[Date]],database!A:H,7,)</f>
        <v/>
      </c>
      <c r="C355" s="74">
        <f>B355/B354-1</f>
        <v/>
      </c>
      <c r="D355" s="74">
        <f>(Table17[[#This Row],[Index]]-B343)/B343</f>
        <v/>
      </c>
    </row>
    <row r="356">
      <c r="A356" s="19" t="n">
        <v>36923</v>
      </c>
      <c r="B356" s="61">
        <f>VLOOKUP(Table17[[#This Row],[Date]],database!A:H,7,)</f>
        <v/>
      </c>
      <c r="C356" s="74">
        <f>B356/B355-1</f>
        <v/>
      </c>
      <c r="D356" s="74">
        <f>(Table17[[#This Row],[Index]]-B344)/B344</f>
        <v/>
      </c>
    </row>
    <row r="357">
      <c r="A357" s="19" t="n">
        <v>36951</v>
      </c>
      <c r="B357" s="61">
        <f>VLOOKUP(Table17[[#This Row],[Date]],database!A:H,7,)</f>
        <v/>
      </c>
      <c r="C357" s="74">
        <f>B357/B356-1</f>
        <v/>
      </c>
      <c r="D357" s="74">
        <f>(Table17[[#This Row],[Index]]-B345)/B345</f>
        <v/>
      </c>
    </row>
    <row r="358">
      <c r="A358" s="19" t="n">
        <v>36982</v>
      </c>
      <c r="B358" s="61">
        <f>VLOOKUP(Table17[[#This Row],[Date]],database!A:H,7,)</f>
        <v/>
      </c>
      <c r="C358" s="74">
        <f>B358/B357-1</f>
        <v/>
      </c>
      <c r="D358" s="74">
        <f>(Table17[[#This Row],[Index]]-B346)/B346</f>
        <v/>
      </c>
    </row>
    <row r="359">
      <c r="A359" s="19" t="n">
        <v>37012</v>
      </c>
      <c r="B359" s="61">
        <f>VLOOKUP(Table17[[#This Row],[Date]],database!A:H,7,)</f>
        <v/>
      </c>
      <c r="C359" s="74">
        <f>B359/B358-1</f>
        <v/>
      </c>
      <c r="D359" s="74">
        <f>(Table17[[#This Row],[Index]]-B347)/B347</f>
        <v/>
      </c>
    </row>
    <row r="360">
      <c r="A360" s="19" t="n">
        <v>37043</v>
      </c>
      <c r="B360" s="61">
        <f>VLOOKUP(Table17[[#This Row],[Date]],database!A:H,7,)</f>
        <v/>
      </c>
      <c r="C360" s="74">
        <f>B360/B359-1</f>
        <v/>
      </c>
      <c r="D360" s="74">
        <f>(Table17[[#This Row],[Index]]-B348)/B348</f>
        <v/>
      </c>
    </row>
    <row r="361">
      <c r="A361" s="19" t="n">
        <v>37073</v>
      </c>
      <c r="B361" s="61">
        <f>VLOOKUP(Table17[[#This Row],[Date]],database!A:H,7,)</f>
        <v/>
      </c>
      <c r="C361" s="74">
        <f>B361/B360-1</f>
        <v/>
      </c>
      <c r="D361" s="74">
        <f>(Table17[[#This Row],[Index]]-B349)/B349</f>
        <v/>
      </c>
    </row>
    <row r="362">
      <c r="A362" s="19" t="n">
        <v>37104</v>
      </c>
      <c r="B362" s="61">
        <f>VLOOKUP(Table17[[#This Row],[Date]],database!A:H,7,)</f>
        <v/>
      </c>
      <c r="C362" s="74">
        <f>B362/B361-1</f>
        <v/>
      </c>
      <c r="D362" s="74">
        <f>(Table17[[#This Row],[Index]]-B350)/B350</f>
        <v/>
      </c>
    </row>
    <row r="363">
      <c r="A363" s="19" t="n">
        <v>37135</v>
      </c>
      <c r="B363" s="61">
        <f>VLOOKUP(Table17[[#This Row],[Date]],database!A:H,7,)</f>
        <v/>
      </c>
      <c r="C363" s="74">
        <f>B363/B362-1</f>
        <v/>
      </c>
      <c r="D363" s="74">
        <f>(Table17[[#This Row],[Index]]-B351)/B351</f>
        <v/>
      </c>
    </row>
    <row r="364">
      <c r="A364" s="19" t="n">
        <v>37165</v>
      </c>
      <c r="B364" s="61">
        <f>VLOOKUP(Table17[[#This Row],[Date]],database!A:H,7,)</f>
        <v/>
      </c>
      <c r="C364" s="74">
        <f>B364/B363-1</f>
        <v/>
      </c>
      <c r="D364" s="74">
        <f>(Table17[[#This Row],[Index]]-B352)/B352</f>
        <v/>
      </c>
    </row>
    <row r="365">
      <c r="A365" s="19" t="n">
        <v>37196</v>
      </c>
      <c r="B365" s="61">
        <f>VLOOKUP(Table17[[#This Row],[Date]],database!A:H,7,)</f>
        <v/>
      </c>
      <c r="C365" s="74">
        <f>B365/B364-1</f>
        <v/>
      </c>
      <c r="D365" s="74">
        <f>(Table17[[#This Row],[Index]]-B353)/B353</f>
        <v/>
      </c>
    </row>
    <row r="366">
      <c r="A366" s="19" t="n">
        <v>37226</v>
      </c>
      <c r="B366" s="61">
        <f>VLOOKUP(Table17[[#This Row],[Date]],database!A:H,7,)</f>
        <v/>
      </c>
      <c r="C366" s="74">
        <f>B366/B365-1</f>
        <v/>
      </c>
      <c r="D366" s="74">
        <f>(Table17[[#This Row],[Index]]-B354)/B354</f>
        <v/>
      </c>
    </row>
    <row r="367">
      <c r="A367" s="19" t="n">
        <v>37257</v>
      </c>
      <c r="B367" s="61">
        <f>VLOOKUP(Table17[[#This Row],[Date]],database!A:H,7,)</f>
        <v/>
      </c>
      <c r="C367" s="74">
        <f>B367/B366-1</f>
        <v/>
      </c>
      <c r="D367" s="74">
        <f>(Table17[[#This Row],[Index]]-B355)/B355</f>
        <v/>
      </c>
    </row>
    <row r="368">
      <c r="A368" s="19" t="n">
        <v>37288</v>
      </c>
      <c r="B368" s="61">
        <f>VLOOKUP(Table17[[#This Row],[Date]],database!A:H,7,)</f>
        <v/>
      </c>
      <c r="C368" s="74">
        <f>B368/B367-1</f>
        <v/>
      </c>
      <c r="D368" s="74">
        <f>(Table17[[#This Row],[Index]]-B356)/B356</f>
        <v/>
      </c>
    </row>
    <row r="369">
      <c r="A369" s="19" t="n">
        <v>37316</v>
      </c>
      <c r="B369" s="61">
        <f>VLOOKUP(Table17[[#This Row],[Date]],database!A:H,7,)</f>
        <v/>
      </c>
      <c r="C369" s="74">
        <f>B369/B368-1</f>
        <v/>
      </c>
      <c r="D369" s="74">
        <f>(Table17[[#This Row],[Index]]-B357)/B357</f>
        <v/>
      </c>
    </row>
    <row r="370">
      <c r="A370" s="19" t="n">
        <v>37347</v>
      </c>
      <c r="B370" s="61">
        <f>VLOOKUP(Table17[[#This Row],[Date]],database!A:H,7,)</f>
        <v/>
      </c>
      <c r="C370" s="74">
        <f>B370/B369-1</f>
        <v/>
      </c>
      <c r="D370" s="74">
        <f>(Table17[[#This Row],[Index]]-B358)/B358</f>
        <v/>
      </c>
    </row>
    <row r="371">
      <c r="A371" s="19" t="n">
        <v>37377</v>
      </c>
      <c r="B371" s="61">
        <f>VLOOKUP(Table17[[#This Row],[Date]],database!A:H,7,)</f>
        <v/>
      </c>
      <c r="C371" s="74">
        <f>B371/B370-1</f>
        <v/>
      </c>
      <c r="D371" s="74">
        <f>(Table17[[#This Row],[Index]]-B359)/B359</f>
        <v/>
      </c>
    </row>
    <row r="372">
      <c r="A372" s="19" t="n">
        <v>37408</v>
      </c>
      <c r="B372" s="61">
        <f>VLOOKUP(Table17[[#This Row],[Date]],database!A:H,7,)</f>
        <v/>
      </c>
      <c r="C372" s="74">
        <f>B372/B371-1</f>
        <v/>
      </c>
      <c r="D372" s="74">
        <f>(Table17[[#This Row],[Index]]-B360)/B360</f>
        <v/>
      </c>
    </row>
    <row r="373">
      <c r="A373" s="19" t="n">
        <v>37438</v>
      </c>
      <c r="B373" s="61">
        <f>VLOOKUP(Table17[[#This Row],[Date]],database!A:H,7,)</f>
        <v/>
      </c>
      <c r="C373" s="74">
        <f>B373/B372-1</f>
        <v/>
      </c>
      <c r="D373" s="74">
        <f>(Table17[[#This Row],[Index]]-B361)/B361</f>
        <v/>
      </c>
    </row>
    <row r="374">
      <c r="A374" s="19" t="n">
        <v>37469</v>
      </c>
      <c r="B374" s="61">
        <f>VLOOKUP(Table17[[#This Row],[Date]],database!A:H,7,)</f>
        <v/>
      </c>
      <c r="C374" s="74">
        <f>B374/B373-1</f>
        <v/>
      </c>
      <c r="D374" s="74">
        <f>(Table17[[#This Row],[Index]]-B362)/B362</f>
        <v/>
      </c>
    </row>
    <row r="375">
      <c r="A375" s="19" t="n">
        <v>37500</v>
      </c>
      <c r="B375" s="61">
        <f>VLOOKUP(Table17[[#This Row],[Date]],database!A:H,7,)</f>
        <v/>
      </c>
      <c r="C375" s="74">
        <f>B375/B374-1</f>
        <v/>
      </c>
      <c r="D375" s="74">
        <f>(Table17[[#This Row],[Index]]-B363)/B363</f>
        <v/>
      </c>
    </row>
    <row r="376">
      <c r="A376" s="19" t="n">
        <v>37530</v>
      </c>
      <c r="B376" s="61">
        <f>VLOOKUP(Table17[[#This Row],[Date]],database!A:H,7,)</f>
        <v/>
      </c>
      <c r="C376" s="74">
        <f>B376/B375-1</f>
        <v/>
      </c>
      <c r="D376" s="74">
        <f>(Table17[[#This Row],[Index]]-B364)/B364</f>
        <v/>
      </c>
    </row>
    <row r="377">
      <c r="A377" s="19" t="n">
        <v>37561</v>
      </c>
      <c r="B377" s="61">
        <f>VLOOKUP(Table17[[#This Row],[Date]],database!A:H,7,)</f>
        <v/>
      </c>
      <c r="C377" s="74">
        <f>B377/B376-1</f>
        <v/>
      </c>
      <c r="D377" s="74">
        <f>(Table17[[#This Row],[Index]]-B365)/B365</f>
        <v/>
      </c>
    </row>
    <row r="378">
      <c r="A378" s="19" t="n">
        <v>37591</v>
      </c>
      <c r="B378" s="61">
        <f>VLOOKUP(Table17[[#This Row],[Date]],database!A:H,7,)</f>
        <v/>
      </c>
      <c r="C378" s="74">
        <f>B378/B377-1</f>
        <v/>
      </c>
      <c r="D378" s="74">
        <f>(Table17[[#This Row],[Index]]-B366)/B366</f>
        <v/>
      </c>
    </row>
    <row r="379">
      <c r="A379" s="19" t="n">
        <v>37622</v>
      </c>
      <c r="B379" s="61">
        <f>VLOOKUP(Table17[[#This Row],[Date]],database!A:H,7,)</f>
        <v/>
      </c>
      <c r="C379" s="74">
        <f>B379/B378-1</f>
        <v/>
      </c>
      <c r="D379" s="74">
        <f>(Table17[[#This Row],[Index]]-B367)/B367</f>
        <v/>
      </c>
    </row>
    <row r="380">
      <c r="A380" s="19" t="n">
        <v>37653</v>
      </c>
      <c r="B380" s="61">
        <f>VLOOKUP(Table17[[#This Row],[Date]],database!A:H,7,)</f>
        <v/>
      </c>
      <c r="C380" s="74">
        <f>B380/B379-1</f>
        <v/>
      </c>
      <c r="D380" s="74">
        <f>(Table17[[#This Row],[Index]]-B368)/B368</f>
        <v/>
      </c>
    </row>
    <row r="381">
      <c r="A381" s="19" t="n">
        <v>37681</v>
      </c>
      <c r="B381" s="61">
        <f>VLOOKUP(Table17[[#This Row],[Date]],database!A:H,7,)</f>
        <v/>
      </c>
      <c r="C381" s="74">
        <f>B381/B380-1</f>
        <v/>
      </c>
      <c r="D381" s="74">
        <f>(Table17[[#This Row],[Index]]-B369)/B369</f>
        <v/>
      </c>
    </row>
    <row r="382">
      <c r="A382" s="19" t="n">
        <v>37712</v>
      </c>
      <c r="B382" s="61">
        <f>VLOOKUP(Table17[[#This Row],[Date]],database!A:H,7,)</f>
        <v/>
      </c>
      <c r="C382" s="74">
        <f>B382/B381-1</f>
        <v/>
      </c>
      <c r="D382" s="74">
        <f>(Table17[[#This Row],[Index]]-B370)/B370</f>
        <v/>
      </c>
    </row>
    <row r="383">
      <c r="A383" s="19" t="n">
        <v>37742</v>
      </c>
      <c r="B383" s="61">
        <f>VLOOKUP(Table17[[#This Row],[Date]],database!A:H,7,)</f>
        <v/>
      </c>
      <c r="C383" s="74">
        <f>B383/B382-1</f>
        <v/>
      </c>
      <c r="D383" s="74">
        <f>(Table17[[#This Row],[Index]]-B371)/B371</f>
        <v/>
      </c>
    </row>
    <row r="384">
      <c r="A384" s="19" t="n">
        <v>37773</v>
      </c>
      <c r="B384" s="61">
        <f>VLOOKUP(Table17[[#This Row],[Date]],database!A:H,7,)</f>
        <v/>
      </c>
      <c r="C384" s="74">
        <f>B384/B383-1</f>
        <v/>
      </c>
      <c r="D384" s="74">
        <f>(Table17[[#This Row],[Index]]-B372)/B372</f>
        <v/>
      </c>
    </row>
    <row r="385">
      <c r="A385" s="19" t="n">
        <v>37803</v>
      </c>
      <c r="B385" s="61">
        <f>VLOOKUP(Table17[[#This Row],[Date]],database!A:H,7,)</f>
        <v/>
      </c>
      <c r="C385" s="74">
        <f>B385/B384-1</f>
        <v/>
      </c>
      <c r="D385" s="74">
        <f>(Table17[[#This Row],[Index]]-B373)/B373</f>
        <v/>
      </c>
    </row>
    <row r="386">
      <c r="A386" s="19" t="n">
        <v>37834</v>
      </c>
      <c r="B386" s="61">
        <f>VLOOKUP(Table17[[#This Row],[Date]],database!A:H,7,)</f>
        <v/>
      </c>
      <c r="C386" s="74">
        <f>B386/B385-1</f>
        <v/>
      </c>
      <c r="D386" s="74">
        <f>(Table17[[#This Row],[Index]]-B374)/B374</f>
        <v/>
      </c>
    </row>
    <row r="387">
      <c r="A387" s="19" t="n">
        <v>37865</v>
      </c>
      <c r="B387" s="61">
        <f>VLOOKUP(Table17[[#This Row],[Date]],database!A:H,7,)</f>
        <v/>
      </c>
      <c r="C387" s="74">
        <f>B387/B386-1</f>
        <v/>
      </c>
      <c r="D387" s="74">
        <f>(Table17[[#This Row],[Index]]-B375)/B375</f>
        <v/>
      </c>
    </row>
    <row r="388">
      <c r="A388" s="19" t="n">
        <v>37895</v>
      </c>
      <c r="B388" s="61">
        <f>VLOOKUP(Table17[[#This Row],[Date]],database!A:H,7,)</f>
        <v/>
      </c>
      <c r="C388" s="74">
        <f>B388/B387-1</f>
        <v/>
      </c>
      <c r="D388" s="74">
        <f>(Table17[[#This Row],[Index]]-B376)/B376</f>
        <v/>
      </c>
    </row>
    <row r="389">
      <c r="A389" s="19" t="n">
        <v>37926</v>
      </c>
      <c r="B389" s="61">
        <f>VLOOKUP(Table17[[#This Row],[Date]],database!A:H,7,)</f>
        <v/>
      </c>
      <c r="C389" s="74">
        <f>B389/B388-1</f>
        <v/>
      </c>
      <c r="D389" s="74">
        <f>(Table17[[#This Row],[Index]]-B377)/B377</f>
        <v/>
      </c>
    </row>
    <row r="390">
      <c r="A390" s="19" t="n">
        <v>37956</v>
      </c>
      <c r="B390" s="61">
        <f>VLOOKUP(Table17[[#This Row],[Date]],database!A:H,7,)</f>
        <v/>
      </c>
      <c r="C390" s="74">
        <f>B390/B389-1</f>
        <v/>
      </c>
      <c r="D390" s="74">
        <f>(Table17[[#This Row],[Index]]-B378)/B378</f>
        <v/>
      </c>
    </row>
    <row r="391">
      <c r="A391" s="19" t="n">
        <v>37987</v>
      </c>
      <c r="B391" s="61">
        <f>VLOOKUP(Table17[[#This Row],[Date]],database!A:H,7,)</f>
        <v/>
      </c>
      <c r="C391" s="74">
        <f>B391/B390-1</f>
        <v/>
      </c>
      <c r="D391" s="74">
        <f>(Table17[[#This Row],[Index]]-B379)/B379</f>
        <v/>
      </c>
    </row>
    <row r="392">
      <c r="A392" s="19" t="n">
        <v>38018</v>
      </c>
      <c r="B392" s="61">
        <f>VLOOKUP(Table17[[#This Row],[Date]],database!A:H,7,)</f>
        <v/>
      </c>
      <c r="C392" s="74">
        <f>B392/B391-1</f>
        <v/>
      </c>
      <c r="D392" s="74">
        <f>(Table17[[#This Row],[Index]]-B380)/B380</f>
        <v/>
      </c>
    </row>
    <row r="393">
      <c r="A393" s="19" t="n">
        <v>38047</v>
      </c>
      <c r="B393" s="61">
        <f>VLOOKUP(Table17[[#This Row],[Date]],database!A:H,7,)</f>
        <v/>
      </c>
      <c r="C393" s="74">
        <f>B393/B392-1</f>
        <v/>
      </c>
      <c r="D393" s="74">
        <f>(Table17[[#This Row],[Index]]-B381)/B381</f>
        <v/>
      </c>
    </row>
    <row r="394">
      <c r="A394" s="19" t="n">
        <v>38078</v>
      </c>
      <c r="B394" s="61">
        <f>VLOOKUP(Table17[[#This Row],[Date]],database!A:H,7,)</f>
        <v/>
      </c>
      <c r="C394" s="74">
        <f>B394/B393-1</f>
        <v/>
      </c>
      <c r="D394" s="74">
        <f>(Table17[[#This Row],[Index]]-B382)/B382</f>
        <v/>
      </c>
    </row>
    <row r="395">
      <c r="A395" s="19" t="n">
        <v>38108</v>
      </c>
      <c r="B395" s="61">
        <f>VLOOKUP(Table17[[#This Row],[Date]],database!A:H,7,)</f>
        <v/>
      </c>
      <c r="C395" s="74">
        <f>B395/B394-1</f>
        <v/>
      </c>
      <c r="D395" s="74">
        <f>(Table17[[#This Row],[Index]]-B383)/B383</f>
        <v/>
      </c>
    </row>
    <row r="396">
      <c r="A396" s="19" t="n">
        <v>38139</v>
      </c>
      <c r="B396" s="61">
        <f>VLOOKUP(Table17[[#This Row],[Date]],database!A:H,7,)</f>
        <v/>
      </c>
      <c r="C396" s="74">
        <f>B396/B395-1</f>
        <v/>
      </c>
      <c r="D396" s="74">
        <f>(Table17[[#This Row],[Index]]-B384)/B384</f>
        <v/>
      </c>
    </row>
    <row r="397">
      <c r="A397" s="19" t="n">
        <v>38169</v>
      </c>
      <c r="B397" s="61">
        <f>VLOOKUP(Table17[[#This Row],[Date]],database!A:H,7,)</f>
        <v/>
      </c>
      <c r="C397" s="74">
        <f>B397/B396-1</f>
        <v/>
      </c>
      <c r="D397" s="74">
        <f>(Table17[[#This Row],[Index]]-B385)/B385</f>
        <v/>
      </c>
    </row>
    <row r="398">
      <c r="A398" s="19" t="n">
        <v>38200</v>
      </c>
      <c r="B398" s="61">
        <f>VLOOKUP(Table17[[#This Row],[Date]],database!A:H,7,)</f>
        <v/>
      </c>
      <c r="C398" s="74">
        <f>B398/B397-1</f>
        <v/>
      </c>
      <c r="D398" s="74">
        <f>(Table17[[#This Row],[Index]]-B386)/B386</f>
        <v/>
      </c>
    </row>
    <row r="399">
      <c r="A399" s="19" t="n">
        <v>38231</v>
      </c>
      <c r="B399" s="61">
        <f>VLOOKUP(Table17[[#This Row],[Date]],database!A:H,7,)</f>
        <v/>
      </c>
      <c r="C399" s="74">
        <f>B399/B398-1</f>
        <v/>
      </c>
      <c r="D399" s="74">
        <f>(Table17[[#This Row],[Index]]-B387)/B387</f>
        <v/>
      </c>
    </row>
    <row r="400">
      <c r="A400" s="19" t="n">
        <v>38261</v>
      </c>
      <c r="B400" s="61">
        <f>VLOOKUP(Table17[[#This Row],[Date]],database!A:H,7,)</f>
        <v/>
      </c>
      <c r="C400" s="74">
        <f>B400/B399-1</f>
        <v/>
      </c>
      <c r="D400" s="74">
        <f>(Table17[[#This Row],[Index]]-B388)/B388</f>
        <v/>
      </c>
    </row>
    <row r="401">
      <c r="A401" s="19" t="n">
        <v>38292</v>
      </c>
      <c r="B401" s="61">
        <f>VLOOKUP(Table17[[#This Row],[Date]],database!A:H,7,)</f>
        <v/>
      </c>
      <c r="C401" s="74">
        <f>B401/B400-1</f>
        <v/>
      </c>
      <c r="D401" s="74">
        <f>(Table17[[#This Row],[Index]]-B389)/B389</f>
        <v/>
      </c>
    </row>
    <row r="402">
      <c r="A402" s="19" t="n">
        <v>38322</v>
      </c>
      <c r="B402" s="61">
        <f>VLOOKUP(Table17[[#This Row],[Date]],database!A:H,7,)</f>
        <v/>
      </c>
      <c r="C402" s="74">
        <f>B402/B401-1</f>
        <v/>
      </c>
      <c r="D402" s="74">
        <f>(Table17[[#This Row],[Index]]-B390)/B390</f>
        <v/>
      </c>
    </row>
    <row r="403">
      <c r="A403" s="19" t="n">
        <v>38353</v>
      </c>
      <c r="B403" s="61">
        <f>VLOOKUP(Table17[[#This Row],[Date]],database!A:H,7,)</f>
        <v/>
      </c>
      <c r="C403" s="74">
        <f>B403/B402-1</f>
        <v/>
      </c>
      <c r="D403" s="74">
        <f>(Table17[[#This Row],[Index]]-B391)/B391</f>
        <v/>
      </c>
    </row>
    <row r="404">
      <c r="A404" s="19" t="n">
        <v>38384</v>
      </c>
      <c r="B404" s="61">
        <f>VLOOKUP(Table17[[#This Row],[Date]],database!A:H,7,)</f>
        <v/>
      </c>
      <c r="C404" s="74">
        <f>B404/B403-1</f>
        <v/>
      </c>
      <c r="D404" s="74">
        <f>(Table17[[#This Row],[Index]]-B392)/B392</f>
        <v/>
      </c>
    </row>
    <row r="405">
      <c r="A405" s="19" t="n">
        <v>38412</v>
      </c>
      <c r="B405" s="61">
        <f>VLOOKUP(Table17[[#This Row],[Date]],database!A:H,7,)</f>
        <v/>
      </c>
      <c r="C405" s="74">
        <f>B405/B404-1</f>
        <v/>
      </c>
      <c r="D405" s="74">
        <f>(Table17[[#This Row],[Index]]-B393)/B393</f>
        <v/>
      </c>
    </row>
    <row r="406">
      <c r="A406" s="19" t="n">
        <v>38443</v>
      </c>
      <c r="B406" s="61">
        <f>VLOOKUP(Table17[[#This Row],[Date]],database!A:H,7,)</f>
        <v/>
      </c>
      <c r="C406" s="74">
        <f>B406/B405-1</f>
        <v/>
      </c>
      <c r="D406" s="74">
        <f>(Table17[[#This Row],[Index]]-B394)/B394</f>
        <v/>
      </c>
    </row>
    <row r="407">
      <c r="A407" s="19" t="n">
        <v>38473</v>
      </c>
      <c r="B407" s="61">
        <f>VLOOKUP(Table17[[#This Row],[Date]],database!A:H,7,)</f>
        <v/>
      </c>
      <c r="C407" s="74">
        <f>B407/B406-1</f>
        <v/>
      </c>
      <c r="D407" s="74">
        <f>(Table17[[#This Row],[Index]]-B395)/B395</f>
        <v/>
      </c>
    </row>
    <row r="408">
      <c r="A408" s="19" t="n">
        <v>38504</v>
      </c>
      <c r="B408" s="61">
        <f>VLOOKUP(Table17[[#This Row],[Date]],database!A:H,7,)</f>
        <v/>
      </c>
      <c r="C408" s="74">
        <f>B408/B407-1</f>
        <v/>
      </c>
      <c r="D408" s="74">
        <f>(Table17[[#This Row],[Index]]-B396)/B396</f>
        <v/>
      </c>
    </row>
    <row r="409">
      <c r="A409" s="19" t="n">
        <v>38534</v>
      </c>
      <c r="B409" s="61">
        <f>VLOOKUP(Table17[[#This Row],[Date]],database!A:H,7,)</f>
        <v/>
      </c>
      <c r="C409" s="74">
        <f>B409/B408-1</f>
        <v/>
      </c>
      <c r="D409" s="74">
        <f>(Table17[[#This Row],[Index]]-B397)/B397</f>
        <v/>
      </c>
    </row>
    <row r="410">
      <c r="A410" s="19" t="n">
        <v>38565</v>
      </c>
      <c r="B410" s="61">
        <f>VLOOKUP(Table17[[#This Row],[Date]],database!A:H,7,)</f>
        <v/>
      </c>
      <c r="C410" s="74">
        <f>B410/B409-1</f>
        <v/>
      </c>
      <c r="D410" s="74">
        <f>(Table17[[#This Row],[Index]]-B398)/B398</f>
        <v/>
      </c>
    </row>
    <row r="411">
      <c r="A411" s="19" t="n">
        <v>38596</v>
      </c>
      <c r="B411" s="61">
        <f>VLOOKUP(Table17[[#This Row],[Date]],database!A:H,7,)</f>
        <v/>
      </c>
      <c r="C411" s="74">
        <f>B411/B410-1</f>
        <v/>
      </c>
      <c r="D411" s="74">
        <f>(Table17[[#This Row],[Index]]-B399)/B399</f>
        <v/>
      </c>
    </row>
    <row r="412">
      <c r="A412" s="19" t="n">
        <v>38626</v>
      </c>
      <c r="B412" s="61">
        <f>VLOOKUP(Table17[[#This Row],[Date]],database!A:H,7,)</f>
        <v/>
      </c>
      <c r="C412" s="74">
        <f>B412/B411-1</f>
        <v/>
      </c>
      <c r="D412" s="74">
        <f>(Table17[[#This Row],[Index]]-B400)/B400</f>
        <v/>
      </c>
    </row>
    <row r="413">
      <c r="A413" s="19" t="n">
        <v>38657</v>
      </c>
      <c r="B413" s="61">
        <f>VLOOKUP(Table17[[#This Row],[Date]],database!A:H,7,)</f>
        <v/>
      </c>
      <c r="C413" s="74">
        <f>B413/B412-1</f>
        <v/>
      </c>
      <c r="D413" s="74">
        <f>(Table17[[#This Row],[Index]]-B401)/B401</f>
        <v/>
      </c>
    </row>
    <row r="414">
      <c r="A414" s="19" t="n">
        <v>38687</v>
      </c>
      <c r="B414" s="61">
        <f>VLOOKUP(Table17[[#This Row],[Date]],database!A:H,7,)</f>
        <v/>
      </c>
      <c r="C414" s="74">
        <f>B414/B413-1</f>
        <v/>
      </c>
      <c r="D414" s="74">
        <f>(Table17[[#This Row],[Index]]-B402)/B402</f>
        <v/>
      </c>
    </row>
    <row r="415">
      <c r="A415" s="19" t="n">
        <v>38718</v>
      </c>
      <c r="B415" s="61">
        <f>VLOOKUP(Table17[[#This Row],[Date]],database!A:H,7,)</f>
        <v/>
      </c>
      <c r="C415" s="74">
        <f>B415/B414-1</f>
        <v/>
      </c>
      <c r="D415" s="74">
        <f>(Table17[[#This Row],[Index]]-B403)/B403</f>
        <v/>
      </c>
    </row>
    <row r="416">
      <c r="A416" s="19" t="n">
        <v>38749</v>
      </c>
      <c r="B416" s="61">
        <f>VLOOKUP(Table17[[#This Row],[Date]],database!A:H,7,)</f>
        <v/>
      </c>
      <c r="C416" s="74">
        <f>B416/B415-1</f>
        <v/>
      </c>
      <c r="D416" s="74">
        <f>(Table17[[#This Row],[Index]]-B404)/B404</f>
        <v/>
      </c>
    </row>
    <row r="417">
      <c r="A417" s="19" t="n">
        <v>38777</v>
      </c>
      <c r="B417" s="61">
        <f>VLOOKUP(Table17[[#This Row],[Date]],database!A:H,7,)</f>
        <v/>
      </c>
      <c r="C417" s="74">
        <f>B417/B416-1</f>
        <v/>
      </c>
      <c r="D417" s="74">
        <f>(Table17[[#This Row],[Index]]-B405)/B405</f>
        <v/>
      </c>
    </row>
    <row r="418">
      <c r="A418" s="19" t="n">
        <v>38808</v>
      </c>
      <c r="B418" s="61">
        <f>VLOOKUP(Table17[[#This Row],[Date]],database!A:H,7,)</f>
        <v/>
      </c>
      <c r="C418" s="74">
        <f>B418/B417-1</f>
        <v/>
      </c>
      <c r="D418" s="74">
        <f>(Table17[[#This Row],[Index]]-B406)/B406</f>
        <v/>
      </c>
    </row>
    <row r="419">
      <c r="A419" s="19" t="n">
        <v>38838</v>
      </c>
      <c r="B419" s="61">
        <f>VLOOKUP(Table17[[#This Row],[Date]],database!A:H,7,)</f>
        <v/>
      </c>
      <c r="C419" s="74">
        <f>B419/B418-1</f>
        <v/>
      </c>
      <c r="D419" s="74">
        <f>(Table17[[#This Row],[Index]]-B407)/B407</f>
        <v/>
      </c>
    </row>
    <row r="420">
      <c r="A420" s="19" t="n">
        <v>38869</v>
      </c>
      <c r="B420" s="61">
        <f>VLOOKUP(Table17[[#This Row],[Date]],database!A:H,7,)</f>
        <v/>
      </c>
      <c r="C420" s="74">
        <f>B420/B419-1</f>
        <v/>
      </c>
      <c r="D420" s="74">
        <f>(Table17[[#This Row],[Index]]-B408)/B408</f>
        <v/>
      </c>
    </row>
    <row r="421">
      <c r="A421" s="19" t="n">
        <v>38899</v>
      </c>
      <c r="B421" s="61">
        <f>VLOOKUP(Table17[[#This Row],[Date]],database!A:H,7,)</f>
        <v/>
      </c>
      <c r="C421" s="74">
        <f>B421/B420-1</f>
        <v/>
      </c>
      <c r="D421" s="74">
        <f>(Table17[[#This Row],[Index]]-B409)/B409</f>
        <v/>
      </c>
    </row>
    <row r="422">
      <c r="A422" s="19" t="n">
        <v>38930</v>
      </c>
      <c r="B422" s="61">
        <f>VLOOKUP(Table17[[#This Row],[Date]],database!A:H,7,)</f>
        <v/>
      </c>
      <c r="C422" s="74">
        <f>B422/B421-1</f>
        <v/>
      </c>
      <c r="D422" s="74">
        <f>(Table17[[#This Row],[Index]]-B410)/B410</f>
        <v/>
      </c>
    </row>
    <row r="423">
      <c r="A423" s="19" t="n">
        <v>38961</v>
      </c>
      <c r="B423" s="61">
        <f>VLOOKUP(Table17[[#This Row],[Date]],database!A:H,7,)</f>
        <v/>
      </c>
      <c r="C423" s="74">
        <f>B423/B422-1</f>
        <v/>
      </c>
      <c r="D423" s="74">
        <f>(Table17[[#This Row],[Index]]-B411)/B411</f>
        <v/>
      </c>
    </row>
    <row r="424">
      <c r="A424" s="19" t="n">
        <v>38991</v>
      </c>
      <c r="B424" s="61">
        <f>VLOOKUP(Table17[[#This Row],[Date]],database!A:H,7,)</f>
        <v/>
      </c>
      <c r="C424" s="74">
        <f>B424/B423-1</f>
        <v/>
      </c>
      <c r="D424" s="74">
        <f>(Table17[[#This Row],[Index]]-B412)/B412</f>
        <v/>
      </c>
    </row>
    <row r="425">
      <c r="A425" s="19" t="n">
        <v>39022</v>
      </c>
      <c r="B425" s="61">
        <f>VLOOKUP(Table17[[#This Row],[Date]],database!A:H,7,)</f>
        <v/>
      </c>
      <c r="C425" s="74">
        <f>B425/B424-1</f>
        <v/>
      </c>
      <c r="D425" s="74">
        <f>(Table17[[#This Row],[Index]]-B413)/B413</f>
        <v/>
      </c>
    </row>
    <row r="426">
      <c r="A426" s="19" t="n">
        <v>39052</v>
      </c>
      <c r="B426" s="61">
        <f>VLOOKUP(Table17[[#This Row],[Date]],database!A:H,7,)</f>
        <v/>
      </c>
      <c r="C426" s="74">
        <f>B426/B425-1</f>
        <v/>
      </c>
      <c r="D426" s="74">
        <f>(Table17[[#This Row],[Index]]-B414)/B414</f>
        <v/>
      </c>
    </row>
    <row r="427">
      <c r="A427" s="19" t="n">
        <v>39083</v>
      </c>
      <c r="B427" s="61">
        <f>VLOOKUP(Table17[[#This Row],[Date]],database!A:H,7,)</f>
        <v/>
      </c>
      <c r="C427" s="74">
        <f>B427/B426-1</f>
        <v/>
      </c>
      <c r="D427" s="74">
        <f>(Table17[[#This Row],[Index]]-B415)/B415</f>
        <v/>
      </c>
    </row>
    <row r="428">
      <c r="A428" s="19" t="n">
        <v>39114</v>
      </c>
      <c r="B428" s="61">
        <f>VLOOKUP(Table17[[#This Row],[Date]],database!A:H,7,)</f>
        <v/>
      </c>
      <c r="C428" s="74">
        <f>B428/B427-1</f>
        <v/>
      </c>
      <c r="D428" s="74">
        <f>(Table17[[#This Row],[Index]]-B416)/B416</f>
        <v/>
      </c>
    </row>
    <row r="429">
      <c r="A429" s="19" t="n">
        <v>39142</v>
      </c>
      <c r="B429" s="61">
        <f>VLOOKUP(Table17[[#This Row],[Date]],database!A:H,7,)</f>
        <v/>
      </c>
      <c r="C429" s="74">
        <f>B429/B428-1</f>
        <v/>
      </c>
      <c r="D429" s="74">
        <f>(Table17[[#This Row],[Index]]-B417)/B417</f>
        <v/>
      </c>
    </row>
    <row r="430">
      <c r="A430" s="19" t="n">
        <v>39173</v>
      </c>
      <c r="B430" s="61">
        <f>VLOOKUP(Table17[[#This Row],[Date]],database!A:H,7,)</f>
        <v/>
      </c>
      <c r="C430" s="74">
        <f>B430/B429-1</f>
        <v/>
      </c>
      <c r="D430" s="74">
        <f>(Table17[[#This Row],[Index]]-B418)/B418</f>
        <v/>
      </c>
    </row>
    <row r="431">
      <c r="A431" s="19" t="n">
        <v>39203</v>
      </c>
      <c r="B431" s="61">
        <f>VLOOKUP(Table17[[#This Row],[Date]],database!A:H,7,)</f>
        <v/>
      </c>
      <c r="C431" s="74">
        <f>B431/B430-1</f>
        <v/>
      </c>
      <c r="D431" s="74">
        <f>(Table17[[#This Row],[Index]]-B419)/B419</f>
        <v/>
      </c>
    </row>
    <row r="432">
      <c r="A432" s="19" t="n">
        <v>39234</v>
      </c>
      <c r="B432" s="61">
        <f>VLOOKUP(Table17[[#This Row],[Date]],database!A:H,7,)</f>
        <v/>
      </c>
      <c r="C432" s="74">
        <f>B432/B431-1</f>
        <v/>
      </c>
      <c r="D432" s="74">
        <f>(Table17[[#This Row],[Index]]-B420)/B420</f>
        <v/>
      </c>
    </row>
    <row r="433">
      <c r="A433" s="19" t="n">
        <v>39264</v>
      </c>
      <c r="B433" s="61">
        <f>VLOOKUP(Table17[[#This Row],[Date]],database!A:H,7,)</f>
        <v/>
      </c>
      <c r="C433" s="74">
        <f>B433/B432-1</f>
        <v/>
      </c>
      <c r="D433" s="74">
        <f>(Table17[[#This Row],[Index]]-B421)/B421</f>
        <v/>
      </c>
    </row>
    <row r="434">
      <c r="A434" s="19" t="n">
        <v>39295</v>
      </c>
      <c r="B434" s="61">
        <f>VLOOKUP(Table17[[#This Row],[Date]],database!A:H,7,)</f>
        <v/>
      </c>
      <c r="C434" s="74">
        <f>B434/B433-1</f>
        <v/>
      </c>
      <c r="D434" s="74">
        <f>(Table17[[#This Row],[Index]]-B422)/B422</f>
        <v/>
      </c>
    </row>
    <row r="435">
      <c r="A435" s="19" t="n">
        <v>39326</v>
      </c>
      <c r="B435" s="61">
        <f>VLOOKUP(Table17[[#This Row],[Date]],database!A:H,7,)</f>
        <v/>
      </c>
      <c r="C435" s="74">
        <f>B435/B434-1</f>
        <v/>
      </c>
      <c r="D435" s="74">
        <f>(Table17[[#This Row],[Index]]-B423)/B423</f>
        <v/>
      </c>
    </row>
    <row r="436">
      <c r="A436" s="19" t="n">
        <v>39356</v>
      </c>
      <c r="B436" s="61">
        <f>VLOOKUP(Table17[[#This Row],[Date]],database!A:H,7,)</f>
        <v/>
      </c>
      <c r="C436" s="74">
        <f>B436/B435-1</f>
        <v/>
      </c>
      <c r="D436" s="74">
        <f>(Table17[[#This Row],[Index]]-B424)/B424</f>
        <v/>
      </c>
    </row>
    <row r="437">
      <c r="A437" s="19" t="n">
        <v>39387</v>
      </c>
      <c r="B437" s="61">
        <f>VLOOKUP(Table17[[#This Row],[Date]],database!A:H,7,)</f>
        <v/>
      </c>
      <c r="C437" s="74">
        <f>B437/B436-1</f>
        <v/>
      </c>
      <c r="D437" s="74">
        <f>(Table17[[#This Row],[Index]]-B425)/B425</f>
        <v/>
      </c>
    </row>
    <row r="438">
      <c r="A438" s="19" t="n">
        <v>39417</v>
      </c>
      <c r="B438" s="61">
        <f>VLOOKUP(Table17[[#This Row],[Date]],database!A:H,7,)</f>
        <v/>
      </c>
      <c r="C438" s="74">
        <f>B438/B437-1</f>
        <v/>
      </c>
      <c r="D438" s="74">
        <f>(Table17[[#This Row],[Index]]-B426)/B426</f>
        <v/>
      </c>
    </row>
    <row r="439">
      <c r="A439" s="19" t="n">
        <v>39448</v>
      </c>
      <c r="B439" s="61">
        <f>VLOOKUP(Table17[[#This Row],[Date]],database!A:H,7,)</f>
        <v/>
      </c>
      <c r="C439" s="74">
        <f>B439/B438-1</f>
        <v/>
      </c>
      <c r="D439" s="74">
        <f>(Table17[[#This Row],[Index]]-B427)/B427</f>
        <v/>
      </c>
    </row>
    <row r="440">
      <c r="A440" s="19" t="n">
        <v>39479</v>
      </c>
      <c r="B440" s="61">
        <f>VLOOKUP(Table17[[#This Row],[Date]],database!A:H,7,)</f>
        <v/>
      </c>
      <c r="C440" s="74">
        <f>B440/B439-1</f>
        <v/>
      </c>
      <c r="D440" s="74">
        <f>(Table17[[#This Row],[Index]]-B428)/B428</f>
        <v/>
      </c>
    </row>
    <row r="441">
      <c r="A441" s="19" t="n">
        <v>39508</v>
      </c>
      <c r="B441" s="61">
        <f>VLOOKUP(Table17[[#This Row],[Date]],database!A:H,7,)</f>
        <v/>
      </c>
      <c r="C441" s="74">
        <f>B441/B440-1</f>
        <v/>
      </c>
      <c r="D441" s="74">
        <f>(Table17[[#This Row],[Index]]-B429)/B429</f>
        <v/>
      </c>
    </row>
    <row r="442">
      <c r="A442" s="19" t="n">
        <v>39539</v>
      </c>
      <c r="B442" s="61">
        <f>VLOOKUP(Table17[[#This Row],[Date]],database!A:H,7,)</f>
        <v/>
      </c>
      <c r="C442" s="74">
        <f>B442/B441-1</f>
        <v/>
      </c>
      <c r="D442" s="74">
        <f>(Table17[[#This Row],[Index]]-B430)/B430</f>
        <v/>
      </c>
    </row>
    <row r="443">
      <c r="A443" s="19" t="n">
        <v>39569</v>
      </c>
      <c r="B443" s="61">
        <f>VLOOKUP(Table17[[#This Row],[Date]],database!A:H,7,)</f>
        <v/>
      </c>
      <c r="C443" s="74">
        <f>B443/B442-1</f>
        <v/>
      </c>
      <c r="D443" s="74">
        <f>(Table17[[#This Row],[Index]]-B431)/B431</f>
        <v/>
      </c>
    </row>
    <row r="444">
      <c r="A444" s="19" t="n">
        <v>39600</v>
      </c>
      <c r="B444" s="61">
        <f>VLOOKUP(Table17[[#This Row],[Date]],database!A:H,7,)</f>
        <v/>
      </c>
      <c r="C444" s="74">
        <f>B444/B443-1</f>
        <v/>
      </c>
      <c r="D444" s="74">
        <f>(Table17[[#This Row],[Index]]-B432)/B432</f>
        <v/>
      </c>
    </row>
    <row r="445">
      <c r="A445" s="19" t="n">
        <v>39630</v>
      </c>
      <c r="B445" s="61">
        <f>VLOOKUP(Table17[[#This Row],[Date]],database!A:H,7,)</f>
        <v/>
      </c>
      <c r="C445" s="74">
        <f>B445/B444-1</f>
        <v/>
      </c>
      <c r="D445" s="74">
        <f>(Table17[[#This Row],[Index]]-B433)/B433</f>
        <v/>
      </c>
    </row>
    <row r="446">
      <c r="A446" s="19" t="n">
        <v>39661</v>
      </c>
      <c r="B446" s="61">
        <f>VLOOKUP(Table17[[#This Row],[Date]],database!A:H,7,)</f>
        <v/>
      </c>
      <c r="C446" s="74">
        <f>B446/B445-1</f>
        <v/>
      </c>
      <c r="D446" s="74">
        <f>(Table17[[#This Row],[Index]]-B434)/B434</f>
        <v/>
      </c>
    </row>
    <row r="447">
      <c r="A447" s="19" t="n">
        <v>39692</v>
      </c>
      <c r="B447" s="61">
        <f>VLOOKUP(Table17[[#This Row],[Date]],database!A:H,7,)</f>
        <v/>
      </c>
      <c r="C447" s="74">
        <f>B447/B446-1</f>
        <v/>
      </c>
      <c r="D447" s="74">
        <f>(Table17[[#This Row],[Index]]-B435)/B435</f>
        <v/>
      </c>
    </row>
    <row r="448">
      <c r="A448" s="19" t="n">
        <v>39722</v>
      </c>
      <c r="B448" s="61">
        <f>VLOOKUP(Table17[[#This Row],[Date]],database!A:H,7,)</f>
        <v/>
      </c>
      <c r="C448" s="74">
        <f>B448/B447-1</f>
        <v/>
      </c>
      <c r="D448" s="74">
        <f>(Table17[[#This Row],[Index]]-B436)/B436</f>
        <v/>
      </c>
    </row>
    <row r="449">
      <c r="A449" s="19" t="n">
        <v>39753</v>
      </c>
      <c r="B449" s="61">
        <f>VLOOKUP(Table17[[#This Row],[Date]],database!A:H,7,)</f>
        <v/>
      </c>
      <c r="C449" s="74">
        <f>B449/B448-1</f>
        <v/>
      </c>
      <c r="D449" s="74">
        <f>(Table17[[#This Row],[Index]]-B437)/B437</f>
        <v/>
      </c>
    </row>
    <row r="450">
      <c r="A450" s="19" t="n">
        <v>39783</v>
      </c>
      <c r="B450" s="61">
        <f>VLOOKUP(Table17[[#This Row],[Date]],database!A:H,7,)</f>
        <v/>
      </c>
      <c r="C450" s="74">
        <f>B450/B449-1</f>
        <v/>
      </c>
      <c r="D450" s="74">
        <f>(Table17[[#This Row],[Index]]-B438)/B438</f>
        <v/>
      </c>
    </row>
    <row r="451">
      <c r="A451" s="19" t="n">
        <v>39814</v>
      </c>
      <c r="B451" s="61">
        <f>VLOOKUP(Table17[[#This Row],[Date]],database!A:H,7,)</f>
        <v/>
      </c>
      <c r="C451" s="74">
        <f>B451/B450-1</f>
        <v/>
      </c>
      <c r="D451" s="74">
        <f>(Table17[[#This Row],[Index]]-B439)/B439</f>
        <v/>
      </c>
    </row>
    <row r="452">
      <c r="A452" s="19" t="n">
        <v>39845</v>
      </c>
      <c r="B452" s="61">
        <f>VLOOKUP(Table17[[#This Row],[Date]],database!A:H,7,)</f>
        <v/>
      </c>
      <c r="C452" s="74">
        <f>B452/B451-1</f>
        <v/>
      </c>
      <c r="D452" s="74">
        <f>(Table17[[#This Row],[Index]]-B440)/B440</f>
        <v/>
      </c>
    </row>
    <row r="453">
      <c r="A453" s="19" t="n">
        <v>39873</v>
      </c>
      <c r="B453" s="61">
        <f>VLOOKUP(Table17[[#This Row],[Date]],database!A:H,7,)</f>
        <v/>
      </c>
      <c r="C453" s="74">
        <f>B453/B452-1</f>
        <v/>
      </c>
      <c r="D453" s="74">
        <f>(Table17[[#This Row],[Index]]-B441)/B441</f>
        <v/>
      </c>
    </row>
    <row r="454">
      <c r="A454" s="19" t="n">
        <v>39904</v>
      </c>
      <c r="B454" s="61">
        <f>VLOOKUP(Table17[[#This Row],[Date]],database!A:H,7,)</f>
        <v/>
      </c>
      <c r="C454" s="74">
        <f>B454/B453-1</f>
        <v/>
      </c>
      <c r="D454" s="74">
        <f>(Table17[[#This Row],[Index]]-B442)/B442</f>
        <v/>
      </c>
    </row>
    <row r="455">
      <c r="A455" s="19" t="n">
        <v>39934</v>
      </c>
      <c r="B455" s="61">
        <f>VLOOKUP(Table17[[#This Row],[Date]],database!A:H,7,)</f>
        <v/>
      </c>
      <c r="C455" s="74">
        <f>B455/B454-1</f>
        <v/>
      </c>
      <c r="D455" s="74">
        <f>(Table17[[#This Row],[Index]]-B443)/B443</f>
        <v/>
      </c>
    </row>
    <row r="456">
      <c r="A456" s="19" t="n">
        <v>39965</v>
      </c>
      <c r="B456" s="61">
        <f>VLOOKUP(Table17[[#This Row],[Date]],database!A:H,7,)</f>
        <v/>
      </c>
      <c r="C456" s="74">
        <f>B456/B455-1</f>
        <v/>
      </c>
      <c r="D456" s="74">
        <f>(Table17[[#This Row],[Index]]-B444)/B444</f>
        <v/>
      </c>
    </row>
    <row r="457">
      <c r="A457" s="19" t="n">
        <v>39995</v>
      </c>
      <c r="B457" s="61">
        <f>VLOOKUP(Table17[[#This Row],[Date]],database!A:H,7,)</f>
        <v/>
      </c>
      <c r="C457" s="74">
        <f>B457/B456-1</f>
        <v/>
      </c>
      <c r="D457" s="74">
        <f>(Table17[[#This Row],[Index]]-B445)/B445</f>
        <v/>
      </c>
    </row>
    <row r="458">
      <c r="A458" s="19" t="n">
        <v>40026</v>
      </c>
      <c r="B458" s="61">
        <f>VLOOKUP(Table17[[#This Row],[Date]],database!A:H,7,)</f>
        <v/>
      </c>
      <c r="C458" s="74">
        <f>B458/B457-1</f>
        <v/>
      </c>
      <c r="D458" s="74">
        <f>(Table17[[#This Row],[Index]]-B446)/B446</f>
        <v/>
      </c>
    </row>
    <row r="459">
      <c r="A459" s="19" t="n">
        <v>40057</v>
      </c>
      <c r="B459" s="61">
        <f>VLOOKUP(Table17[[#This Row],[Date]],database!A:H,7,)</f>
        <v/>
      </c>
      <c r="C459" s="74">
        <f>B459/B458-1</f>
        <v/>
      </c>
      <c r="D459" s="74">
        <f>(Table17[[#This Row],[Index]]-B447)/B447</f>
        <v/>
      </c>
    </row>
    <row r="460">
      <c r="A460" s="19" t="n">
        <v>40087</v>
      </c>
      <c r="B460" s="61">
        <f>VLOOKUP(Table17[[#This Row],[Date]],database!A:H,7,)</f>
        <v/>
      </c>
      <c r="C460" s="74">
        <f>B460/B459-1</f>
        <v/>
      </c>
      <c r="D460" s="74">
        <f>(Table17[[#This Row],[Index]]-B448)/B448</f>
        <v/>
      </c>
    </row>
    <row r="461">
      <c r="A461" s="19" t="n">
        <v>40118</v>
      </c>
      <c r="B461" s="61">
        <f>VLOOKUP(Table17[[#This Row],[Date]],database!A:H,7,)</f>
        <v/>
      </c>
      <c r="C461" s="74">
        <f>B461/B460-1</f>
        <v/>
      </c>
      <c r="D461" s="74">
        <f>(Table17[[#This Row],[Index]]-B449)/B449</f>
        <v/>
      </c>
    </row>
    <row r="462">
      <c r="A462" s="19" t="n">
        <v>40148</v>
      </c>
      <c r="B462" s="61">
        <f>VLOOKUP(Table17[[#This Row],[Date]],database!A:H,7,)</f>
        <v/>
      </c>
      <c r="C462" s="74">
        <f>B462/B461-1</f>
        <v/>
      </c>
      <c r="D462" s="74">
        <f>(Table17[[#This Row],[Index]]-B450)/B450</f>
        <v/>
      </c>
    </row>
    <row r="463">
      <c r="A463" s="19" t="n">
        <v>40179</v>
      </c>
      <c r="B463" s="61">
        <f>VLOOKUP(Table17[[#This Row],[Date]],database!A:H,7,)</f>
        <v/>
      </c>
      <c r="C463" s="74">
        <f>B463/B462-1</f>
        <v/>
      </c>
      <c r="D463" s="74">
        <f>(Table17[[#This Row],[Index]]-B451)/B451</f>
        <v/>
      </c>
    </row>
    <row r="464">
      <c r="A464" s="19" t="n">
        <v>40210</v>
      </c>
      <c r="B464" s="61">
        <f>VLOOKUP(Table17[[#This Row],[Date]],database!A:H,7,)</f>
        <v/>
      </c>
      <c r="C464" s="74">
        <f>B464/B463-1</f>
        <v/>
      </c>
      <c r="D464" s="74">
        <f>(Table17[[#This Row],[Index]]-B452)/B452</f>
        <v/>
      </c>
    </row>
    <row r="465">
      <c r="A465" s="19" t="n">
        <v>40238</v>
      </c>
      <c r="B465" s="61">
        <f>VLOOKUP(Table17[[#This Row],[Date]],database!A:H,7,)</f>
        <v/>
      </c>
      <c r="C465" s="74">
        <f>B465/B464-1</f>
        <v/>
      </c>
      <c r="D465" s="74">
        <f>(Table17[[#This Row],[Index]]-B453)/B453</f>
        <v/>
      </c>
    </row>
    <row r="466">
      <c r="A466" s="19" t="n">
        <v>40269</v>
      </c>
      <c r="B466" s="61">
        <f>VLOOKUP(Table17[[#This Row],[Date]],database!A:H,7,)</f>
        <v/>
      </c>
      <c r="C466" s="74">
        <f>B466/B465-1</f>
        <v/>
      </c>
      <c r="D466" s="74">
        <f>(Table17[[#This Row],[Index]]-B454)/B454</f>
        <v/>
      </c>
    </row>
    <row r="467">
      <c r="A467" s="19" t="n">
        <v>40299</v>
      </c>
      <c r="B467" s="61">
        <f>VLOOKUP(Table17[[#This Row],[Date]],database!A:H,7,)</f>
        <v/>
      </c>
      <c r="C467" s="74">
        <f>B467/B466-1</f>
        <v/>
      </c>
      <c r="D467" s="74">
        <f>(Table17[[#This Row],[Index]]-B455)/B455</f>
        <v/>
      </c>
    </row>
    <row r="468">
      <c r="A468" s="19" t="n">
        <v>40330</v>
      </c>
      <c r="B468" s="61">
        <f>VLOOKUP(Table17[[#This Row],[Date]],database!A:H,7,)</f>
        <v/>
      </c>
      <c r="C468" s="74">
        <f>B468/B467-1</f>
        <v/>
      </c>
      <c r="D468" s="74">
        <f>(Table17[[#This Row],[Index]]-B456)/B456</f>
        <v/>
      </c>
    </row>
    <row r="469">
      <c r="A469" s="19" t="n">
        <v>40360</v>
      </c>
      <c r="B469" s="61">
        <f>VLOOKUP(Table17[[#This Row],[Date]],database!A:H,7,)</f>
        <v/>
      </c>
      <c r="C469" s="74">
        <f>B469/B468-1</f>
        <v/>
      </c>
      <c r="D469" s="74">
        <f>(Table17[[#This Row],[Index]]-B457)/B457</f>
        <v/>
      </c>
    </row>
    <row r="470">
      <c r="A470" s="19" t="n">
        <v>40391</v>
      </c>
      <c r="B470" s="61">
        <f>VLOOKUP(Table17[[#This Row],[Date]],database!A:H,7,)</f>
        <v/>
      </c>
      <c r="C470" s="74">
        <f>B470/B469-1</f>
        <v/>
      </c>
      <c r="D470" s="74">
        <f>(Table17[[#This Row],[Index]]-B458)/B458</f>
        <v/>
      </c>
    </row>
    <row r="471">
      <c r="A471" s="19" t="n">
        <v>40422</v>
      </c>
      <c r="B471" s="61">
        <f>VLOOKUP(Table17[[#This Row],[Date]],database!A:H,7,)</f>
        <v/>
      </c>
      <c r="C471" s="74">
        <f>B471/B470-1</f>
        <v/>
      </c>
      <c r="D471" s="74">
        <f>(Table17[[#This Row],[Index]]-B459)/B459</f>
        <v/>
      </c>
    </row>
    <row r="472">
      <c r="A472" s="19" t="n">
        <v>40452</v>
      </c>
      <c r="B472" s="61">
        <f>VLOOKUP(Table17[[#This Row],[Date]],database!A:H,7,)</f>
        <v/>
      </c>
      <c r="C472" s="74">
        <f>B472/B471-1</f>
        <v/>
      </c>
      <c r="D472" s="74">
        <f>(Table17[[#This Row],[Index]]-B460)/B460</f>
        <v/>
      </c>
    </row>
    <row r="473">
      <c r="A473" s="19" t="n">
        <v>40483</v>
      </c>
      <c r="B473" s="61">
        <f>VLOOKUP(Table17[[#This Row],[Date]],database!A:H,7,)</f>
        <v/>
      </c>
      <c r="C473" s="74">
        <f>B473/B472-1</f>
        <v/>
      </c>
      <c r="D473" s="74">
        <f>(Table17[[#This Row],[Index]]-B461)/B461</f>
        <v/>
      </c>
    </row>
    <row r="474">
      <c r="A474" s="19" t="n">
        <v>40513</v>
      </c>
      <c r="B474" s="61">
        <f>VLOOKUP(Table17[[#This Row],[Date]],database!A:H,7,)</f>
        <v/>
      </c>
      <c r="C474" s="74">
        <f>B474/B473-1</f>
        <v/>
      </c>
      <c r="D474" s="74">
        <f>(Table17[[#This Row],[Index]]-B462)/B462</f>
        <v/>
      </c>
    </row>
    <row r="475">
      <c r="A475" s="19" t="n">
        <v>40544</v>
      </c>
      <c r="B475" s="61">
        <f>VLOOKUP(Table17[[#This Row],[Date]],database!A:H,7,)</f>
        <v/>
      </c>
      <c r="C475" s="74">
        <f>B475/B474-1</f>
        <v/>
      </c>
      <c r="D475" s="74">
        <f>(Table17[[#This Row],[Index]]-B463)/B463</f>
        <v/>
      </c>
    </row>
    <row r="476">
      <c r="A476" s="19" t="n">
        <v>40575</v>
      </c>
      <c r="B476" s="61">
        <f>VLOOKUP(Table17[[#This Row],[Date]],database!A:H,7,)</f>
        <v/>
      </c>
      <c r="C476" s="74">
        <f>B476/B475-1</f>
        <v/>
      </c>
      <c r="D476" s="74">
        <f>(Table17[[#This Row],[Index]]-B464)/B464</f>
        <v/>
      </c>
    </row>
    <row r="477">
      <c r="A477" s="19" t="n">
        <v>40603</v>
      </c>
      <c r="B477" s="61">
        <f>VLOOKUP(Table17[[#This Row],[Date]],database!A:H,7,)</f>
        <v/>
      </c>
      <c r="C477" s="74">
        <f>B477/B476-1</f>
        <v/>
      </c>
      <c r="D477" s="74">
        <f>(Table17[[#This Row],[Index]]-B465)/B465</f>
        <v/>
      </c>
    </row>
    <row r="478">
      <c r="A478" s="19" t="n">
        <v>40634</v>
      </c>
      <c r="B478" s="61">
        <f>VLOOKUP(Table17[[#This Row],[Date]],database!A:H,7,)</f>
        <v/>
      </c>
      <c r="C478" s="75">
        <f>B478/B477-1</f>
        <v/>
      </c>
      <c r="D478" s="74">
        <f>(Table17[[#This Row],[Index]]-B466)/B466</f>
        <v/>
      </c>
    </row>
    <row r="479">
      <c r="A479" s="19" t="n">
        <v>40664</v>
      </c>
      <c r="B479" s="61">
        <f>VLOOKUP(Table17[[#This Row],[Date]],database!A:H,7,)</f>
        <v/>
      </c>
      <c r="C479" s="74">
        <f>B479/B478-1</f>
        <v/>
      </c>
      <c r="D479" s="74">
        <f>(Table17[[#This Row],[Index]]-B467)/B467</f>
        <v/>
      </c>
    </row>
    <row r="480">
      <c r="A480" s="19" t="n">
        <v>40695</v>
      </c>
      <c r="B480" s="61">
        <f>VLOOKUP(Table17[[#This Row],[Date]],database!A:H,7,)</f>
        <v/>
      </c>
      <c r="C480" s="74">
        <f>B480/B479-1</f>
        <v/>
      </c>
      <c r="D480" s="74">
        <f>(Table17[[#This Row],[Index]]-B468)/B468</f>
        <v/>
      </c>
    </row>
    <row r="481">
      <c r="A481" s="19" t="n">
        <v>40725</v>
      </c>
      <c r="B481" s="61">
        <f>VLOOKUP(Table17[[#This Row],[Date]],database!A:H,7,)</f>
        <v/>
      </c>
      <c r="C481" s="74">
        <f>B481/B480-1</f>
        <v/>
      </c>
      <c r="D481" s="74">
        <f>(Table17[[#This Row],[Index]]-B469)/B469</f>
        <v/>
      </c>
    </row>
    <row r="482">
      <c r="A482" s="19" t="n">
        <v>40756</v>
      </c>
      <c r="B482" s="61">
        <f>VLOOKUP(Table17[[#This Row],[Date]],database!A:H,7,)</f>
        <v/>
      </c>
      <c r="C482" s="74">
        <f>B482/B481-1</f>
        <v/>
      </c>
      <c r="D482" s="74">
        <f>(Table17[[#This Row],[Index]]-B470)/B470</f>
        <v/>
      </c>
    </row>
    <row r="483">
      <c r="A483" s="19" t="n">
        <v>40787</v>
      </c>
      <c r="B483" s="61">
        <f>VLOOKUP(Table17[[#This Row],[Date]],database!A:H,7,)</f>
        <v/>
      </c>
      <c r="C483" s="74">
        <f>B483/B482-1</f>
        <v/>
      </c>
      <c r="D483" s="74">
        <f>(Table17[[#This Row],[Index]]-B471)/B471</f>
        <v/>
      </c>
    </row>
    <row r="484">
      <c r="A484" s="19" t="n">
        <v>40817</v>
      </c>
      <c r="B484" s="61">
        <f>VLOOKUP(Table17[[#This Row],[Date]],database!A:H,7,)</f>
        <v/>
      </c>
      <c r="C484" s="74">
        <f>B484/B483-1</f>
        <v/>
      </c>
      <c r="D484" s="74">
        <f>(Table17[[#This Row],[Index]]-B472)/B472</f>
        <v/>
      </c>
    </row>
    <row r="485">
      <c r="A485" s="19" t="n">
        <v>40848</v>
      </c>
      <c r="B485" s="61">
        <f>VLOOKUP(Table17[[#This Row],[Date]],database!A:H,7,)</f>
        <v/>
      </c>
      <c r="C485" s="74">
        <f>B485/B484-1</f>
        <v/>
      </c>
      <c r="D485" s="74">
        <f>(Table17[[#This Row],[Index]]-B473)/B473</f>
        <v/>
      </c>
    </row>
    <row r="486">
      <c r="A486" s="19" t="n">
        <v>40878</v>
      </c>
      <c r="B486" s="61">
        <f>VLOOKUP(Table17[[#This Row],[Date]],database!A:H,7,)</f>
        <v/>
      </c>
      <c r="C486" s="74">
        <f>B486/B485-1</f>
        <v/>
      </c>
      <c r="D486" s="74">
        <f>(Table17[[#This Row],[Index]]-B474)/B474</f>
        <v/>
      </c>
    </row>
    <row r="487">
      <c r="A487" s="19" t="n">
        <v>40909</v>
      </c>
      <c r="B487" s="61">
        <f>VLOOKUP(Table17[[#This Row],[Date]],database!A:H,7,)</f>
        <v/>
      </c>
      <c r="C487" s="74">
        <f>B487/B486-1</f>
        <v/>
      </c>
      <c r="D487" s="74">
        <f>(Table17[[#This Row],[Index]]-B475)/B475</f>
        <v/>
      </c>
    </row>
    <row r="488">
      <c r="A488" s="19" t="n">
        <v>40940</v>
      </c>
      <c r="B488" s="61">
        <f>VLOOKUP(Table17[[#This Row],[Date]],database!A:H,7,)</f>
        <v/>
      </c>
      <c r="C488" s="74">
        <f>B488/B487-1</f>
        <v/>
      </c>
      <c r="D488" s="74">
        <f>(Table17[[#This Row],[Index]]-B476)/B476</f>
        <v/>
      </c>
    </row>
    <row r="489">
      <c r="A489" s="19" t="n">
        <v>40969</v>
      </c>
      <c r="B489" s="61">
        <f>VLOOKUP(Table17[[#This Row],[Date]],database!A:H,7,)</f>
        <v/>
      </c>
      <c r="C489" s="74">
        <f>B489/B488-1</f>
        <v/>
      </c>
      <c r="D489" s="74">
        <f>(Table17[[#This Row],[Index]]-B477)/B477</f>
        <v/>
      </c>
    </row>
    <row r="490">
      <c r="A490" s="19" t="n">
        <v>41000</v>
      </c>
      <c r="B490" s="61">
        <f>VLOOKUP(Table17[[#This Row],[Date]],database!A:H,7,)</f>
        <v/>
      </c>
      <c r="C490" s="74">
        <f>B490/B489-1</f>
        <v/>
      </c>
      <c r="D490" s="74">
        <f>(Table17[[#This Row],[Index]]-B478)/B478</f>
        <v/>
      </c>
    </row>
    <row r="491">
      <c r="A491" s="19" t="n">
        <v>41030</v>
      </c>
      <c r="B491" s="61">
        <f>VLOOKUP(Table17[[#This Row],[Date]],database!A:H,7,)</f>
        <v/>
      </c>
      <c r="C491" s="74">
        <f>B491/B490-1</f>
        <v/>
      </c>
      <c r="D491" s="74">
        <f>(Table17[[#This Row],[Index]]-B479)/B479</f>
        <v/>
      </c>
    </row>
    <row r="492">
      <c r="A492" s="19" t="n">
        <v>41061</v>
      </c>
      <c r="B492" s="61">
        <f>VLOOKUP(Table17[[#This Row],[Date]],database!A:H,7,)</f>
        <v/>
      </c>
      <c r="C492" s="74">
        <f>B492/B491-1</f>
        <v/>
      </c>
      <c r="D492" s="74">
        <f>(Table17[[#This Row],[Index]]-B480)/B480</f>
        <v/>
      </c>
    </row>
    <row r="493">
      <c r="A493" s="19" t="n">
        <v>41091</v>
      </c>
      <c r="B493" s="61">
        <f>VLOOKUP(Table17[[#This Row],[Date]],database!A:H,7,)</f>
        <v/>
      </c>
      <c r="C493" s="74">
        <f>B493/B492-1</f>
        <v/>
      </c>
      <c r="D493" s="74">
        <f>(Table17[[#This Row],[Index]]-B481)/B481</f>
        <v/>
      </c>
    </row>
    <row r="494">
      <c r="A494" s="19" t="n">
        <v>41122</v>
      </c>
      <c r="B494" s="61">
        <f>VLOOKUP(Table17[[#This Row],[Date]],database!A:H,7,)</f>
        <v/>
      </c>
      <c r="C494" s="74">
        <f>B494/B493-1</f>
        <v/>
      </c>
      <c r="D494" s="74">
        <f>(Table17[[#This Row],[Index]]-B482)/B482</f>
        <v/>
      </c>
    </row>
    <row r="495">
      <c r="A495" s="19" t="n">
        <v>41153</v>
      </c>
      <c r="B495" s="61">
        <f>VLOOKUP(Table17[[#This Row],[Date]],database!A:H,7,)</f>
        <v/>
      </c>
      <c r="C495" s="74">
        <f>B495/B494-1</f>
        <v/>
      </c>
      <c r="D495" s="74">
        <f>(Table17[[#This Row],[Index]]-B483)/B483</f>
        <v/>
      </c>
    </row>
    <row r="496">
      <c r="A496" s="19" t="n">
        <v>41183</v>
      </c>
      <c r="B496" s="61">
        <f>VLOOKUP(Table17[[#This Row],[Date]],database!A:H,7,)</f>
        <v/>
      </c>
      <c r="C496" s="74">
        <f>B496/B495-1</f>
        <v/>
      </c>
      <c r="D496" s="74">
        <f>(Table17[[#This Row],[Index]]-B484)/B484</f>
        <v/>
      </c>
    </row>
    <row r="497">
      <c r="A497" s="19" t="n">
        <v>41214</v>
      </c>
      <c r="B497" s="61">
        <f>VLOOKUP(Table17[[#This Row],[Date]],database!A:H,7,)</f>
        <v/>
      </c>
      <c r="C497" s="74">
        <f>B497/B496-1</f>
        <v/>
      </c>
      <c r="D497" s="74">
        <f>(Table17[[#This Row],[Index]]-B485)/B485</f>
        <v/>
      </c>
    </row>
    <row r="498">
      <c r="A498" s="19" t="n">
        <v>41244</v>
      </c>
      <c r="B498" s="61">
        <f>VLOOKUP(Table17[[#This Row],[Date]],database!A:H,7,)</f>
        <v/>
      </c>
      <c r="C498" s="74">
        <f>B498/B497-1</f>
        <v/>
      </c>
      <c r="D498" s="74">
        <f>(Table17[[#This Row],[Index]]-B486)/B486</f>
        <v/>
      </c>
    </row>
    <row r="499">
      <c r="A499" s="19" t="n">
        <v>41275</v>
      </c>
      <c r="B499" s="61">
        <f>VLOOKUP(Table17[[#This Row],[Date]],database!A:H,7,)</f>
        <v/>
      </c>
      <c r="C499" s="74">
        <f>B499/B498-1</f>
        <v/>
      </c>
      <c r="D499" s="74">
        <f>(Table17[[#This Row],[Index]]-B487)/B487</f>
        <v/>
      </c>
    </row>
    <row r="500">
      <c r="A500" s="19" t="n">
        <v>41306</v>
      </c>
      <c r="B500" s="61">
        <f>VLOOKUP(Table17[[#This Row],[Date]],database!A:H,7,)</f>
        <v/>
      </c>
      <c r="C500" s="74">
        <f>B500/B499-1</f>
        <v/>
      </c>
      <c r="D500" s="74">
        <f>(Table17[[#This Row],[Index]]-B488)/B488</f>
        <v/>
      </c>
    </row>
    <row r="501">
      <c r="A501" s="19" t="n">
        <v>41334</v>
      </c>
      <c r="B501" s="61">
        <f>VLOOKUP(Table17[[#This Row],[Date]],database!A:H,7,)</f>
        <v/>
      </c>
      <c r="C501" s="74">
        <f>B501/B500-1</f>
        <v/>
      </c>
      <c r="D501" s="74">
        <f>(Table17[[#This Row],[Index]]-B489)/B489</f>
        <v/>
      </c>
    </row>
    <row r="502">
      <c r="A502" s="19" t="n">
        <v>41365</v>
      </c>
      <c r="B502" s="61">
        <f>VLOOKUP(Table17[[#This Row],[Date]],database!A:H,7,)</f>
        <v/>
      </c>
      <c r="C502" s="74">
        <f>B502/B501-1</f>
        <v/>
      </c>
      <c r="D502" s="74">
        <f>(Table17[[#This Row],[Index]]-B490)/B490</f>
        <v/>
      </c>
    </row>
    <row r="503">
      <c r="A503" s="19" t="n">
        <v>41395</v>
      </c>
      <c r="B503" s="61">
        <f>VLOOKUP(Table17[[#This Row],[Date]],database!A:H,7,)</f>
        <v/>
      </c>
      <c r="C503" s="74">
        <f>B503/B502-1</f>
        <v/>
      </c>
      <c r="D503" s="74">
        <f>(Table17[[#This Row],[Index]]-B491)/B491</f>
        <v/>
      </c>
    </row>
    <row r="504">
      <c r="A504" s="19" t="n">
        <v>41426</v>
      </c>
      <c r="B504" s="61">
        <f>VLOOKUP(Table17[[#This Row],[Date]],database!A:H,7,)</f>
        <v/>
      </c>
      <c r="C504" s="74">
        <f>B504/B503-1</f>
        <v/>
      </c>
      <c r="D504" s="74">
        <f>(Table17[[#This Row],[Index]]-B492)/B492</f>
        <v/>
      </c>
    </row>
    <row r="505">
      <c r="A505" s="19" t="n">
        <v>41456</v>
      </c>
      <c r="B505" s="61">
        <f>VLOOKUP(Table17[[#This Row],[Date]],database!A:H,7,)</f>
        <v/>
      </c>
      <c r="C505" s="74">
        <f>B505/B504-1</f>
        <v/>
      </c>
      <c r="D505" s="74">
        <f>(Table17[[#This Row],[Index]]-B493)/B493</f>
        <v/>
      </c>
    </row>
    <row r="506">
      <c r="A506" s="19" t="n">
        <v>41487</v>
      </c>
      <c r="B506" s="61">
        <f>VLOOKUP(Table17[[#This Row],[Date]],database!A:H,7,)</f>
        <v/>
      </c>
      <c r="C506" s="74">
        <f>B506/B505-1</f>
        <v/>
      </c>
      <c r="D506" s="74">
        <f>(Table17[[#This Row],[Index]]-B494)/B494</f>
        <v/>
      </c>
    </row>
    <row r="507">
      <c r="A507" s="19" t="n">
        <v>41518</v>
      </c>
      <c r="B507" s="61">
        <f>VLOOKUP(Table17[[#This Row],[Date]],database!A:H,7,)</f>
        <v/>
      </c>
      <c r="C507" s="74">
        <f>B507/B506-1</f>
        <v/>
      </c>
      <c r="D507" s="74">
        <f>(Table17[[#This Row],[Index]]-B495)/B495</f>
        <v/>
      </c>
    </row>
    <row r="508">
      <c r="A508" s="19" t="n">
        <v>41548</v>
      </c>
      <c r="B508" s="61">
        <f>VLOOKUP(Table17[[#This Row],[Date]],database!A:H,7,)</f>
        <v/>
      </c>
      <c r="C508" s="74">
        <f>B508/B507-1</f>
        <v/>
      </c>
      <c r="D508" s="74">
        <f>(Table17[[#This Row],[Index]]-B496)/B496</f>
        <v/>
      </c>
    </row>
    <row r="509">
      <c r="A509" s="19" t="n">
        <v>41579</v>
      </c>
      <c r="B509" s="61">
        <f>VLOOKUP(Table17[[#This Row],[Date]],database!A:H,7,)</f>
        <v/>
      </c>
      <c r="C509" s="74">
        <f>B509/B508-1</f>
        <v/>
      </c>
      <c r="D509" s="74">
        <f>(Table17[[#This Row],[Index]]-B497)/B497</f>
        <v/>
      </c>
    </row>
    <row r="510">
      <c r="A510" s="19" t="n">
        <v>41609</v>
      </c>
      <c r="B510" s="61">
        <f>VLOOKUP(Table17[[#This Row],[Date]],database!A:H,7,)</f>
        <v/>
      </c>
      <c r="C510" s="74">
        <f>B510/B509-1</f>
        <v/>
      </c>
      <c r="D510" s="74">
        <f>(Table17[[#This Row],[Index]]-B498)/B498</f>
        <v/>
      </c>
    </row>
    <row r="511">
      <c r="A511" s="19" t="n">
        <v>41640</v>
      </c>
      <c r="B511" s="61">
        <f>VLOOKUP(Table17[[#This Row],[Date]],database!A:H,7,)</f>
        <v/>
      </c>
      <c r="C511" s="74">
        <f>B511/B510-1</f>
        <v/>
      </c>
      <c r="D511" s="74">
        <f>(Table17[[#This Row],[Index]]-B499)/B499</f>
        <v/>
      </c>
    </row>
    <row r="512">
      <c r="A512" s="19" t="n">
        <v>41671</v>
      </c>
      <c r="B512" s="61">
        <f>VLOOKUP(Table17[[#This Row],[Date]],database!A:H,7,)</f>
        <v/>
      </c>
      <c r="C512" s="74">
        <f>B512/B511-1</f>
        <v/>
      </c>
      <c r="D512" s="74">
        <f>(Table17[[#This Row],[Index]]-B500)/B500</f>
        <v/>
      </c>
    </row>
    <row r="513">
      <c r="A513" s="19" t="n">
        <v>41699</v>
      </c>
      <c r="B513" s="61">
        <f>VLOOKUP(Table17[[#This Row],[Date]],database!A:H,7,)</f>
        <v/>
      </c>
      <c r="C513" s="74">
        <f>B513/B512-1</f>
        <v/>
      </c>
      <c r="D513" s="74">
        <f>(Table17[[#This Row],[Index]]-B501)/B501</f>
        <v/>
      </c>
    </row>
    <row r="514">
      <c r="A514" s="19" t="n">
        <v>41730</v>
      </c>
      <c r="B514" s="61">
        <f>VLOOKUP(Table17[[#This Row],[Date]],database!A:H,7,)</f>
        <v/>
      </c>
      <c r="C514" s="74">
        <f>B514/B513-1</f>
        <v/>
      </c>
      <c r="D514" s="74">
        <f>(Table17[[#This Row],[Index]]-B502)/B502</f>
        <v/>
      </c>
    </row>
    <row r="515">
      <c r="A515" s="19" t="n">
        <v>41760</v>
      </c>
      <c r="B515" s="61">
        <f>VLOOKUP(Table17[[#This Row],[Date]],database!A:H,7,)</f>
        <v/>
      </c>
      <c r="C515" s="74">
        <f>B515/B514-1</f>
        <v/>
      </c>
      <c r="D515" s="74">
        <f>(Table17[[#This Row],[Index]]-B503)/B503</f>
        <v/>
      </c>
    </row>
    <row r="516">
      <c r="A516" s="19" t="n">
        <v>41791</v>
      </c>
      <c r="B516" s="61">
        <f>VLOOKUP(Table17[[#This Row],[Date]],database!A:H,7,)</f>
        <v/>
      </c>
      <c r="C516" s="74">
        <f>B516/B515-1</f>
        <v/>
      </c>
      <c r="D516" s="74">
        <f>(Table17[[#This Row],[Index]]-B504)/B504</f>
        <v/>
      </c>
    </row>
    <row r="517">
      <c r="A517" s="19" t="n">
        <v>41821</v>
      </c>
      <c r="B517" s="61">
        <f>VLOOKUP(Table17[[#This Row],[Date]],database!A:H,7,)</f>
        <v/>
      </c>
      <c r="C517" s="74">
        <f>B517/B516-1</f>
        <v/>
      </c>
      <c r="D517" s="74">
        <f>(Table17[[#This Row],[Index]]-B505)/B505</f>
        <v/>
      </c>
    </row>
    <row r="518">
      <c r="A518" s="19" t="n">
        <v>41852</v>
      </c>
      <c r="B518" s="61">
        <f>VLOOKUP(Table17[[#This Row],[Date]],database!A:H,7,)</f>
        <v/>
      </c>
      <c r="C518" s="74">
        <f>B518/B517-1</f>
        <v/>
      </c>
      <c r="D518" s="74">
        <f>(Table17[[#This Row],[Index]]-B506)/B506</f>
        <v/>
      </c>
    </row>
    <row r="519">
      <c r="A519" s="19" t="n">
        <v>41883</v>
      </c>
      <c r="B519" s="61">
        <f>VLOOKUP(Table17[[#This Row],[Date]],database!A:H,7,)</f>
        <v/>
      </c>
      <c r="C519" s="74">
        <f>B519/B518-1</f>
        <v/>
      </c>
      <c r="D519" s="74">
        <f>(Table17[[#This Row],[Index]]-B507)/B507</f>
        <v/>
      </c>
    </row>
    <row r="520">
      <c r="A520" s="19" t="n">
        <v>41913</v>
      </c>
      <c r="B520" s="61">
        <f>VLOOKUP(Table17[[#This Row],[Date]],database!A:H,7,)</f>
        <v/>
      </c>
      <c r="C520" s="74">
        <f>B520/B519-1</f>
        <v/>
      </c>
      <c r="D520" s="74">
        <f>(Table17[[#This Row],[Index]]-B508)/B508</f>
        <v/>
      </c>
    </row>
    <row r="521">
      <c r="A521" s="19" t="n">
        <v>41944</v>
      </c>
      <c r="B521" s="61">
        <f>VLOOKUP(Table17[[#This Row],[Date]],database!A:H,7,)</f>
        <v/>
      </c>
      <c r="C521" s="75">
        <f>B521/B520-1</f>
        <v/>
      </c>
      <c r="D521" s="74">
        <f>(Table17[[#This Row],[Index]]-B509)/B509</f>
        <v/>
      </c>
    </row>
    <row r="522">
      <c r="A522" s="19" t="n">
        <v>41974</v>
      </c>
      <c r="B522" s="61">
        <f>VLOOKUP(Table17[[#This Row],[Date]],database!A:H,7,)</f>
        <v/>
      </c>
      <c r="C522" s="74">
        <f>B522/B521-1</f>
        <v/>
      </c>
      <c r="D522" s="74">
        <f>(Table17[[#This Row],[Index]]-B510)/B510</f>
        <v/>
      </c>
    </row>
    <row r="523">
      <c r="A523" s="19" t="n">
        <v>42005</v>
      </c>
      <c r="B523" s="61">
        <f>VLOOKUP(Table17[[#This Row],[Date]],database!A:H,7,)</f>
        <v/>
      </c>
      <c r="C523" s="75">
        <f>B523/B522-1</f>
        <v/>
      </c>
      <c r="D523" s="74">
        <f>(Table17[[#This Row],[Index]]-B511)/B511</f>
        <v/>
      </c>
    </row>
    <row r="524">
      <c r="A524" s="19" t="n">
        <v>42036</v>
      </c>
      <c r="B524" s="61">
        <f>VLOOKUP(Table17[[#This Row],[Date]],database!A:H,7,)</f>
        <v/>
      </c>
      <c r="C524" s="74">
        <f>B524/B523-1</f>
        <v/>
      </c>
      <c r="D524" s="74">
        <f>(Table17[[#This Row],[Index]]-B512)/B512</f>
        <v/>
      </c>
    </row>
    <row r="525">
      <c r="A525" s="19" t="n">
        <v>42064</v>
      </c>
      <c r="B525" s="61">
        <f>VLOOKUP(Table17[[#This Row],[Date]],database!A:H,7,)</f>
        <v/>
      </c>
      <c r="C525" s="75">
        <f>B525/B524-1</f>
        <v/>
      </c>
      <c r="D525" s="74">
        <f>(Table17[[#This Row],[Index]]-B513)/B513</f>
        <v/>
      </c>
    </row>
    <row r="526">
      <c r="A526" s="19" t="n">
        <v>42095</v>
      </c>
      <c r="B526" s="61">
        <f>VLOOKUP(Table17[[#This Row],[Date]],database!A:H,7,)</f>
        <v/>
      </c>
      <c r="C526" s="74">
        <f>B526/B525-1</f>
        <v/>
      </c>
      <c r="D526" s="74">
        <f>(Table17[[#This Row],[Index]]-B514)/B514</f>
        <v/>
      </c>
    </row>
    <row r="527">
      <c r="A527" s="19" t="n">
        <v>42125</v>
      </c>
      <c r="B527" s="61">
        <f>VLOOKUP(Table17[[#This Row],[Date]],database!A:H,7,)</f>
        <v/>
      </c>
      <c r="C527" s="74">
        <f>B527/B526-1</f>
        <v/>
      </c>
      <c r="D527" s="74">
        <f>(Table17[[#This Row],[Index]]-B515)/B515</f>
        <v/>
      </c>
    </row>
    <row r="528">
      <c r="A528" s="19" t="n">
        <v>42156</v>
      </c>
      <c r="B528" s="61">
        <f>VLOOKUP(Table17[[#This Row],[Date]],database!A:H,7,)</f>
        <v/>
      </c>
      <c r="C528" s="74">
        <f>B528/B527-1</f>
        <v/>
      </c>
      <c r="D528" s="74">
        <f>(Table17[[#This Row],[Index]]-B516)/B516</f>
        <v/>
      </c>
    </row>
    <row r="529">
      <c r="A529" s="19" t="n">
        <v>42186</v>
      </c>
      <c r="B529" s="61">
        <f>VLOOKUP(Table17[[#This Row],[Date]],database!A:H,7,)</f>
        <v/>
      </c>
      <c r="C529" s="74">
        <f>B529/B528-1</f>
        <v/>
      </c>
      <c r="D529" s="74">
        <f>(Table17[[#This Row],[Index]]-B517)/B517</f>
        <v/>
      </c>
    </row>
    <row r="530">
      <c r="A530" s="19" t="n">
        <v>42217</v>
      </c>
      <c r="B530" s="61">
        <f>VLOOKUP(Table17[[#This Row],[Date]],database!A:H,7,)</f>
        <v/>
      </c>
      <c r="C530" s="74">
        <f>B530/B529-1</f>
        <v/>
      </c>
      <c r="D530" s="74">
        <f>(Table17[[#This Row],[Index]]-B518)/B518</f>
        <v/>
      </c>
    </row>
    <row r="531">
      <c r="A531" s="19" t="n">
        <v>42248</v>
      </c>
      <c r="B531" s="61">
        <f>VLOOKUP(Table17[[#This Row],[Date]],database!A:H,7,)</f>
        <v/>
      </c>
      <c r="C531" s="74">
        <f>B531/B530-1</f>
        <v/>
      </c>
      <c r="D531" s="74">
        <f>(Table17[[#This Row],[Index]]-B519)/B519</f>
        <v/>
      </c>
    </row>
    <row r="532">
      <c r="A532" s="19" t="n">
        <v>42278</v>
      </c>
      <c r="B532" s="61">
        <f>VLOOKUP(Table17[[#This Row],[Date]],database!A:H,7,)</f>
        <v/>
      </c>
      <c r="C532" s="74">
        <f>B532/B531-1</f>
        <v/>
      </c>
      <c r="D532" s="74">
        <f>(Table17[[#This Row],[Index]]-B520)/B520</f>
        <v/>
      </c>
    </row>
    <row r="533">
      <c r="A533" s="19" t="n">
        <v>42309</v>
      </c>
      <c r="B533" s="61">
        <f>VLOOKUP(Table17[[#This Row],[Date]],database!A:H,7,)</f>
        <v/>
      </c>
      <c r="C533" s="74">
        <f>B533/B532-1</f>
        <v/>
      </c>
      <c r="D533" s="74">
        <f>(Table17[[#This Row],[Index]]-B521)/B521</f>
        <v/>
      </c>
    </row>
    <row r="534">
      <c r="A534" s="19" t="n">
        <v>42339</v>
      </c>
      <c r="B534" s="61">
        <f>VLOOKUP(Table17[[#This Row],[Date]],database!A:H,7,)</f>
        <v/>
      </c>
      <c r="C534" s="74">
        <f>B534/B533-1</f>
        <v/>
      </c>
      <c r="D534" s="74">
        <f>(Table17[[#This Row],[Index]]-B522)/B522</f>
        <v/>
      </c>
    </row>
    <row r="535">
      <c r="A535" s="19" t="n">
        <v>42370</v>
      </c>
      <c r="B535" s="61">
        <f>VLOOKUP(Table17[[#This Row],[Date]],database!A:H,7,)</f>
        <v/>
      </c>
      <c r="C535" s="74">
        <f>B535/B534-1</f>
        <v/>
      </c>
      <c r="D535" s="74">
        <f>(Table17[[#This Row],[Index]]-B523)/B523</f>
        <v/>
      </c>
    </row>
    <row r="536">
      <c r="A536" s="19" t="n">
        <v>42401</v>
      </c>
      <c r="B536" s="61">
        <f>VLOOKUP(Table17[[#This Row],[Date]],database!A:H,7,)</f>
        <v/>
      </c>
      <c r="C536" s="74">
        <f>B536/B535-1</f>
        <v/>
      </c>
      <c r="D536" s="74">
        <f>(Table17[[#This Row],[Index]]-B524)/B524</f>
        <v/>
      </c>
    </row>
    <row r="537">
      <c r="A537" s="19" t="n">
        <v>42430</v>
      </c>
      <c r="B537" s="61">
        <f>VLOOKUP(Table17[[#This Row],[Date]],database!A:H,7,)</f>
        <v/>
      </c>
      <c r="C537" s="74">
        <f>B537/B536-1</f>
        <v/>
      </c>
      <c r="D537" s="74">
        <f>(Table17[[#This Row],[Index]]-B525)/B525</f>
        <v/>
      </c>
    </row>
    <row r="538">
      <c r="A538" s="19" t="n">
        <v>42461</v>
      </c>
      <c r="B538" s="61">
        <f>VLOOKUP(Table17[[#This Row],[Date]],database!A:H,7,)</f>
        <v/>
      </c>
      <c r="C538" s="74">
        <f>B538/B537-1</f>
        <v/>
      </c>
      <c r="D538" s="74">
        <f>(Table17[[#This Row],[Index]]-B526)/B526</f>
        <v/>
      </c>
    </row>
    <row r="539">
      <c r="A539" s="19" t="n">
        <v>42491</v>
      </c>
      <c r="B539" s="61">
        <f>VLOOKUP(Table17[[#This Row],[Date]],database!A:H,7,)</f>
        <v/>
      </c>
      <c r="C539" s="74">
        <f>B539/B538-1</f>
        <v/>
      </c>
      <c r="D539" s="74">
        <f>(Table17[[#This Row],[Index]]-B527)/B527</f>
        <v/>
      </c>
    </row>
    <row r="540">
      <c r="A540" s="19" t="n">
        <v>42522</v>
      </c>
      <c r="B540" s="61">
        <f>VLOOKUP(Table17[[#This Row],[Date]],database!A:H,7,)</f>
        <v/>
      </c>
      <c r="C540" s="74">
        <f>B540/B539-1</f>
        <v/>
      </c>
      <c r="D540" s="74">
        <f>(Table17[[#This Row],[Index]]-B528)/B528</f>
        <v/>
      </c>
    </row>
    <row r="541">
      <c r="A541" s="19" t="n">
        <v>42552</v>
      </c>
      <c r="B541" s="61">
        <f>VLOOKUP(Table17[[#This Row],[Date]],database!A:H,7,)</f>
        <v/>
      </c>
      <c r="C541" s="74">
        <f>B541/B540-1</f>
        <v/>
      </c>
      <c r="D541" s="74">
        <f>(Table17[[#This Row],[Index]]-B529)/B529</f>
        <v/>
      </c>
    </row>
    <row r="542">
      <c r="A542" s="19" t="n">
        <v>42583</v>
      </c>
      <c r="B542" s="61">
        <f>VLOOKUP(Table17[[#This Row],[Date]],database!A:H,7,)</f>
        <v/>
      </c>
      <c r="C542" s="74">
        <f>B542/B541-1</f>
        <v/>
      </c>
      <c r="D542" s="74">
        <f>(Table17[[#This Row],[Index]]-B530)/B530</f>
        <v/>
      </c>
    </row>
    <row r="543">
      <c r="A543" s="19" t="n">
        <v>42614</v>
      </c>
      <c r="B543" s="61">
        <f>VLOOKUP(Table17[[#This Row],[Date]],database!A:H,7,)</f>
        <v/>
      </c>
      <c r="C543" s="74">
        <f>B543/B542-1</f>
        <v/>
      </c>
      <c r="D543" s="74">
        <f>(Table17[[#This Row],[Index]]-B531)/B531</f>
        <v/>
      </c>
    </row>
    <row r="544">
      <c r="A544" s="19" t="n">
        <v>42644</v>
      </c>
      <c r="B544" s="61">
        <f>VLOOKUP(Table17[[#This Row],[Date]],database!A:H,7,)</f>
        <v/>
      </c>
      <c r="C544" s="74">
        <f>B544/B543-1</f>
        <v/>
      </c>
      <c r="D544" s="74">
        <f>(Table17[[#This Row],[Index]]-B532)/B532</f>
        <v/>
      </c>
    </row>
    <row r="545">
      <c r="A545" s="19" t="n">
        <v>42675</v>
      </c>
      <c r="B545" s="61">
        <f>VLOOKUP(Table17[[#This Row],[Date]],database!A:H,7,)</f>
        <v/>
      </c>
      <c r="C545" s="74">
        <f>B545/B544-1</f>
        <v/>
      </c>
      <c r="D545" s="74">
        <f>(Table17[[#This Row],[Index]]-B533)/B533</f>
        <v/>
      </c>
    </row>
    <row r="546">
      <c r="A546" s="19" t="n">
        <v>42705</v>
      </c>
      <c r="B546" s="61">
        <f>VLOOKUP(Table17[[#This Row],[Date]],database!A:H,7,)</f>
        <v/>
      </c>
      <c r="C546" s="74">
        <f>B546/B545-1</f>
        <v/>
      </c>
      <c r="D546" s="74">
        <f>(Table17[[#This Row],[Index]]-B534)/B534</f>
        <v/>
      </c>
    </row>
    <row r="547">
      <c r="A547" s="19" t="n">
        <v>42736</v>
      </c>
      <c r="B547" s="61">
        <f>VLOOKUP(Table17[[#This Row],[Date]],database!A:H,7,)</f>
        <v/>
      </c>
      <c r="C547" s="74">
        <f>B547/B546-1</f>
        <v/>
      </c>
      <c r="D547" s="74">
        <f>(Table17[[#This Row],[Index]]-B535)/B535</f>
        <v/>
      </c>
    </row>
    <row r="548">
      <c r="A548" s="19" t="n">
        <v>42767</v>
      </c>
      <c r="B548" s="61">
        <f>VLOOKUP(Table17[[#This Row],[Date]],database!A:H,7,)</f>
        <v/>
      </c>
      <c r="C548" s="74">
        <f>B548/B547-1</f>
        <v/>
      </c>
      <c r="D548" s="74">
        <f>(Table17[[#This Row],[Index]]-B536)/B536</f>
        <v/>
      </c>
    </row>
    <row r="549">
      <c r="A549" s="19" t="n">
        <v>42795</v>
      </c>
      <c r="B549" s="61">
        <f>VLOOKUP(Table17[[#This Row],[Date]],database!A:H,7,)</f>
        <v/>
      </c>
      <c r="C549" s="74">
        <f>B549/B548-1</f>
        <v/>
      </c>
      <c r="D549" s="74">
        <f>(Table17[[#This Row],[Index]]-B537)/B537</f>
        <v/>
      </c>
    </row>
    <row r="550">
      <c r="A550" s="19" t="n">
        <v>42826</v>
      </c>
      <c r="B550" s="61">
        <f>VLOOKUP(Table17[[#This Row],[Date]],database!A:H,7,)</f>
        <v/>
      </c>
      <c r="C550" s="74">
        <f>B550/B549-1</f>
        <v/>
      </c>
      <c r="D550" s="74">
        <f>(Table17[[#This Row],[Index]]-B538)/B538</f>
        <v/>
      </c>
    </row>
    <row r="551">
      <c r="A551" s="19" t="n">
        <v>42856</v>
      </c>
      <c r="B551" s="61">
        <f>VLOOKUP(Table17[[#This Row],[Date]],database!A:H,7,)</f>
        <v/>
      </c>
      <c r="C551" s="74">
        <f>B551/B550-1</f>
        <v/>
      </c>
      <c r="D551" s="74">
        <f>(Table17[[#This Row],[Index]]-B539)/B539</f>
        <v/>
      </c>
    </row>
    <row r="552">
      <c r="A552" s="19" t="n">
        <v>42887</v>
      </c>
      <c r="B552" s="61">
        <f>VLOOKUP(Table17[[#This Row],[Date]],database!A:H,7,)</f>
        <v/>
      </c>
      <c r="C552" s="74">
        <f>B552/B551-1</f>
        <v/>
      </c>
      <c r="D552" s="74">
        <f>(Table17[[#This Row],[Index]]-B540)/B540</f>
        <v/>
      </c>
    </row>
    <row r="553">
      <c r="A553" s="19" t="n">
        <v>42917</v>
      </c>
      <c r="B553" s="61">
        <f>VLOOKUP(Table17[[#This Row],[Date]],database!A:H,7,)</f>
        <v/>
      </c>
      <c r="C553" s="74">
        <f>B553/B552-1</f>
        <v/>
      </c>
      <c r="D553" s="74">
        <f>(Table17[[#This Row],[Index]]-B541)/B541</f>
        <v/>
      </c>
    </row>
    <row r="554">
      <c r="A554" s="19" t="n">
        <v>42948</v>
      </c>
      <c r="B554" s="61">
        <f>VLOOKUP(Table17[[#This Row],[Date]],database!A:H,7,)</f>
        <v/>
      </c>
      <c r="C554" s="74">
        <f>B554/B553-1</f>
        <v/>
      </c>
      <c r="D554" s="74">
        <f>(Table17[[#This Row],[Index]]-B542)/B542</f>
        <v/>
      </c>
    </row>
    <row r="555">
      <c r="A555" s="19" t="n">
        <v>42979</v>
      </c>
      <c r="B555" s="61">
        <f>VLOOKUP(Table17[[#This Row],[Date]],database!A:H,7,)</f>
        <v/>
      </c>
      <c r="C555" s="74">
        <f>B555/B554-1</f>
        <v/>
      </c>
      <c r="D555" s="74">
        <f>(Table17[[#This Row],[Index]]-B543)/B543</f>
        <v/>
      </c>
    </row>
    <row r="556">
      <c r="A556" s="19" t="n">
        <v>43009</v>
      </c>
      <c r="B556" s="61">
        <f>VLOOKUP(Table17[[#This Row],[Date]],database!A:H,7,)</f>
        <v/>
      </c>
      <c r="C556" s="74">
        <f>B556/B555-1</f>
        <v/>
      </c>
      <c r="D556" s="74">
        <f>(Table17[[#This Row],[Index]]-B544)/B544</f>
        <v/>
      </c>
    </row>
    <row r="557">
      <c r="A557" s="19" t="n">
        <v>43040</v>
      </c>
      <c r="B557" s="61">
        <f>VLOOKUP(Table17[[#This Row],[Date]],database!A:H,7,)</f>
        <v/>
      </c>
      <c r="C557" s="74">
        <f>B557/B556-1</f>
        <v/>
      </c>
      <c r="D557" s="74">
        <f>(Table17[[#This Row],[Index]]-B545)/B545</f>
        <v/>
      </c>
    </row>
    <row r="558">
      <c r="A558" s="19" t="n">
        <v>43070</v>
      </c>
      <c r="B558" s="61">
        <f>VLOOKUP(Table17[[#This Row],[Date]],database!A:H,7,)</f>
        <v/>
      </c>
      <c r="C558" s="74">
        <f>B558/B557-1</f>
        <v/>
      </c>
      <c r="D558" s="74">
        <f>(Table17[[#This Row],[Index]]-B546)/B546</f>
        <v/>
      </c>
    </row>
    <row r="559">
      <c r="A559" s="19" t="n">
        <v>43101</v>
      </c>
      <c r="B559" s="61">
        <f>VLOOKUP(Table17[[#This Row],[Date]],database!A:H,7,)</f>
        <v/>
      </c>
      <c r="C559" s="74">
        <f>B559/B558-1</f>
        <v/>
      </c>
      <c r="D559" s="74">
        <f>(Table17[[#This Row],[Index]]-B547)/B547</f>
        <v/>
      </c>
    </row>
    <row r="560">
      <c r="A560" s="19" t="n">
        <v>43132</v>
      </c>
      <c r="B560" s="61">
        <f>VLOOKUP(Table17[[#This Row],[Date]],database!A:H,7,)</f>
        <v/>
      </c>
      <c r="C560" s="74">
        <f>B560/B559-1</f>
        <v/>
      </c>
      <c r="D560" s="74">
        <f>(Table17[[#This Row],[Index]]-B548)/B548</f>
        <v/>
      </c>
    </row>
    <row r="561">
      <c r="A561" s="19" t="n">
        <v>43160</v>
      </c>
      <c r="B561" s="61">
        <f>VLOOKUP(Table17[[#This Row],[Date]],database!A:H,7,)</f>
        <v/>
      </c>
      <c r="C561" s="74">
        <f>B561/B560-1</f>
        <v/>
      </c>
      <c r="D561" s="74">
        <f>(Table17[[#This Row],[Index]]-B549)/B549</f>
        <v/>
      </c>
    </row>
    <row r="562">
      <c r="A562" s="19" t="n">
        <v>43191</v>
      </c>
      <c r="B562" s="61">
        <f>VLOOKUP(Table17[[#This Row],[Date]],database!A:H,7,)</f>
        <v/>
      </c>
      <c r="C562" s="74">
        <f>B562/B561-1</f>
        <v/>
      </c>
      <c r="D562" s="74">
        <f>(Table17[[#This Row],[Index]]-B550)/B550</f>
        <v/>
      </c>
    </row>
    <row r="563">
      <c r="A563" s="19" t="n">
        <v>43221</v>
      </c>
      <c r="B563" s="61">
        <f>VLOOKUP(Table17[[#This Row],[Date]],database!A:H,7,)</f>
        <v/>
      </c>
      <c r="C563" s="74">
        <f>B563/B562-1</f>
        <v/>
      </c>
      <c r="D563" s="74">
        <f>(Table17[[#This Row],[Index]]-B551)/B551</f>
        <v/>
      </c>
    </row>
    <row r="564">
      <c r="A564" s="19" t="n">
        <v>43252</v>
      </c>
      <c r="B564" s="61">
        <f>VLOOKUP(Table17[[#This Row],[Date]],database!A:H,7,)</f>
        <v/>
      </c>
      <c r="C564" s="74">
        <f>B564/B563-1</f>
        <v/>
      </c>
      <c r="D564" s="74">
        <f>(Table17[[#This Row],[Index]]-B552)/B552</f>
        <v/>
      </c>
    </row>
    <row r="565">
      <c r="A565" s="19" t="n">
        <v>43282</v>
      </c>
      <c r="B565" s="61">
        <f>VLOOKUP(Table17[[#This Row],[Date]],database!A:H,7,)</f>
        <v/>
      </c>
      <c r="C565" s="74">
        <f>B565/B564-1</f>
        <v/>
      </c>
      <c r="D565" s="74">
        <f>(Table17[[#This Row],[Index]]-B553)/B553</f>
        <v/>
      </c>
    </row>
    <row r="566">
      <c r="A566" s="19" t="n">
        <v>43313</v>
      </c>
      <c r="B566" s="61">
        <f>VLOOKUP(Table17[[#This Row],[Date]],database!A:H,7,)</f>
        <v/>
      </c>
      <c r="C566" s="74">
        <f>B566/B565-1</f>
        <v/>
      </c>
      <c r="D566" s="74">
        <f>(Table17[[#This Row],[Index]]-B554)/B554</f>
        <v/>
      </c>
    </row>
    <row r="567">
      <c r="A567" s="19" t="n">
        <v>43344</v>
      </c>
      <c r="B567" s="61">
        <f>VLOOKUP(Table17[[#This Row],[Date]],database!A:H,7,)</f>
        <v/>
      </c>
      <c r="C567" s="74">
        <f>B567/B566-1</f>
        <v/>
      </c>
      <c r="D567" s="74">
        <f>(Table17[[#This Row],[Index]]-B555)/B555</f>
        <v/>
      </c>
    </row>
    <row r="568">
      <c r="A568" s="19" t="n">
        <v>43374</v>
      </c>
      <c r="B568" s="61">
        <f>VLOOKUP(Table17[[#This Row],[Date]],database!A:H,7,)</f>
        <v/>
      </c>
      <c r="C568" s="74">
        <f>B568/B567-1</f>
        <v/>
      </c>
      <c r="D568" s="74">
        <f>(Table17[[#This Row],[Index]]-B556)/B556</f>
        <v/>
      </c>
    </row>
    <row r="569">
      <c r="A569" s="19" t="n">
        <v>43405</v>
      </c>
      <c r="B569" s="61">
        <f>VLOOKUP(Table17[[#This Row],[Date]],database!A:H,7,)</f>
        <v/>
      </c>
      <c r="C569" s="74">
        <f>B569/B568-1</f>
        <v/>
      </c>
      <c r="D569" s="74">
        <f>(Table17[[#This Row],[Index]]-B557)/B557</f>
        <v/>
      </c>
    </row>
    <row r="570">
      <c r="A570" s="19" t="n">
        <v>43435</v>
      </c>
      <c r="B570" s="61">
        <f>VLOOKUP(Table17[[#This Row],[Date]],database!A:H,7,)</f>
        <v/>
      </c>
      <c r="C570" s="74">
        <f>B570/B569-1</f>
        <v/>
      </c>
      <c r="D570" s="74">
        <f>(Table17[[#This Row],[Index]]-B558)/B558</f>
        <v/>
      </c>
    </row>
    <row r="571">
      <c r="A571" s="19" t="n">
        <v>43466</v>
      </c>
      <c r="B571" s="61">
        <f>VLOOKUP(Table17[[#This Row],[Date]],database!A:H,7,)</f>
        <v/>
      </c>
      <c r="C571" s="74">
        <f>B571/B570-1</f>
        <v/>
      </c>
      <c r="D571" s="74">
        <f>(Table17[[#This Row],[Index]]-B559)/B559</f>
        <v/>
      </c>
    </row>
    <row r="572">
      <c r="A572" s="19" t="n">
        <v>43497</v>
      </c>
      <c r="B572" s="61">
        <f>VLOOKUP(Table17[[#This Row],[Date]],database!A:H,7,)</f>
        <v/>
      </c>
      <c r="C572" s="74">
        <f>B572/B571-1</f>
        <v/>
      </c>
      <c r="D572" s="74">
        <f>(Table17[[#This Row],[Index]]-B560)/B560</f>
        <v/>
      </c>
    </row>
    <row r="573">
      <c r="A573" s="19" t="n">
        <v>43525</v>
      </c>
      <c r="B573" s="61">
        <f>VLOOKUP(Table17[[#This Row],[Date]],database!A:H,7,)</f>
        <v/>
      </c>
      <c r="C573" s="74">
        <f>B573/B572-1</f>
        <v/>
      </c>
      <c r="D573" s="74">
        <f>(Table17[[#This Row],[Index]]-B561)/B561</f>
        <v/>
      </c>
    </row>
    <row r="574">
      <c r="A574" s="19" t="n">
        <v>43556</v>
      </c>
      <c r="B574" s="61">
        <f>VLOOKUP(Table17[[#This Row],[Date]],database!A:H,7,)</f>
        <v/>
      </c>
      <c r="C574" s="74">
        <f>B574/B573-1</f>
        <v/>
      </c>
      <c r="D574" s="74">
        <f>(Table17[[#This Row],[Index]]-B562)/B562</f>
        <v/>
      </c>
    </row>
    <row r="575">
      <c r="A575" s="19" t="n">
        <v>43586</v>
      </c>
      <c r="B575" s="61">
        <f>VLOOKUP(Table17[[#This Row],[Date]],database!A:H,7,)</f>
        <v/>
      </c>
      <c r="C575" s="74">
        <f>B575/B574-1</f>
        <v/>
      </c>
      <c r="D575" s="74">
        <f>(Table17[[#This Row],[Index]]-B563)/B563</f>
        <v/>
      </c>
    </row>
    <row r="576">
      <c r="A576" s="19" t="n">
        <v>43617</v>
      </c>
      <c r="B576" s="61">
        <f>VLOOKUP(Table17[[#This Row],[Date]],database!A:H,7,)</f>
        <v/>
      </c>
      <c r="C576" s="74">
        <f>B576/B575-1</f>
        <v/>
      </c>
      <c r="D576" s="74">
        <f>(Table17[[#This Row],[Index]]-B564)/B564</f>
        <v/>
      </c>
    </row>
    <row r="577">
      <c r="A577" s="19" t="n">
        <v>43647</v>
      </c>
      <c r="B577" s="61">
        <f>VLOOKUP(Table17[[#This Row],[Date]],database!A:H,7,)</f>
        <v/>
      </c>
      <c r="C577" s="74">
        <f>B577/B576-1</f>
        <v/>
      </c>
      <c r="D577" s="74">
        <f>(Table17[[#This Row],[Index]]-B565)/B565</f>
        <v/>
      </c>
    </row>
    <row r="578">
      <c r="A578" s="19" t="n">
        <v>43678</v>
      </c>
      <c r="B578" s="61">
        <f>VLOOKUP(Table17[[#This Row],[Date]],database!A:H,7,)</f>
        <v/>
      </c>
      <c r="C578" s="74">
        <f>B578/B577-1</f>
        <v/>
      </c>
      <c r="D578" s="74">
        <f>(Table17[[#This Row],[Index]]-B566)/B566</f>
        <v/>
      </c>
    </row>
    <row r="579">
      <c r="A579" s="19" t="n">
        <v>43709</v>
      </c>
      <c r="B579" s="61">
        <f>VLOOKUP(Table17[[#This Row],[Date]],database!A:H,7,)</f>
        <v/>
      </c>
      <c r="C579" s="74">
        <f>B579/B578-1</f>
        <v/>
      </c>
      <c r="D579" s="74">
        <f>(Table17[[#This Row],[Index]]-B567)/B567</f>
        <v/>
      </c>
    </row>
    <row r="580">
      <c r="A580" s="19" t="n">
        <v>43739</v>
      </c>
      <c r="B580" s="61">
        <f>VLOOKUP(Table17[[#This Row],[Date]],database!A:H,7,)</f>
        <v/>
      </c>
      <c r="C580" s="74">
        <f>B580/B579-1</f>
        <v/>
      </c>
      <c r="D580" s="74">
        <f>(Table17[[#This Row],[Index]]-B568)/B568</f>
        <v/>
      </c>
    </row>
    <row r="581">
      <c r="A581" s="19" t="n">
        <v>43770</v>
      </c>
      <c r="B581" s="61">
        <f>VLOOKUP(Table17[[#This Row],[Date]],database!A:H,7,)</f>
        <v/>
      </c>
      <c r="C581" s="74">
        <f>B581/B580-1</f>
        <v/>
      </c>
      <c r="D581" s="74">
        <f>(Table17[[#This Row],[Index]]-B569)/B569</f>
        <v/>
      </c>
    </row>
    <row r="582">
      <c r="A582" s="19" t="n">
        <v>43800</v>
      </c>
      <c r="B582" s="61">
        <f>VLOOKUP(Table17[[#This Row],[Date]],database!A:H,7,)</f>
        <v/>
      </c>
      <c r="C582" s="74">
        <f>B582/B581-1</f>
        <v/>
      </c>
      <c r="D582" s="74">
        <f>(Table17[[#This Row],[Index]]-B570)/B570</f>
        <v/>
      </c>
    </row>
    <row r="583">
      <c r="A583" s="19" t="n">
        <v>43831</v>
      </c>
      <c r="B583" s="61">
        <f>VLOOKUP(Table17[[#This Row],[Date]],database!A:H,7,)</f>
        <v/>
      </c>
      <c r="C583" s="74">
        <f>B583/B582-1</f>
        <v/>
      </c>
      <c r="D583" s="74">
        <f>(Table17[[#This Row],[Index]]-B571)/B571</f>
        <v/>
      </c>
    </row>
    <row r="584">
      <c r="A584" s="19" t="n">
        <v>43862</v>
      </c>
      <c r="B584" s="61">
        <f>VLOOKUP(Table17[[#This Row],[Date]],database!A:H,7,)</f>
        <v/>
      </c>
      <c r="C584" s="74">
        <f>B584/B583-1</f>
        <v/>
      </c>
      <c r="D584" s="74">
        <f>(Table17[[#This Row],[Index]]-B572)/B572</f>
        <v/>
      </c>
    </row>
    <row r="585">
      <c r="A585" s="19" t="n">
        <v>43891</v>
      </c>
      <c r="B585" s="61">
        <f>VLOOKUP(Table17[[#This Row],[Date]],database!A:H,7,)</f>
        <v/>
      </c>
      <c r="C585" s="74">
        <f>B585/B584-1</f>
        <v/>
      </c>
      <c r="D585" s="74">
        <f>(Table17[[#This Row],[Index]]-B573)/B573</f>
        <v/>
      </c>
    </row>
    <row r="586">
      <c r="A586" s="19" t="n">
        <v>43922</v>
      </c>
      <c r="B586" s="61">
        <f>VLOOKUP(Table17[[#This Row],[Date]],database!A:H,7,)</f>
        <v/>
      </c>
      <c r="C586" s="74">
        <f>B586/B585-1</f>
        <v/>
      </c>
      <c r="D586" s="74">
        <f>(Table17[[#This Row],[Index]]-B574)/B574</f>
        <v/>
      </c>
    </row>
    <row r="587">
      <c r="A587" s="19" t="n">
        <v>43952</v>
      </c>
      <c r="B587" s="61">
        <f>VLOOKUP(Table17[[#This Row],[Date]],database!A:H,7,)</f>
        <v/>
      </c>
      <c r="C587" s="74">
        <f>B587/B586-1</f>
        <v/>
      </c>
      <c r="D587" s="74">
        <f>(Table17[[#This Row],[Index]]-B575)/B575</f>
        <v/>
      </c>
    </row>
    <row r="588">
      <c r="A588" s="19" t="n">
        <v>43983</v>
      </c>
      <c r="B588" s="61">
        <f>VLOOKUP(Table17[[#This Row],[Date]],database!A:H,7,)</f>
        <v/>
      </c>
      <c r="C588" s="74">
        <f>B588/B587-1</f>
        <v/>
      </c>
      <c r="D588" s="74">
        <f>(Table17[[#This Row],[Index]]-B576)/B576</f>
        <v/>
      </c>
    </row>
    <row r="589">
      <c r="A589" s="19" t="n">
        <v>44013</v>
      </c>
      <c r="B589" s="61">
        <f>VLOOKUP(Table17[[#This Row],[Date]],database!A:H,7,)</f>
        <v/>
      </c>
      <c r="C589" s="74">
        <f>B589/B588-1</f>
        <v/>
      </c>
      <c r="D589" s="74">
        <f>(Table17[[#This Row],[Index]]-B577)/B577</f>
        <v/>
      </c>
    </row>
    <row r="590">
      <c r="A590" s="19" t="n">
        <v>44044</v>
      </c>
      <c r="B590" s="61">
        <f>VLOOKUP(Table17[[#This Row],[Date]],database!A:H,7,)</f>
        <v/>
      </c>
      <c r="C590" s="74">
        <f>B590/B589-1</f>
        <v/>
      </c>
      <c r="D590" s="74">
        <f>(Table17[[#This Row],[Index]]-B578)/B578</f>
        <v/>
      </c>
    </row>
    <row r="591">
      <c r="A591" s="19" t="n">
        <v>44075</v>
      </c>
      <c r="B591" s="61">
        <f>VLOOKUP(Table17[[#This Row],[Date]],database!A:H,7,)</f>
        <v/>
      </c>
      <c r="C591" s="74">
        <f>B591/B590-1</f>
        <v/>
      </c>
      <c r="D591" s="74">
        <f>(Table17[[#This Row],[Index]]-B579)/B579</f>
        <v/>
      </c>
    </row>
    <row r="592">
      <c r="A592" s="19" t="n">
        <v>44105</v>
      </c>
      <c r="B592" s="61">
        <f>VLOOKUP(Table17[[#This Row],[Date]],database!A:H,7,)</f>
        <v/>
      </c>
      <c r="C592" s="74">
        <f>B592/B591-1</f>
        <v/>
      </c>
      <c r="D592" s="74">
        <f>(Table17[[#This Row],[Index]]-B580)/B580</f>
        <v/>
      </c>
    </row>
    <row r="593">
      <c r="A593" s="19" t="n">
        <v>44136</v>
      </c>
      <c r="B593" s="61">
        <f>VLOOKUP(Table17[[#This Row],[Date]],database!A:H,7,)</f>
        <v/>
      </c>
      <c r="C593" s="74">
        <f>B593/B592-1</f>
        <v/>
      </c>
      <c r="D593" s="74">
        <f>(Table17[[#This Row],[Index]]-B581)/B581</f>
        <v/>
      </c>
    </row>
    <row r="594">
      <c r="A594" s="19" t="n">
        <v>44166</v>
      </c>
      <c r="B594" s="61">
        <f>VLOOKUP(Table17[[#This Row],[Date]],database!A:H,7,)</f>
        <v/>
      </c>
      <c r="C594" s="74">
        <f>B594/B593-1</f>
        <v/>
      </c>
      <c r="D594" s="74">
        <f>(Table17[[#This Row],[Index]]-B582)/B582</f>
        <v/>
      </c>
    </row>
    <row r="595">
      <c r="A595" s="19" t="n">
        <v>44197</v>
      </c>
      <c r="B595" s="61">
        <f>VLOOKUP(Table17[[#This Row],[Date]],database!A:H,7,)</f>
        <v/>
      </c>
      <c r="C595" s="74">
        <f>B595/B594-1</f>
        <v/>
      </c>
      <c r="D595" s="74">
        <f>(Table17[[#This Row],[Index]]-B583)/B583</f>
        <v/>
      </c>
    </row>
    <row r="596">
      <c r="A596" s="19" t="n">
        <v>44228</v>
      </c>
      <c r="B596" s="61">
        <f>VLOOKUP(Table17[[#This Row],[Date]],database!A:H,7,)</f>
        <v/>
      </c>
      <c r="C596" s="74">
        <f>B596/B595-1</f>
        <v/>
      </c>
      <c r="D596" s="74">
        <f>(Table17[[#This Row],[Index]]-B584)/B584</f>
        <v/>
      </c>
    </row>
    <row r="597">
      <c r="A597" s="19" t="n">
        <v>44256</v>
      </c>
      <c r="B597" s="61">
        <f>VLOOKUP(Table17[[#This Row],[Date]],database!A:H,7,)</f>
        <v/>
      </c>
      <c r="C597" s="74">
        <f>B597/B596-1</f>
        <v/>
      </c>
      <c r="D597" s="74">
        <f>(Table17[[#This Row],[Index]]-B585)/B585</f>
        <v/>
      </c>
    </row>
    <row r="598">
      <c r="A598" s="19" t="n">
        <v>44287</v>
      </c>
      <c r="B598" s="61">
        <f>VLOOKUP(Table17[[#This Row],[Date]],database!A:H,7,)</f>
        <v/>
      </c>
      <c r="C598" s="74">
        <f>B598/B597-1</f>
        <v/>
      </c>
      <c r="D598" s="74">
        <f>(Table17[[#This Row],[Index]]-B586)/B586</f>
        <v/>
      </c>
    </row>
    <row r="599">
      <c r="A599" s="19" t="n">
        <v>44317</v>
      </c>
      <c r="B599" s="61">
        <f>VLOOKUP(Table17[[#This Row],[Date]],database!A:H,7,)</f>
        <v/>
      </c>
      <c r="C599" s="74">
        <f>B599/B598-1</f>
        <v/>
      </c>
      <c r="D599" s="74">
        <f>(Table17[[#This Row],[Index]]-B587)/B587</f>
        <v/>
      </c>
    </row>
    <row r="600">
      <c r="A600" s="19" t="n">
        <v>44348</v>
      </c>
      <c r="B600" s="61">
        <f>VLOOKUP(Table17[[#This Row],[Date]],database!A:H,7,)</f>
        <v/>
      </c>
      <c r="C600" s="74">
        <f>B600/B599-1</f>
        <v/>
      </c>
      <c r="D600" s="74">
        <f>(Table17[[#This Row],[Index]]-B588)/B588</f>
        <v/>
      </c>
    </row>
    <row r="601">
      <c r="A601" s="19" t="n">
        <v>44378</v>
      </c>
      <c r="B601" s="61">
        <f>VLOOKUP(Table17[[#This Row],[Date]],database!A:H,7,)</f>
        <v/>
      </c>
      <c r="C601" s="74">
        <f>B601/B600-1</f>
        <v/>
      </c>
      <c r="D601" s="74">
        <f>(Table17[[#This Row],[Index]]-B589)/B589</f>
        <v/>
      </c>
    </row>
    <row r="602">
      <c r="A602" s="19" t="n">
        <v>44409</v>
      </c>
      <c r="B602" s="61">
        <f>VLOOKUP(Table17[[#This Row],[Date]],database!A:H,7,)</f>
        <v/>
      </c>
      <c r="C602" s="74">
        <f>B602/B601-1</f>
        <v/>
      </c>
      <c r="D602" s="74">
        <f>(Table17[[#This Row],[Index]]-B590)/B590</f>
        <v/>
      </c>
    </row>
    <row r="603">
      <c r="A603" s="19" t="n">
        <v>44440</v>
      </c>
      <c r="B603" s="61">
        <f>VLOOKUP(Table17[[#This Row],[Date]],database!A:H,7,)</f>
        <v/>
      </c>
      <c r="C603" s="74">
        <f>B603/B602-1</f>
        <v/>
      </c>
      <c r="D603" s="74">
        <f>(Table17[[#This Row],[Index]]-B591)/B591</f>
        <v/>
      </c>
    </row>
    <row r="604">
      <c r="A604" s="19" t="n">
        <v>44470</v>
      </c>
      <c r="B604" s="61">
        <f>VLOOKUP(Table17[[#This Row],[Date]],database!A:H,7,)</f>
        <v/>
      </c>
      <c r="C604" s="74">
        <f>B604/B603-1</f>
        <v/>
      </c>
      <c r="D604" s="74">
        <f>(Table17[[#This Row],[Index]]-B592)/B592</f>
        <v/>
      </c>
    </row>
    <row r="605">
      <c r="A605" s="19" t="n">
        <v>44501</v>
      </c>
      <c r="B605" s="61">
        <f>VLOOKUP(Table17[[#This Row],[Date]],database!A:H,7,)</f>
        <v/>
      </c>
      <c r="C605" s="74">
        <f>B605/B604-1</f>
        <v/>
      </c>
      <c r="D605" s="74">
        <f>(Table17[[#This Row],[Index]]-B593)/B593</f>
        <v/>
      </c>
    </row>
    <row r="606">
      <c r="A606" s="19" t="n">
        <v>44531</v>
      </c>
      <c r="B606" s="61">
        <f>VLOOKUP(Table17[[#This Row],[Date]],database!A:H,7,)</f>
        <v/>
      </c>
      <c r="C606" s="74">
        <f>B606/B605-1</f>
        <v/>
      </c>
      <c r="D606" s="74">
        <f>(Table17[[#This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6"/>
  <sheetViews>
    <sheetView zoomScale="150" zoomScaleNormal="150" workbookViewId="0">
      <pane ySplit="6" topLeftCell="A567" activePane="bottomLeft" state="frozen"/>
      <selection activeCell="J582" sqref="J582"/>
      <selection pane="bottomLeft" activeCell="Z590" sqref="Z590"/>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IPCONGD</t>
        </is>
      </c>
      <c r="B1" s="81" t="n"/>
      <c r="C1" s="81" t="n"/>
      <c r="S1" s="81" t="inlineStr">
        <is>
          <t>Industrial Production: Consumer Goods</t>
        </is>
      </c>
      <c r="T1" s="81" t="inlineStr">
        <is>
          <t xml:space="preserve"> since 2000 - </t>
        </is>
      </c>
      <c r="U1" s="81">
        <f>S1&amp;T1</f>
        <v/>
      </c>
      <c r="Y1" s="81">
        <f>U2&amp; T1</f>
        <v/>
      </c>
    </row>
    <row r="2">
      <c r="A2" s="18" t="n"/>
      <c r="B2" s="81" t="n"/>
      <c r="C2" s="81" t="n"/>
      <c r="U2" s="81">
        <f>S1&amp;Table18[[#Headers],[ yoy]]</f>
        <v/>
      </c>
    </row>
    <row r="3">
      <c r="A3" s="18" t="n"/>
      <c r="B3" s="58" t="n"/>
      <c r="C3" s="70" t="n"/>
    </row>
    <row r="4">
      <c r="A4" s="18" t="n"/>
      <c r="B4" s="58" t="n"/>
      <c r="C4" s="70" t="n"/>
    </row>
    <row r="5" ht="16" customHeight="1" s="54" thickBot="1">
      <c r="A5" s="18" t="n"/>
      <c r="B5" s="58" t="n"/>
      <c r="C5" s="70" t="n"/>
    </row>
    <row r="6" ht="16" customHeight="1" s="54" thickBot="1">
      <c r="A6" s="38" t="inlineStr">
        <is>
          <t>Date</t>
        </is>
      </c>
      <c r="B6" s="59" t="inlineStr">
        <is>
          <t>Index</t>
        </is>
      </c>
      <c r="C6" s="71" t="inlineStr">
        <is>
          <t>mom</t>
        </is>
      </c>
      <c r="D6" s="72" t="inlineStr">
        <is>
          <t xml:space="preserve"> yoy</t>
        </is>
      </c>
    </row>
    <row r="7">
      <c r="A7" s="37" t="n">
        <v>26299</v>
      </c>
      <c r="B7" s="60">
        <f>VLOOKUP(Table18[[#This Row],[Date]],database!A:G,5,)</f>
        <v/>
      </c>
      <c r="C7" s="73" t="n"/>
      <c r="D7" s="73" t="n"/>
    </row>
    <row r="8">
      <c r="A8" s="19" t="n">
        <v>26330</v>
      </c>
      <c r="B8" s="61">
        <f>VLOOKUP(Table18[[#This Row],[Date]],database!A:G,5,)</f>
        <v/>
      </c>
      <c r="C8" s="74">
        <f>B8/B7-1</f>
        <v/>
      </c>
      <c r="D8" s="74" t="n"/>
    </row>
    <row r="9">
      <c r="A9" s="19" t="n">
        <v>26359</v>
      </c>
      <c r="B9" s="61">
        <f>VLOOKUP(Table18[[#This Row],[Date]],database!A:G,5,)</f>
        <v/>
      </c>
      <c r="C9" s="74">
        <f>B9/B8-1</f>
        <v/>
      </c>
      <c r="D9" s="74" t="n"/>
    </row>
    <row r="10">
      <c r="A10" s="19" t="n">
        <v>26390</v>
      </c>
      <c r="B10" s="61">
        <f>VLOOKUP(Table18[[#This Row],[Date]],database!A:G,5,)</f>
        <v/>
      </c>
      <c r="C10" s="74">
        <f>B10/B9-1</f>
        <v/>
      </c>
      <c r="D10" s="74" t="n"/>
    </row>
    <row r="11">
      <c r="A11" s="19" t="n">
        <v>26420</v>
      </c>
      <c r="B11" s="61">
        <f>VLOOKUP(Table18[[#This Row],[Date]],database!A:G,5,)</f>
        <v/>
      </c>
      <c r="C11" s="74">
        <f>B11/B10-1</f>
        <v/>
      </c>
      <c r="D11" s="74" t="n"/>
    </row>
    <row r="12">
      <c r="A12" s="19" t="n">
        <v>26451</v>
      </c>
      <c r="B12" s="61">
        <f>VLOOKUP(Table18[[#This Row],[Date]],database!A:G,5,)</f>
        <v/>
      </c>
      <c r="C12" s="74">
        <f>B12/B11-1</f>
        <v/>
      </c>
      <c r="D12" s="74" t="n"/>
    </row>
    <row r="13">
      <c r="A13" s="19" t="n">
        <v>26481</v>
      </c>
      <c r="B13" s="61">
        <f>VLOOKUP(Table18[[#This Row],[Date]],database!A:G,5,)</f>
        <v/>
      </c>
      <c r="C13" s="74">
        <f>B13/B12-1</f>
        <v/>
      </c>
      <c r="D13" s="74" t="n"/>
    </row>
    <row r="14">
      <c r="A14" s="19" t="n">
        <v>26512</v>
      </c>
      <c r="B14" s="61">
        <f>VLOOKUP(Table18[[#This Row],[Date]],database!A:G,5,)</f>
        <v/>
      </c>
      <c r="C14" s="74">
        <f>B14/B13-1</f>
        <v/>
      </c>
      <c r="D14" s="74" t="n"/>
    </row>
    <row r="15">
      <c r="A15" s="19" t="n">
        <v>26543</v>
      </c>
      <c r="B15" s="61">
        <f>VLOOKUP(Table18[[#This Row],[Date]],database!A:G,5,)</f>
        <v/>
      </c>
      <c r="C15" s="74">
        <f>B15/B14-1</f>
        <v/>
      </c>
      <c r="D15" s="74" t="n"/>
    </row>
    <row r="16">
      <c r="A16" s="19" t="n">
        <v>26573</v>
      </c>
      <c r="B16" s="61">
        <f>VLOOKUP(Table18[[#This Row],[Date]],database!A:G,5,)</f>
        <v/>
      </c>
      <c r="C16" s="74">
        <f>B16/B15-1</f>
        <v/>
      </c>
      <c r="D16" s="74" t="n"/>
    </row>
    <row r="17">
      <c r="A17" s="19" t="n">
        <v>26604</v>
      </c>
      <c r="B17" s="61">
        <f>VLOOKUP(Table18[[#This Row],[Date]],database!A:G,5,)</f>
        <v/>
      </c>
      <c r="C17" s="74">
        <f>B17/B16-1</f>
        <v/>
      </c>
      <c r="D17" s="74" t="n"/>
    </row>
    <row r="18">
      <c r="A18" s="19" t="n">
        <v>26634</v>
      </c>
      <c r="B18" s="61">
        <f>VLOOKUP(Table18[[#This Row],[Date]],database!A:G,5,)</f>
        <v/>
      </c>
      <c r="C18" s="74">
        <f>B18/B17-1</f>
        <v/>
      </c>
      <c r="D18" s="74" t="n"/>
    </row>
    <row r="19">
      <c r="A19" s="19" t="n">
        <v>26665</v>
      </c>
      <c r="B19" s="61">
        <f>VLOOKUP(Table18[[#This Row],[Date]],database!A:G,5,)</f>
        <v/>
      </c>
      <c r="C19" s="74">
        <f>B19/B18-1</f>
        <v/>
      </c>
      <c r="D19" s="74" t="n"/>
    </row>
    <row r="20">
      <c r="A20" s="19" t="n">
        <v>26696</v>
      </c>
      <c r="B20" s="61">
        <f>VLOOKUP(Table18[[#This Row],[Date]],database!A:G,5,)</f>
        <v/>
      </c>
      <c r="C20" s="74">
        <f>B20/B19-1</f>
        <v/>
      </c>
      <c r="D20" s="74">
        <f>(Table18[[#This Row],[Index]]-B8)/B8</f>
        <v/>
      </c>
    </row>
    <row r="21">
      <c r="A21" s="19" t="n">
        <v>26724</v>
      </c>
      <c r="B21" s="61">
        <f>VLOOKUP(Table18[[#This Row],[Date]],database!A:G,5,)</f>
        <v/>
      </c>
      <c r="C21" s="74">
        <f>B21/B20-1</f>
        <v/>
      </c>
      <c r="D21" s="74">
        <f>(Table18[[#This Row],[Index]]-B9)/B9</f>
        <v/>
      </c>
    </row>
    <row r="22">
      <c r="A22" s="19" t="n">
        <v>26755</v>
      </c>
      <c r="B22" s="61">
        <f>VLOOKUP(Table18[[#This Row],[Date]],database!A:G,5,)</f>
        <v/>
      </c>
      <c r="C22" s="74">
        <f>B22/B21-1</f>
        <v/>
      </c>
      <c r="D22" s="74">
        <f>(Table18[[#This Row],[Index]]-B10)/B10</f>
        <v/>
      </c>
    </row>
    <row r="23">
      <c r="A23" s="19" t="n">
        <v>26785</v>
      </c>
      <c r="B23" s="61">
        <f>VLOOKUP(Table18[[#This Row],[Date]],database!A:G,5,)</f>
        <v/>
      </c>
      <c r="C23" s="74">
        <f>B23/B22-1</f>
        <v/>
      </c>
      <c r="D23" s="74">
        <f>(Table18[[#This Row],[Index]]-B11)/B11</f>
        <v/>
      </c>
    </row>
    <row r="24">
      <c r="A24" s="19" t="n">
        <v>26816</v>
      </c>
      <c r="B24" s="61">
        <f>VLOOKUP(Table18[[#This Row],[Date]],database!A:G,5,)</f>
        <v/>
      </c>
      <c r="C24" s="74">
        <f>B24/B23-1</f>
        <v/>
      </c>
      <c r="D24" s="74">
        <f>(Table18[[#This Row],[Index]]-B12)/B12</f>
        <v/>
      </c>
    </row>
    <row r="25">
      <c r="A25" s="19" t="n">
        <v>26846</v>
      </c>
      <c r="B25" s="61">
        <f>VLOOKUP(Table18[[#This Row],[Date]],database!A:G,5,)</f>
        <v/>
      </c>
      <c r="C25" s="74">
        <f>B25/B24-1</f>
        <v/>
      </c>
      <c r="D25" s="74">
        <f>(Table18[[#This Row],[Index]]-B13)/B13</f>
        <v/>
      </c>
    </row>
    <row r="26">
      <c r="A26" s="19" t="n">
        <v>26877</v>
      </c>
      <c r="B26" s="61">
        <f>VLOOKUP(Table18[[#This Row],[Date]],database!A:G,5,)</f>
        <v/>
      </c>
      <c r="C26" s="74">
        <f>B26/B25-1</f>
        <v/>
      </c>
      <c r="D26" s="74">
        <f>(Table18[[#This Row],[Index]]-B14)/B14</f>
        <v/>
      </c>
    </row>
    <row r="27">
      <c r="A27" s="19" t="n">
        <v>26908</v>
      </c>
      <c r="B27" s="61">
        <f>VLOOKUP(Table18[[#This Row],[Date]],database!A:G,5,)</f>
        <v/>
      </c>
      <c r="C27" s="74">
        <f>B27/B26-1</f>
        <v/>
      </c>
      <c r="D27" s="74">
        <f>(Table18[[#This Row],[Index]]-B15)/B15</f>
        <v/>
      </c>
    </row>
    <row r="28">
      <c r="A28" s="19" t="n">
        <v>26938</v>
      </c>
      <c r="B28" s="61">
        <f>VLOOKUP(Table18[[#This Row],[Date]],database!A:G,5,)</f>
        <v/>
      </c>
      <c r="C28" s="74">
        <f>B28/B27-1</f>
        <v/>
      </c>
      <c r="D28" s="74">
        <f>(Table18[[#This Row],[Index]]-B16)/B16</f>
        <v/>
      </c>
    </row>
    <row r="29">
      <c r="A29" s="19" t="n">
        <v>26969</v>
      </c>
      <c r="B29" s="61">
        <f>VLOOKUP(Table18[[#This Row],[Date]],database!A:G,5,)</f>
        <v/>
      </c>
      <c r="C29" s="74">
        <f>B29/B28-1</f>
        <v/>
      </c>
      <c r="D29" s="74">
        <f>(Table18[[#This Row],[Index]]-B17)/B17</f>
        <v/>
      </c>
    </row>
    <row r="30">
      <c r="A30" s="19" t="n">
        <v>26999</v>
      </c>
      <c r="B30" s="61">
        <f>VLOOKUP(Table18[[#This Row],[Date]],database!A:G,5,)</f>
        <v/>
      </c>
      <c r="C30" s="74">
        <f>B30/B29-1</f>
        <v/>
      </c>
      <c r="D30" s="74">
        <f>(Table18[[#This Row],[Index]]-B18)/B18</f>
        <v/>
      </c>
    </row>
    <row r="31">
      <c r="A31" s="19" t="n">
        <v>27030</v>
      </c>
      <c r="B31" s="61">
        <f>VLOOKUP(Table18[[#This Row],[Date]],database!A:G,5,)</f>
        <v/>
      </c>
      <c r="C31" s="74">
        <f>B31/B30-1</f>
        <v/>
      </c>
      <c r="D31" s="74">
        <f>(Table18[[#This Row],[Index]]-B19)/B19</f>
        <v/>
      </c>
    </row>
    <row r="32">
      <c r="A32" s="19" t="n">
        <v>27061</v>
      </c>
      <c r="B32" s="61">
        <f>VLOOKUP(Table18[[#This Row],[Date]],database!A:G,5,)</f>
        <v/>
      </c>
      <c r="C32" s="74">
        <f>B32/B31-1</f>
        <v/>
      </c>
      <c r="D32" s="74">
        <f>(Table18[[#This Row],[Index]]-B20)/B20</f>
        <v/>
      </c>
    </row>
    <row r="33">
      <c r="A33" s="19" t="n">
        <v>27089</v>
      </c>
      <c r="B33" s="61">
        <f>VLOOKUP(Table18[[#This Row],[Date]],database!A:G,5,)</f>
        <v/>
      </c>
      <c r="C33" s="74">
        <f>B33/B32-1</f>
        <v/>
      </c>
      <c r="D33" s="74">
        <f>(Table18[[#This Row],[Index]]-B21)/B21</f>
        <v/>
      </c>
    </row>
    <row r="34">
      <c r="A34" s="19" t="n">
        <v>27120</v>
      </c>
      <c r="B34" s="61">
        <f>VLOOKUP(Table18[[#This Row],[Date]],database!A:G,5,)</f>
        <v/>
      </c>
      <c r="C34" s="74">
        <f>B34/B33-1</f>
        <v/>
      </c>
      <c r="D34" s="74">
        <f>(Table18[[#This Row],[Index]]-B22)/B22</f>
        <v/>
      </c>
    </row>
    <row r="35">
      <c r="A35" s="19" t="n">
        <v>27150</v>
      </c>
      <c r="B35" s="61">
        <f>VLOOKUP(Table18[[#This Row],[Date]],database!A:G,5,)</f>
        <v/>
      </c>
      <c r="C35" s="74">
        <f>B35/B34-1</f>
        <v/>
      </c>
      <c r="D35" s="74">
        <f>(Table18[[#This Row],[Index]]-B23)/B23</f>
        <v/>
      </c>
    </row>
    <row r="36">
      <c r="A36" s="19" t="n">
        <v>27181</v>
      </c>
      <c r="B36" s="61">
        <f>VLOOKUP(Table18[[#This Row],[Date]],database!A:G,5,)</f>
        <v/>
      </c>
      <c r="C36" s="74">
        <f>B36/B35-1</f>
        <v/>
      </c>
      <c r="D36" s="74">
        <f>(Table18[[#This Row],[Index]]-B24)/B24</f>
        <v/>
      </c>
    </row>
    <row r="37">
      <c r="A37" s="19" t="n">
        <v>27211</v>
      </c>
      <c r="B37" s="61">
        <f>VLOOKUP(Table18[[#This Row],[Date]],database!A:G,5,)</f>
        <v/>
      </c>
      <c r="C37" s="74">
        <f>B37/B36-1</f>
        <v/>
      </c>
      <c r="D37" s="74">
        <f>(Table18[[#This Row],[Index]]-B25)/B25</f>
        <v/>
      </c>
    </row>
    <row r="38">
      <c r="A38" s="19" t="n">
        <v>27242</v>
      </c>
      <c r="B38" s="61">
        <f>VLOOKUP(Table18[[#This Row],[Date]],database!A:G,5,)</f>
        <v/>
      </c>
      <c r="C38" s="74">
        <f>B38/B37-1</f>
        <v/>
      </c>
      <c r="D38" s="74">
        <f>(Table18[[#This Row],[Index]]-B26)/B26</f>
        <v/>
      </c>
    </row>
    <row r="39">
      <c r="A39" s="19" t="n">
        <v>27273</v>
      </c>
      <c r="B39" s="61">
        <f>VLOOKUP(Table18[[#This Row],[Date]],database!A:G,5,)</f>
        <v/>
      </c>
      <c r="C39" s="74">
        <f>B39/B38-1</f>
        <v/>
      </c>
      <c r="D39" s="74">
        <f>(Table18[[#This Row],[Index]]-B27)/B27</f>
        <v/>
      </c>
    </row>
    <row r="40">
      <c r="A40" s="19" t="n">
        <v>27303</v>
      </c>
      <c r="B40" s="61">
        <f>VLOOKUP(Table18[[#This Row],[Date]],database!A:G,5,)</f>
        <v/>
      </c>
      <c r="C40" s="74">
        <f>B40/B39-1</f>
        <v/>
      </c>
      <c r="D40" s="74">
        <f>(Table18[[#This Row],[Index]]-B28)/B28</f>
        <v/>
      </c>
    </row>
    <row r="41">
      <c r="A41" s="19" t="n">
        <v>27334</v>
      </c>
      <c r="B41" s="61">
        <f>VLOOKUP(Table18[[#This Row],[Date]],database!A:G,5,)</f>
        <v/>
      </c>
      <c r="C41" s="74">
        <f>B41/B40-1</f>
        <v/>
      </c>
      <c r="D41" s="74">
        <f>(Table18[[#This Row],[Index]]-B29)/B29</f>
        <v/>
      </c>
    </row>
    <row r="42">
      <c r="A42" s="19" t="n">
        <v>27364</v>
      </c>
      <c r="B42" s="61">
        <f>VLOOKUP(Table18[[#This Row],[Date]],database!A:G,5,)</f>
        <v/>
      </c>
      <c r="C42" s="74">
        <f>B42/B41-1</f>
        <v/>
      </c>
      <c r="D42" s="74">
        <f>(Table18[[#This Row],[Index]]-B30)/B30</f>
        <v/>
      </c>
    </row>
    <row r="43">
      <c r="A43" s="19" t="n">
        <v>27395</v>
      </c>
      <c r="B43" s="61">
        <f>VLOOKUP(Table18[[#This Row],[Date]],database!A:G,5,)</f>
        <v/>
      </c>
      <c r="C43" s="74">
        <f>B43/B42-1</f>
        <v/>
      </c>
      <c r="D43" s="74">
        <f>(Table18[[#This Row],[Index]]-B31)/B31</f>
        <v/>
      </c>
    </row>
    <row r="44">
      <c r="A44" s="19" t="n">
        <v>27426</v>
      </c>
      <c r="B44" s="61">
        <f>VLOOKUP(Table18[[#This Row],[Date]],database!A:G,5,)</f>
        <v/>
      </c>
      <c r="C44" s="74">
        <f>B44/B43-1</f>
        <v/>
      </c>
      <c r="D44" s="74">
        <f>(Table18[[#This Row],[Index]]-B32)/B32</f>
        <v/>
      </c>
    </row>
    <row r="45">
      <c r="A45" s="19" t="n">
        <v>27454</v>
      </c>
      <c r="B45" s="61">
        <f>VLOOKUP(Table18[[#This Row],[Date]],database!A:G,5,)</f>
        <v/>
      </c>
      <c r="C45" s="74">
        <f>B45/B44-1</f>
        <v/>
      </c>
      <c r="D45" s="74">
        <f>(Table18[[#This Row],[Index]]-B33)/B33</f>
        <v/>
      </c>
    </row>
    <row r="46">
      <c r="A46" s="19" t="n">
        <v>27485</v>
      </c>
      <c r="B46" s="61">
        <f>VLOOKUP(Table18[[#This Row],[Date]],database!A:G,5,)</f>
        <v/>
      </c>
      <c r="C46" s="74">
        <f>B46/B45-1</f>
        <v/>
      </c>
      <c r="D46" s="74">
        <f>(Table18[[#This Row],[Index]]-B34)/B34</f>
        <v/>
      </c>
    </row>
    <row r="47">
      <c r="A47" s="19" t="n">
        <v>27515</v>
      </c>
      <c r="B47" s="61">
        <f>VLOOKUP(Table18[[#This Row],[Date]],database!A:G,5,)</f>
        <v/>
      </c>
      <c r="C47" s="74">
        <f>B47/B46-1</f>
        <v/>
      </c>
      <c r="D47" s="74">
        <f>(Table18[[#This Row],[Index]]-B35)/B35</f>
        <v/>
      </c>
    </row>
    <row r="48">
      <c r="A48" s="19" t="n">
        <v>27546</v>
      </c>
      <c r="B48" s="61">
        <f>VLOOKUP(Table18[[#This Row],[Date]],database!A:G,5,)</f>
        <v/>
      </c>
      <c r="C48" s="74">
        <f>B48/B47-1</f>
        <v/>
      </c>
      <c r="D48" s="74">
        <f>(Table18[[#This Row],[Index]]-B36)/B36</f>
        <v/>
      </c>
    </row>
    <row r="49">
      <c r="A49" s="19" t="n">
        <v>27576</v>
      </c>
      <c r="B49" s="61">
        <f>VLOOKUP(Table18[[#This Row],[Date]],database!A:G,5,)</f>
        <v/>
      </c>
      <c r="C49" s="74">
        <f>B49/B48-1</f>
        <v/>
      </c>
      <c r="D49" s="74">
        <f>(Table18[[#This Row],[Index]]-B37)/B37</f>
        <v/>
      </c>
    </row>
    <row r="50">
      <c r="A50" s="19" t="n">
        <v>27607</v>
      </c>
      <c r="B50" s="61">
        <f>VLOOKUP(Table18[[#This Row],[Date]],database!A:G,5,)</f>
        <v/>
      </c>
      <c r="C50" s="74">
        <f>B50/B49-1</f>
        <v/>
      </c>
      <c r="D50" s="74">
        <f>(Table18[[#This Row],[Index]]-B38)/B38</f>
        <v/>
      </c>
    </row>
    <row r="51">
      <c r="A51" s="19" t="n">
        <v>27638</v>
      </c>
      <c r="B51" s="61">
        <f>VLOOKUP(Table18[[#This Row],[Date]],database!A:G,5,)</f>
        <v/>
      </c>
      <c r="C51" s="74">
        <f>B51/B50-1</f>
        <v/>
      </c>
      <c r="D51" s="74">
        <f>(Table18[[#This Row],[Index]]-B39)/B39</f>
        <v/>
      </c>
    </row>
    <row r="52">
      <c r="A52" s="19" t="n">
        <v>27668</v>
      </c>
      <c r="B52" s="61">
        <f>VLOOKUP(Table18[[#This Row],[Date]],database!A:G,5,)</f>
        <v/>
      </c>
      <c r="C52" s="74">
        <f>B52/B51-1</f>
        <v/>
      </c>
      <c r="D52" s="74">
        <f>(Table18[[#This Row],[Index]]-B40)/B40</f>
        <v/>
      </c>
    </row>
    <row r="53">
      <c r="A53" s="19" t="n">
        <v>27699</v>
      </c>
      <c r="B53" s="61">
        <f>VLOOKUP(Table18[[#This Row],[Date]],database!A:G,5,)</f>
        <v/>
      </c>
      <c r="C53" s="74">
        <f>B53/B52-1</f>
        <v/>
      </c>
      <c r="D53" s="74">
        <f>(Table18[[#This Row],[Index]]-B41)/B41</f>
        <v/>
      </c>
    </row>
    <row r="54">
      <c r="A54" s="19" t="n">
        <v>27729</v>
      </c>
      <c r="B54" s="61">
        <f>VLOOKUP(Table18[[#This Row],[Date]],database!A:G,5,)</f>
        <v/>
      </c>
      <c r="C54" s="74">
        <f>B54/B53-1</f>
        <v/>
      </c>
      <c r="D54" s="74">
        <f>(Table18[[#This Row],[Index]]-B42)/B42</f>
        <v/>
      </c>
    </row>
    <row r="55">
      <c r="A55" s="19" t="n">
        <v>27760</v>
      </c>
      <c r="B55" s="61">
        <f>VLOOKUP(Table18[[#This Row],[Date]],database!A:G,5,)</f>
        <v/>
      </c>
      <c r="C55" s="74">
        <f>B55/B54-1</f>
        <v/>
      </c>
      <c r="D55" s="74">
        <f>(Table18[[#This Row],[Index]]-B43)/B43</f>
        <v/>
      </c>
    </row>
    <row r="56">
      <c r="A56" s="19" t="n">
        <v>27791</v>
      </c>
      <c r="B56" s="61">
        <f>VLOOKUP(Table18[[#This Row],[Date]],database!A:G,5,)</f>
        <v/>
      </c>
      <c r="C56" s="74">
        <f>B56/B55-1</f>
        <v/>
      </c>
      <c r="D56" s="74">
        <f>(Table18[[#This Row],[Index]]-B44)/B44</f>
        <v/>
      </c>
    </row>
    <row r="57">
      <c r="A57" s="19" t="n">
        <v>27820</v>
      </c>
      <c r="B57" s="61">
        <f>VLOOKUP(Table18[[#This Row],[Date]],database!A:G,5,)</f>
        <v/>
      </c>
      <c r="C57" s="74">
        <f>B57/B56-1</f>
        <v/>
      </c>
      <c r="D57" s="74">
        <f>(Table18[[#This Row],[Index]]-B45)/B45</f>
        <v/>
      </c>
    </row>
    <row r="58">
      <c r="A58" s="19" t="n">
        <v>27851</v>
      </c>
      <c r="B58" s="61">
        <f>VLOOKUP(Table18[[#This Row],[Date]],database!A:G,5,)</f>
        <v/>
      </c>
      <c r="C58" s="74">
        <f>B58/B57-1</f>
        <v/>
      </c>
      <c r="D58" s="74">
        <f>(Table18[[#This Row],[Index]]-B46)/B46</f>
        <v/>
      </c>
    </row>
    <row r="59">
      <c r="A59" s="19" t="n">
        <v>27881</v>
      </c>
      <c r="B59" s="61">
        <f>VLOOKUP(Table18[[#This Row],[Date]],database!A:G,5,)</f>
        <v/>
      </c>
      <c r="C59" s="74">
        <f>B59/B58-1</f>
        <v/>
      </c>
      <c r="D59" s="74">
        <f>(Table18[[#This Row],[Index]]-B47)/B47</f>
        <v/>
      </c>
    </row>
    <row r="60">
      <c r="A60" s="19" t="n">
        <v>27912</v>
      </c>
      <c r="B60" s="61">
        <f>VLOOKUP(Table18[[#This Row],[Date]],database!A:G,5,)</f>
        <v/>
      </c>
      <c r="C60" s="74">
        <f>B60/B59-1</f>
        <v/>
      </c>
      <c r="D60" s="74">
        <f>(Table18[[#This Row],[Index]]-B48)/B48</f>
        <v/>
      </c>
    </row>
    <row r="61">
      <c r="A61" s="19" t="n">
        <v>27942</v>
      </c>
      <c r="B61" s="61">
        <f>VLOOKUP(Table18[[#This Row],[Date]],database!A:G,5,)</f>
        <v/>
      </c>
      <c r="C61" s="74">
        <f>B61/B60-1</f>
        <v/>
      </c>
      <c r="D61" s="74">
        <f>(Table18[[#This Row],[Index]]-B49)/B49</f>
        <v/>
      </c>
    </row>
    <row r="62">
      <c r="A62" s="19" t="n">
        <v>27973</v>
      </c>
      <c r="B62" s="61">
        <f>VLOOKUP(Table18[[#This Row],[Date]],database!A:G,5,)</f>
        <v/>
      </c>
      <c r="C62" s="74">
        <f>B62/B61-1</f>
        <v/>
      </c>
      <c r="D62" s="74">
        <f>(Table18[[#This Row],[Index]]-B50)/B50</f>
        <v/>
      </c>
    </row>
    <row r="63">
      <c r="A63" s="19" t="n">
        <v>28004</v>
      </c>
      <c r="B63" s="61">
        <f>VLOOKUP(Table18[[#This Row],[Date]],database!A:G,5,)</f>
        <v/>
      </c>
      <c r="C63" s="74">
        <f>B63/B62-1</f>
        <v/>
      </c>
      <c r="D63" s="74">
        <f>(Table18[[#This Row],[Index]]-B51)/B51</f>
        <v/>
      </c>
    </row>
    <row r="64">
      <c r="A64" s="19" t="n">
        <v>28034</v>
      </c>
      <c r="B64" s="61">
        <f>VLOOKUP(Table18[[#This Row],[Date]],database!A:G,5,)</f>
        <v/>
      </c>
      <c r="C64" s="74">
        <f>B64/B63-1</f>
        <v/>
      </c>
      <c r="D64" s="74">
        <f>(Table18[[#This Row],[Index]]-B52)/B52</f>
        <v/>
      </c>
    </row>
    <row r="65">
      <c r="A65" s="19" t="n">
        <v>28065</v>
      </c>
      <c r="B65" s="61">
        <f>VLOOKUP(Table18[[#This Row],[Date]],database!A:G,5,)</f>
        <v/>
      </c>
      <c r="C65" s="74">
        <f>B65/B64-1</f>
        <v/>
      </c>
      <c r="D65" s="74">
        <f>(Table18[[#This Row],[Index]]-B53)/B53</f>
        <v/>
      </c>
    </row>
    <row r="66">
      <c r="A66" s="19" t="n">
        <v>28095</v>
      </c>
      <c r="B66" s="61">
        <f>VLOOKUP(Table18[[#This Row],[Date]],database!A:G,5,)</f>
        <v/>
      </c>
      <c r="C66" s="74">
        <f>B66/B65-1</f>
        <v/>
      </c>
      <c r="D66" s="74">
        <f>(Table18[[#This Row],[Index]]-B54)/B54</f>
        <v/>
      </c>
    </row>
    <row r="67">
      <c r="A67" s="19" t="n">
        <v>28126</v>
      </c>
      <c r="B67" s="61">
        <f>VLOOKUP(Table18[[#This Row],[Date]],database!A:G,5,)</f>
        <v/>
      </c>
      <c r="C67" s="74">
        <f>B67/B66-1</f>
        <v/>
      </c>
      <c r="D67" s="74">
        <f>(Table18[[#This Row],[Index]]-B55)/B55</f>
        <v/>
      </c>
    </row>
    <row r="68">
      <c r="A68" s="19" t="n">
        <v>28157</v>
      </c>
      <c r="B68" s="61">
        <f>VLOOKUP(Table18[[#This Row],[Date]],database!A:G,5,)</f>
        <v/>
      </c>
      <c r="C68" s="74">
        <f>B68/B67-1</f>
        <v/>
      </c>
      <c r="D68" s="74">
        <f>(Table18[[#This Row],[Index]]-B56)/B56</f>
        <v/>
      </c>
    </row>
    <row r="69">
      <c r="A69" s="19" t="n">
        <v>28185</v>
      </c>
      <c r="B69" s="61">
        <f>VLOOKUP(Table18[[#This Row],[Date]],database!A:G,5,)</f>
        <v/>
      </c>
      <c r="C69" s="74">
        <f>B69/B68-1</f>
        <v/>
      </c>
      <c r="D69" s="74">
        <f>(Table18[[#This Row],[Index]]-B57)/B57</f>
        <v/>
      </c>
    </row>
    <row r="70">
      <c r="A70" s="19" t="n">
        <v>28216</v>
      </c>
      <c r="B70" s="61">
        <f>VLOOKUP(Table18[[#This Row],[Date]],database!A:G,5,)</f>
        <v/>
      </c>
      <c r="C70" s="74">
        <f>B70/B69-1</f>
        <v/>
      </c>
      <c r="D70" s="74">
        <f>(Table18[[#This Row],[Index]]-B58)/B58</f>
        <v/>
      </c>
    </row>
    <row r="71">
      <c r="A71" s="19" t="n">
        <v>28246</v>
      </c>
      <c r="B71" s="61">
        <f>VLOOKUP(Table18[[#This Row],[Date]],database!A:G,5,)</f>
        <v/>
      </c>
      <c r="C71" s="74">
        <f>B71/B70-1</f>
        <v/>
      </c>
      <c r="D71" s="74">
        <f>(Table18[[#This Row],[Index]]-B59)/B59</f>
        <v/>
      </c>
    </row>
    <row r="72">
      <c r="A72" s="19" t="n">
        <v>28277</v>
      </c>
      <c r="B72" s="61">
        <f>VLOOKUP(Table18[[#This Row],[Date]],database!A:G,5,)</f>
        <v/>
      </c>
      <c r="C72" s="74">
        <f>B72/B71-1</f>
        <v/>
      </c>
      <c r="D72" s="74">
        <f>(Table18[[#This Row],[Index]]-B60)/B60</f>
        <v/>
      </c>
    </row>
    <row r="73">
      <c r="A73" s="19" t="n">
        <v>28307</v>
      </c>
      <c r="B73" s="61">
        <f>VLOOKUP(Table18[[#This Row],[Date]],database!A:G,5,)</f>
        <v/>
      </c>
      <c r="C73" s="74">
        <f>B73/B72-1</f>
        <v/>
      </c>
      <c r="D73" s="74">
        <f>(Table18[[#This Row],[Index]]-B61)/B61</f>
        <v/>
      </c>
    </row>
    <row r="74">
      <c r="A74" s="19" t="n">
        <v>28338</v>
      </c>
      <c r="B74" s="61">
        <f>VLOOKUP(Table18[[#This Row],[Date]],database!A:G,5,)</f>
        <v/>
      </c>
      <c r="C74" s="74">
        <f>B74/B73-1</f>
        <v/>
      </c>
      <c r="D74" s="74">
        <f>(Table18[[#This Row],[Index]]-B62)/B62</f>
        <v/>
      </c>
    </row>
    <row r="75">
      <c r="A75" s="19" t="n">
        <v>28369</v>
      </c>
      <c r="B75" s="61">
        <f>VLOOKUP(Table18[[#This Row],[Date]],database!A:G,5,)</f>
        <v/>
      </c>
      <c r="C75" s="74">
        <f>B75/B74-1</f>
        <v/>
      </c>
      <c r="D75" s="74">
        <f>(Table18[[#This Row],[Index]]-B63)/B63</f>
        <v/>
      </c>
    </row>
    <row r="76">
      <c r="A76" s="19" t="n">
        <v>28399</v>
      </c>
      <c r="B76" s="61">
        <f>VLOOKUP(Table18[[#This Row],[Date]],database!A:G,5,)</f>
        <v/>
      </c>
      <c r="C76" s="74">
        <f>B76/B75-1</f>
        <v/>
      </c>
      <c r="D76" s="74">
        <f>(Table18[[#This Row],[Index]]-B64)/B64</f>
        <v/>
      </c>
    </row>
    <row r="77">
      <c r="A77" s="19" t="n">
        <v>28430</v>
      </c>
      <c r="B77" s="61">
        <f>VLOOKUP(Table18[[#This Row],[Date]],database!A:G,5,)</f>
        <v/>
      </c>
      <c r="C77" s="74">
        <f>B77/B76-1</f>
        <v/>
      </c>
      <c r="D77" s="74">
        <f>(Table18[[#This Row],[Index]]-B65)/B65</f>
        <v/>
      </c>
    </row>
    <row r="78">
      <c r="A78" s="19" t="n">
        <v>28460</v>
      </c>
      <c r="B78" s="61">
        <f>VLOOKUP(Table18[[#This Row],[Date]],database!A:G,5,)</f>
        <v/>
      </c>
      <c r="C78" s="74">
        <f>B78/B77-1</f>
        <v/>
      </c>
      <c r="D78" s="74">
        <f>(Table18[[#This Row],[Index]]-B66)/B66</f>
        <v/>
      </c>
    </row>
    <row r="79">
      <c r="A79" s="19" t="n">
        <v>28491</v>
      </c>
      <c r="B79" s="61">
        <f>VLOOKUP(Table18[[#This Row],[Date]],database!A:G,5,)</f>
        <v/>
      </c>
      <c r="C79" s="74">
        <f>B79/B78-1</f>
        <v/>
      </c>
      <c r="D79" s="74">
        <f>(Table18[[#This Row],[Index]]-B67)/B67</f>
        <v/>
      </c>
    </row>
    <row r="80">
      <c r="A80" s="19" t="n">
        <v>28522</v>
      </c>
      <c r="B80" s="61">
        <f>VLOOKUP(Table18[[#This Row],[Date]],database!A:G,5,)</f>
        <v/>
      </c>
      <c r="C80" s="74">
        <f>B80/B79-1</f>
        <v/>
      </c>
      <c r="D80" s="74">
        <f>(Table18[[#This Row],[Index]]-B68)/B68</f>
        <v/>
      </c>
    </row>
    <row r="81">
      <c r="A81" s="19" t="n">
        <v>28550</v>
      </c>
      <c r="B81" s="61">
        <f>VLOOKUP(Table18[[#This Row],[Date]],database!A:G,5,)</f>
        <v/>
      </c>
      <c r="C81" s="74">
        <f>B81/B80-1</f>
        <v/>
      </c>
      <c r="D81" s="74">
        <f>(Table18[[#This Row],[Index]]-B69)/B69</f>
        <v/>
      </c>
    </row>
    <row r="82">
      <c r="A82" s="19" t="n">
        <v>28581</v>
      </c>
      <c r="B82" s="61">
        <f>VLOOKUP(Table18[[#This Row],[Date]],database!A:G,5,)</f>
        <v/>
      </c>
      <c r="C82" s="74">
        <f>B82/B81-1</f>
        <v/>
      </c>
      <c r="D82" s="74">
        <f>(Table18[[#This Row],[Index]]-B70)/B70</f>
        <v/>
      </c>
    </row>
    <row r="83">
      <c r="A83" s="19" t="n">
        <v>28611</v>
      </c>
      <c r="B83" s="61">
        <f>VLOOKUP(Table18[[#This Row],[Date]],database!A:G,5,)</f>
        <v/>
      </c>
      <c r="C83" s="74">
        <f>B83/B82-1</f>
        <v/>
      </c>
      <c r="D83" s="74">
        <f>(Table18[[#This Row],[Index]]-B71)/B71</f>
        <v/>
      </c>
    </row>
    <row r="84">
      <c r="A84" s="19" t="n">
        <v>28642</v>
      </c>
      <c r="B84" s="61">
        <f>VLOOKUP(Table18[[#This Row],[Date]],database!A:G,5,)</f>
        <v/>
      </c>
      <c r="C84" s="74">
        <f>B84/B83-1</f>
        <v/>
      </c>
      <c r="D84" s="74">
        <f>(Table18[[#This Row],[Index]]-B72)/B72</f>
        <v/>
      </c>
    </row>
    <row r="85">
      <c r="A85" s="19" t="n">
        <v>28672</v>
      </c>
      <c r="B85" s="61">
        <f>VLOOKUP(Table18[[#This Row],[Date]],database!A:G,5,)</f>
        <v/>
      </c>
      <c r="C85" s="74">
        <f>B85/B84-1</f>
        <v/>
      </c>
      <c r="D85" s="74">
        <f>(Table18[[#This Row],[Index]]-B73)/B73</f>
        <v/>
      </c>
    </row>
    <row r="86">
      <c r="A86" s="19" t="n">
        <v>28703</v>
      </c>
      <c r="B86" s="61">
        <f>VLOOKUP(Table18[[#This Row],[Date]],database!A:G,5,)</f>
        <v/>
      </c>
      <c r="C86" s="74">
        <f>B86/B85-1</f>
        <v/>
      </c>
      <c r="D86" s="74">
        <f>(Table18[[#This Row],[Index]]-B74)/B74</f>
        <v/>
      </c>
    </row>
    <row r="87">
      <c r="A87" s="19" t="n">
        <v>28734</v>
      </c>
      <c r="B87" s="61">
        <f>VLOOKUP(Table18[[#This Row],[Date]],database!A:G,5,)</f>
        <v/>
      </c>
      <c r="C87" s="74">
        <f>B87/B86-1</f>
        <v/>
      </c>
      <c r="D87" s="74">
        <f>(Table18[[#This Row],[Index]]-B75)/B75</f>
        <v/>
      </c>
    </row>
    <row r="88">
      <c r="A88" s="19" t="n">
        <v>28764</v>
      </c>
      <c r="B88" s="61">
        <f>VLOOKUP(Table18[[#This Row],[Date]],database!A:G,5,)</f>
        <v/>
      </c>
      <c r="C88" s="74">
        <f>B88/B87-1</f>
        <v/>
      </c>
      <c r="D88" s="74">
        <f>(Table18[[#This Row],[Index]]-B76)/B76</f>
        <v/>
      </c>
    </row>
    <row r="89">
      <c r="A89" s="19" t="n">
        <v>28795</v>
      </c>
      <c r="B89" s="61">
        <f>VLOOKUP(Table18[[#This Row],[Date]],database!A:G,5,)</f>
        <v/>
      </c>
      <c r="C89" s="74">
        <f>B89/B88-1</f>
        <v/>
      </c>
      <c r="D89" s="74">
        <f>(Table18[[#This Row],[Index]]-B77)/B77</f>
        <v/>
      </c>
    </row>
    <row r="90">
      <c r="A90" s="19" t="n">
        <v>28825</v>
      </c>
      <c r="B90" s="61">
        <f>VLOOKUP(Table18[[#This Row],[Date]],database!A:G,5,)</f>
        <v/>
      </c>
      <c r="C90" s="74">
        <f>B90/B89-1</f>
        <v/>
      </c>
      <c r="D90" s="74">
        <f>(Table18[[#This Row],[Index]]-B78)/B78</f>
        <v/>
      </c>
    </row>
    <row r="91">
      <c r="A91" s="19" t="n">
        <v>28856</v>
      </c>
      <c r="B91" s="61">
        <f>VLOOKUP(Table18[[#This Row],[Date]],database!A:G,5,)</f>
        <v/>
      </c>
      <c r="C91" s="74">
        <f>B91/B90-1</f>
        <v/>
      </c>
      <c r="D91" s="74">
        <f>(Table18[[#This Row],[Index]]-B79)/B79</f>
        <v/>
      </c>
    </row>
    <row r="92">
      <c r="A92" s="19" t="n">
        <v>28887</v>
      </c>
      <c r="B92" s="61">
        <f>VLOOKUP(Table18[[#This Row],[Date]],database!A:G,5,)</f>
        <v/>
      </c>
      <c r="C92" s="74">
        <f>B92/B91-1</f>
        <v/>
      </c>
      <c r="D92" s="74">
        <f>(Table18[[#This Row],[Index]]-B80)/B80</f>
        <v/>
      </c>
    </row>
    <row r="93">
      <c r="A93" s="19" t="n">
        <v>28915</v>
      </c>
      <c r="B93" s="61">
        <f>VLOOKUP(Table18[[#This Row],[Date]],database!A:G,5,)</f>
        <v/>
      </c>
      <c r="C93" s="74">
        <f>B93/B92-1</f>
        <v/>
      </c>
      <c r="D93" s="74">
        <f>(Table18[[#This Row],[Index]]-B81)/B81</f>
        <v/>
      </c>
    </row>
    <row r="94">
      <c r="A94" s="19" t="n">
        <v>28946</v>
      </c>
      <c r="B94" s="61">
        <f>VLOOKUP(Table18[[#This Row],[Date]],database!A:G,5,)</f>
        <v/>
      </c>
      <c r="C94" s="74">
        <f>B94/B93-1</f>
        <v/>
      </c>
      <c r="D94" s="74">
        <f>(Table18[[#This Row],[Index]]-B82)/B82</f>
        <v/>
      </c>
    </row>
    <row r="95">
      <c r="A95" s="19" t="n">
        <v>28976</v>
      </c>
      <c r="B95" s="61">
        <f>VLOOKUP(Table18[[#This Row],[Date]],database!A:G,5,)</f>
        <v/>
      </c>
      <c r="C95" s="74">
        <f>B95/B94-1</f>
        <v/>
      </c>
      <c r="D95" s="74">
        <f>(Table18[[#This Row],[Index]]-B83)/B83</f>
        <v/>
      </c>
    </row>
    <row r="96">
      <c r="A96" s="19" t="n">
        <v>29007</v>
      </c>
      <c r="B96" s="61">
        <f>VLOOKUP(Table18[[#This Row],[Date]],database!A:G,5,)</f>
        <v/>
      </c>
      <c r="C96" s="74">
        <f>B96/B95-1</f>
        <v/>
      </c>
      <c r="D96" s="74">
        <f>(Table18[[#This Row],[Index]]-B84)/B84</f>
        <v/>
      </c>
    </row>
    <row r="97">
      <c r="A97" s="19" t="n">
        <v>29037</v>
      </c>
      <c r="B97" s="61">
        <f>VLOOKUP(Table18[[#This Row],[Date]],database!A:G,5,)</f>
        <v/>
      </c>
      <c r="C97" s="74">
        <f>B97/B96-1</f>
        <v/>
      </c>
      <c r="D97" s="74">
        <f>(Table18[[#This Row],[Index]]-B85)/B85</f>
        <v/>
      </c>
    </row>
    <row r="98">
      <c r="A98" s="19" t="n">
        <v>29068</v>
      </c>
      <c r="B98" s="61">
        <f>VLOOKUP(Table18[[#This Row],[Date]],database!A:G,5,)</f>
        <v/>
      </c>
      <c r="C98" s="74">
        <f>B98/B97-1</f>
        <v/>
      </c>
      <c r="D98" s="74">
        <f>(Table18[[#This Row],[Index]]-B86)/B86</f>
        <v/>
      </c>
    </row>
    <row r="99">
      <c r="A99" s="19" t="n">
        <v>29099</v>
      </c>
      <c r="B99" s="61">
        <f>VLOOKUP(Table18[[#This Row],[Date]],database!A:G,5,)</f>
        <v/>
      </c>
      <c r="C99" s="74">
        <f>B99/B98-1</f>
        <v/>
      </c>
      <c r="D99" s="74">
        <f>(Table18[[#This Row],[Index]]-B87)/B87</f>
        <v/>
      </c>
    </row>
    <row r="100">
      <c r="A100" s="19" t="n">
        <v>29129</v>
      </c>
      <c r="B100" s="61">
        <f>VLOOKUP(Table18[[#This Row],[Date]],database!A:G,5,)</f>
        <v/>
      </c>
      <c r="C100" s="74">
        <f>B100/B99-1</f>
        <v/>
      </c>
      <c r="D100" s="74">
        <f>(Table18[[#This Row],[Index]]-B88)/B88</f>
        <v/>
      </c>
    </row>
    <row r="101">
      <c r="A101" s="19" t="n">
        <v>29160</v>
      </c>
      <c r="B101" s="61">
        <f>VLOOKUP(Table18[[#This Row],[Date]],database!A:G,5,)</f>
        <v/>
      </c>
      <c r="C101" s="74">
        <f>B101/B100-1</f>
        <v/>
      </c>
      <c r="D101" s="74">
        <f>(Table18[[#This Row],[Index]]-B89)/B89</f>
        <v/>
      </c>
    </row>
    <row r="102">
      <c r="A102" s="19" t="n">
        <v>29190</v>
      </c>
      <c r="B102" s="61">
        <f>VLOOKUP(Table18[[#This Row],[Date]],database!A:G,5,)</f>
        <v/>
      </c>
      <c r="C102" s="74">
        <f>B102/B101-1</f>
        <v/>
      </c>
      <c r="D102" s="74">
        <f>(Table18[[#This Row],[Index]]-B90)/B90</f>
        <v/>
      </c>
    </row>
    <row r="103">
      <c r="A103" s="19" t="n">
        <v>29221</v>
      </c>
      <c r="B103" s="61">
        <f>VLOOKUP(Table18[[#This Row],[Date]],database!A:G,5,)</f>
        <v/>
      </c>
      <c r="C103" s="74">
        <f>B103/B102-1</f>
        <v/>
      </c>
      <c r="D103" s="74">
        <f>(Table18[[#This Row],[Index]]-B91)/B91</f>
        <v/>
      </c>
    </row>
    <row r="104">
      <c r="A104" s="19" t="n">
        <v>29252</v>
      </c>
      <c r="B104" s="61">
        <f>VLOOKUP(Table18[[#This Row],[Date]],database!A:G,5,)</f>
        <v/>
      </c>
      <c r="C104" s="74">
        <f>B104/B103-1</f>
        <v/>
      </c>
      <c r="D104" s="74">
        <f>(Table18[[#This Row],[Index]]-B92)/B92</f>
        <v/>
      </c>
    </row>
    <row r="105">
      <c r="A105" s="19" t="n">
        <v>29281</v>
      </c>
      <c r="B105" s="61">
        <f>VLOOKUP(Table18[[#This Row],[Date]],database!A:G,5,)</f>
        <v/>
      </c>
      <c r="C105" s="74">
        <f>B105/B104-1</f>
        <v/>
      </c>
      <c r="D105" s="74">
        <f>(Table18[[#This Row],[Index]]-B93)/B93</f>
        <v/>
      </c>
    </row>
    <row r="106">
      <c r="A106" s="19" t="n">
        <v>29312</v>
      </c>
      <c r="B106" s="61">
        <f>VLOOKUP(Table18[[#This Row],[Date]],database!A:G,5,)</f>
        <v/>
      </c>
      <c r="C106" s="74">
        <f>B106/B105-1</f>
        <v/>
      </c>
      <c r="D106" s="74">
        <f>(Table18[[#This Row],[Index]]-B94)/B94</f>
        <v/>
      </c>
    </row>
    <row r="107">
      <c r="A107" s="19" t="n">
        <v>29342</v>
      </c>
      <c r="B107" s="61">
        <f>VLOOKUP(Table18[[#This Row],[Date]],database!A:G,5,)</f>
        <v/>
      </c>
      <c r="C107" s="74">
        <f>B107/B106-1</f>
        <v/>
      </c>
      <c r="D107" s="74">
        <f>(Table18[[#This Row],[Index]]-B95)/B95</f>
        <v/>
      </c>
    </row>
    <row r="108">
      <c r="A108" s="19" t="n">
        <v>29373</v>
      </c>
      <c r="B108" s="61">
        <f>VLOOKUP(Table18[[#This Row],[Date]],database!A:G,5,)</f>
        <v/>
      </c>
      <c r="C108" s="74">
        <f>B108/B107-1</f>
        <v/>
      </c>
      <c r="D108" s="74">
        <f>(Table18[[#This Row],[Index]]-B96)/B96</f>
        <v/>
      </c>
    </row>
    <row r="109">
      <c r="A109" s="19" t="n">
        <v>29403</v>
      </c>
      <c r="B109" s="61">
        <f>VLOOKUP(Table18[[#This Row],[Date]],database!A:G,5,)</f>
        <v/>
      </c>
      <c r="C109" s="74">
        <f>B109/B108-1</f>
        <v/>
      </c>
      <c r="D109" s="74">
        <f>(Table18[[#This Row],[Index]]-B97)/B97</f>
        <v/>
      </c>
    </row>
    <row r="110">
      <c r="A110" s="19" t="n">
        <v>29434</v>
      </c>
      <c r="B110" s="61">
        <f>VLOOKUP(Table18[[#This Row],[Date]],database!A:G,5,)</f>
        <v/>
      </c>
      <c r="C110" s="74">
        <f>B110/B109-1</f>
        <v/>
      </c>
      <c r="D110" s="74">
        <f>(Table18[[#This Row],[Index]]-B98)/B98</f>
        <v/>
      </c>
    </row>
    <row r="111">
      <c r="A111" s="19" t="n">
        <v>29465</v>
      </c>
      <c r="B111" s="61">
        <f>VLOOKUP(Table18[[#This Row],[Date]],database!A:G,5,)</f>
        <v/>
      </c>
      <c r="C111" s="74">
        <f>B111/B110-1</f>
        <v/>
      </c>
      <c r="D111" s="74">
        <f>(Table18[[#This Row],[Index]]-B99)/B99</f>
        <v/>
      </c>
    </row>
    <row r="112">
      <c r="A112" s="19" t="n">
        <v>29495</v>
      </c>
      <c r="B112" s="61">
        <f>VLOOKUP(Table18[[#This Row],[Date]],database!A:G,5,)</f>
        <v/>
      </c>
      <c r="C112" s="74">
        <f>B112/B111-1</f>
        <v/>
      </c>
      <c r="D112" s="74">
        <f>(Table18[[#This Row],[Index]]-B100)/B100</f>
        <v/>
      </c>
    </row>
    <row r="113">
      <c r="A113" s="19" t="n">
        <v>29526</v>
      </c>
      <c r="B113" s="61">
        <f>VLOOKUP(Table18[[#This Row],[Date]],database!A:G,5,)</f>
        <v/>
      </c>
      <c r="C113" s="74">
        <f>B113/B112-1</f>
        <v/>
      </c>
      <c r="D113" s="74">
        <f>(Table18[[#This Row],[Index]]-B101)/B101</f>
        <v/>
      </c>
    </row>
    <row r="114">
      <c r="A114" s="19" t="n">
        <v>29556</v>
      </c>
      <c r="B114" s="61">
        <f>VLOOKUP(Table18[[#This Row],[Date]],database!A:G,5,)</f>
        <v/>
      </c>
      <c r="C114" s="74">
        <f>B114/B113-1</f>
        <v/>
      </c>
      <c r="D114" s="74">
        <f>(Table18[[#This Row],[Index]]-B102)/B102</f>
        <v/>
      </c>
    </row>
    <row r="115">
      <c r="A115" s="19" t="n">
        <v>29587</v>
      </c>
      <c r="B115" s="61">
        <f>VLOOKUP(Table18[[#This Row],[Date]],database!A:G,5,)</f>
        <v/>
      </c>
      <c r="C115" s="74">
        <f>B115/B114-1</f>
        <v/>
      </c>
      <c r="D115" s="74">
        <f>(Table18[[#This Row],[Index]]-B103)/B103</f>
        <v/>
      </c>
    </row>
    <row r="116">
      <c r="A116" s="19" t="n">
        <v>29618</v>
      </c>
      <c r="B116" s="61">
        <f>VLOOKUP(Table18[[#This Row],[Date]],database!A:G,5,)</f>
        <v/>
      </c>
      <c r="C116" s="74">
        <f>B116/B115-1</f>
        <v/>
      </c>
      <c r="D116" s="74">
        <f>(Table18[[#This Row],[Index]]-B104)/B104</f>
        <v/>
      </c>
    </row>
    <row r="117">
      <c r="A117" s="19" t="n">
        <v>29646</v>
      </c>
      <c r="B117" s="61">
        <f>VLOOKUP(Table18[[#This Row],[Date]],database!A:G,5,)</f>
        <v/>
      </c>
      <c r="C117" s="74">
        <f>B117/B116-1</f>
        <v/>
      </c>
      <c r="D117" s="74">
        <f>(Table18[[#This Row],[Index]]-B105)/B105</f>
        <v/>
      </c>
    </row>
    <row r="118">
      <c r="A118" s="19" t="n">
        <v>29677</v>
      </c>
      <c r="B118" s="61">
        <f>VLOOKUP(Table18[[#This Row],[Date]],database!A:G,5,)</f>
        <v/>
      </c>
      <c r="C118" s="74">
        <f>B118/B117-1</f>
        <v/>
      </c>
      <c r="D118" s="74">
        <f>(Table18[[#This Row],[Index]]-B106)/B106</f>
        <v/>
      </c>
    </row>
    <row r="119">
      <c r="A119" s="19" t="n">
        <v>29707</v>
      </c>
      <c r="B119" s="61">
        <f>VLOOKUP(Table18[[#This Row],[Date]],database!A:G,5,)</f>
        <v/>
      </c>
      <c r="C119" s="74">
        <f>B119/B118-1</f>
        <v/>
      </c>
      <c r="D119" s="74">
        <f>(Table18[[#This Row],[Index]]-B107)/B107</f>
        <v/>
      </c>
    </row>
    <row r="120">
      <c r="A120" s="19" t="n">
        <v>29738</v>
      </c>
      <c r="B120" s="61">
        <f>VLOOKUP(Table18[[#This Row],[Date]],database!A:G,5,)</f>
        <v/>
      </c>
      <c r="C120" s="74">
        <f>B120/B119-1</f>
        <v/>
      </c>
      <c r="D120" s="74">
        <f>(Table18[[#This Row],[Index]]-B108)/B108</f>
        <v/>
      </c>
    </row>
    <row r="121">
      <c r="A121" s="19" t="n">
        <v>29768</v>
      </c>
      <c r="B121" s="61">
        <f>VLOOKUP(Table18[[#This Row],[Date]],database!A:G,5,)</f>
        <v/>
      </c>
      <c r="C121" s="74">
        <f>B121/B120-1</f>
        <v/>
      </c>
      <c r="D121" s="74">
        <f>(Table18[[#This Row],[Index]]-B109)/B109</f>
        <v/>
      </c>
    </row>
    <row r="122">
      <c r="A122" s="19" t="n">
        <v>29799</v>
      </c>
      <c r="B122" s="61">
        <f>VLOOKUP(Table18[[#This Row],[Date]],database!A:G,5,)</f>
        <v/>
      </c>
      <c r="C122" s="74">
        <f>B122/B121-1</f>
        <v/>
      </c>
      <c r="D122" s="74">
        <f>(Table18[[#This Row],[Index]]-B110)/B110</f>
        <v/>
      </c>
    </row>
    <row r="123">
      <c r="A123" s="19" t="n">
        <v>29830</v>
      </c>
      <c r="B123" s="61">
        <f>VLOOKUP(Table18[[#This Row],[Date]],database!A:G,5,)</f>
        <v/>
      </c>
      <c r="C123" s="74">
        <f>B123/B122-1</f>
        <v/>
      </c>
      <c r="D123" s="74">
        <f>(Table18[[#This Row],[Index]]-B111)/B111</f>
        <v/>
      </c>
    </row>
    <row r="124">
      <c r="A124" s="19" t="n">
        <v>29860</v>
      </c>
      <c r="B124" s="61">
        <f>VLOOKUP(Table18[[#This Row],[Date]],database!A:G,5,)</f>
        <v/>
      </c>
      <c r="C124" s="74">
        <f>B124/B123-1</f>
        <v/>
      </c>
      <c r="D124" s="74">
        <f>(Table18[[#This Row],[Index]]-B112)/B112</f>
        <v/>
      </c>
    </row>
    <row r="125">
      <c r="A125" s="19" t="n">
        <v>29891</v>
      </c>
      <c r="B125" s="61">
        <f>VLOOKUP(Table18[[#This Row],[Date]],database!A:G,5,)</f>
        <v/>
      </c>
      <c r="C125" s="74">
        <f>B125/B124-1</f>
        <v/>
      </c>
      <c r="D125" s="74">
        <f>(Table18[[#This Row],[Index]]-B113)/B113</f>
        <v/>
      </c>
    </row>
    <row r="126">
      <c r="A126" s="19" t="n">
        <v>29921</v>
      </c>
      <c r="B126" s="61">
        <f>VLOOKUP(Table18[[#This Row],[Date]],database!A:G,5,)</f>
        <v/>
      </c>
      <c r="C126" s="74">
        <f>B126/B125-1</f>
        <v/>
      </c>
      <c r="D126" s="74">
        <f>(Table18[[#This Row],[Index]]-B114)/B114</f>
        <v/>
      </c>
    </row>
    <row r="127">
      <c r="A127" s="19" t="n">
        <v>29952</v>
      </c>
      <c r="B127" s="61">
        <f>VLOOKUP(Table18[[#This Row],[Date]],database!A:G,5,)</f>
        <v/>
      </c>
      <c r="C127" s="74">
        <f>B127/B126-1</f>
        <v/>
      </c>
      <c r="D127" s="74">
        <f>(Table18[[#This Row],[Index]]-B115)/B115</f>
        <v/>
      </c>
    </row>
    <row r="128">
      <c r="A128" s="19" t="n">
        <v>29983</v>
      </c>
      <c r="B128" s="61">
        <f>VLOOKUP(Table18[[#This Row],[Date]],database!A:G,5,)</f>
        <v/>
      </c>
      <c r="C128" s="74">
        <f>B128/B127-1</f>
        <v/>
      </c>
      <c r="D128" s="74">
        <f>(Table18[[#This Row],[Index]]-B116)/B116</f>
        <v/>
      </c>
    </row>
    <row r="129">
      <c r="A129" s="19" t="n">
        <v>30011</v>
      </c>
      <c r="B129" s="61">
        <f>VLOOKUP(Table18[[#This Row],[Date]],database!A:G,5,)</f>
        <v/>
      </c>
      <c r="C129" s="74">
        <f>B129/B128-1</f>
        <v/>
      </c>
      <c r="D129" s="74">
        <f>(Table18[[#This Row],[Index]]-B117)/B117</f>
        <v/>
      </c>
    </row>
    <row r="130">
      <c r="A130" s="19" t="n">
        <v>30042</v>
      </c>
      <c r="B130" s="61">
        <f>VLOOKUP(Table18[[#This Row],[Date]],database!A:G,5,)</f>
        <v/>
      </c>
      <c r="C130" s="74">
        <f>B130/B129-1</f>
        <v/>
      </c>
      <c r="D130" s="74">
        <f>(Table18[[#This Row],[Index]]-B118)/B118</f>
        <v/>
      </c>
    </row>
    <row r="131">
      <c r="A131" s="19" t="n">
        <v>30072</v>
      </c>
      <c r="B131" s="61">
        <f>VLOOKUP(Table18[[#This Row],[Date]],database!A:G,5,)</f>
        <v/>
      </c>
      <c r="C131" s="74">
        <f>B131/B130-1</f>
        <v/>
      </c>
      <c r="D131" s="74">
        <f>(Table18[[#This Row],[Index]]-B119)/B119</f>
        <v/>
      </c>
    </row>
    <row r="132">
      <c r="A132" s="19" t="n">
        <v>30103</v>
      </c>
      <c r="B132" s="61">
        <f>VLOOKUP(Table18[[#This Row],[Date]],database!A:G,5,)</f>
        <v/>
      </c>
      <c r="C132" s="74">
        <f>B132/B131-1</f>
        <v/>
      </c>
      <c r="D132" s="74">
        <f>(Table18[[#This Row],[Index]]-B120)/B120</f>
        <v/>
      </c>
    </row>
    <row r="133">
      <c r="A133" s="19" t="n">
        <v>30133</v>
      </c>
      <c r="B133" s="61">
        <f>VLOOKUP(Table18[[#This Row],[Date]],database!A:G,5,)</f>
        <v/>
      </c>
      <c r="C133" s="74">
        <f>B133/B132-1</f>
        <v/>
      </c>
      <c r="D133" s="74">
        <f>(Table18[[#This Row],[Index]]-B121)/B121</f>
        <v/>
      </c>
    </row>
    <row r="134">
      <c r="A134" s="19" t="n">
        <v>30164</v>
      </c>
      <c r="B134" s="61">
        <f>VLOOKUP(Table18[[#This Row],[Date]],database!A:G,5,)</f>
        <v/>
      </c>
      <c r="C134" s="74">
        <f>B134/B133-1</f>
        <v/>
      </c>
      <c r="D134" s="74">
        <f>(Table18[[#This Row],[Index]]-B122)/B122</f>
        <v/>
      </c>
    </row>
    <row r="135">
      <c r="A135" s="19" t="n">
        <v>30195</v>
      </c>
      <c r="B135" s="61">
        <f>VLOOKUP(Table18[[#This Row],[Date]],database!A:G,5,)</f>
        <v/>
      </c>
      <c r="C135" s="74">
        <f>B135/B134-1</f>
        <v/>
      </c>
      <c r="D135" s="74">
        <f>(Table18[[#This Row],[Index]]-B123)/B123</f>
        <v/>
      </c>
    </row>
    <row r="136">
      <c r="A136" s="19" t="n">
        <v>30225</v>
      </c>
      <c r="B136" s="61">
        <f>VLOOKUP(Table18[[#This Row],[Date]],database!A:G,5,)</f>
        <v/>
      </c>
      <c r="C136" s="74">
        <f>B136/B135-1</f>
        <v/>
      </c>
      <c r="D136" s="74">
        <f>(Table18[[#This Row],[Index]]-B124)/B124</f>
        <v/>
      </c>
    </row>
    <row r="137">
      <c r="A137" s="19" t="n">
        <v>30256</v>
      </c>
      <c r="B137" s="61">
        <f>VLOOKUP(Table18[[#This Row],[Date]],database!A:G,5,)</f>
        <v/>
      </c>
      <c r="C137" s="74">
        <f>B137/B136-1</f>
        <v/>
      </c>
      <c r="D137" s="74">
        <f>(Table18[[#This Row],[Index]]-B125)/B125</f>
        <v/>
      </c>
    </row>
    <row r="138">
      <c r="A138" s="19" t="n">
        <v>30286</v>
      </c>
      <c r="B138" s="61">
        <f>VLOOKUP(Table18[[#This Row],[Date]],database!A:G,5,)</f>
        <v/>
      </c>
      <c r="C138" s="74">
        <f>B138/B137-1</f>
        <v/>
      </c>
      <c r="D138" s="74">
        <f>(Table18[[#This Row],[Index]]-B126)/B126</f>
        <v/>
      </c>
    </row>
    <row r="139">
      <c r="A139" s="19" t="n">
        <v>30317</v>
      </c>
      <c r="B139" s="61">
        <f>VLOOKUP(Table18[[#This Row],[Date]],database!A:G,5,)</f>
        <v/>
      </c>
      <c r="C139" s="74">
        <f>B139/B138-1</f>
        <v/>
      </c>
      <c r="D139" s="74">
        <f>(Table18[[#This Row],[Index]]-B127)/B127</f>
        <v/>
      </c>
    </row>
    <row r="140">
      <c r="A140" s="19" t="n">
        <v>30348</v>
      </c>
      <c r="B140" s="61">
        <f>VLOOKUP(Table18[[#This Row],[Date]],database!A:G,5,)</f>
        <v/>
      </c>
      <c r="C140" s="74">
        <f>B140/B139-1</f>
        <v/>
      </c>
      <c r="D140" s="74">
        <f>(Table18[[#This Row],[Index]]-B128)/B128</f>
        <v/>
      </c>
    </row>
    <row r="141">
      <c r="A141" s="19" t="n">
        <v>30376</v>
      </c>
      <c r="B141" s="61">
        <f>VLOOKUP(Table18[[#This Row],[Date]],database!A:G,5,)</f>
        <v/>
      </c>
      <c r="C141" s="74">
        <f>B141/B140-1</f>
        <v/>
      </c>
      <c r="D141" s="74">
        <f>(Table18[[#This Row],[Index]]-B129)/B129</f>
        <v/>
      </c>
    </row>
    <row r="142">
      <c r="A142" s="19" t="n">
        <v>30407</v>
      </c>
      <c r="B142" s="61">
        <f>VLOOKUP(Table18[[#This Row],[Date]],database!A:G,5,)</f>
        <v/>
      </c>
      <c r="C142" s="74">
        <f>B142/B141-1</f>
        <v/>
      </c>
      <c r="D142" s="74">
        <f>(Table18[[#This Row],[Index]]-B130)/B130</f>
        <v/>
      </c>
    </row>
    <row r="143">
      <c r="A143" s="19" t="n">
        <v>30437</v>
      </c>
      <c r="B143" s="61">
        <f>VLOOKUP(Table18[[#This Row],[Date]],database!A:G,5,)</f>
        <v/>
      </c>
      <c r="C143" s="74">
        <f>B143/B142-1</f>
        <v/>
      </c>
      <c r="D143" s="74">
        <f>(Table18[[#This Row],[Index]]-B131)/B131</f>
        <v/>
      </c>
    </row>
    <row r="144">
      <c r="A144" s="19" t="n">
        <v>30468</v>
      </c>
      <c r="B144" s="61">
        <f>VLOOKUP(Table18[[#This Row],[Date]],database!A:G,5,)</f>
        <v/>
      </c>
      <c r="C144" s="74">
        <f>B144/B143-1</f>
        <v/>
      </c>
      <c r="D144" s="74">
        <f>(Table18[[#This Row],[Index]]-B132)/B132</f>
        <v/>
      </c>
    </row>
    <row r="145">
      <c r="A145" s="19" t="n">
        <v>30498</v>
      </c>
      <c r="B145" s="61">
        <f>VLOOKUP(Table18[[#This Row],[Date]],database!A:G,5,)</f>
        <v/>
      </c>
      <c r="C145" s="74">
        <f>B145/B144-1</f>
        <v/>
      </c>
      <c r="D145" s="74">
        <f>(Table18[[#This Row],[Index]]-B133)/B133</f>
        <v/>
      </c>
    </row>
    <row r="146">
      <c r="A146" s="19" t="n">
        <v>30529</v>
      </c>
      <c r="B146" s="61">
        <f>VLOOKUP(Table18[[#This Row],[Date]],database!A:G,5,)</f>
        <v/>
      </c>
      <c r="C146" s="74">
        <f>B146/B145-1</f>
        <v/>
      </c>
      <c r="D146" s="74">
        <f>(Table18[[#This Row],[Index]]-B134)/B134</f>
        <v/>
      </c>
    </row>
    <row r="147">
      <c r="A147" s="19" t="n">
        <v>30560</v>
      </c>
      <c r="B147" s="61">
        <f>VLOOKUP(Table18[[#This Row],[Date]],database!A:G,5,)</f>
        <v/>
      </c>
      <c r="C147" s="74">
        <f>B147/B146-1</f>
        <v/>
      </c>
      <c r="D147" s="74">
        <f>(Table18[[#This Row],[Index]]-B135)/B135</f>
        <v/>
      </c>
    </row>
    <row r="148">
      <c r="A148" s="19" t="n">
        <v>30590</v>
      </c>
      <c r="B148" s="61">
        <f>VLOOKUP(Table18[[#This Row],[Date]],database!A:G,5,)</f>
        <v/>
      </c>
      <c r="C148" s="74">
        <f>B148/B147-1</f>
        <v/>
      </c>
      <c r="D148" s="74">
        <f>(Table18[[#This Row],[Index]]-B136)/B136</f>
        <v/>
      </c>
    </row>
    <row r="149">
      <c r="A149" s="19" t="n">
        <v>30621</v>
      </c>
      <c r="B149" s="61">
        <f>VLOOKUP(Table18[[#This Row],[Date]],database!A:G,5,)</f>
        <v/>
      </c>
      <c r="C149" s="74">
        <f>B149/B148-1</f>
        <v/>
      </c>
      <c r="D149" s="74">
        <f>(Table18[[#This Row],[Index]]-B137)/B137</f>
        <v/>
      </c>
    </row>
    <row r="150">
      <c r="A150" s="19" t="n">
        <v>30651</v>
      </c>
      <c r="B150" s="61">
        <f>VLOOKUP(Table18[[#This Row],[Date]],database!A:G,5,)</f>
        <v/>
      </c>
      <c r="C150" s="74">
        <f>B150/B149-1</f>
        <v/>
      </c>
      <c r="D150" s="74">
        <f>(Table18[[#This Row],[Index]]-B138)/B138</f>
        <v/>
      </c>
    </row>
    <row r="151">
      <c r="A151" s="19" t="n">
        <v>30682</v>
      </c>
      <c r="B151" s="61">
        <f>VLOOKUP(Table18[[#This Row],[Date]],database!A:G,5,)</f>
        <v/>
      </c>
      <c r="C151" s="74">
        <f>B151/B150-1</f>
        <v/>
      </c>
      <c r="D151" s="74">
        <f>(Table18[[#This Row],[Index]]-B139)/B139</f>
        <v/>
      </c>
    </row>
    <row r="152">
      <c r="A152" s="19" t="n">
        <v>30713</v>
      </c>
      <c r="B152" s="61">
        <f>VLOOKUP(Table18[[#This Row],[Date]],database!A:G,5,)</f>
        <v/>
      </c>
      <c r="C152" s="74">
        <f>B152/B151-1</f>
        <v/>
      </c>
      <c r="D152" s="74">
        <f>(Table18[[#This Row],[Index]]-B140)/B140</f>
        <v/>
      </c>
    </row>
    <row r="153">
      <c r="A153" s="19" t="n">
        <v>30742</v>
      </c>
      <c r="B153" s="61">
        <f>VLOOKUP(Table18[[#This Row],[Date]],database!A:G,5,)</f>
        <v/>
      </c>
      <c r="C153" s="74">
        <f>B153/B152-1</f>
        <v/>
      </c>
      <c r="D153" s="74">
        <f>(Table18[[#This Row],[Index]]-B141)/B141</f>
        <v/>
      </c>
    </row>
    <row r="154">
      <c r="A154" s="19" t="n">
        <v>30773</v>
      </c>
      <c r="B154" s="61">
        <f>VLOOKUP(Table18[[#This Row],[Date]],database!A:G,5,)</f>
        <v/>
      </c>
      <c r="C154" s="74">
        <f>B154/B153-1</f>
        <v/>
      </c>
      <c r="D154" s="74">
        <f>(Table18[[#This Row],[Index]]-B142)/B142</f>
        <v/>
      </c>
    </row>
    <row r="155">
      <c r="A155" s="19" t="n">
        <v>30803</v>
      </c>
      <c r="B155" s="61">
        <f>VLOOKUP(Table18[[#This Row],[Date]],database!A:G,5,)</f>
        <v/>
      </c>
      <c r="C155" s="74">
        <f>B155/B154-1</f>
        <v/>
      </c>
      <c r="D155" s="74">
        <f>(Table18[[#This Row],[Index]]-B143)/B143</f>
        <v/>
      </c>
    </row>
    <row r="156">
      <c r="A156" s="19" t="n">
        <v>30834</v>
      </c>
      <c r="B156" s="61">
        <f>VLOOKUP(Table18[[#This Row],[Date]],database!A:G,5,)</f>
        <v/>
      </c>
      <c r="C156" s="74">
        <f>B156/B155-1</f>
        <v/>
      </c>
      <c r="D156" s="74">
        <f>(Table18[[#This Row],[Index]]-B144)/B144</f>
        <v/>
      </c>
    </row>
    <row r="157">
      <c r="A157" s="19" t="n">
        <v>30864</v>
      </c>
      <c r="B157" s="61">
        <f>VLOOKUP(Table18[[#This Row],[Date]],database!A:G,5,)</f>
        <v/>
      </c>
      <c r="C157" s="74">
        <f>B157/B156-1</f>
        <v/>
      </c>
      <c r="D157" s="74">
        <f>(Table18[[#This Row],[Index]]-B145)/B145</f>
        <v/>
      </c>
    </row>
    <row r="158">
      <c r="A158" s="19" t="n">
        <v>30895</v>
      </c>
      <c r="B158" s="61">
        <f>VLOOKUP(Table18[[#This Row],[Date]],database!A:G,5,)</f>
        <v/>
      </c>
      <c r="C158" s="74">
        <f>B158/B157-1</f>
        <v/>
      </c>
      <c r="D158" s="74">
        <f>(Table18[[#This Row],[Index]]-B146)/B146</f>
        <v/>
      </c>
    </row>
    <row r="159">
      <c r="A159" s="19" t="n">
        <v>30926</v>
      </c>
      <c r="B159" s="61">
        <f>VLOOKUP(Table18[[#This Row],[Date]],database!A:G,5,)</f>
        <v/>
      </c>
      <c r="C159" s="74">
        <f>B159/B158-1</f>
        <v/>
      </c>
      <c r="D159" s="74">
        <f>(Table18[[#This Row],[Index]]-B147)/B147</f>
        <v/>
      </c>
    </row>
    <row r="160">
      <c r="A160" s="19" t="n">
        <v>30956</v>
      </c>
      <c r="B160" s="61">
        <f>VLOOKUP(Table18[[#This Row],[Date]],database!A:G,5,)</f>
        <v/>
      </c>
      <c r="C160" s="74">
        <f>B160/B159-1</f>
        <v/>
      </c>
      <c r="D160" s="74">
        <f>(Table18[[#This Row],[Index]]-B148)/B148</f>
        <v/>
      </c>
    </row>
    <row r="161">
      <c r="A161" s="19" t="n">
        <v>30987</v>
      </c>
      <c r="B161" s="61">
        <f>VLOOKUP(Table18[[#This Row],[Date]],database!A:G,5,)</f>
        <v/>
      </c>
      <c r="C161" s="74">
        <f>B161/B160-1</f>
        <v/>
      </c>
      <c r="D161" s="74">
        <f>(Table18[[#This Row],[Index]]-B149)/B149</f>
        <v/>
      </c>
    </row>
    <row r="162">
      <c r="A162" s="19" t="n">
        <v>31017</v>
      </c>
      <c r="B162" s="61">
        <f>VLOOKUP(Table18[[#This Row],[Date]],database!A:G,5,)</f>
        <v/>
      </c>
      <c r="C162" s="74">
        <f>B162/B161-1</f>
        <v/>
      </c>
      <c r="D162" s="74">
        <f>(Table18[[#This Row],[Index]]-B150)/B150</f>
        <v/>
      </c>
    </row>
    <row r="163">
      <c r="A163" s="19" t="n">
        <v>31048</v>
      </c>
      <c r="B163" s="61">
        <f>VLOOKUP(Table18[[#This Row],[Date]],database!A:G,5,)</f>
        <v/>
      </c>
      <c r="C163" s="74">
        <f>B163/B162-1</f>
        <v/>
      </c>
      <c r="D163" s="74">
        <f>(Table18[[#This Row],[Index]]-B151)/B151</f>
        <v/>
      </c>
    </row>
    <row r="164">
      <c r="A164" s="19" t="n">
        <v>31079</v>
      </c>
      <c r="B164" s="61">
        <f>VLOOKUP(Table18[[#This Row],[Date]],database!A:G,5,)</f>
        <v/>
      </c>
      <c r="C164" s="74">
        <f>B164/B163-1</f>
        <v/>
      </c>
      <c r="D164" s="74">
        <f>(Table18[[#This Row],[Index]]-B152)/B152</f>
        <v/>
      </c>
    </row>
    <row r="165">
      <c r="A165" s="19" t="n">
        <v>31107</v>
      </c>
      <c r="B165" s="61">
        <f>VLOOKUP(Table18[[#This Row],[Date]],database!A:G,5,)</f>
        <v/>
      </c>
      <c r="C165" s="74">
        <f>B165/B164-1</f>
        <v/>
      </c>
      <c r="D165" s="74">
        <f>(Table18[[#This Row],[Index]]-B153)/B153</f>
        <v/>
      </c>
    </row>
    <row r="166">
      <c r="A166" s="19" t="n">
        <v>31138</v>
      </c>
      <c r="B166" s="61">
        <f>VLOOKUP(Table18[[#This Row],[Date]],database!A:G,5,)</f>
        <v/>
      </c>
      <c r="C166" s="74">
        <f>B166/B165-1</f>
        <v/>
      </c>
      <c r="D166" s="74">
        <f>(Table18[[#This Row],[Index]]-B154)/B154</f>
        <v/>
      </c>
    </row>
    <row r="167">
      <c r="A167" s="19" t="n">
        <v>31168</v>
      </c>
      <c r="B167" s="61">
        <f>VLOOKUP(Table18[[#This Row],[Date]],database!A:G,5,)</f>
        <v/>
      </c>
      <c r="C167" s="74">
        <f>B167/B166-1</f>
        <v/>
      </c>
      <c r="D167" s="74">
        <f>(Table18[[#This Row],[Index]]-B155)/B155</f>
        <v/>
      </c>
    </row>
    <row r="168">
      <c r="A168" s="19" t="n">
        <v>31199</v>
      </c>
      <c r="B168" s="61">
        <f>VLOOKUP(Table18[[#This Row],[Date]],database!A:G,5,)</f>
        <v/>
      </c>
      <c r="C168" s="74">
        <f>B168/B167-1</f>
        <v/>
      </c>
      <c r="D168" s="74">
        <f>(Table18[[#This Row],[Index]]-B156)/B156</f>
        <v/>
      </c>
    </row>
    <row r="169">
      <c r="A169" s="19" t="n">
        <v>31229</v>
      </c>
      <c r="B169" s="61">
        <f>VLOOKUP(Table18[[#This Row],[Date]],database!A:G,5,)</f>
        <v/>
      </c>
      <c r="C169" s="74">
        <f>B169/B168-1</f>
        <v/>
      </c>
      <c r="D169" s="74">
        <f>(Table18[[#This Row],[Index]]-B157)/B157</f>
        <v/>
      </c>
    </row>
    <row r="170">
      <c r="A170" s="19" t="n">
        <v>31260</v>
      </c>
      <c r="B170" s="61">
        <f>VLOOKUP(Table18[[#This Row],[Date]],database!A:G,5,)</f>
        <v/>
      </c>
      <c r="C170" s="74">
        <f>B170/B169-1</f>
        <v/>
      </c>
      <c r="D170" s="74">
        <f>(Table18[[#This Row],[Index]]-B158)/B158</f>
        <v/>
      </c>
    </row>
    <row r="171">
      <c r="A171" s="19" t="n">
        <v>31291</v>
      </c>
      <c r="B171" s="61">
        <f>VLOOKUP(Table18[[#This Row],[Date]],database!A:G,5,)</f>
        <v/>
      </c>
      <c r="C171" s="74">
        <f>B171/B170-1</f>
        <v/>
      </c>
      <c r="D171" s="74">
        <f>(Table18[[#This Row],[Index]]-B159)/B159</f>
        <v/>
      </c>
    </row>
    <row r="172">
      <c r="A172" s="19" t="n">
        <v>31321</v>
      </c>
      <c r="B172" s="61">
        <f>VLOOKUP(Table18[[#This Row],[Date]],database!A:G,5,)</f>
        <v/>
      </c>
      <c r="C172" s="74">
        <f>B172/B171-1</f>
        <v/>
      </c>
      <c r="D172" s="74">
        <f>(Table18[[#This Row],[Index]]-B160)/B160</f>
        <v/>
      </c>
    </row>
    <row r="173">
      <c r="A173" s="19" t="n">
        <v>31352</v>
      </c>
      <c r="B173" s="61">
        <f>VLOOKUP(Table18[[#This Row],[Date]],database!A:G,5,)</f>
        <v/>
      </c>
      <c r="C173" s="74">
        <f>B173/B172-1</f>
        <v/>
      </c>
      <c r="D173" s="74">
        <f>(Table18[[#This Row],[Index]]-B161)/B161</f>
        <v/>
      </c>
    </row>
    <row r="174">
      <c r="A174" s="19" t="n">
        <v>31382</v>
      </c>
      <c r="B174" s="61">
        <f>VLOOKUP(Table18[[#This Row],[Date]],database!A:G,5,)</f>
        <v/>
      </c>
      <c r="C174" s="74">
        <f>B174/B173-1</f>
        <v/>
      </c>
      <c r="D174" s="74">
        <f>(Table18[[#This Row],[Index]]-B162)/B162</f>
        <v/>
      </c>
    </row>
    <row r="175">
      <c r="A175" s="19" t="n">
        <v>31413</v>
      </c>
      <c r="B175" s="61">
        <f>VLOOKUP(Table18[[#This Row],[Date]],database!A:G,5,)</f>
        <v/>
      </c>
      <c r="C175" s="74">
        <f>B175/B174-1</f>
        <v/>
      </c>
      <c r="D175" s="74">
        <f>(Table18[[#This Row],[Index]]-B163)/B163</f>
        <v/>
      </c>
    </row>
    <row r="176">
      <c r="A176" s="19" t="n">
        <v>31444</v>
      </c>
      <c r="B176" s="61">
        <f>VLOOKUP(Table18[[#This Row],[Date]],database!A:G,5,)</f>
        <v/>
      </c>
      <c r="C176" s="74">
        <f>B176/B175-1</f>
        <v/>
      </c>
      <c r="D176" s="74">
        <f>(Table18[[#This Row],[Index]]-B164)/B164</f>
        <v/>
      </c>
    </row>
    <row r="177">
      <c r="A177" s="19" t="n">
        <v>31472</v>
      </c>
      <c r="B177" s="61">
        <f>VLOOKUP(Table18[[#This Row],[Date]],database!A:G,5,)</f>
        <v/>
      </c>
      <c r="C177" s="74">
        <f>B177/B176-1</f>
        <v/>
      </c>
      <c r="D177" s="74">
        <f>(Table18[[#This Row],[Index]]-B165)/B165</f>
        <v/>
      </c>
    </row>
    <row r="178">
      <c r="A178" s="19" t="n">
        <v>31503</v>
      </c>
      <c r="B178" s="61">
        <f>VLOOKUP(Table18[[#This Row],[Date]],database!A:G,5,)</f>
        <v/>
      </c>
      <c r="C178" s="74">
        <f>B178/B177-1</f>
        <v/>
      </c>
      <c r="D178" s="74">
        <f>(Table18[[#This Row],[Index]]-B166)/B166</f>
        <v/>
      </c>
    </row>
    <row r="179">
      <c r="A179" s="19" t="n">
        <v>31533</v>
      </c>
      <c r="B179" s="61">
        <f>VLOOKUP(Table18[[#This Row],[Date]],database!A:G,5,)</f>
        <v/>
      </c>
      <c r="C179" s="74">
        <f>B179/B178-1</f>
        <v/>
      </c>
      <c r="D179" s="74">
        <f>(Table18[[#This Row],[Index]]-B167)/B167</f>
        <v/>
      </c>
    </row>
    <row r="180">
      <c r="A180" s="19" t="n">
        <v>31564</v>
      </c>
      <c r="B180" s="61">
        <f>VLOOKUP(Table18[[#This Row],[Date]],database!A:G,5,)</f>
        <v/>
      </c>
      <c r="C180" s="74">
        <f>B180/B179-1</f>
        <v/>
      </c>
      <c r="D180" s="74">
        <f>(Table18[[#This Row],[Index]]-B168)/B168</f>
        <v/>
      </c>
    </row>
    <row r="181">
      <c r="A181" s="19" t="n">
        <v>31594</v>
      </c>
      <c r="B181" s="61">
        <f>VLOOKUP(Table18[[#This Row],[Date]],database!A:G,5,)</f>
        <v/>
      </c>
      <c r="C181" s="74">
        <f>B181/B180-1</f>
        <v/>
      </c>
      <c r="D181" s="74">
        <f>(Table18[[#This Row],[Index]]-B169)/B169</f>
        <v/>
      </c>
    </row>
    <row r="182">
      <c r="A182" s="19" t="n">
        <v>31625</v>
      </c>
      <c r="B182" s="61">
        <f>VLOOKUP(Table18[[#This Row],[Date]],database!A:G,5,)</f>
        <v/>
      </c>
      <c r="C182" s="74">
        <f>B182/B181-1</f>
        <v/>
      </c>
      <c r="D182" s="74">
        <f>(Table18[[#This Row],[Index]]-B170)/B170</f>
        <v/>
      </c>
    </row>
    <row r="183">
      <c r="A183" s="19" t="n">
        <v>31656</v>
      </c>
      <c r="B183" s="61">
        <f>VLOOKUP(Table18[[#This Row],[Date]],database!A:G,5,)</f>
        <v/>
      </c>
      <c r="C183" s="74">
        <f>B183/B182-1</f>
        <v/>
      </c>
      <c r="D183" s="74">
        <f>(Table18[[#This Row],[Index]]-B171)/B171</f>
        <v/>
      </c>
    </row>
    <row r="184">
      <c r="A184" s="19" t="n">
        <v>31686</v>
      </c>
      <c r="B184" s="61">
        <f>VLOOKUP(Table18[[#This Row],[Date]],database!A:G,5,)</f>
        <v/>
      </c>
      <c r="C184" s="74">
        <f>B184/B183-1</f>
        <v/>
      </c>
      <c r="D184" s="74">
        <f>(Table18[[#This Row],[Index]]-B172)/B172</f>
        <v/>
      </c>
    </row>
    <row r="185">
      <c r="A185" s="19" t="n">
        <v>31717</v>
      </c>
      <c r="B185" s="61">
        <f>VLOOKUP(Table18[[#This Row],[Date]],database!A:G,5,)</f>
        <v/>
      </c>
      <c r="C185" s="74">
        <f>B185/B184-1</f>
        <v/>
      </c>
      <c r="D185" s="74">
        <f>(Table18[[#This Row],[Index]]-B173)/B173</f>
        <v/>
      </c>
    </row>
    <row r="186">
      <c r="A186" s="19" t="n">
        <v>31747</v>
      </c>
      <c r="B186" s="61">
        <f>VLOOKUP(Table18[[#This Row],[Date]],database!A:G,5,)</f>
        <v/>
      </c>
      <c r="C186" s="74">
        <f>B186/B185-1</f>
        <v/>
      </c>
      <c r="D186" s="74">
        <f>(Table18[[#This Row],[Index]]-B174)/B174</f>
        <v/>
      </c>
    </row>
    <row r="187">
      <c r="A187" s="19" t="n">
        <v>31778</v>
      </c>
      <c r="B187" s="61">
        <f>VLOOKUP(Table18[[#This Row],[Date]],database!A:G,5,)</f>
        <v/>
      </c>
      <c r="C187" s="74">
        <f>B187/B186-1</f>
        <v/>
      </c>
      <c r="D187" s="74">
        <f>(Table18[[#This Row],[Index]]-B175)/B175</f>
        <v/>
      </c>
    </row>
    <row r="188">
      <c r="A188" s="19" t="n">
        <v>31809</v>
      </c>
      <c r="B188" s="61">
        <f>VLOOKUP(Table18[[#This Row],[Date]],database!A:G,5,)</f>
        <v/>
      </c>
      <c r="C188" s="74">
        <f>B188/B187-1</f>
        <v/>
      </c>
      <c r="D188" s="74">
        <f>(Table18[[#This Row],[Index]]-B176)/B176</f>
        <v/>
      </c>
    </row>
    <row r="189">
      <c r="A189" s="19" t="n">
        <v>31837</v>
      </c>
      <c r="B189" s="61">
        <f>VLOOKUP(Table18[[#This Row],[Date]],database!A:G,5,)</f>
        <v/>
      </c>
      <c r="C189" s="74">
        <f>B189/B188-1</f>
        <v/>
      </c>
      <c r="D189" s="74">
        <f>(Table18[[#This Row],[Index]]-B177)/B177</f>
        <v/>
      </c>
    </row>
    <row r="190">
      <c r="A190" s="19" t="n">
        <v>31868</v>
      </c>
      <c r="B190" s="61">
        <f>VLOOKUP(Table18[[#This Row],[Date]],database!A:G,5,)</f>
        <v/>
      </c>
      <c r="C190" s="74">
        <f>B190/B189-1</f>
        <v/>
      </c>
      <c r="D190" s="74">
        <f>(Table18[[#This Row],[Index]]-B178)/B178</f>
        <v/>
      </c>
    </row>
    <row r="191">
      <c r="A191" s="19" t="n">
        <v>31898</v>
      </c>
      <c r="B191" s="61">
        <f>VLOOKUP(Table18[[#This Row],[Date]],database!A:G,5,)</f>
        <v/>
      </c>
      <c r="C191" s="74">
        <f>B191/B190-1</f>
        <v/>
      </c>
      <c r="D191" s="74">
        <f>(Table18[[#This Row],[Index]]-B179)/B179</f>
        <v/>
      </c>
    </row>
    <row r="192">
      <c r="A192" s="19" t="n">
        <v>31929</v>
      </c>
      <c r="B192" s="61">
        <f>VLOOKUP(Table18[[#This Row],[Date]],database!A:G,5,)</f>
        <v/>
      </c>
      <c r="C192" s="74">
        <f>B192/B191-1</f>
        <v/>
      </c>
      <c r="D192" s="74">
        <f>(Table18[[#This Row],[Index]]-B180)/B180</f>
        <v/>
      </c>
    </row>
    <row r="193">
      <c r="A193" s="19" t="n">
        <v>31959</v>
      </c>
      <c r="B193" s="61">
        <f>VLOOKUP(Table18[[#This Row],[Date]],database!A:G,5,)</f>
        <v/>
      </c>
      <c r="C193" s="74">
        <f>B193/B192-1</f>
        <v/>
      </c>
      <c r="D193" s="74">
        <f>(Table18[[#This Row],[Index]]-B181)/B181</f>
        <v/>
      </c>
    </row>
    <row r="194">
      <c r="A194" s="19" t="n">
        <v>31990</v>
      </c>
      <c r="B194" s="61">
        <f>VLOOKUP(Table18[[#This Row],[Date]],database!A:G,5,)</f>
        <v/>
      </c>
      <c r="C194" s="74">
        <f>B194/B193-1</f>
        <v/>
      </c>
      <c r="D194" s="74">
        <f>(Table18[[#This Row],[Index]]-B182)/B182</f>
        <v/>
      </c>
    </row>
    <row r="195">
      <c r="A195" s="19" t="n">
        <v>32021</v>
      </c>
      <c r="B195" s="61">
        <f>VLOOKUP(Table18[[#This Row],[Date]],database!A:G,5,)</f>
        <v/>
      </c>
      <c r="C195" s="74">
        <f>B195/B194-1</f>
        <v/>
      </c>
      <c r="D195" s="74">
        <f>(Table18[[#This Row],[Index]]-B183)/B183</f>
        <v/>
      </c>
    </row>
    <row r="196">
      <c r="A196" s="19" t="n">
        <v>32051</v>
      </c>
      <c r="B196" s="61">
        <f>VLOOKUP(Table18[[#This Row],[Date]],database!A:G,5,)</f>
        <v/>
      </c>
      <c r="C196" s="74">
        <f>B196/B195-1</f>
        <v/>
      </c>
      <c r="D196" s="74">
        <f>(Table18[[#This Row],[Index]]-B184)/B184</f>
        <v/>
      </c>
    </row>
    <row r="197">
      <c r="A197" s="19" t="n">
        <v>32082</v>
      </c>
      <c r="B197" s="61">
        <f>VLOOKUP(Table18[[#This Row],[Date]],database!A:G,5,)</f>
        <v/>
      </c>
      <c r="C197" s="74">
        <f>B197/B196-1</f>
        <v/>
      </c>
      <c r="D197" s="74">
        <f>(Table18[[#This Row],[Index]]-B185)/B185</f>
        <v/>
      </c>
    </row>
    <row r="198">
      <c r="A198" s="19" t="n">
        <v>32112</v>
      </c>
      <c r="B198" s="61">
        <f>VLOOKUP(Table18[[#This Row],[Date]],database!A:G,5,)</f>
        <v/>
      </c>
      <c r="C198" s="74">
        <f>B198/B197-1</f>
        <v/>
      </c>
      <c r="D198" s="74">
        <f>(Table18[[#This Row],[Index]]-B186)/B186</f>
        <v/>
      </c>
    </row>
    <row r="199">
      <c r="A199" s="19" t="n">
        <v>32143</v>
      </c>
      <c r="B199" s="61">
        <f>VLOOKUP(Table18[[#This Row],[Date]],database!A:G,5,)</f>
        <v/>
      </c>
      <c r="C199" s="74">
        <f>B199/B198-1</f>
        <v/>
      </c>
      <c r="D199" s="74">
        <f>(Table18[[#This Row],[Index]]-B187)/B187</f>
        <v/>
      </c>
    </row>
    <row r="200">
      <c r="A200" s="19" t="n">
        <v>32174</v>
      </c>
      <c r="B200" s="61">
        <f>VLOOKUP(Table18[[#This Row],[Date]],database!A:G,5,)</f>
        <v/>
      </c>
      <c r="C200" s="74">
        <f>B200/B199-1</f>
        <v/>
      </c>
      <c r="D200" s="74">
        <f>(Table18[[#This Row],[Index]]-B188)/B188</f>
        <v/>
      </c>
    </row>
    <row r="201">
      <c r="A201" s="19" t="n">
        <v>32203</v>
      </c>
      <c r="B201" s="61">
        <f>VLOOKUP(Table18[[#This Row],[Date]],database!A:G,5,)</f>
        <v/>
      </c>
      <c r="C201" s="74">
        <f>B201/B200-1</f>
        <v/>
      </c>
      <c r="D201" s="74">
        <f>(Table18[[#This Row],[Index]]-B189)/B189</f>
        <v/>
      </c>
    </row>
    <row r="202">
      <c r="A202" s="19" t="n">
        <v>32234</v>
      </c>
      <c r="B202" s="61">
        <f>VLOOKUP(Table18[[#This Row],[Date]],database!A:G,5,)</f>
        <v/>
      </c>
      <c r="C202" s="74">
        <f>B202/B201-1</f>
        <v/>
      </c>
      <c r="D202" s="74">
        <f>(Table18[[#This Row],[Index]]-B190)/B190</f>
        <v/>
      </c>
    </row>
    <row r="203">
      <c r="A203" s="19" t="n">
        <v>32264</v>
      </c>
      <c r="B203" s="61">
        <f>VLOOKUP(Table18[[#This Row],[Date]],database!A:G,5,)</f>
        <v/>
      </c>
      <c r="C203" s="74">
        <f>B203/B202-1</f>
        <v/>
      </c>
      <c r="D203" s="74">
        <f>(Table18[[#This Row],[Index]]-B191)/B191</f>
        <v/>
      </c>
    </row>
    <row r="204">
      <c r="A204" s="19" t="n">
        <v>32295</v>
      </c>
      <c r="B204" s="61">
        <f>VLOOKUP(Table18[[#This Row],[Date]],database!A:G,5,)</f>
        <v/>
      </c>
      <c r="C204" s="74">
        <f>B204/B203-1</f>
        <v/>
      </c>
      <c r="D204" s="74">
        <f>(Table18[[#This Row],[Index]]-B192)/B192</f>
        <v/>
      </c>
    </row>
    <row r="205">
      <c r="A205" s="19" t="n">
        <v>32325</v>
      </c>
      <c r="B205" s="61">
        <f>VLOOKUP(Table18[[#This Row],[Date]],database!A:G,5,)</f>
        <v/>
      </c>
      <c r="C205" s="74">
        <f>B205/B204-1</f>
        <v/>
      </c>
      <c r="D205" s="74">
        <f>(Table18[[#This Row],[Index]]-B193)/B193</f>
        <v/>
      </c>
    </row>
    <row r="206">
      <c r="A206" s="19" t="n">
        <v>32356</v>
      </c>
      <c r="B206" s="61">
        <f>VLOOKUP(Table18[[#This Row],[Date]],database!A:G,5,)</f>
        <v/>
      </c>
      <c r="C206" s="74">
        <f>B206/B205-1</f>
        <v/>
      </c>
      <c r="D206" s="74">
        <f>(Table18[[#This Row],[Index]]-B194)/B194</f>
        <v/>
      </c>
    </row>
    <row r="207">
      <c r="A207" s="19" t="n">
        <v>32387</v>
      </c>
      <c r="B207" s="61">
        <f>VLOOKUP(Table18[[#This Row],[Date]],database!A:G,5,)</f>
        <v/>
      </c>
      <c r="C207" s="74">
        <f>B207/B206-1</f>
        <v/>
      </c>
      <c r="D207" s="74">
        <f>(Table18[[#This Row],[Index]]-B195)/B195</f>
        <v/>
      </c>
    </row>
    <row r="208">
      <c r="A208" s="19" t="n">
        <v>32417</v>
      </c>
      <c r="B208" s="61">
        <f>VLOOKUP(Table18[[#This Row],[Date]],database!A:G,5,)</f>
        <v/>
      </c>
      <c r="C208" s="74">
        <f>B208/B207-1</f>
        <v/>
      </c>
      <c r="D208" s="74">
        <f>(Table18[[#This Row],[Index]]-B196)/B196</f>
        <v/>
      </c>
    </row>
    <row r="209">
      <c r="A209" s="19" t="n">
        <v>32448</v>
      </c>
      <c r="B209" s="61">
        <f>VLOOKUP(Table18[[#This Row],[Date]],database!A:G,5,)</f>
        <v/>
      </c>
      <c r="C209" s="74">
        <f>B209/B208-1</f>
        <v/>
      </c>
      <c r="D209" s="74">
        <f>(Table18[[#This Row],[Index]]-B197)/B197</f>
        <v/>
      </c>
    </row>
    <row r="210">
      <c r="A210" s="19" t="n">
        <v>32478</v>
      </c>
      <c r="B210" s="61">
        <f>VLOOKUP(Table18[[#This Row],[Date]],database!A:G,5,)</f>
        <v/>
      </c>
      <c r="C210" s="74">
        <f>B210/B209-1</f>
        <v/>
      </c>
      <c r="D210" s="74">
        <f>(Table18[[#This Row],[Index]]-B198)/B198</f>
        <v/>
      </c>
    </row>
    <row r="211">
      <c r="A211" s="19" t="n">
        <v>32509</v>
      </c>
      <c r="B211" s="61">
        <f>VLOOKUP(Table18[[#This Row],[Date]],database!A:G,5,)</f>
        <v/>
      </c>
      <c r="C211" s="74">
        <f>B211/B210-1</f>
        <v/>
      </c>
      <c r="D211" s="74">
        <f>(Table18[[#This Row],[Index]]-B199)/B199</f>
        <v/>
      </c>
    </row>
    <row r="212">
      <c r="A212" s="19" t="n">
        <v>32540</v>
      </c>
      <c r="B212" s="61">
        <f>VLOOKUP(Table18[[#This Row],[Date]],database!A:G,5,)</f>
        <v/>
      </c>
      <c r="C212" s="74">
        <f>B212/B211-1</f>
        <v/>
      </c>
      <c r="D212" s="74">
        <f>(Table18[[#This Row],[Index]]-B200)/B200</f>
        <v/>
      </c>
    </row>
    <row r="213">
      <c r="A213" s="19" t="n">
        <v>32568</v>
      </c>
      <c r="B213" s="61">
        <f>VLOOKUP(Table18[[#This Row],[Date]],database!A:G,5,)</f>
        <v/>
      </c>
      <c r="C213" s="74">
        <f>B213/B212-1</f>
        <v/>
      </c>
      <c r="D213" s="74">
        <f>(Table18[[#This Row],[Index]]-B201)/B201</f>
        <v/>
      </c>
    </row>
    <row r="214">
      <c r="A214" s="19" t="n">
        <v>32599</v>
      </c>
      <c r="B214" s="61">
        <f>VLOOKUP(Table18[[#This Row],[Date]],database!A:G,5,)</f>
        <v/>
      </c>
      <c r="C214" s="74">
        <f>B214/B213-1</f>
        <v/>
      </c>
      <c r="D214" s="74">
        <f>(Table18[[#This Row],[Index]]-B202)/B202</f>
        <v/>
      </c>
    </row>
    <row r="215">
      <c r="A215" s="19" t="n">
        <v>32629</v>
      </c>
      <c r="B215" s="61">
        <f>VLOOKUP(Table18[[#This Row],[Date]],database!A:G,5,)</f>
        <v/>
      </c>
      <c r="C215" s="74">
        <f>B215/B214-1</f>
        <v/>
      </c>
      <c r="D215" s="74">
        <f>(Table18[[#This Row],[Index]]-B203)/B203</f>
        <v/>
      </c>
    </row>
    <row r="216">
      <c r="A216" s="19" t="n">
        <v>32660</v>
      </c>
      <c r="B216" s="61">
        <f>VLOOKUP(Table18[[#This Row],[Date]],database!A:G,5,)</f>
        <v/>
      </c>
      <c r="C216" s="74">
        <f>B216/B215-1</f>
        <v/>
      </c>
      <c r="D216" s="74">
        <f>(Table18[[#This Row],[Index]]-B204)/B204</f>
        <v/>
      </c>
    </row>
    <row r="217">
      <c r="A217" s="19" t="n">
        <v>32690</v>
      </c>
      <c r="B217" s="61">
        <f>VLOOKUP(Table18[[#This Row],[Date]],database!A:G,5,)</f>
        <v/>
      </c>
      <c r="C217" s="74">
        <f>B217/B216-1</f>
        <v/>
      </c>
      <c r="D217" s="74">
        <f>(Table18[[#This Row],[Index]]-B205)/B205</f>
        <v/>
      </c>
    </row>
    <row r="218">
      <c r="A218" s="19" t="n">
        <v>32721</v>
      </c>
      <c r="B218" s="61">
        <f>VLOOKUP(Table18[[#This Row],[Date]],database!A:G,5,)</f>
        <v/>
      </c>
      <c r="C218" s="74">
        <f>B218/B217-1</f>
        <v/>
      </c>
      <c r="D218" s="74">
        <f>(Table18[[#This Row],[Index]]-B206)/B206</f>
        <v/>
      </c>
    </row>
    <row r="219">
      <c r="A219" s="19" t="n">
        <v>32752</v>
      </c>
      <c r="B219" s="61">
        <f>VLOOKUP(Table18[[#This Row],[Date]],database!A:G,5,)</f>
        <v/>
      </c>
      <c r="C219" s="74">
        <f>B219/B218-1</f>
        <v/>
      </c>
      <c r="D219" s="74">
        <f>(Table18[[#This Row],[Index]]-B207)/B207</f>
        <v/>
      </c>
    </row>
    <row r="220">
      <c r="A220" s="19" t="n">
        <v>32782</v>
      </c>
      <c r="B220" s="61">
        <f>VLOOKUP(Table18[[#This Row],[Date]],database!A:G,5,)</f>
        <v/>
      </c>
      <c r="C220" s="74">
        <f>B220/B219-1</f>
        <v/>
      </c>
      <c r="D220" s="74">
        <f>(Table18[[#This Row],[Index]]-B208)/B208</f>
        <v/>
      </c>
    </row>
    <row r="221">
      <c r="A221" s="19" t="n">
        <v>32813</v>
      </c>
      <c r="B221" s="61">
        <f>VLOOKUP(Table18[[#This Row],[Date]],database!A:G,5,)</f>
        <v/>
      </c>
      <c r="C221" s="74">
        <f>B221/B220-1</f>
        <v/>
      </c>
      <c r="D221" s="74">
        <f>(Table18[[#This Row],[Index]]-B209)/B209</f>
        <v/>
      </c>
    </row>
    <row r="222">
      <c r="A222" s="19" t="n">
        <v>32843</v>
      </c>
      <c r="B222" s="61">
        <f>VLOOKUP(Table18[[#This Row],[Date]],database!A:G,5,)</f>
        <v/>
      </c>
      <c r="C222" s="74">
        <f>B222/B221-1</f>
        <v/>
      </c>
      <c r="D222" s="74">
        <f>(Table18[[#This Row],[Index]]-B210)/B210</f>
        <v/>
      </c>
    </row>
    <row r="223">
      <c r="A223" s="19" t="n">
        <v>32874</v>
      </c>
      <c r="B223" s="61">
        <f>VLOOKUP(Table18[[#This Row],[Date]],database!A:G,5,)</f>
        <v/>
      </c>
      <c r="C223" s="74">
        <f>B223/B222-1</f>
        <v/>
      </c>
      <c r="D223" s="74">
        <f>(Table18[[#This Row],[Index]]-B211)/B211</f>
        <v/>
      </c>
    </row>
    <row r="224">
      <c r="A224" s="19" t="n">
        <v>32905</v>
      </c>
      <c r="B224" s="61">
        <f>VLOOKUP(Table18[[#This Row],[Date]],database!A:G,5,)</f>
        <v/>
      </c>
      <c r="C224" s="74">
        <f>B224/B223-1</f>
        <v/>
      </c>
      <c r="D224" s="74">
        <f>(Table18[[#This Row],[Index]]-B212)/B212</f>
        <v/>
      </c>
    </row>
    <row r="225">
      <c r="A225" s="19" t="n">
        <v>32933</v>
      </c>
      <c r="B225" s="61">
        <f>VLOOKUP(Table18[[#This Row],[Date]],database!A:G,5,)</f>
        <v/>
      </c>
      <c r="C225" s="74">
        <f>B225/B224-1</f>
        <v/>
      </c>
      <c r="D225" s="74">
        <f>(Table18[[#This Row],[Index]]-B213)/B213</f>
        <v/>
      </c>
    </row>
    <row r="226">
      <c r="A226" s="19" t="n">
        <v>32964</v>
      </c>
      <c r="B226" s="61">
        <f>VLOOKUP(Table18[[#This Row],[Date]],database!A:G,5,)</f>
        <v/>
      </c>
      <c r="C226" s="74">
        <f>B226/B225-1</f>
        <v/>
      </c>
      <c r="D226" s="74">
        <f>(Table18[[#This Row],[Index]]-B214)/B214</f>
        <v/>
      </c>
    </row>
    <row r="227">
      <c r="A227" s="19" t="n">
        <v>32994</v>
      </c>
      <c r="B227" s="61">
        <f>VLOOKUP(Table18[[#This Row],[Date]],database!A:G,5,)</f>
        <v/>
      </c>
      <c r="C227" s="74">
        <f>B227/B226-1</f>
        <v/>
      </c>
      <c r="D227" s="74">
        <f>(Table18[[#This Row],[Index]]-B215)/B215</f>
        <v/>
      </c>
    </row>
    <row r="228">
      <c r="A228" s="19" t="n">
        <v>33025</v>
      </c>
      <c r="B228" s="61">
        <f>VLOOKUP(Table18[[#This Row],[Date]],database!A:G,5,)</f>
        <v/>
      </c>
      <c r="C228" s="74">
        <f>B228/B227-1</f>
        <v/>
      </c>
      <c r="D228" s="74">
        <f>(Table18[[#This Row],[Index]]-B216)/B216</f>
        <v/>
      </c>
    </row>
    <row r="229">
      <c r="A229" s="19" t="n">
        <v>33055</v>
      </c>
      <c r="B229" s="61">
        <f>VLOOKUP(Table18[[#This Row],[Date]],database!A:G,5,)</f>
        <v/>
      </c>
      <c r="C229" s="74">
        <f>B229/B228-1</f>
        <v/>
      </c>
      <c r="D229" s="74">
        <f>(Table18[[#This Row],[Index]]-B217)/B217</f>
        <v/>
      </c>
    </row>
    <row r="230">
      <c r="A230" s="19" t="n">
        <v>33086</v>
      </c>
      <c r="B230" s="61">
        <f>VLOOKUP(Table18[[#This Row],[Date]],database!A:G,5,)</f>
        <v/>
      </c>
      <c r="C230" s="74">
        <f>B230/B229-1</f>
        <v/>
      </c>
      <c r="D230" s="74">
        <f>(Table18[[#This Row],[Index]]-B218)/B218</f>
        <v/>
      </c>
    </row>
    <row r="231">
      <c r="A231" s="19" t="n">
        <v>33117</v>
      </c>
      <c r="B231" s="61">
        <f>VLOOKUP(Table18[[#This Row],[Date]],database!A:G,5,)</f>
        <v/>
      </c>
      <c r="C231" s="74">
        <f>B231/B230-1</f>
        <v/>
      </c>
      <c r="D231" s="74">
        <f>(Table18[[#This Row],[Index]]-B219)/B219</f>
        <v/>
      </c>
    </row>
    <row r="232">
      <c r="A232" s="19" t="n">
        <v>33147</v>
      </c>
      <c r="B232" s="61">
        <f>VLOOKUP(Table18[[#This Row],[Date]],database!A:G,5,)</f>
        <v/>
      </c>
      <c r="C232" s="74">
        <f>B232/B231-1</f>
        <v/>
      </c>
      <c r="D232" s="74">
        <f>(Table18[[#This Row],[Index]]-B220)/B220</f>
        <v/>
      </c>
    </row>
    <row r="233">
      <c r="A233" s="19" t="n">
        <v>33178</v>
      </c>
      <c r="B233" s="61">
        <f>VLOOKUP(Table18[[#This Row],[Date]],database!A:G,5,)</f>
        <v/>
      </c>
      <c r="C233" s="74">
        <f>B233/B232-1</f>
        <v/>
      </c>
      <c r="D233" s="74">
        <f>(Table18[[#This Row],[Index]]-B221)/B221</f>
        <v/>
      </c>
    </row>
    <row r="234">
      <c r="A234" s="19" t="n">
        <v>33208</v>
      </c>
      <c r="B234" s="61">
        <f>VLOOKUP(Table18[[#This Row],[Date]],database!A:G,5,)</f>
        <v/>
      </c>
      <c r="C234" s="74">
        <f>B234/B233-1</f>
        <v/>
      </c>
      <c r="D234" s="74">
        <f>(Table18[[#This Row],[Index]]-B222)/B222</f>
        <v/>
      </c>
    </row>
    <row r="235">
      <c r="A235" s="19" t="n">
        <v>33239</v>
      </c>
      <c r="B235" s="61">
        <f>VLOOKUP(Table18[[#This Row],[Date]],database!A:G,5,)</f>
        <v/>
      </c>
      <c r="C235" s="74">
        <f>B235/B234-1</f>
        <v/>
      </c>
      <c r="D235" s="74">
        <f>(Table18[[#This Row],[Index]]-B223)/B223</f>
        <v/>
      </c>
    </row>
    <row r="236">
      <c r="A236" s="19" t="n">
        <v>33270</v>
      </c>
      <c r="B236" s="61">
        <f>VLOOKUP(Table18[[#This Row],[Date]],database!A:G,5,)</f>
        <v/>
      </c>
      <c r="C236" s="74">
        <f>B236/B235-1</f>
        <v/>
      </c>
      <c r="D236" s="74">
        <f>(Table18[[#This Row],[Index]]-B224)/B224</f>
        <v/>
      </c>
    </row>
    <row r="237">
      <c r="A237" s="19" t="n">
        <v>33298</v>
      </c>
      <c r="B237" s="61">
        <f>VLOOKUP(Table18[[#This Row],[Date]],database!A:G,5,)</f>
        <v/>
      </c>
      <c r="C237" s="74">
        <f>B237/B236-1</f>
        <v/>
      </c>
      <c r="D237" s="74">
        <f>(Table18[[#This Row],[Index]]-B225)/B225</f>
        <v/>
      </c>
    </row>
    <row r="238">
      <c r="A238" s="19" t="n">
        <v>33329</v>
      </c>
      <c r="B238" s="61">
        <f>VLOOKUP(Table18[[#This Row],[Date]],database!A:G,5,)</f>
        <v/>
      </c>
      <c r="C238" s="74">
        <f>B238/B237-1</f>
        <v/>
      </c>
      <c r="D238" s="74">
        <f>(Table18[[#This Row],[Index]]-B226)/B226</f>
        <v/>
      </c>
    </row>
    <row r="239">
      <c r="A239" s="19" t="n">
        <v>33359</v>
      </c>
      <c r="B239" s="61">
        <f>VLOOKUP(Table18[[#This Row],[Date]],database!A:G,5,)</f>
        <v/>
      </c>
      <c r="C239" s="74">
        <f>B239/B238-1</f>
        <v/>
      </c>
      <c r="D239" s="74">
        <f>(Table18[[#This Row],[Index]]-B227)/B227</f>
        <v/>
      </c>
    </row>
    <row r="240">
      <c r="A240" s="19" t="n">
        <v>33390</v>
      </c>
      <c r="B240" s="61">
        <f>VLOOKUP(Table18[[#This Row],[Date]],database!A:G,5,)</f>
        <v/>
      </c>
      <c r="C240" s="74">
        <f>B240/B239-1</f>
        <v/>
      </c>
      <c r="D240" s="74">
        <f>(Table18[[#This Row],[Index]]-B228)/B228</f>
        <v/>
      </c>
    </row>
    <row r="241">
      <c r="A241" s="19" t="n">
        <v>33420</v>
      </c>
      <c r="B241" s="61">
        <f>VLOOKUP(Table18[[#This Row],[Date]],database!A:G,5,)</f>
        <v/>
      </c>
      <c r="C241" s="74">
        <f>B241/B240-1</f>
        <v/>
      </c>
      <c r="D241" s="74">
        <f>(Table18[[#This Row],[Index]]-B229)/B229</f>
        <v/>
      </c>
    </row>
    <row r="242">
      <c r="A242" s="19" t="n">
        <v>33451</v>
      </c>
      <c r="B242" s="61">
        <f>VLOOKUP(Table18[[#This Row],[Date]],database!A:G,5,)</f>
        <v/>
      </c>
      <c r="C242" s="74">
        <f>B242/B241-1</f>
        <v/>
      </c>
      <c r="D242" s="74">
        <f>(Table18[[#This Row],[Index]]-B230)/B230</f>
        <v/>
      </c>
    </row>
    <row r="243">
      <c r="A243" s="19" t="n">
        <v>33482</v>
      </c>
      <c r="B243" s="61">
        <f>VLOOKUP(Table18[[#This Row],[Date]],database!A:G,5,)</f>
        <v/>
      </c>
      <c r="C243" s="74">
        <f>B243/B242-1</f>
        <v/>
      </c>
      <c r="D243" s="74">
        <f>(Table18[[#This Row],[Index]]-B231)/B231</f>
        <v/>
      </c>
    </row>
    <row r="244">
      <c r="A244" s="19" t="n">
        <v>33512</v>
      </c>
      <c r="B244" s="61">
        <f>VLOOKUP(Table18[[#This Row],[Date]],database!A:G,5,)</f>
        <v/>
      </c>
      <c r="C244" s="74">
        <f>B244/B243-1</f>
        <v/>
      </c>
      <c r="D244" s="74">
        <f>(Table18[[#This Row],[Index]]-B232)/B232</f>
        <v/>
      </c>
    </row>
    <row r="245">
      <c r="A245" s="19" t="n">
        <v>33543</v>
      </c>
      <c r="B245" s="61">
        <f>VLOOKUP(Table18[[#This Row],[Date]],database!A:G,5,)</f>
        <v/>
      </c>
      <c r="C245" s="74">
        <f>B245/B244-1</f>
        <v/>
      </c>
      <c r="D245" s="74">
        <f>(Table18[[#This Row],[Index]]-B233)/B233</f>
        <v/>
      </c>
    </row>
    <row r="246">
      <c r="A246" s="19" t="n">
        <v>33573</v>
      </c>
      <c r="B246" s="61">
        <f>VLOOKUP(Table18[[#This Row],[Date]],database!A:G,5,)</f>
        <v/>
      </c>
      <c r="C246" s="74">
        <f>B246/B245-1</f>
        <v/>
      </c>
      <c r="D246" s="74">
        <f>(Table18[[#This Row],[Index]]-B234)/B234</f>
        <v/>
      </c>
    </row>
    <row r="247">
      <c r="A247" s="19" t="n">
        <v>33604</v>
      </c>
      <c r="B247" s="61">
        <f>VLOOKUP(Table18[[#This Row],[Date]],database!A:G,5,)</f>
        <v/>
      </c>
      <c r="C247" s="74">
        <f>B247/B246-1</f>
        <v/>
      </c>
      <c r="D247" s="74">
        <f>(Table18[[#This Row],[Index]]-B235)/B235</f>
        <v/>
      </c>
    </row>
    <row r="248">
      <c r="A248" s="19" t="n">
        <v>33635</v>
      </c>
      <c r="B248" s="61">
        <f>VLOOKUP(Table18[[#This Row],[Date]],database!A:G,5,)</f>
        <v/>
      </c>
      <c r="C248" s="74">
        <f>B248/B247-1</f>
        <v/>
      </c>
      <c r="D248" s="74">
        <f>(Table18[[#This Row],[Index]]-B236)/B236</f>
        <v/>
      </c>
    </row>
    <row r="249">
      <c r="A249" s="19" t="n">
        <v>33664</v>
      </c>
      <c r="B249" s="61">
        <f>VLOOKUP(Table18[[#This Row],[Date]],database!A:G,5,)</f>
        <v/>
      </c>
      <c r="C249" s="74">
        <f>B249/B248-1</f>
        <v/>
      </c>
      <c r="D249" s="74">
        <f>(Table18[[#This Row],[Index]]-B237)/B237</f>
        <v/>
      </c>
    </row>
    <row r="250">
      <c r="A250" s="19" t="n">
        <v>33695</v>
      </c>
      <c r="B250" s="61">
        <f>VLOOKUP(Table18[[#This Row],[Date]],database!A:G,5,)</f>
        <v/>
      </c>
      <c r="C250" s="74">
        <f>B250/B249-1</f>
        <v/>
      </c>
      <c r="D250" s="74">
        <f>(Table18[[#This Row],[Index]]-B238)/B238</f>
        <v/>
      </c>
    </row>
    <row r="251">
      <c r="A251" s="19" t="n">
        <v>33725</v>
      </c>
      <c r="B251" s="61">
        <f>VLOOKUP(Table18[[#This Row],[Date]],database!A:G,5,)</f>
        <v/>
      </c>
      <c r="C251" s="74">
        <f>B251/B250-1</f>
        <v/>
      </c>
      <c r="D251" s="74">
        <f>(Table18[[#This Row],[Index]]-B239)/B239</f>
        <v/>
      </c>
    </row>
    <row r="252">
      <c r="A252" s="19" t="n">
        <v>33756</v>
      </c>
      <c r="B252" s="61">
        <f>VLOOKUP(Table18[[#This Row],[Date]],database!A:G,5,)</f>
        <v/>
      </c>
      <c r="C252" s="74">
        <f>B252/B251-1</f>
        <v/>
      </c>
      <c r="D252" s="74">
        <f>(Table18[[#This Row],[Index]]-B240)/B240</f>
        <v/>
      </c>
    </row>
    <row r="253">
      <c r="A253" s="19" t="n">
        <v>33786</v>
      </c>
      <c r="B253" s="61">
        <f>VLOOKUP(Table18[[#This Row],[Date]],database!A:G,5,)</f>
        <v/>
      </c>
      <c r="C253" s="74">
        <f>B253/B252-1</f>
        <v/>
      </c>
      <c r="D253" s="74">
        <f>(Table18[[#This Row],[Index]]-B241)/B241</f>
        <v/>
      </c>
    </row>
    <row r="254">
      <c r="A254" s="19" t="n">
        <v>33817</v>
      </c>
      <c r="B254" s="61">
        <f>VLOOKUP(Table18[[#This Row],[Date]],database!A:G,5,)</f>
        <v/>
      </c>
      <c r="C254" s="74">
        <f>B254/B253-1</f>
        <v/>
      </c>
      <c r="D254" s="74">
        <f>(Table18[[#This Row],[Index]]-B242)/B242</f>
        <v/>
      </c>
    </row>
    <row r="255">
      <c r="A255" s="19" t="n">
        <v>33848</v>
      </c>
      <c r="B255" s="61">
        <f>VLOOKUP(Table18[[#This Row],[Date]],database!A:G,5,)</f>
        <v/>
      </c>
      <c r="C255" s="74">
        <f>B255/B254-1</f>
        <v/>
      </c>
      <c r="D255" s="74">
        <f>(Table18[[#This Row],[Index]]-B243)/B243</f>
        <v/>
      </c>
    </row>
    <row r="256">
      <c r="A256" s="19" t="n">
        <v>33878</v>
      </c>
      <c r="B256" s="61">
        <f>VLOOKUP(Table18[[#This Row],[Date]],database!A:G,5,)</f>
        <v/>
      </c>
      <c r="C256" s="74">
        <f>B256/B255-1</f>
        <v/>
      </c>
      <c r="D256" s="74">
        <f>(Table18[[#This Row],[Index]]-B244)/B244</f>
        <v/>
      </c>
    </row>
    <row r="257">
      <c r="A257" s="19" t="n">
        <v>33909</v>
      </c>
      <c r="B257" s="61">
        <f>VLOOKUP(Table18[[#This Row],[Date]],database!A:G,5,)</f>
        <v/>
      </c>
      <c r="C257" s="74">
        <f>B257/B256-1</f>
        <v/>
      </c>
      <c r="D257" s="74">
        <f>(Table18[[#This Row],[Index]]-B245)/B245</f>
        <v/>
      </c>
    </row>
    <row r="258">
      <c r="A258" s="19" t="n">
        <v>33939</v>
      </c>
      <c r="B258" s="61">
        <f>VLOOKUP(Table18[[#This Row],[Date]],database!A:G,5,)</f>
        <v/>
      </c>
      <c r="C258" s="74">
        <f>B258/B257-1</f>
        <v/>
      </c>
      <c r="D258" s="74">
        <f>(Table18[[#This Row],[Index]]-B246)/B246</f>
        <v/>
      </c>
    </row>
    <row r="259">
      <c r="A259" s="19" t="n">
        <v>33970</v>
      </c>
      <c r="B259" s="61">
        <f>VLOOKUP(Table18[[#This Row],[Date]],database!A:G,5,)</f>
        <v/>
      </c>
      <c r="C259" s="74">
        <f>B259/B258-1</f>
        <v/>
      </c>
      <c r="D259" s="74">
        <f>(Table18[[#This Row],[Index]]-B247)/B247</f>
        <v/>
      </c>
    </row>
    <row r="260">
      <c r="A260" s="19" t="n">
        <v>34001</v>
      </c>
      <c r="B260" s="61">
        <f>VLOOKUP(Table18[[#This Row],[Date]],database!A:G,5,)</f>
        <v/>
      </c>
      <c r="C260" s="74">
        <f>B260/B259-1</f>
        <v/>
      </c>
      <c r="D260" s="74">
        <f>(Table18[[#This Row],[Index]]-B248)/B248</f>
        <v/>
      </c>
    </row>
    <row r="261">
      <c r="A261" s="19" t="n">
        <v>34029</v>
      </c>
      <c r="B261" s="61">
        <f>VLOOKUP(Table18[[#This Row],[Date]],database!A:G,5,)</f>
        <v/>
      </c>
      <c r="C261" s="74">
        <f>B261/B260-1</f>
        <v/>
      </c>
      <c r="D261" s="74">
        <f>(Table18[[#This Row],[Index]]-B249)/B249</f>
        <v/>
      </c>
    </row>
    <row r="262">
      <c r="A262" s="19" t="n">
        <v>34060</v>
      </c>
      <c r="B262" s="61">
        <f>VLOOKUP(Table18[[#This Row],[Date]],database!A:G,5,)</f>
        <v/>
      </c>
      <c r="C262" s="74">
        <f>B262/B261-1</f>
        <v/>
      </c>
      <c r="D262" s="74">
        <f>(Table18[[#This Row],[Index]]-B250)/B250</f>
        <v/>
      </c>
    </row>
    <row r="263">
      <c r="A263" s="19" t="n">
        <v>34090</v>
      </c>
      <c r="B263" s="61">
        <f>VLOOKUP(Table18[[#This Row],[Date]],database!A:G,5,)</f>
        <v/>
      </c>
      <c r="C263" s="74">
        <f>B263/B262-1</f>
        <v/>
      </c>
      <c r="D263" s="74">
        <f>(Table18[[#This Row],[Index]]-B251)/B251</f>
        <v/>
      </c>
    </row>
    <row r="264">
      <c r="A264" s="19" t="n">
        <v>34121</v>
      </c>
      <c r="B264" s="61">
        <f>VLOOKUP(Table18[[#This Row],[Date]],database!A:G,5,)</f>
        <v/>
      </c>
      <c r="C264" s="74">
        <f>B264/B263-1</f>
        <v/>
      </c>
      <c r="D264" s="74">
        <f>(Table18[[#This Row],[Index]]-B252)/B252</f>
        <v/>
      </c>
    </row>
    <row r="265">
      <c r="A265" s="19" t="n">
        <v>34151</v>
      </c>
      <c r="B265" s="61">
        <f>VLOOKUP(Table18[[#This Row],[Date]],database!A:G,5,)</f>
        <v/>
      </c>
      <c r="C265" s="74">
        <f>B265/B264-1</f>
        <v/>
      </c>
      <c r="D265" s="74">
        <f>(Table18[[#This Row],[Index]]-B253)/B253</f>
        <v/>
      </c>
    </row>
    <row r="266">
      <c r="A266" s="19" t="n">
        <v>34182</v>
      </c>
      <c r="B266" s="61">
        <f>VLOOKUP(Table18[[#This Row],[Date]],database!A:G,5,)</f>
        <v/>
      </c>
      <c r="C266" s="74">
        <f>B266/B265-1</f>
        <v/>
      </c>
      <c r="D266" s="74">
        <f>(Table18[[#This Row],[Index]]-B254)/B254</f>
        <v/>
      </c>
    </row>
    <row r="267">
      <c r="A267" s="19" t="n">
        <v>34213</v>
      </c>
      <c r="B267" s="61">
        <f>VLOOKUP(Table18[[#This Row],[Date]],database!A:G,5,)</f>
        <v/>
      </c>
      <c r="C267" s="74">
        <f>B267/B266-1</f>
        <v/>
      </c>
      <c r="D267" s="74">
        <f>(Table18[[#This Row],[Index]]-B255)/B255</f>
        <v/>
      </c>
    </row>
    <row r="268">
      <c r="A268" s="19" t="n">
        <v>34243</v>
      </c>
      <c r="B268" s="61">
        <f>VLOOKUP(Table18[[#This Row],[Date]],database!A:G,5,)</f>
        <v/>
      </c>
      <c r="C268" s="74">
        <f>B268/B267-1</f>
        <v/>
      </c>
      <c r="D268" s="74">
        <f>(Table18[[#This Row],[Index]]-B256)/B256</f>
        <v/>
      </c>
    </row>
    <row r="269">
      <c r="A269" s="19" t="n">
        <v>34274</v>
      </c>
      <c r="B269" s="61">
        <f>VLOOKUP(Table18[[#This Row],[Date]],database!A:G,5,)</f>
        <v/>
      </c>
      <c r="C269" s="74">
        <f>B269/B268-1</f>
        <v/>
      </c>
      <c r="D269" s="74">
        <f>(Table18[[#This Row],[Index]]-B257)/B257</f>
        <v/>
      </c>
    </row>
    <row r="270">
      <c r="A270" s="19" t="n">
        <v>34304</v>
      </c>
      <c r="B270" s="61">
        <f>VLOOKUP(Table18[[#This Row],[Date]],database!A:G,5,)</f>
        <v/>
      </c>
      <c r="C270" s="74">
        <f>B270/B269-1</f>
        <v/>
      </c>
      <c r="D270" s="74">
        <f>(Table18[[#This Row],[Index]]-B258)/B258</f>
        <v/>
      </c>
    </row>
    <row r="271">
      <c r="A271" s="19" t="n">
        <v>34335</v>
      </c>
      <c r="B271" s="61">
        <f>VLOOKUP(Table18[[#This Row],[Date]],database!A:G,5,)</f>
        <v/>
      </c>
      <c r="C271" s="74">
        <f>B271/B270-1</f>
        <v/>
      </c>
      <c r="D271" s="74">
        <f>(Table18[[#This Row],[Index]]-B259)/B259</f>
        <v/>
      </c>
    </row>
    <row r="272">
      <c r="A272" s="19" t="n">
        <v>34366</v>
      </c>
      <c r="B272" s="61">
        <f>VLOOKUP(Table18[[#This Row],[Date]],database!A:G,5,)</f>
        <v/>
      </c>
      <c r="C272" s="74">
        <f>B272/B271-1</f>
        <v/>
      </c>
      <c r="D272" s="74">
        <f>(Table18[[#This Row],[Index]]-B260)/B260</f>
        <v/>
      </c>
    </row>
    <row r="273">
      <c r="A273" s="19" t="n">
        <v>34394</v>
      </c>
      <c r="B273" s="61">
        <f>VLOOKUP(Table18[[#This Row],[Date]],database!A:G,5,)</f>
        <v/>
      </c>
      <c r="C273" s="74">
        <f>B273/B272-1</f>
        <v/>
      </c>
      <c r="D273" s="74">
        <f>(Table18[[#This Row],[Index]]-B261)/B261</f>
        <v/>
      </c>
    </row>
    <row r="274">
      <c r="A274" s="19" t="n">
        <v>34425</v>
      </c>
      <c r="B274" s="61">
        <f>VLOOKUP(Table18[[#This Row],[Date]],database!A:G,5,)</f>
        <v/>
      </c>
      <c r="C274" s="74">
        <f>B274/B273-1</f>
        <v/>
      </c>
      <c r="D274" s="74">
        <f>(Table18[[#This Row],[Index]]-B262)/B262</f>
        <v/>
      </c>
    </row>
    <row r="275">
      <c r="A275" s="19" t="n">
        <v>34455</v>
      </c>
      <c r="B275" s="61">
        <f>VLOOKUP(Table18[[#This Row],[Date]],database!A:G,5,)</f>
        <v/>
      </c>
      <c r="C275" s="74">
        <f>B275/B274-1</f>
        <v/>
      </c>
      <c r="D275" s="74">
        <f>(Table18[[#This Row],[Index]]-B263)/B263</f>
        <v/>
      </c>
    </row>
    <row r="276">
      <c r="A276" s="19" t="n">
        <v>34486</v>
      </c>
      <c r="B276" s="61">
        <f>VLOOKUP(Table18[[#This Row],[Date]],database!A:G,5,)</f>
        <v/>
      </c>
      <c r="C276" s="74">
        <f>B276/B275-1</f>
        <v/>
      </c>
      <c r="D276" s="74">
        <f>(Table18[[#This Row],[Index]]-B264)/B264</f>
        <v/>
      </c>
    </row>
    <row r="277">
      <c r="A277" s="19" t="n">
        <v>34516</v>
      </c>
      <c r="B277" s="61">
        <f>VLOOKUP(Table18[[#This Row],[Date]],database!A:G,5,)</f>
        <v/>
      </c>
      <c r="C277" s="74">
        <f>B277/B276-1</f>
        <v/>
      </c>
      <c r="D277" s="74">
        <f>(Table18[[#This Row],[Index]]-B265)/B265</f>
        <v/>
      </c>
    </row>
    <row r="278">
      <c r="A278" s="19" t="n">
        <v>34547</v>
      </c>
      <c r="B278" s="61">
        <f>VLOOKUP(Table18[[#This Row],[Date]],database!A:G,5,)</f>
        <v/>
      </c>
      <c r="C278" s="74">
        <f>B278/B277-1</f>
        <v/>
      </c>
      <c r="D278" s="74">
        <f>(Table18[[#This Row],[Index]]-B266)/B266</f>
        <v/>
      </c>
    </row>
    <row r="279">
      <c r="A279" s="19" t="n">
        <v>34578</v>
      </c>
      <c r="B279" s="61">
        <f>VLOOKUP(Table18[[#This Row],[Date]],database!A:G,5,)</f>
        <v/>
      </c>
      <c r="C279" s="74">
        <f>B279/B278-1</f>
        <v/>
      </c>
      <c r="D279" s="74">
        <f>(Table18[[#This Row],[Index]]-B267)/B267</f>
        <v/>
      </c>
    </row>
    <row r="280">
      <c r="A280" s="19" t="n">
        <v>34608</v>
      </c>
      <c r="B280" s="61">
        <f>VLOOKUP(Table18[[#This Row],[Date]],database!A:G,5,)</f>
        <v/>
      </c>
      <c r="C280" s="74">
        <f>B280/B279-1</f>
        <v/>
      </c>
      <c r="D280" s="74">
        <f>(Table18[[#This Row],[Index]]-B268)/B268</f>
        <v/>
      </c>
    </row>
    <row r="281">
      <c r="A281" s="19" t="n">
        <v>34639</v>
      </c>
      <c r="B281" s="61">
        <f>VLOOKUP(Table18[[#This Row],[Date]],database!A:G,5,)</f>
        <v/>
      </c>
      <c r="C281" s="74">
        <f>B281/B280-1</f>
        <v/>
      </c>
      <c r="D281" s="74">
        <f>(Table18[[#This Row],[Index]]-B269)/B269</f>
        <v/>
      </c>
    </row>
    <row r="282">
      <c r="A282" s="19" t="n">
        <v>34669</v>
      </c>
      <c r="B282" s="61">
        <f>VLOOKUP(Table18[[#This Row],[Date]],database!A:G,5,)</f>
        <v/>
      </c>
      <c r="C282" s="74">
        <f>B282/B281-1</f>
        <v/>
      </c>
      <c r="D282" s="74">
        <f>(Table18[[#This Row],[Index]]-B270)/B270</f>
        <v/>
      </c>
    </row>
    <row r="283">
      <c r="A283" s="19" t="n">
        <v>34700</v>
      </c>
      <c r="B283" s="61">
        <f>VLOOKUP(Table18[[#This Row],[Date]],database!A:G,5,)</f>
        <v/>
      </c>
      <c r="C283" s="74">
        <f>B283/B282-1</f>
        <v/>
      </c>
      <c r="D283" s="74">
        <f>(Table18[[#This Row],[Index]]-B271)/B271</f>
        <v/>
      </c>
    </row>
    <row r="284">
      <c r="A284" s="19" t="n">
        <v>34731</v>
      </c>
      <c r="B284" s="61">
        <f>VLOOKUP(Table18[[#This Row],[Date]],database!A:G,5,)</f>
        <v/>
      </c>
      <c r="C284" s="74">
        <f>B284/B283-1</f>
        <v/>
      </c>
      <c r="D284" s="74">
        <f>(Table18[[#This Row],[Index]]-B272)/B272</f>
        <v/>
      </c>
    </row>
    <row r="285">
      <c r="A285" s="19" t="n">
        <v>34759</v>
      </c>
      <c r="B285" s="61">
        <f>VLOOKUP(Table18[[#This Row],[Date]],database!A:G,5,)</f>
        <v/>
      </c>
      <c r="C285" s="74">
        <f>B285/B284-1</f>
        <v/>
      </c>
      <c r="D285" s="74">
        <f>(Table18[[#This Row],[Index]]-B273)/B273</f>
        <v/>
      </c>
    </row>
    <row r="286">
      <c r="A286" s="19" t="n">
        <v>34790</v>
      </c>
      <c r="B286" s="61">
        <f>VLOOKUP(Table18[[#This Row],[Date]],database!A:G,5,)</f>
        <v/>
      </c>
      <c r="C286" s="74">
        <f>B286/B285-1</f>
        <v/>
      </c>
      <c r="D286" s="74">
        <f>(Table18[[#This Row],[Index]]-B274)/B274</f>
        <v/>
      </c>
    </row>
    <row r="287">
      <c r="A287" s="19" t="n">
        <v>34820</v>
      </c>
      <c r="B287" s="61">
        <f>VLOOKUP(Table18[[#This Row],[Date]],database!A:G,5,)</f>
        <v/>
      </c>
      <c r="C287" s="74">
        <f>B287/B286-1</f>
        <v/>
      </c>
      <c r="D287" s="74">
        <f>(Table18[[#This Row],[Index]]-B275)/B275</f>
        <v/>
      </c>
    </row>
    <row r="288">
      <c r="A288" s="19" t="n">
        <v>34851</v>
      </c>
      <c r="B288" s="61">
        <f>VLOOKUP(Table18[[#This Row],[Date]],database!A:G,5,)</f>
        <v/>
      </c>
      <c r="C288" s="74">
        <f>B288/B287-1</f>
        <v/>
      </c>
      <c r="D288" s="74">
        <f>(Table18[[#This Row],[Index]]-B276)/B276</f>
        <v/>
      </c>
    </row>
    <row r="289">
      <c r="A289" s="19" t="n">
        <v>34881</v>
      </c>
      <c r="B289" s="61">
        <f>VLOOKUP(Table18[[#This Row],[Date]],database!A:G,5,)</f>
        <v/>
      </c>
      <c r="C289" s="74">
        <f>B289/B288-1</f>
        <v/>
      </c>
      <c r="D289" s="74">
        <f>(Table18[[#This Row],[Index]]-B277)/B277</f>
        <v/>
      </c>
    </row>
    <row r="290">
      <c r="A290" s="19" t="n">
        <v>34912</v>
      </c>
      <c r="B290" s="61">
        <f>VLOOKUP(Table18[[#This Row],[Date]],database!A:G,5,)</f>
        <v/>
      </c>
      <c r="C290" s="74">
        <f>B290/B289-1</f>
        <v/>
      </c>
      <c r="D290" s="74">
        <f>(Table18[[#This Row],[Index]]-B278)/B278</f>
        <v/>
      </c>
    </row>
    <row r="291">
      <c r="A291" s="19" t="n">
        <v>34943</v>
      </c>
      <c r="B291" s="61">
        <f>VLOOKUP(Table18[[#This Row],[Date]],database!A:G,5,)</f>
        <v/>
      </c>
      <c r="C291" s="74">
        <f>B291/B290-1</f>
        <v/>
      </c>
      <c r="D291" s="74">
        <f>(Table18[[#This Row],[Index]]-B279)/B279</f>
        <v/>
      </c>
    </row>
    <row r="292">
      <c r="A292" s="19" t="n">
        <v>34973</v>
      </c>
      <c r="B292" s="61">
        <f>VLOOKUP(Table18[[#This Row],[Date]],database!A:G,5,)</f>
        <v/>
      </c>
      <c r="C292" s="74">
        <f>B292/B291-1</f>
        <v/>
      </c>
      <c r="D292" s="74">
        <f>(Table18[[#This Row],[Index]]-B280)/B280</f>
        <v/>
      </c>
    </row>
    <row r="293">
      <c r="A293" s="19" t="n">
        <v>35004</v>
      </c>
      <c r="B293" s="61">
        <f>VLOOKUP(Table18[[#This Row],[Date]],database!A:G,5,)</f>
        <v/>
      </c>
      <c r="C293" s="74">
        <f>B293/B292-1</f>
        <v/>
      </c>
      <c r="D293" s="74">
        <f>(Table18[[#This Row],[Index]]-B281)/B281</f>
        <v/>
      </c>
    </row>
    <row r="294">
      <c r="A294" s="19" t="n">
        <v>35034</v>
      </c>
      <c r="B294" s="61">
        <f>VLOOKUP(Table18[[#This Row],[Date]],database!A:G,5,)</f>
        <v/>
      </c>
      <c r="C294" s="74">
        <f>B294/B293-1</f>
        <v/>
      </c>
      <c r="D294" s="74">
        <f>(Table18[[#This Row],[Index]]-B282)/B282</f>
        <v/>
      </c>
    </row>
    <row r="295">
      <c r="A295" s="19" t="n">
        <v>35065</v>
      </c>
      <c r="B295" s="61">
        <f>VLOOKUP(Table18[[#This Row],[Date]],database!A:G,5,)</f>
        <v/>
      </c>
      <c r="C295" s="74">
        <f>B295/B294-1</f>
        <v/>
      </c>
      <c r="D295" s="74">
        <f>(Table18[[#This Row],[Index]]-B283)/B283</f>
        <v/>
      </c>
    </row>
    <row r="296">
      <c r="A296" s="19" t="n">
        <v>35096</v>
      </c>
      <c r="B296" s="61">
        <f>VLOOKUP(Table18[[#This Row],[Date]],database!A:G,5,)</f>
        <v/>
      </c>
      <c r="C296" s="74">
        <f>B296/B295-1</f>
        <v/>
      </c>
      <c r="D296" s="74">
        <f>(Table18[[#This Row],[Index]]-B284)/B284</f>
        <v/>
      </c>
    </row>
    <row r="297">
      <c r="A297" s="19" t="n">
        <v>35125</v>
      </c>
      <c r="B297" s="61">
        <f>VLOOKUP(Table18[[#This Row],[Date]],database!A:G,5,)</f>
        <v/>
      </c>
      <c r="C297" s="74">
        <f>B297/B296-1</f>
        <v/>
      </c>
      <c r="D297" s="74">
        <f>(Table18[[#This Row],[Index]]-B285)/B285</f>
        <v/>
      </c>
    </row>
    <row r="298">
      <c r="A298" s="19" t="n">
        <v>35156</v>
      </c>
      <c r="B298" s="61">
        <f>VLOOKUP(Table18[[#This Row],[Date]],database!A:G,5,)</f>
        <v/>
      </c>
      <c r="C298" s="74">
        <f>B298/B297-1</f>
        <v/>
      </c>
      <c r="D298" s="74">
        <f>(Table18[[#This Row],[Index]]-B286)/B286</f>
        <v/>
      </c>
    </row>
    <row r="299">
      <c r="A299" s="19" t="n">
        <v>35186</v>
      </c>
      <c r="B299" s="61">
        <f>VLOOKUP(Table18[[#This Row],[Date]],database!A:G,5,)</f>
        <v/>
      </c>
      <c r="C299" s="74">
        <f>B299/B298-1</f>
        <v/>
      </c>
      <c r="D299" s="74">
        <f>(Table18[[#This Row],[Index]]-B287)/B287</f>
        <v/>
      </c>
    </row>
    <row r="300">
      <c r="A300" s="19" t="n">
        <v>35217</v>
      </c>
      <c r="B300" s="61">
        <f>VLOOKUP(Table18[[#This Row],[Date]],database!A:G,5,)</f>
        <v/>
      </c>
      <c r="C300" s="74">
        <f>B300/B299-1</f>
        <v/>
      </c>
      <c r="D300" s="74">
        <f>(Table18[[#This Row],[Index]]-B288)/B288</f>
        <v/>
      </c>
    </row>
    <row r="301">
      <c r="A301" s="19" t="n">
        <v>35247</v>
      </c>
      <c r="B301" s="61">
        <f>VLOOKUP(Table18[[#This Row],[Date]],database!A:G,5,)</f>
        <v/>
      </c>
      <c r="C301" s="74">
        <f>B301/B300-1</f>
        <v/>
      </c>
      <c r="D301" s="74">
        <f>(Table18[[#This Row],[Index]]-B289)/B289</f>
        <v/>
      </c>
    </row>
    <row r="302">
      <c r="A302" s="19" t="n">
        <v>35278</v>
      </c>
      <c r="B302" s="61">
        <f>VLOOKUP(Table18[[#This Row],[Date]],database!A:G,5,)</f>
        <v/>
      </c>
      <c r="C302" s="74">
        <f>B302/B301-1</f>
        <v/>
      </c>
      <c r="D302" s="74">
        <f>(Table18[[#This Row],[Index]]-B290)/B290</f>
        <v/>
      </c>
    </row>
    <row r="303">
      <c r="A303" s="19" t="n">
        <v>35309</v>
      </c>
      <c r="B303" s="61">
        <f>VLOOKUP(Table18[[#This Row],[Date]],database!A:G,5,)</f>
        <v/>
      </c>
      <c r="C303" s="74">
        <f>B303/B302-1</f>
        <v/>
      </c>
      <c r="D303" s="74">
        <f>(Table18[[#This Row],[Index]]-B291)/B291</f>
        <v/>
      </c>
    </row>
    <row r="304">
      <c r="A304" s="19" t="n">
        <v>35339</v>
      </c>
      <c r="B304" s="61">
        <f>VLOOKUP(Table18[[#This Row],[Date]],database!A:G,5,)</f>
        <v/>
      </c>
      <c r="C304" s="74">
        <f>B304/B303-1</f>
        <v/>
      </c>
      <c r="D304" s="74">
        <f>(Table18[[#This Row],[Index]]-B292)/B292</f>
        <v/>
      </c>
    </row>
    <row r="305">
      <c r="A305" s="19" t="n">
        <v>35370</v>
      </c>
      <c r="B305" s="61">
        <f>VLOOKUP(Table18[[#This Row],[Date]],database!A:G,5,)</f>
        <v/>
      </c>
      <c r="C305" s="74">
        <f>B305/B304-1</f>
        <v/>
      </c>
      <c r="D305" s="74">
        <f>(Table18[[#This Row],[Index]]-B293)/B293</f>
        <v/>
      </c>
    </row>
    <row r="306">
      <c r="A306" s="19" t="n">
        <v>35400</v>
      </c>
      <c r="B306" s="61">
        <f>VLOOKUP(Table18[[#This Row],[Date]],database!A:G,5,)</f>
        <v/>
      </c>
      <c r="C306" s="74">
        <f>B306/B305-1</f>
        <v/>
      </c>
      <c r="D306" s="74">
        <f>(Table18[[#This Row],[Index]]-B294)/B294</f>
        <v/>
      </c>
    </row>
    <row r="307">
      <c r="A307" s="19" t="n">
        <v>35431</v>
      </c>
      <c r="B307" s="61">
        <f>VLOOKUP(Table18[[#This Row],[Date]],database!A:G,5,)</f>
        <v/>
      </c>
      <c r="C307" s="74">
        <f>B307/B306-1</f>
        <v/>
      </c>
      <c r="D307" s="74">
        <f>(Table18[[#This Row],[Index]]-B295)/B295</f>
        <v/>
      </c>
    </row>
    <row r="308">
      <c r="A308" s="19" t="n">
        <v>35462</v>
      </c>
      <c r="B308" s="61">
        <f>VLOOKUP(Table18[[#This Row],[Date]],database!A:G,5,)</f>
        <v/>
      </c>
      <c r="C308" s="74">
        <f>B308/B307-1</f>
        <v/>
      </c>
      <c r="D308" s="74">
        <f>(Table18[[#This Row],[Index]]-B296)/B296</f>
        <v/>
      </c>
    </row>
    <row r="309">
      <c r="A309" s="19" t="n">
        <v>35490</v>
      </c>
      <c r="B309" s="61">
        <f>VLOOKUP(Table18[[#This Row],[Date]],database!A:G,5,)</f>
        <v/>
      </c>
      <c r="C309" s="74">
        <f>B309/B308-1</f>
        <v/>
      </c>
      <c r="D309" s="74">
        <f>(Table18[[#This Row],[Index]]-B297)/B297</f>
        <v/>
      </c>
    </row>
    <row r="310">
      <c r="A310" s="19" t="n">
        <v>35521</v>
      </c>
      <c r="B310" s="61">
        <f>VLOOKUP(Table18[[#This Row],[Date]],database!A:G,5,)</f>
        <v/>
      </c>
      <c r="C310" s="74">
        <f>B310/B309-1</f>
        <v/>
      </c>
      <c r="D310" s="74">
        <f>(Table18[[#This Row],[Index]]-B298)/B298</f>
        <v/>
      </c>
    </row>
    <row r="311">
      <c r="A311" s="19" t="n">
        <v>35551</v>
      </c>
      <c r="B311" s="61">
        <f>VLOOKUP(Table18[[#This Row],[Date]],database!A:G,5,)</f>
        <v/>
      </c>
      <c r="C311" s="74">
        <f>B311/B310-1</f>
        <v/>
      </c>
      <c r="D311" s="74">
        <f>(Table18[[#This Row],[Index]]-B299)/B299</f>
        <v/>
      </c>
    </row>
    <row r="312">
      <c r="A312" s="19" t="n">
        <v>35582</v>
      </c>
      <c r="B312" s="61">
        <f>VLOOKUP(Table18[[#This Row],[Date]],database!A:G,5,)</f>
        <v/>
      </c>
      <c r="C312" s="74">
        <f>B312/B311-1</f>
        <v/>
      </c>
      <c r="D312" s="74">
        <f>(Table18[[#This Row],[Index]]-B300)/B300</f>
        <v/>
      </c>
    </row>
    <row r="313">
      <c r="A313" s="19" t="n">
        <v>35612</v>
      </c>
      <c r="B313" s="61">
        <f>VLOOKUP(Table18[[#This Row],[Date]],database!A:G,5,)</f>
        <v/>
      </c>
      <c r="C313" s="74">
        <f>B313/B312-1</f>
        <v/>
      </c>
      <c r="D313" s="74">
        <f>(Table18[[#This Row],[Index]]-B301)/B301</f>
        <v/>
      </c>
    </row>
    <row r="314">
      <c r="A314" s="19" t="n">
        <v>35643</v>
      </c>
      <c r="B314" s="61">
        <f>VLOOKUP(Table18[[#This Row],[Date]],database!A:G,5,)</f>
        <v/>
      </c>
      <c r="C314" s="74">
        <f>B314/B313-1</f>
        <v/>
      </c>
      <c r="D314" s="74">
        <f>(Table18[[#This Row],[Index]]-B302)/B302</f>
        <v/>
      </c>
    </row>
    <row r="315">
      <c r="A315" s="19" t="n">
        <v>35674</v>
      </c>
      <c r="B315" s="61">
        <f>VLOOKUP(Table18[[#This Row],[Date]],database!A:G,5,)</f>
        <v/>
      </c>
      <c r="C315" s="74">
        <f>B315/B314-1</f>
        <v/>
      </c>
      <c r="D315" s="74">
        <f>(Table18[[#This Row],[Index]]-B303)/B303</f>
        <v/>
      </c>
    </row>
    <row r="316">
      <c r="A316" s="19" t="n">
        <v>35704</v>
      </c>
      <c r="B316" s="61">
        <f>VLOOKUP(Table18[[#This Row],[Date]],database!A:G,5,)</f>
        <v/>
      </c>
      <c r="C316" s="74">
        <f>B316/B315-1</f>
        <v/>
      </c>
      <c r="D316" s="74">
        <f>(Table18[[#This Row],[Index]]-B304)/B304</f>
        <v/>
      </c>
    </row>
    <row r="317">
      <c r="A317" s="19" t="n">
        <v>35735</v>
      </c>
      <c r="B317" s="61">
        <f>VLOOKUP(Table18[[#This Row],[Date]],database!A:G,5,)</f>
        <v/>
      </c>
      <c r="C317" s="74">
        <f>B317/B316-1</f>
        <v/>
      </c>
      <c r="D317" s="74">
        <f>(Table18[[#This Row],[Index]]-B305)/B305</f>
        <v/>
      </c>
    </row>
    <row r="318">
      <c r="A318" s="19" t="n">
        <v>35765</v>
      </c>
      <c r="B318" s="61">
        <f>VLOOKUP(Table18[[#This Row],[Date]],database!A:G,5,)</f>
        <v/>
      </c>
      <c r="C318" s="74">
        <f>B318/B317-1</f>
        <v/>
      </c>
      <c r="D318" s="74">
        <f>(Table18[[#This Row],[Index]]-B306)/B306</f>
        <v/>
      </c>
    </row>
    <row r="319">
      <c r="A319" s="19" t="n">
        <v>35796</v>
      </c>
      <c r="B319" s="61">
        <f>VLOOKUP(Table18[[#This Row],[Date]],database!A:G,5,)</f>
        <v/>
      </c>
      <c r="C319" s="74">
        <f>B319/B318-1</f>
        <v/>
      </c>
      <c r="D319" s="74">
        <f>(Table18[[#This Row],[Index]]-B307)/B307</f>
        <v/>
      </c>
    </row>
    <row r="320">
      <c r="A320" s="19" t="n">
        <v>35827</v>
      </c>
      <c r="B320" s="61">
        <f>VLOOKUP(Table18[[#This Row],[Date]],database!A:G,5,)</f>
        <v/>
      </c>
      <c r="C320" s="74">
        <f>B320/B319-1</f>
        <v/>
      </c>
      <c r="D320" s="74">
        <f>(Table18[[#This Row],[Index]]-B308)/B308</f>
        <v/>
      </c>
    </row>
    <row r="321">
      <c r="A321" s="19" t="n">
        <v>35855</v>
      </c>
      <c r="B321" s="61">
        <f>VLOOKUP(Table18[[#This Row],[Date]],database!A:G,5,)</f>
        <v/>
      </c>
      <c r="C321" s="74">
        <f>B321/B320-1</f>
        <v/>
      </c>
      <c r="D321" s="74">
        <f>(Table18[[#This Row],[Index]]-B309)/B309</f>
        <v/>
      </c>
    </row>
    <row r="322">
      <c r="A322" s="19" t="n">
        <v>35886</v>
      </c>
      <c r="B322" s="61">
        <f>VLOOKUP(Table18[[#This Row],[Date]],database!A:G,5,)</f>
        <v/>
      </c>
      <c r="C322" s="74">
        <f>B322/B321-1</f>
        <v/>
      </c>
      <c r="D322" s="74">
        <f>(Table18[[#This Row],[Index]]-B310)/B310</f>
        <v/>
      </c>
    </row>
    <row r="323">
      <c r="A323" s="19" t="n">
        <v>35916</v>
      </c>
      <c r="B323" s="61">
        <f>VLOOKUP(Table18[[#This Row],[Date]],database!A:G,5,)</f>
        <v/>
      </c>
      <c r="C323" s="74">
        <f>B323/B322-1</f>
        <v/>
      </c>
      <c r="D323" s="74">
        <f>(Table18[[#This Row],[Index]]-B311)/B311</f>
        <v/>
      </c>
    </row>
    <row r="324">
      <c r="A324" s="19" t="n">
        <v>35947</v>
      </c>
      <c r="B324" s="61">
        <f>VLOOKUP(Table18[[#This Row],[Date]],database!A:G,5,)</f>
        <v/>
      </c>
      <c r="C324" s="74">
        <f>B324/B323-1</f>
        <v/>
      </c>
      <c r="D324" s="74">
        <f>(Table18[[#This Row],[Index]]-B312)/B312</f>
        <v/>
      </c>
    </row>
    <row r="325">
      <c r="A325" s="19" t="n">
        <v>35977</v>
      </c>
      <c r="B325" s="61">
        <f>VLOOKUP(Table18[[#This Row],[Date]],database!A:G,5,)</f>
        <v/>
      </c>
      <c r="C325" s="74">
        <f>B325/B324-1</f>
        <v/>
      </c>
      <c r="D325" s="74">
        <f>(Table18[[#This Row],[Index]]-B313)/B313</f>
        <v/>
      </c>
    </row>
    <row r="326">
      <c r="A326" s="19" t="n">
        <v>36008</v>
      </c>
      <c r="B326" s="61">
        <f>VLOOKUP(Table18[[#This Row],[Date]],database!A:G,5,)</f>
        <v/>
      </c>
      <c r="C326" s="74">
        <f>B326/B325-1</f>
        <v/>
      </c>
      <c r="D326" s="74">
        <f>(Table18[[#This Row],[Index]]-B314)/B314</f>
        <v/>
      </c>
    </row>
    <row r="327">
      <c r="A327" s="19" t="n">
        <v>36039</v>
      </c>
      <c r="B327" s="61">
        <f>VLOOKUP(Table18[[#This Row],[Date]],database!A:G,5,)</f>
        <v/>
      </c>
      <c r="C327" s="74">
        <f>B327/B326-1</f>
        <v/>
      </c>
      <c r="D327" s="74">
        <f>(Table18[[#This Row],[Index]]-B315)/B315</f>
        <v/>
      </c>
    </row>
    <row r="328">
      <c r="A328" s="19" t="n">
        <v>36069</v>
      </c>
      <c r="B328" s="61">
        <f>VLOOKUP(Table18[[#This Row],[Date]],database!A:G,5,)</f>
        <v/>
      </c>
      <c r="C328" s="74">
        <f>B328/B327-1</f>
        <v/>
      </c>
      <c r="D328" s="74">
        <f>(Table18[[#This Row],[Index]]-B316)/B316</f>
        <v/>
      </c>
    </row>
    <row r="329">
      <c r="A329" s="19" t="n">
        <v>36100</v>
      </c>
      <c r="B329" s="61">
        <f>VLOOKUP(Table18[[#This Row],[Date]],database!A:G,5,)</f>
        <v/>
      </c>
      <c r="C329" s="74">
        <f>B329/B328-1</f>
        <v/>
      </c>
      <c r="D329" s="74">
        <f>(Table18[[#This Row],[Index]]-B317)/B317</f>
        <v/>
      </c>
    </row>
    <row r="330">
      <c r="A330" s="19" t="n">
        <v>36130</v>
      </c>
      <c r="B330" s="61">
        <f>VLOOKUP(Table18[[#This Row],[Date]],database!A:G,5,)</f>
        <v/>
      </c>
      <c r="C330" s="74">
        <f>B330/B329-1</f>
        <v/>
      </c>
      <c r="D330" s="74">
        <f>(Table18[[#This Row],[Index]]-B318)/B318</f>
        <v/>
      </c>
    </row>
    <row r="331">
      <c r="A331" s="19" t="n">
        <v>36161</v>
      </c>
      <c r="B331" s="61">
        <f>VLOOKUP(Table18[[#This Row],[Date]],database!A:G,5,)</f>
        <v/>
      </c>
      <c r="C331" s="74">
        <f>B331/B330-1</f>
        <v/>
      </c>
      <c r="D331" s="74">
        <f>(Table18[[#This Row],[Index]]-B319)/B319</f>
        <v/>
      </c>
    </row>
    <row r="332">
      <c r="A332" s="19" t="n">
        <v>36192</v>
      </c>
      <c r="B332" s="61">
        <f>VLOOKUP(Table18[[#This Row],[Date]],database!A:G,5,)</f>
        <v/>
      </c>
      <c r="C332" s="74">
        <f>B332/B331-1</f>
        <v/>
      </c>
      <c r="D332" s="74">
        <f>(Table18[[#This Row],[Index]]-B320)/B320</f>
        <v/>
      </c>
    </row>
    <row r="333">
      <c r="A333" s="19" t="n">
        <v>36220</v>
      </c>
      <c r="B333" s="61">
        <f>VLOOKUP(Table18[[#This Row],[Date]],database!A:G,5,)</f>
        <v/>
      </c>
      <c r="C333" s="74">
        <f>B333/B332-1</f>
        <v/>
      </c>
      <c r="D333" s="74">
        <f>(Table18[[#This Row],[Index]]-B321)/B321</f>
        <v/>
      </c>
    </row>
    <row r="334">
      <c r="A334" s="19" t="n">
        <v>36251</v>
      </c>
      <c r="B334" s="61">
        <f>VLOOKUP(Table18[[#This Row],[Date]],database!A:G,5,)</f>
        <v/>
      </c>
      <c r="C334" s="74">
        <f>B334/B333-1</f>
        <v/>
      </c>
      <c r="D334" s="74">
        <f>(Table18[[#This Row],[Index]]-B322)/B322</f>
        <v/>
      </c>
    </row>
    <row r="335">
      <c r="A335" s="19" t="n">
        <v>36281</v>
      </c>
      <c r="B335" s="61">
        <f>VLOOKUP(Table18[[#This Row],[Date]],database!A:G,5,)</f>
        <v/>
      </c>
      <c r="C335" s="74">
        <f>B335/B334-1</f>
        <v/>
      </c>
      <c r="D335" s="74">
        <f>(Table18[[#This Row],[Index]]-B323)/B323</f>
        <v/>
      </c>
    </row>
    <row r="336">
      <c r="A336" s="19" t="n">
        <v>36312</v>
      </c>
      <c r="B336" s="61">
        <f>VLOOKUP(Table18[[#This Row],[Date]],database!A:G,5,)</f>
        <v/>
      </c>
      <c r="C336" s="74">
        <f>B336/B335-1</f>
        <v/>
      </c>
      <c r="D336" s="74">
        <f>(Table18[[#This Row],[Index]]-B324)/B324</f>
        <v/>
      </c>
    </row>
    <row r="337">
      <c r="A337" s="19" t="n">
        <v>36342</v>
      </c>
      <c r="B337" s="61">
        <f>VLOOKUP(Table18[[#This Row],[Date]],database!A:G,5,)</f>
        <v/>
      </c>
      <c r="C337" s="74">
        <f>B337/B336-1</f>
        <v/>
      </c>
      <c r="D337" s="74">
        <f>(Table18[[#This Row],[Index]]-B325)/B325</f>
        <v/>
      </c>
    </row>
    <row r="338">
      <c r="A338" s="19" t="n">
        <v>36373</v>
      </c>
      <c r="B338" s="61">
        <f>VLOOKUP(Table18[[#This Row],[Date]],database!A:G,5,)</f>
        <v/>
      </c>
      <c r="C338" s="74">
        <f>B338/B337-1</f>
        <v/>
      </c>
      <c r="D338" s="74">
        <f>(Table18[[#This Row],[Index]]-B326)/B326</f>
        <v/>
      </c>
    </row>
    <row r="339">
      <c r="A339" s="19" t="n">
        <v>36404</v>
      </c>
      <c r="B339" s="61">
        <f>VLOOKUP(Table18[[#This Row],[Date]],database!A:G,5,)</f>
        <v/>
      </c>
      <c r="C339" s="74">
        <f>B339/B338-1</f>
        <v/>
      </c>
      <c r="D339" s="74">
        <f>(Table18[[#This Row],[Index]]-B327)/B327</f>
        <v/>
      </c>
    </row>
    <row r="340">
      <c r="A340" s="19" t="n">
        <v>36434</v>
      </c>
      <c r="B340" s="61">
        <f>VLOOKUP(Table18[[#This Row],[Date]],database!A:G,5,)</f>
        <v/>
      </c>
      <c r="C340" s="74">
        <f>B340/B339-1</f>
        <v/>
      </c>
      <c r="D340" s="74">
        <f>(Table18[[#This Row],[Index]]-B328)/B328</f>
        <v/>
      </c>
    </row>
    <row r="341">
      <c r="A341" s="19" t="n">
        <v>36465</v>
      </c>
      <c r="B341" s="61">
        <f>VLOOKUP(Table18[[#This Row],[Date]],database!A:G,5,)</f>
        <v/>
      </c>
      <c r="C341" s="74">
        <f>B341/B340-1</f>
        <v/>
      </c>
      <c r="D341" s="74">
        <f>(Table18[[#This Row],[Index]]-B329)/B329</f>
        <v/>
      </c>
    </row>
    <row r="342">
      <c r="A342" s="19" t="n">
        <v>36495</v>
      </c>
      <c r="B342" s="61">
        <f>VLOOKUP(Table18[[#This Row],[Date]],database!A:G,5,)</f>
        <v/>
      </c>
      <c r="C342" s="74">
        <f>B342/B341-1</f>
        <v/>
      </c>
      <c r="D342" s="74">
        <f>(Table18[[#This Row],[Index]]-B330)/B330</f>
        <v/>
      </c>
    </row>
    <row r="343">
      <c r="A343" s="19" t="n">
        <v>36526</v>
      </c>
      <c r="B343" s="61">
        <f>VLOOKUP(Table18[[#This Row],[Date]],database!A:G,5,)</f>
        <v/>
      </c>
      <c r="C343" s="74">
        <f>B343/B342-1</f>
        <v/>
      </c>
      <c r="D343" s="74">
        <f>(Table18[[#This Row],[Index]]-B331)/B331</f>
        <v/>
      </c>
    </row>
    <row r="344">
      <c r="A344" s="19" t="n">
        <v>36557</v>
      </c>
      <c r="B344" s="61">
        <f>VLOOKUP(Table18[[#This Row],[Date]],database!A:G,5,)</f>
        <v/>
      </c>
      <c r="C344" s="74">
        <f>B344/B343-1</f>
        <v/>
      </c>
      <c r="D344" s="74">
        <f>(Table18[[#This Row],[Index]]-B332)/B332</f>
        <v/>
      </c>
    </row>
    <row r="345">
      <c r="A345" s="19" t="n">
        <v>36586</v>
      </c>
      <c r="B345" s="61">
        <f>VLOOKUP(Table18[[#This Row],[Date]],database!A:G,5,)</f>
        <v/>
      </c>
      <c r="C345" s="74">
        <f>B345/B344-1</f>
        <v/>
      </c>
      <c r="D345" s="74">
        <f>(Table18[[#This Row],[Index]]-B333)/B333</f>
        <v/>
      </c>
    </row>
    <row r="346">
      <c r="A346" s="19" t="n">
        <v>36617</v>
      </c>
      <c r="B346" s="61">
        <f>VLOOKUP(Table18[[#This Row],[Date]],database!A:G,5,)</f>
        <v/>
      </c>
      <c r="C346" s="74">
        <f>B346/B345-1</f>
        <v/>
      </c>
      <c r="D346" s="74">
        <f>(Table18[[#This Row],[Index]]-B334)/B334</f>
        <v/>
      </c>
    </row>
    <row r="347">
      <c r="A347" s="19" t="n">
        <v>36647</v>
      </c>
      <c r="B347" s="61">
        <f>VLOOKUP(Table18[[#This Row],[Date]],database!A:G,5,)</f>
        <v/>
      </c>
      <c r="C347" s="74">
        <f>B347/B346-1</f>
        <v/>
      </c>
      <c r="D347" s="74">
        <f>(Table18[[#This Row],[Index]]-B335)/B335</f>
        <v/>
      </c>
    </row>
    <row r="348">
      <c r="A348" s="19" t="n">
        <v>36678</v>
      </c>
      <c r="B348" s="61">
        <f>VLOOKUP(Table18[[#This Row],[Date]],database!A:G,5,)</f>
        <v/>
      </c>
      <c r="C348" s="74">
        <f>B348/B347-1</f>
        <v/>
      </c>
      <c r="D348" s="74">
        <f>(Table18[[#This Row],[Index]]-B336)/B336</f>
        <v/>
      </c>
    </row>
    <row r="349">
      <c r="A349" s="19" t="n">
        <v>36708</v>
      </c>
      <c r="B349" s="61">
        <f>VLOOKUP(Table18[[#This Row],[Date]],database!A:G,5,)</f>
        <v/>
      </c>
      <c r="C349" s="74">
        <f>B349/B348-1</f>
        <v/>
      </c>
      <c r="D349" s="74">
        <f>(Table18[[#This Row],[Index]]-B337)/B337</f>
        <v/>
      </c>
    </row>
    <row r="350">
      <c r="A350" s="19" t="n">
        <v>36739</v>
      </c>
      <c r="B350" s="61">
        <f>VLOOKUP(Table18[[#This Row],[Date]],database!A:G,5,)</f>
        <v/>
      </c>
      <c r="C350" s="74">
        <f>B350/B349-1</f>
        <v/>
      </c>
      <c r="D350" s="74">
        <f>(Table18[[#This Row],[Index]]-B338)/B338</f>
        <v/>
      </c>
    </row>
    <row r="351">
      <c r="A351" s="19" t="n">
        <v>36770</v>
      </c>
      <c r="B351" s="61">
        <f>VLOOKUP(Table18[[#This Row],[Date]],database!A:G,5,)</f>
        <v/>
      </c>
      <c r="C351" s="74">
        <f>B351/B350-1</f>
        <v/>
      </c>
      <c r="D351" s="74">
        <f>(Table18[[#This Row],[Index]]-B339)/B339</f>
        <v/>
      </c>
    </row>
    <row r="352">
      <c r="A352" s="19" t="n">
        <v>36800</v>
      </c>
      <c r="B352" s="61">
        <f>VLOOKUP(Table18[[#This Row],[Date]],database!A:G,5,)</f>
        <v/>
      </c>
      <c r="C352" s="74">
        <f>B352/B351-1</f>
        <v/>
      </c>
      <c r="D352" s="74">
        <f>(Table18[[#This Row],[Index]]-B340)/B340</f>
        <v/>
      </c>
    </row>
    <row r="353">
      <c r="A353" s="19" t="n">
        <v>36831</v>
      </c>
      <c r="B353" s="61">
        <f>VLOOKUP(Table18[[#This Row],[Date]],database!A:G,5,)</f>
        <v/>
      </c>
      <c r="C353" s="74">
        <f>B353/B352-1</f>
        <v/>
      </c>
      <c r="D353" s="74">
        <f>(Table18[[#This Row],[Index]]-B341)/B341</f>
        <v/>
      </c>
    </row>
    <row r="354">
      <c r="A354" s="19" t="n">
        <v>36861</v>
      </c>
      <c r="B354" s="61">
        <f>VLOOKUP(Table18[[#This Row],[Date]],database!A:G,5,)</f>
        <v/>
      </c>
      <c r="C354" s="74">
        <f>B354/B353-1</f>
        <v/>
      </c>
      <c r="D354" s="74">
        <f>(Table18[[#This Row],[Index]]-B342)/B342</f>
        <v/>
      </c>
    </row>
    <row r="355">
      <c r="A355" s="19" t="n">
        <v>36892</v>
      </c>
      <c r="B355" s="61">
        <f>VLOOKUP(Table18[[#This Row],[Date]],database!A:G,5,)</f>
        <v/>
      </c>
      <c r="C355" s="74">
        <f>B355/B354-1</f>
        <v/>
      </c>
      <c r="D355" s="74">
        <f>(Table18[[#This Row],[Index]]-B343)/B343</f>
        <v/>
      </c>
    </row>
    <row r="356">
      <c r="A356" s="19" t="n">
        <v>36923</v>
      </c>
      <c r="B356" s="61">
        <f>VLOOKUP(Table18[[#This Row],[Date]],database!A:G,5,)</f>
        <v/>
      </c>
      <c r="C356" s="74">
        <f>B356/B355-1</f>
        <v/>
      </c>
      <c r="D356" s="74">
        <f>(Table18[[#This Row],[Index]]-B344)/B344</f>
        <v/>
      </c>
    </row>
    <row r="357">
      <c r="A357" s="19" t="n">
        <v>36951</v>
      </c>
      <c r="B357" s="61">
        <f>VLOOKUP(Table18[[#This Row],[Date]],database!A:G,5,)</f>
        <v/>
      </c>
      <c r="C357" s="74">
        <f>B357/B356-1</f>
        <v/>
      </c>
      <c r="D357" s="74">
        <f>(Table18[[#This Row],[Index]]-B345)/B345</f>
        <v/>
      </c>
    </row>
    <row r="358">
      <c r="A358" s="19" t="n">
        <v>36982</v>
      </c>
      <c r="B358" s="61">
        <f>VLOOKUP(Table18[[#This Row],[Date]],database!A:G,5,)</f>
        <v/>
      </c>
      <c r="C358" s="74">
        <f>B358/B357-1</f>
        <v/>
      </c>
      <c r="D358" s="74">
        <f>(Table18[[#This Row],[Index]]-B346)/B346</f>
        <v/>
      </c>
    </row>
    <row r="359">
      <c r="A359" s="19" t="n">
        <v>37012</v>
      </c>
      <c r="B359" s="61">
        <f>VLOOKUP(Table18[[#This Row],[Date]],database!A:G,5,)</f>
        <v/>
      </c>
      <c r="C359" s="74">
        <f>B359/B358-1</f>
        <v/>
      </c>
      <c r="D359" s="74">
        <f>(Table18[[#This Row],[Index]]-B347)/B347</f>
        <v/>
      </c>
    </row>
    <row r="360">
      <c r="A360" s="19" t="n">
        <v>37043</v>
      </c>
      <c r="B360" s="61">
        <f>VLOOKUP(Table18[[#This Row],[Date]],database!A:G,5,)</f>
        <v/>
      </c>
      <c r="C360" s="74">
        <f>B360/B359-1</f>
        <v/>
      </c>
      <c r="D360" s="74">
        <f>(Table18[[#This Row],[Index]]-B348)/B348</f>
        <v/>
      </c>
    </row>
    <row r="361">
      <c r="A361" s="19" t="n">
        <v>37073</v>
      </c>
      <c r="B361" s="61">
        <f>VLOOKUP(Table18[[#This Row],[Date]],database!A:G,5,)</f>
        <v/>
      </c>
      <c r="C361" s="74">
        <f>B361/B360-1</f>
        <v/>
      </c>
      <c r="D361" s="74">
        <f>(Table18[[#This Row],[Index]]-B349)/B349</f>
        <v/>
      </c>
    </row>
    <row r="362">
      <c r="A362" s="19" t="n">
        <v>37104</v>
      </c>
      <c r="B362" s="61">
        <f>VLOOKUP(Table18[[#This Row],[Date]],database!A:G,5,)</f>
        <v/>
      </c>
      <c r="C362" s="74">
        <f>B362/B361-1</f>
        <v/>
      </c>
      <c r="D362" s="74">
        <f>(Table18[[#This Row],[Index]]-B350)/B350</f>
        <v/>
      </c>
    </row>
    <row r="363">
      <c r="A363" s="19" t="n">
        <v>37135</v>
      </c>
      <c r="B363" s="61">
        <f>VLOOKUP(Table18[[#This Row],[Date]],database!A:G,5,)</f>
        <v/>
      </c>
      <c r="C363" s="74">
        <f>B363/B362-1</f>
        <v/>
      </c>
      <c r="D363" s="74">
        <f>(Table18[[#This Row],[Index]]-B351)/B351</f>
        <v/>
      </c>
    </row>
    <row r="364">
      <c r="A364" s="19" t="n">
        <v>37165</v>
      </c>
      <c r="B364" s="61">
        <f>VLOOKUP(Table18[[#This Row],[Date]],database!A:G,5,)</f>
        <v/>
      </c>
      <c r="C364" s="74">
        <f>B364/B363-1</f>
        <v/>
      </c>
      <c r="D364" s="74">
        <f>(Table18[[#This Row],[Index]]-B352)/B352</f>
        <v/>
      </c>
    </row>
    <row r="365">
      <c r="A365" s="19" t="n">
        <v>37196</v>
      </c>
      <c r="B365" s="61">
        <f>VLOOKUP(Table18[[#This Row],[Date]],database!A:G,5,)</f>
        <v/>
      </c>
      <c r="C365" s="74">
        <f>B365/B364-1</f>
        <v/>
      </c>
      <c r="D365" s="74">
        <f>(Table18[[#This Row],[Index]]-B353)/B353</f>
        <v/>
      </c>
    </row>
    <row r="366">
      <c r="A366" s="19" t="n">
        <v>37226</v>
      </c>
      <c r="B366" s="61">
        <f>VLOOKUP(Table18[[#This Row],[Date]],database!A:G,5,)</f>
        <v/>
      </c>
      <c r="C366" s="74">
        <f>B366/B365-1</f>
        <v/>
      </c>
      <c r="D366" s="74">
        <f>(Table18[[#This Row],[Index]]-B354)/B354</f>
        <v/>
      </c>
    </row>
    <row r="367">
      <c r="A367" s="19" t="n">
        <v>37257</v>
      </c>
      <c r="B367" s="61">
        <f>VLOOKUP(Table18[[#This Row],[Date]],database!A:G,5,)</f>
        <v/>
      </c>
      <c r="C367" s="74">
        <f>B367/B366-1</f>
        <v/>
      </c>
      <c r="D367" s="74">
        <f>(Table18[[#This Row],[Index]]-B355)/B355</f>
        <v/>
      </c>
    </row>
    <row r="368">
      <c r="A368" s="19" t="n">
        <v>37288</v>
      </c>
      <c r="B368" s="61">
        <f>VLOOKUP(Table18[[#This Row],[Date]],database!A:G,5,)</f>
        <v/>
      </c>
      <c r="C368" s="74">
        <f>B368/B367-1</f>
        <v/>
      </c>
      <c r="D368" s="74">
        <f>(Table18[[#This Row],[Index]]-B356)/B356</f>
        <v/>
      </c>
    </row>
    <row r="369">
      <c r="A369" s="19" t="n">
        <v>37316</v>
      </c>
      <c r="B369" s="61">
        <f>VLOOKUP(Table18[[#This Row],[Date]],database!A:G,5,)</f>
        <v/>
      </c>
      <c r="C369" s="74">
        <f>B369/B368-1</f>
        <v/>
      </c>
      <c r="D369" s="74">
        <f>(Table18[[#This Row],[Index]]-B357)/B357</f>
        <v/>
      </c>
    </row>
    <row r="370">
      <c r="A370" s="19" t="n">
        <v>37347</v>
      </c>
      <c r="B370" s="61">
        <f>VLOOKUP(Table18[[#This Row],[Date]],database!A:G,5,)</f>
        <v/>
      </c>
      <c r="C370" s="74">
        <f>B370/B369-1</f>
        <v/>
      </c>
      <c r="D370" s="74">
        <f>(Table18[[#This Row],[Index]]-B358)/B358</f>
        <v/>
      </c>
    </row>
    <row r="371">
      <c r="A371" s="19" t="n">
        <v>37377</v>
      </c>
      <c r="B371" s="61">
        <f>VLOOKUP(Table18[[#This Row],[Date]],database!A:G,5,)</f>
        <v/>
      </c>
      <c r="C371" s="74">
        <f>B371/B370-1</f>
        <v/>
      </c>
      <c r="D371" s="74">
        <f>(Table18[[#This Row],[Index]]-B359)/B359</f>
        <v/>
      </c>
    </row>
    <row r="372">
      <c r="A372" s="19" t="n">
        <v>37408</v>
      </c>
      <c r="B372" s="61">
        <f>VLOOKUP(Table18[[#This Row],[Date]],database!A:G,5,)</f>
        <v/>
      </c>
      <c r="C372" s="74">
        <f>B372/B371-1</f>
        <v/>
      </c>
      <c r="D372" s="74">
        <f>(Table18[[#This Row],[Index]]-B360)/B360</f>
        <v/>
      </c>
    </row>
    <row r="373">
      <c r="A373" s="19" t="n">
        <v>37438</v>
      </c>
      <c r="B373" s="61">
        <f>VLOOKUP(Table18[[#This Row],[Date]],database!A:G,5,)</f>
        <v/>
      </c>
      <c r="C373" s="74">
        <f>B373/B372-1</f>
        <v/>
      </c>
      <c r="D373" s="74">
        <f>(Table18[[#This Row],[Index]]-B361)/B361</f>
        <v/>
      </c>
    </row>
    <row r="374">
      <c r="A374" s="19" t="n">
        <v>37469</v>
      </c>
      <c r="B374" s="61">
        <f>VLOOKUP(Table18[[#This Row],[Date]],database!A:G,5,)</f>
        <v/>
      </c>
      <c r="C374" s="74">
        <f>B374/B373-1</f>
        <v/>
      </c>
      <c r="D374" s="74">
        <f>(Table18[[#This Row],[Index]]-B362)/B362</f>
        <v/>
      </c>
    </row>
    <row r="375">
      <c r="A375" s="19" t="n">
        <v>37500</v>
      </c>
      <c r="B375" s="61">
        <f>VLOOKUP(Table18[[#This Row],[Date]],database!A:G,5,)</f>
        <v/>
      </c>
      <c r="C375" s="74">
        <f>B375/B374-1</f>
        <v/>
      </c>
      <c r="D375" s="74">
        <f>(Table18[[#This Row],[Index]]-B363)/B363</f>
        <v/>
      </c>
    </row>
    <row r="376">
      <c r="A376" s="19" t="n">
        <v>37530</v>
      </c>
      <c r="B376" s="61">
        <f>VLOOKUP(Table18[[#This Row],[Date]],database!A:G,5,)</f>
        <v/>
      </c>
      <c r="C376" s="74">
        <f>B376/B375-1</f>
        <v/>
      </c>
      <c r="D376" s="74">
        <f>(Table18[[#This Row],[Index]]-B364)/B364</f>
        <v/>
      </c>
    </row>
    <row r="377">
      <c r="A377" s="19" t="n">
        <v>37561</v>
      </c>
      <c r="B377" s="61">
        <f>VLOOKUP(Table18[[#This Row],[Date]],database!A:G,5,)</f>
        <v/>
      </c>
      <c r="C377" s="74">
        <f>B377/B376-1</f>
        <v/>
      </c>
      <c r="D377" s="74">
        <f>(Table18[[#This Row],[Index]]-B365)/B365</f>
        <v/>
      </c>
    </row>
    <row r="378">
      <c r="A378" s="19" t="n">
        <v>37591</v>
      </c>
      <c r="B378" s="61">
        <f>VLOOKUP(Table18[[#This Row],[Date]],database!A:G,5,)</f>
        <v/>
      </c>
      <c r="C378" s="74">
        <f>B378/B377-1</f>
        <v/>
      </c>
      <c r="D378" s="74">
        <f>(Table18[[#This Row],[Index]]-B366)/B366</f>
        <v/>
      </c>
    </row>
    <row r="379">
      <c r="A379" s="19" t="n">
        <v>37622</v>
      </c>
      <c r="B379" s="61">
        <f>VLOOKUP(Table18[[#This Row],[Date]],database!A:G,5,)</f>
        <v/>
      </c>
      <c r="C379" s="74">
        <f>B379/B378-1</f>
        <v/>
      </c>
      <c r="D379" s="74">
        <f>(Table18[[#This Row],[Index]]-B367)/B367</f>
        <v/>
      </c>
    </row>
    <row r="380">
      <c r="A380" s="19" t="n">
        <v>37653</v>
      </c>
      <c r="B380" s="61">
        <f>VLOOKUP(Table18[[#This Row],[Date]],database!A:G,5,)</f>
        <v/>
      </c>
      <c r="C380" s="74">
        <f>B380/B379-1</f>
        <v/>
      </c>
      <c r="D380" s="74">
        <f>(Table18[[#This Row],[Index]]-B368)/B368</f>
        <v/>
      </c>
    </row>
    <row r="381">
      <c r="A381" s="19" t="n">
        <v>37681</v>
      </c>
      <c r="B381" s="61">
        <f>VLOOKUP(Table18[[#This Row],[Date]],database!A:G,5,)</f>
        <v/>
      </c>
      <c r="C381" s="74">
        <f>B381/B380-1</f>
        <v/>
      </c>
      <c r="D381" s="74">
        <f>(Table18[[#This Row],[Index]]-B369)/B369</f>
        <v/>
      </c>
    </row>
    <row r="382">
      <c r="A382" s="19" t="n">
        <v>37712</v>
      </c>
      <c r="B382" s="61">
        <f>VLOOKUP(Table18[[#This Row],[Date]],database!A:G,5,)</f>
        <v/>
      </c>
      <c r="C382" s="74">
        <f>B382/B381-1</f>
        <v/>
      </c>
      <c r="D382" s="74">
        <f>(Table18[[#This Row],[Index]]-B370)/B370</f>
        <v/>
      </c>
    </row>
    <row r="383">
      <c r="A383" s="19" t="n">
        <v>37742</v>
      </c>
      <c r="B383" s="61">
        <f>VLOOKUP(Table18[[#This Row],[Date]],database!A:G,5,)</f>
        <v/>
      </c>
      <c r="C383" s="74">
        <f>B383/B382-1</f>
        <v/>
      </c>
      <c r="D383" s="74">
        <f>(Table18[[#This Row],[Index]]-B371)/B371</f>
        <v/>
      </c>
    </row>
    <row r="384">
      <c r="A384" s="19" t="n">
        <v>37773</v>
      </c>
      <c r="B384" s="61">
        <f>VLOOKUP(Table18[[#This Row],[Date]],database!A:G,5,)</f>
        <v/>
      </c>
      <c r="C384" s="74">
        <f>B384/B383-1</f>
        <v/>
      </c>
      <c r="D384" s="74">
        <f>(Table18[[#This Row],[Index]]-B372)/B372</f>
        <v/>
      </c>
    </row>
    <row r="385">
      <c r="A385" s="19" t="n">
        <v>37803</v>
      </c>
      <c r="B385" s="61">
        <f>VLOOKUP(Table18[[#This Row],[Date]],database!A:G,5,)</f>
        <v/>
      </c>
      <c r="C385" s="74">
        <f>B385/B384-1</f>
        <v/>
      </c>
      <c r="D385" s="74">
        <f>(Table18[[#This Row],[Index]]-B373)/B373</f>
        <v/>
      </c>
    </row>
    <row r="386">
      <c r="A386" s="19" t="n">
        <v>37834</v>
      </c>
      <c r="B386" s="61">
        <f>VLOOKUP(Table18[[#This Row],[Date]],database!A:G,5,)</f>
        <v/>
      </c>
      <c r="C386" s="74">
        <f>B386/B385-1</f>
        <v/>
      </c>
      <c r="D386" s="74">
        <f>(Table18[[#This Row],[Index]]-B374)/B374</f>
        <v/>
      </c>
    </row>
    <row r="387">
      <c r="A387" s="19" t="n">
        <v>37865</v>
      </c>
      <c r="B387" s="61">
        <f>VLOOKUP(Table18[[#This Row],[Date]],database!A:G,5,)</f>
        <v/>
      </c>
      <c r="C387" s="74">
        <f>B387/B386-1</f>
        <v/>
      </c>
      <c r="D387" s="74">
        <f>(Table18[[#This Row],[Index]]-B375)/B375</f>
        <v/>
      </c>
    </row>
    <row r="388">
      <c r="A388" s="19" t="n">
        <v>37895</v>
      </c>
      <c r="B388" s="61">
        <f>VLOOKUP(Table18[[#This Row],[Date]],database!A:G,5,)</f>
        <v/>
      </c>
      <c r="C388" s="74">
        <f>B388/B387-1</f>
        <v/>
      </c>
      <c r="D388" s="74">
        <f>(Table18[[#This Row],[Index]]-B376)/B376</f>
        <v/>
      </c>
    </row>
    <row r="389">
      <c r="A389" s="19" t="n">
        <v>37926</v>
      </c>
      <c r="B389" s="61">
        <f>VLOOKUP(Table18[[#This Row],[Date]],database!A:G,5,)</f>
        <v/>
      </c>
      <c r="C389" s="74">
        <f>B389/B388-1</f>
        <v/>
      </c>
      <c r="D389" s="74">
        <f>(Table18[[#This Row],[Index]]-B377)/B377</f>
        <v/>
      </c>
    </row>
    <row r="390">
      <c r="A390" s="19" t="n">
        <v>37956</v>
      </c>
      <c r="B390" s="61">
        <f>VLOOKUP(Table18[[#This Row],[Date]],database!A:G,5,)</f>
        <v/>
      </c>
      <c r="C390" s="74">
        <f>B390/B389-1</f>
        <v/>
      </c>
      <c r="D390" s="74">
        <f>(Table18[[#This Row],[Index]]-B378)/B378</f>
        <v/>
      </c>
    </row>
    <row r="391">
      <c r="A391" s="19" t="n">
        <v>37987</v>
      </c>
      <c r="B391" s="61">
        <f>VLOOKUP(Table18[[#This Row],[Date]],database!A:G,5,)</f>
        <v/>
      </c>
      <c r="C391" s="74">
        <f>B391/B390-1</f>
        <v/>
      </c>
      <c r="D391" s="74">
        <f>(Table18[[#This Row],[Index]]-B379)/B379</f>
        <v/>
      </c>
    </row>
    <row r="392">
      <c r="A392" s="19" t="n">
        <v>38018</v>
      </c>
      <c r="B392" s="61">
        <f>VLOOKUP(Table18[[#This Row],[Date]],database!A:G,5,)</f>
        <v/>
      </c>
      <c r="C392" s="74">
        <f>B392/B391-1</f>
        <v/>
      </c>
      <c r="D392" s="74">
        <f>(Table18[[#This Row],[Index]]-B380)/B380</f>
        <v/>
      </c>
    </row>
    <row r="393">
      <c r="A393" s="19" t="n">
        <v>38047</v>
      </c>
      <c r="B393" s="61">
        <f>VLOOKUP(Table18[[#This Row],[Date]],database!A:G,5,)</f>
        <v/>
      </c>
      <c r="C393" s="74">
        <f>B393/B392-1</f>
        <v/>
      </c>
      <c r="D393" s="74">
        <f>(Table18[[#This Row],[Index]]-B381)/B381</f>
        <v/>
      </c>
    </row>
    <row r="394">
      <c r="A394" s="19" t="n">
        <v>38078</v>
      </c>
      <c r="B394" s="61">
        <f>VLOOKUP(Table18[[#This Row],[Date]],database!A:G,5,)</f>
        <v/>
      </c>
      <c r="C394" s="74">
        <f>B394/B393-1</f>
        <v/>
      </c>
      <c r="D394" s="74">
        <f>(Table18[[#This Row],[Index]]-B382)/B382</f>
        <v/>
      </c>
    </row>
    <row r="395">
      <c r="A395" s="19" t="n">
        <v>38108</v>
      </c>
      <c r="B395" s="61">
        <f>VLOOKUP(Table18[[#This Row],[Date]],database!A:G,5,)</f>
        <v/>
      </c>
      <c r="C395" s="74">
        <f>B395/B394-1</f>
        <v/>
      </c>
      <c r="D395" s="74">
        <f>(Table18[[#This Row],[Index]]-B383)/B383</f>
        <v/>
      </c>
    </row>
    <row r="396">
      <c r="A396" s="19" t="n">
        <v>38139</v>
      </c>
      <c r="B396" s="61">
        <f>VLOOKUP(Table18[[#This Row],[Date]],database!A:G,5,)</f>
        <v/>
      </c>
      <c r="C396" s="74">
        <f>B396/B395-1</f>
        <v/>
      </c>
      <c r="D396" s="74">
        <f>(Table18[[#This Row],[Index]]-B384)/B384</f>
        <v/>
      </c>
    </row>
    <row r="397">
      <c r="A397" s="19" t="n">
        <v>38169</v>
      </c>
      <c r="B397" s="61">
        <f>VLOOKUP(Table18[[#This Row],[Date]],database!A:G,5,)</f>
        <v/>
      </c>
      <c r="C397" s="74">
        <f>B397/B396-1</f>
        <v/>
      </c>
      <c r="D397" s="74">
        <f>(Table18[[#This Row],[Index]]-B385)/B385</f>
        <v/>
      </c>
    </row>
    <row r="398">
      <c r="A398" s="19" t="n">
        <v>38200</v>
      </c>
      <c r="B398" s="61">
        <f>VLOOKUP(Table18[[#This Row],[Date]],database!A:G,5,)</f>
        <v/>
      </c>
      <c r="C398" s="74">
        <f>B398/B397-1</f>
        <v/>
      </c>
      <c r="D398" s="74">
        <f>(Table18[[#This Row],[Index]]-B386)/B386</f>
        <v/>
      </c>
    </row>
    <row r="399">
      <c r="A399" s="19" t="n">
        <v>38231</v>
      </c>
      <c r="B399" s="61">
        <f>VLOOKUP(Table18[[#This Row],[Date]],database!A:G,5,)</f>
        <v/>
      </c>
      <c r="C399" s="74">
        <f>B399/B398-1</f>
        <v/>
      </c>
      <c r="D399" s="74">
        <f>(Table18[[#This Row],[Index]]-B387)/B387</f>
        <v/>
      </c>
    </row>
    <row r="400">
      <c r="A400" s="19" t="n">
        <v>38261</v>
      </c>
      <c r="B400" s="61">
        <f>VLOOKUP(Table18[[#This Row],[Date]],database!A:G,5,)</f>
        <v/>
      </c>
      <c r="C400" s="74">
        <f>B400/B399-1</f>
        <v/>
      </c>
      <c r="D400" s="74">
        <f>(Table18[[#This Row],[Index]]-B388)/B388</f>
        <v/>
      </c>
    </row>
    <row r="401">
      <c r="A401" s="19" t="n">
        <v>38292</v>
      </c>
      <c r="B401" s="61">
        <f>VLOOKUP(Table18[[#This Row],[Date]],database!A:G,5,)</f>
        <v/>
      </c>
      <c r="C401" s="74">
        <f>B401/B400-1</f>
        <v/>
      </c>
      <c r="D401" s="74">
        <f>(Table18[[#This Row],[Index]]-B389)/B389</f>
        <v/>
      </c>
    </row>
    <row r="402">
      <c r="A402" s="19" t="n">
        <v>38322</v>
      </c>
      <c r="B402" s="61">
        <f>VLOOKUP(Table18[[#This Row],[Date]],database!A:G,5,)</f>
        <v/>
      </c>
      <c r="C402" s="74">
        <f>B402/B401-1</f>
        <v/>
      </c>
      <c r="D402" s="74">
        <f>(Table18[[#This Row],[Index]]-B390)/B390</f>
        <v/>
      </c>
    </row>
    <row r="403">
      <c r="A403" s="19" t="n">
        <v>38353</v>
      </c>
      <c r="B403" s="61">
        <f>VLOOKUP(Table18[[#This Row],[Date]],database!A:G,5,)</f>
        <v/>
      </c>
      <c r="C403" s="74">
        <f>B403/B402-1</f>
        <v/>
      </c>
      <c r="D403" s="74">
        <f>(Table18[[#This Row],[Index]]-B391)/B391</f>
        <v/>
      </c>
    </row>
    <row r="404">
      <c r="A404" s="19" t="n">
        <v>38384</v>
      </c>
      <c r="B404" s="61">
        <f>VLOOKUP(Table18[[#This Row],[Date]],database!A:G,5,)</f>
        <v/>
      </c>
      <c r="C404" s="74">
        <f>B404/B403-1</f>
        <v/>
      </c>
      <c r="D404" s="74">
        <f>(Table18[[#This Row],[Index]]-B392)/B392</f>
        <v/>
      </c>
    </row>
    <row r="405">
      <c r="A405" s="19" t="n">
        <v>38412</v>
      </c>
      <c r="B405" s="61">
        <f>VLOOKUP(Table18[[#This Row],[Date]],database!A:G,5,)</f>
        <v/>
      </c>
      <c r="C405" s="74">
        <f>B405/B404-1</f>
        <v/>
      </c>
      <c r="D405" s="74">
        <f>(Table18[[#This Row],[Index]]-B393)/B393</f>
        <v/>
      </c>
    </row>
    <row r="406">
      <c r="A406" s="19" t="n">
        <v>38443</v>
      </c>
      <c r="B406" s="61">
        <f>VLOOKUP(Table18[[#This Row],[Date]],database!A:G,5,)</f>
        <v/>
      </c>
      <c r="C406" s="74">
        <f>B406/B405-1</f>
        <v/>
      </c>
      <c r="D406" s="74">
        <f>(Table18[[#This Row],[Index]]-B394)/B394</f>
        <v/>
      </c>
    </row>
    <row r="407">
      <c r="A407" s="19" t="n">
        <v>38473</v>
      </c>
      <c r="B407" s="61">
        <f>VLOOKUP(Table18[[#This Row],[Date]],database!A:G,5,)</f>
        <v/>
      </c>
      <c r="C407" s="74">
        <f>B407/B406-1</f>
        <v/>
      </c>
      <c r="D407" s="74">
        <f>(Table18[[#This Row],[Index]]-B395)/B395</f>
        <v/>
      </c>
    </row>
    <row r="408">
      <c r="A408" s="19" t="n">
        <v>38504</v>
      </c>
      <c r="B408" s="61">
        <f>VLOOKUP(Table18[[#This Row],[Date]],database!A:G,5,)</f>
        <v/>
      </c>
      <c r="C408" s="74">
        <f>B408/B407-1</f>
        <v/>
      </c>
      <c r="D408" s="74">
        <f>(Table18[[#This Row],[Index]]-B396)/B396</f>
        <v/>
      </c>
    </row>
    <row r="409">
      <c r="A409" s="19" t="n">
        <v>38534</v>
      </c>
      <c r="B409" s="61">
        <f>VLOOKUP(Table18[[#This Row],[Date]],database!A:G,5,)</f>
        <v/>
      </c>
      <c r="C409" s="74">
        <f>B409/B408-1</f>
        <v/>
      </c>
      <c r="D409" s="74">
        <f>(Table18[[#This Row],[Index]]-B397)/B397</f>
        <v/>
      </c>
    </row>
    <row r="410">
      <c r="A410" s="19" t="n">
        <v>38565</v>
      </c>
      <c r="B410" s="61">
        <f>VLOOKUP(Table18[[#This Row],[Date]],database!A:G,5,)</f>
        <v/>
      </c>
      <c r="C410" s="74">
        <f>B410/B409-1</f>
        <v/>
      </c>
      <c r="D410" s="74">
        <f>(Table18[[#This Row],[Index]]-B398)/B398</f>
        <v/>
      </c>
    </row>
    <row r="411">
      <c r="A411" s="19" t="n">
        <v>38596</v>
      </c>
      <c r="B411" s="61">
        <f>VLOOKUP(Table18[[#This Row],[Date]],database!A:G,5,)</f>
        <v/>
      </c>
      <c r="C411" s="74">
        <f>B411/B410-1</f>
        <v/>
      </c>
      <c r="D411" s="74">
        <f>(Table18[[#This Row],[Index]]-B399)/B399</f>
        <v/>
      </c>
    </row>
    <row r="412">
      <c r="A412" s="19" t="n">
        <v>38626</v>
      </c>
      <c r="B412" s="61">
        <f>VLOOKUP(Table18[[#This Row],[Date]],database!A:G,5,)</f>
        <v/>
      </c>
      <c r="C412" s="74">
        <f>B412/B411-1</f>
        <v/>
      </c>
      <c r="D412" s="74">
        <f>(Table18[[#This Row],[Index]]-B400)/B400</f>
        <v/>
      </c>
    </row>
    <row r="413">
      <c r="A413" s="19" t="n">
        <v>38657</v>
      </c>
      <c r="B413" s="61">
        <f>VLOOKUP(Table18[[#This Row],[Date]],database!A:G,5,)</f>
        <v/>
      </c>
      <c r="C413" s="74">
        <f>B413/B412-1</f>
        <v/>
      </c>
      <c r="D413" s="74">
        <f>(Table18[[#This Row],[Index]]-B401)/B401</f>
        <v/>
      </c>
    </row>
    <row r="414">
      <c r="A414" s="19" t="n">
        <v>38687</v>
      </c>
      <c r="B414" s="61">
        <f>VLOOKUP(Table18[[#This Row],[Date]],database!A:G,5,)</f>
        <v/>
      </c>
      <c r="C414" s="74">
        <f>B414/B413-1</f>
        <v/>
      </c>
      <c r="D414" s="74">
        <f>(Table18[[#This Row],[Index]]-B402)/B402</f>
        <v/>
      </c>
    </row>
    <row r="415">
      <c r="A415" s="19" t="n">
        <v>38718</v>
      </c>
      <c r="B415" s="61">
        <f>VLOOKUP(Table18[[#This Row],[Date]],database!A:G,5,)</f>
        <v/>
      </c>
      <c r="C415" s="74">
        <f>B415/B414-1</f>
        <v/>
      </c>
      <c r="D415" s="74">
        <f>(Table18[[#This Row],[Index]]-B403)/B403</f>
        <v/>
      </c>
    </row>
    <row r="416">
      <c r="A416" s="19" t="n">
        <v>38749</v>
      </c>
      <c r="B416" s="61">
        <f>VLOOKUP(Table18[[#This Row],[Date]],database!A:G,5,)</f>
        <v/>
      </c>
      <c r="C416" s="74">
        <f>B416/B415-1</f>
        <v/>
      </c>
      <c r="D416" s="74">
        <f>(Table18[[#This Row],[Index]]-B404)/B404</f>
        <v/>
      </c>
    </row>
    <row r="417">
      <c r="A417" s="19" t="n">
        <v>38777</v>
      </c>
      <c r="B417" s="61">
        <f>VLOOKUP(Table18[[#This Row],[Date]],database!A:G,5,)</f>
        <v/>
      </c>
      <c r="C417" s="74">
        <f>B417/B416-1</f>
        <v/>
      </c>
      <c r="D417" s="74">
        <f>(Table18[[#This Row],[Index]]-B405)/B405</f>
        <v/>
      </c>
    </row>
    <row r="418">
      <c r="A418" s="19" t="n">
        <v>38808</v>
      </c>
      <c r="B418" s="61">
        <f>VLOOKUP(Table18[[#This Row],[Date]],database!A:G,5,)</f>
        <v/>
      </c>
      <c r="C418" s="74">
        <f>B418/B417-1</f>
        <v/>
      </c>
      <c r="D418" s="74">
        <f>(Table18[[#This Row],[Index]]-B406)/B406</f>
        <v/>
      </c>
    </row>
    <row r="419">
      <c r="A419" s="19" t="n">
        <v>38838</v>
      </c>
      <c r="B419" s="61">
        <f>VLOOKUP(Table18[[#This Row],[Date]],database!A:G,5,)</f>
        <v/>
      </c>
      <c r="C419" s="74">
        <f>B419/B418-1</f>
        <v/>
      </c>
      <c r="D419" s="74">
        <f>(Table18[[#This Row],[Index]]-B407)/B407</f>
        <v/>
      </c>
    </row>
    <row r="420">
      <c r="A420" s="19" t="n">
        <v>38869</v>
      </c>
      <c r="B420" s="61">
        <f>VLOOKUP(Table18[[#This Row],[Date]],database!A:G,5,)</f>
        <v/>
      </c>
      <c r="C420" s="74">
        <f>B420/B419-1</f>
        <v/>
      </c>
      <c r="D420" s="74">
        <f>(Table18[[#This Row],[Index]]-B408)/B408</f>
        <v/>
      </c>
    </row>
    <row r="421">
      <c r="A421" s="19" t="n">
        <v>38899</v>
      </c>
      <c r="B421" s="61">
        <f>VLOOKUP(Table18[[#This Row],[Date]],database!A:G,5,)</f>
        <v/>
      </c>
      <c r="C421" s="74">
        <f>B421/B420-1</f>
        <v/>
      </c>
      <c r="D421" s="74">
        <f>(Table18[[#This Row],[Index]]-B409)/B409</f>
        <v/>
      </c>
    </row>
    <row r="422">
      <c r="A422" s="19" t="n">
        <v>38930</v>
      </c>
      <c r="B422" s="61">
        <f>VLOOKUP(Table18[[#This Row],[Date]],database!A:G,5,)</f>
        <v/>
      </c>
      <c r="C422" s="74">
        <f>B422/B421-1</f>
        <v/>
      </c>
      <c r="D422" s="74">
        <f>(Table18[[#This Row],[Index]]-B410)/B410</f>
        <v/>
      </c>
    </row>
    <row r="423">
      <c r="A423" s="19" t="n">
        <v>38961</v>
      </c>
      <c r="B423" s="61">
        <f>VLOOKUP(Table18[[#This Row],[Date]],database!A:G,5,)</f>
        <v/>
      </c>
      <c r="C423" s="74">
        <f>B423/B422-1</f>
        <v/>
      </c>
      <c r="D423" s="74">
        <f>(Table18[[#This Row],[Index]]-B411)/B411</f>
        <v/>
      </c>
    </row>
    <row r="424">
      <c r="A424" s="19" t="n">
        <v>38991</v>
      </c>
      <c r="B424" s="61">
        <f>VLOOKUP(Table18[[#This Row],[Date]],database!A:G,5,)</f>
        <v/>
      </c>
      <c r="C424" s="74">
        <f>B424/B423-1</f>
        <v/>
      </c>
      <c r="D424" s="74">
        <f>(Table18[[#This Row],[Index]]-B412)/B412</f>
        <v/>
      </c>
    </row>
    <row r="425">
      <c r="A425" s="19" t="n">
        <v>39022</v>
      </c>
      <c r="B425" s="61">
        <f>VLOOKUP(Table18[[#This Row],[Date]],database!A:G,5,)</f>
        <v/>
      </c>
      <c r="C425" s="74">
        <f>B425/B424-1</f>
        <v/>
      </c>
      <c r="D425" s="74">
        <f>(Table18[[#This Row],[Index]]-B413)/B413</f>
        <v/>
      </c>
    </row>
    <row r="426">
      <c r="A426" s="19" t="n">
        <v>39052</v>
      </c>
      <c r="B426" s="61">
        <f>VLOOKUP(Table18[[#This Row],[Date]],database!A:G,5,)</f>
        <v/>
      </c>
      <c r="C426" s="74">
        <f>B426/B425-1</f>
        <v/>
      </c>
      <c r="D426" s="74">
        <f>(Table18[[#This Row],[Index]]-B414)/B414</f>
        <v/>
      </c>
    </row>
    <row r="427">
      <c r="A427" s="19" t="n">
        <v>39083</v>
      </c>
      <c r="B427" s="61">
        <f>VLOOKUP(Table18[[#This Row],[Date]],database!A:G,5,)</f>
        <v/>
      </c>
      <c r="C427" s="74">
        <f>B427/B426-1</f>
        <v/>
      </c>
      <c r="D427" s="74">
        <f>(Table18[[#This Row],[Index]]-B415)/B415</f>
        <v/>
      </c>
    </row>
    <row r="428">
      <c r="A428" s="19" t="n">
        <v>39114</v>
      </c>
      <c r="B428" s="61">
        <f>VLOOKUP(Table18[[#This Row],[Date]],database!A:G,5,)</f>
        <v/>
      </c>
      <c r="C428" s="74">
        <f>B428/B427-1</f>
        <v/>
      </c>
      <c r="D428" s="74">
        <f>(Table18[[#This Row],[Index]]-B416)/B416</f>
        <v/>
      </c>
    </row>
    <row r="429">
      <c r="A429" s="19" t="n">
        <v>39142</v>
      </c>
      <c r="B429" s="61">
        <f>VLOOKUP(Table18[[#This Row],[Date]],database!A:G,5,)</f>
        <v/>
      </c>
      <c r="C429" s="74">
        <f>B429/B428-1</f>
        <v/>
      </c>
      <c r="D429" s="74">
        <f>(Table18[[#This Row],[Index]]-B417)/B417</f>
        <v/>
      </c>
    </row>
    <row r="430">
      <c r="A430" s="19" t="n">
        <v>39173</v>
      </c>
      <c r="B430" s="61">
        <f>VLOOKUP(Table18[[#This Row],[Date]],database!A:G,5,)</f>
        <v/>
      </c>
      <c r="C430" s="74">
        <f>B430/B429-1</f>
        <v/>
      </c>
      <c r="D430" s="74">
        <f>(Table18[[#This Row],[Index]]-B418)/B418</f>
        <v/>
      </c>
    </row>
    <row r="431">
      <c r="A431" s="19" t="n">
        <v>39203</v>
      </c>
      <c r="B431" s="61">
        <f>VLOOKUP(Table18[[#This Row],[Date]],database!A:G,5,)</f>
        <v/>
      </c>
      <c r="C431" s="74">
        <f>B431/B430-1</f>
        <v/>
      </c>
      <c r="D431" s="74">
        <f>(Table18[[#This Row],[Index]]-B419)/B419</f>
        <v/>
      </c>
    </row>
    <row r="432">
      <c r="A432" s="19" t="n">
        <v>39234</v>
      </c>
      <c r="B432" s="61">
        <f>VLOOKUP(Table18[[#This Row],[Date]],database!A:G,5,)</f>
        <v/>
      </c>
      <c r="C432" s="74">
        <f>B432/B431-1</f>
        <v/>
      </c>
      <c r="D432" s="74">
        <f>(Table18[[#This Row],[Index]]-B420)/B420</f>
        <v/>
      </c>
    </row>
    <row r="433">
      <c r="A433" s="19" t="n">
        <v>39264</v>
      </c>
      <c r="B433" s="61">
        <f>VLOOKUP(Table18[[#This Row],[Date]],database!A:G,5,)</f>
        <v/>
      </c>
      <c r="C433" s="74">
        <f>B433/B432-1</f>
        <v/>
      </c>
      <c r="D433" s="74">
        <f>(Table18[[#This Row],[Index]]-B421)/B421</f>
        <v/>
      </c>
    </row>
    <row r="434">
      <c r="A434" s="19" t="n">
        <v>39295</v>
      </c>
      <c r="B434" s="61">
        <f>VLOOKUP(Table18[[#This Row],[Date]],database!A:G,5,)</f>
        <v/>
      </c>
      <c r="C434" s="74">
        <f>B434/B433-1</f>
        <v/>
      </c>
      <c r="D434" s="74">
        <f>(Table18[[#This Row],[Index]]-B422)/B422</f>
        <v/>
      </c>
    </row>
    <row r="435">
      <c r="A435" s="19" t="n">
        <v>39326</v>
      </c>
      <c r="B435" s="61">
        <f>VLOOKUP(Table18[[#This Row],[Date]],database!A:G,5,)</f>
        <v/>
      </c>
      <c r="C435" s="74">
        <f>B435/B434-1</f>
        <v/>
      </c>
      <c r="D435" s="74">
        <f>(Table18[[#This Row],[Index]]-B423)/B423</f>
        <v/>
      </c>
    </row>
    <row r="436">
      <c r="A436" s="19" t="n">
        <v>39356</v>
      </c>
      <c r="B436" s="61">
        <f>VLOOKUP(Table18[[#This Row],[Date]],database!A:G,5,)</f>
        <v/>
      </c>
      <c r="C436" s="74">
        <f>B436/B435-1</f>
        <v/>
      </c>
      <c r="D436" s="74">
        <f>(Table18[[#This Row],[Index]]-B424)/B424</f>
        <v/>
      </c>
    </row>
    <row r="437">
      <c r="A437" s="19" t="n">
        <v>39387</v>
      </c>
      <c r="B437" s="61">
        <f>VLOOKUP(Table18[[#This Row],[Date]],database!A:G,5,)</f>
        <v/>
      </c>
      <c r="C437" s="74">
        <f>B437/B436-1</f>
        <v/>
      </c>
      <c r="D437" s="74">
        <f>(Table18[[#This Row],[Index]]-B425)/B425</f>
        <v/>
      </c>
    </row>
    <row r="438">
      <c r="A438" s="19" t="n">
        <v>39417</v>
      </c>
      <c r="B438" s="61">
        <f>VLOOKUP(Table18[[#This Row],[Date]],database!A:G,5,)</f>
        <v/>
      </c>
      <c r="C438" s="74">
        <f>B438/B437-1</f>
        <v/>
      </c>
      <c r="D438" s="74">
        <f>(Table18[[#This Row],[Index]]-B426)/B426</f>
        <v/>
      </c>
    </row>
    <row r="439">
      <c r="A439" s="19" t="n">
        <v>39448</v>
      </c>
      <c r="B439" s="61">
        <f>VLOOKUP(Table18[[#This Row],[Date]],database!A:G,5,)</f>
        <v/>
      </c>
      <c r="C439" s="74">
        <f>B439/B438-1</f>
        <v/>
      </c>
      <c r="D439" s="74">
        <f>(Table18[[#This Row],[Index]]-B427)/B427</f>
        <v/>
      </c>
    </row>
    <row r="440">
      <c r="A440" s="19" t="n">
        <v>39479</v>
      </c>
      <c r="B440" s="61">
        <f>VLOOKUP(Table18[[#This Row],[Date]],database!A:G,5,)</f>
        <v/>
      </c>
      <c r="C440" s="74">
        <f>B440/B439-1</f>
        <v/>
      </c>
      <c r="D440" s="74">
        <f>(Table18[[#This Row],[Index]]-B428)/B428</f>
        <v/>
      </c>
    </row>
    <row r="441">
      <c r="A441" s="19" t="n">
        <v>39508</v>
      </c>
      <c r="B441" s="61">
        <f>VLOOKUP(Table18[[#This Row],[Date]],database!A:G,5,)</f>
        <v/>
      </c>
      <c r="C441" s="74">
        <f>B441/B440-1</f>
        <v/>
      </c>
      <c r="D441" s="74">
        <f>(Table18[[#This Row],[Index]]-B429)/B429</f>
        <v/>
      </c>
    </row>
    <row r="442">
      <c r="A442" s="19" t="n">
        <v>39539</v>
      </c>
      <c r="B442" s="61">
        <f>VLOOKUP(Table18[[#This Row],[Date]],database!A:G,5,)</f>
        <v/>
      </c>
      <c r="C442" s="74">
        <f>B442/B441-1</f>
        <v/>
      </c>
      <c r="D442" s="74">
        <f>(Table18[[#This Row],[Index]]-B430)/B430</f>
        <v/>
      </c>
    </row>
    <row r="443">
      <c r="A443" s="19" t="n">
        <v>39569</v>
      </c>
      <c r="B443" s="61">
        <f>VLOOKUP(Table18[[#This Row],[Date]],database!A:G,5,)</f>
        <v/>
      </c>
      <c r="C443" s="74">
        <f>B443/B442-1</f>
        <v/>
      </c>
      <c r="D443" s="74">
        <f>(Table18[[#This Row],[Index]]-B431)/B431</f>
        <v/>
      </c>
    </row>
    <row r="444">
      <c r="A444" s="19" t="n">
        <v>39600</v>
      </c>
      <c r="B444" s="61">
        <f>VLOOKUP(Table18[[#This Row],[Date]],database!A:G,5,)</f>
        <v/>
      </c>
      <c r="C444" s="74">
        <f>B444/B443-1</f>
        <v/>
      </c>
      <c r="D444" s="74">
        <f>(Table18[[#This Row],[Index]]-B432)/B432</f>
        <v/>
      </c>
    </row>
    <row r="445">
      <c r="A445" s="19" t="n">
        <v>39630</v>
      </c>
      <c r="B445" s="61">
        <f>VLOOKUP(Table18[[#This Row],[Date]],database!A:G,5,)</f>
        <v/>
      </c>
      <c r="C445" s="74">
        <f>B445/B444-1</f>
        <v/>
      </c>
      <c r="D445" s="74">
        <f>(Table18[[#This Row],[Index]]-B433)/B433</f>
        <v/>
      </c>
    </row>
    <row r="446">
      <c r="A446" s="19" t="n">
        <v>39661</v>
      </c>
      <c r="B446" s="61">
        <f>VLOOKUP(Table18[[#This Row],[Date]],database!A:G,5,)</f>
        <v/>
      </c>
      <c r="C446" s="74">
        <f>B446/B445-1</f>
        <v/>
      </c>
      <c r="D446" s="74">
        <f>(Table18[[#This Row],[Index]]-B434)/B434</f>
        <v/>
      </c>
    </row>
    <row r="447">
      <c r="A447" s="19" t="n">
        <v>39692</v>
      </c>
      <c r="B447" s="61">
        <f>VLOOKUP(Table18[[#This Row],[Date]],database!A:G,5,)</f>
        <v/>
      </c>
      <c r="C447" s="74">
        <f>B447/B446-1</f>
        <v/>
      </c>
      <c r="D447" s="74">
        <f>(Table18[[#This Row],[Index]]-B435)/B435</f>
        <v/>
      </c>
    </row>
    <row r="448">
      <c r="A448" s="19" t="n">
        <v>39722</v>
      </c>
      <c r="B448" s="61">
        <f>VLOOKUP(Table18[[#This Row],[Date]],database!A:G,5,)</f>
        <v/>
      </c>
      <c r="C448" s="74">
        <f>B448/B447-1</f>
        <v/>
      </c>
      <c r="D448" s="74">
        <f>(Table18[[#This Row],[Index]]-B436)/B436</f>
        <v/>
      </c>
    </row>
    <row r="449">
      <c r="A449" s="19" t="n">
        <v>39753</v>
      </c>
      <c r="B449" s="61">
        <f>VLOOKUP(Table18[[#This Row],[Date]],database!A:G,5,)</f>
        <v/>
      </c>
      <c r="C449" s="74">
        <f>B449/B448-1</f>
        <v/>
      </c>
      <c r="D449" s="74">
        <f>(Table18[[#This Row],[Index]]-B437)/B437</f>
        <v/>
      </c>
    </row>
    <row r="450">
      <c r="A450" s="19" t="n">
        <v>39783</v>
      </c>
      <c r="B450" s="61">
        <f>VLOOKUP(Table18[[#This Row],[Date]],database!A:G,5,)</f>
        <v/>
      </c>
      <c r="C450" s="74">
        <f>B450/B449-1</f>
        <v/>
      </c>
      <c r="D450" s="74">
        <f>(Table18[[#This Row],[Index]]-B438)/B438</f>
        <v/>
      </c>
    </row>
    <row r="451">
      <c r="A451" s="19" t="n">
        <v>39814</v>
      </c>
      <c r="B451" s="61">
        <f>VLOOKUP(Table18[[#This Row],[Date]],database!A:G,5,)</f>
        <v/>
      </c>
      <c r="C451" s="74">
        <f>B451/B450-1</f>
        <v/>
      </c>
      <c r="D451" s="74">
        <f>(Table18[[#This Row],[Index]]-B439)/B439</f>
        <v/>
      </c>
    </row>
    <row r="452">
      <c r="A452" s="19" t="n">
        <v>39845</v>
      </c>
      <c r="B452" s="61">
        <f>VLOOKUP(Table18[[#This Row],[Date]],database!A:G,5,)</f>
        <v/>
      </c>
      <c r="C452" s="74">
        <f>B452/B451-1</f>
        <v/>
      </c>
      <c r="D452" s="74">
        <f>(Table18[[#This Row],[Index]]-B440)/B440</f>
        <v/>
      </c>
    </row>
    <row r="453">
      <c r="A453" s="19" t="n">
        <v>39873</v>
      </c>
      <c r="B453" s="61">
        <f>VLOOKUP(Table18[[#This Row],[Date]],database!A:G,5,)</f>
        <v/>
      </c>
      <c r="C453" s="74">
        <f>B453/B452-1</f>
        <v/>
      </c>
      <c r="D453" s="74">
        <f>(Table18[[#This Row],[Index]]-B441)/B441</f>
        <v/>
      </c>
    </row>
    <row r="454">
      <c r="A454" s="19" t="n">
        <v>39904</v>
      </c>
      <c r="B454" s="61">
        <f>VLOOKUP(Table18[[#This Row],[Date]],database!A:G,5,)</f>
        <v/>
      </c>
      <c r="C454" s="74">
        <f>B454/B453-1</f>
        <v/>
      </c>
      <c r="D454" s="74">
        <f>(Table18[[#This Row],[Index]]-B442)/B442</f>
        <v/>
      </c>
    </row>
    <row r="455">
      <c r="A455" s="19" t="n">
        <v>39934</v>
      </c>
      <c r="B455" s="61">
        <f>VLOOKUP(Table18[[#This Row],[Date]],database!A:G,5,)</f>
        <v/>
      </c>
      <c r="C455" s="74">
        <f>B455/B454-1</f>
        <v/>
      </c>
      <c r="D455" s="74">
        <f>(Table18[[#This Row],[Index]]-B443)/B443</f>
        <v/>
      </c>
    </row>
    <row r="456">
      <c r="A456" s="19" t="n">
        <v>39965</v>
      </c>
      <c r="B456" s="61">
        <f>VLOOKUP(Table18[[#This Row],[Date]],database!A:G,5,)</f>
        <v/>
      </c>
      <c r="C456" s="74">
        <f>B456/B455-1</f>
        <v/>
      </c>
      <c r="D456" s="74">
        <f>(Table18[[#This Row],[Index]]-B444)/B444</f>
        <v/>
      </c>
    </row>
    <row r="457">
      <c r="A457" s="19" t="n">
        <v>39995</v>
      </c>
      <c r="B457" s="61">
        <f>VLOOKUP(Table18[[#This Row],[Date]],database!A:G,5,)</f>
        <v/>
      </c>
      <c r="C457" s="74">
        <f>B457/B456-1</f>
        <v/>
      </c>
      <c r="D457" s="74">
        <f>(Table18[[#This Row],[Index]]-B445)/B445</f>
        <v/>
      </c>
    </row>
    <row r="458">
      <c r="A458" s="19" t="n">
        <v>40026</v>
      </c>
      <c r="B458" s="61">
        <f>VLOOKUP(Table18[[#This Row],[Date]],database!A:G,5,)</f>
        <v/>
      </c>
      <c r="C458" s="74">
        <f>B458/B457-1</f>
        <v/>
      </c>
      <c r="D458" s="74">
        <f>(Table18[[#This Row],[Index]]-B446)/B446</f>
        <v/>
      </c>
    </row>
    <row r="459">
      <c r="A459" s="19" t="n">
        <v>40057</v>
      </c>
      <c r="B459" s="61">
        <f>VLOOKUP(Table18[[#This Row],[Date]],database!A:G,5,)</f>
        <v/>
      </c>
      <c r="C459" s="74">
        <f>B459/B458-1</f>
        <v/>
      </c>
      <c r="D459" s="74">
        <f>(Table18[[#This Row],[Index]]-B447)/B447</f>
        <v/>
      </c>
    </row>
    <row r="460">
      <c r="A460" s="19" t="n">
        <v>40087</v>
      </c>
      <c r="B460" s="61">
        <f>VLOOKUP(Table18[[#This Row],[Date]],database!A:G,5,)</f>
        <v/>
      </c>
      <c r="C460" s="74">
        <f>B460/B459-1</f>
        <v/>
      </c>
      <c r="D460" s="74">
        <f>(Table18[[#This Row],[Index]]-B448)/B448</f>
        <v/>
      </c>
    </row>
    <row r="461">
      <c r="A461" s="19" t="n">
        <v>40118</v>
      </c>
      <c r="B461" s="61">
        <f>VLOOKUP(Table18[[#This Row],[Date]],database!A:G,5,)</f>
        <v/>
      </c>
      <c r="C461" s="74">
        <f>B461/B460-1</f>
        <v/>
      </c>
      <c r="D461" s="74">
        <f>(Table18[[#This Row],[Index]]-B449)/B449</f>
        <v/>
      </c>
    </row>
    <row r="462">
      <c r="A462" s="19" t="n">
        <v>40148</v>
      </c>
      <c r="B462" s="61">
        <f>VLOOKUP(Table18[[#This Row],[Date]],database!A:G,5,)</f>
        <v/>
      </c>
      <c r="C462" s="74">
        <f>B462/B461-1</f>
        <v/>
      </c>
      <c r="D462" s="74">
        <f>(Table18[[#This Row],[Index]]-B450)/B450</f>
        <v/>
      </c>
    </row>
    <row r="463">
      <c r="A463" s="19" t="n">
        <v>40179</v>
      </c>
      <c r="B463" s="61">
        <f>VLOOKUP(Table18[[#This Row],[Date]],database!A:G,5,)</f>
        <v/>
      </c>
      <c r="C463" s="74">
        <f>B463/B462-1</f>
        <v/>
      </c>
      <c r="D463" s="74">
        <f>(Table18[[#This Row],[Index]]-B451)/B451</f>
        <v/>
      </c>
    </row>
    <row r="464">
      <c r="A464" s="19" t="n">
        <v>40210</v>
      </c>
      <c r="B464" s="61">
        <f>VLOOKUP(Table18[[#This Row],[Date]],database!A:G,5,)</f>
        <v/>
      </c>
      <c r="C464" s="74">
        <f>B464/B463-1</f>
        <v/>
      </c>
      <c r="D464" s="74">
        <f>(Table18[[#This Row],[Index]]-B452)/B452</f>
        <v/>
      </c>
    </row>
    <row r="465">
      <c r="A465" s="19" t="n">
        <v>40238</v>
      </c>
      <c r="B465" s="61">
        <f>VLOOKUP(Table18[[#This Row],[Date]],database!A:G,5,)</f>
        <v/>
      </c>
      <c r="C465" s="74">
        <f>B465/B464-1</f>
        <v/>
      </c>
      <c r="D465" s="74">
        <f>(Table18[[#This Row],[Index]]-B453)/B453</f>
        <v/>
      </c>
    </row>
    <row r="466">
      <c r="A466" s="19" t="n">
        <v>40269</v>
      </c>
      <c r="B466" s="61">
        <f>VLOOKUP(Table18[[#This Row],[Date]],database!A:G,5,)</f>
        <v/>
      </c>
      <c r="C466" s="74">
        <f>B466/B465-1</f>
        <v/>
      </c>
      <c r="D466" s="74">
        <f>(Table18[[#This Row],[Index]]-B454)/B454</f>
        <v/>
      </c>
    </row>
    <row r="467">
      <c r="A467" s="19" t="n">
        <v>40299</v>
      </c>
      <c r="B467" s="61">
        <f>VLOOKUP(Table18[[#This Row],[Date]],database!A:G,5,)</f>
        <v/>
      </c>
      <c r="C467" s="74">
        <f>B467/B466-1</f>
        <v/>
      </c>
      <c r="D467" s="74">
        <f>(Table18[[#This Row],[Index]]-B455)/B455</f>
        <v/>
      </c>
    </row>
    <row r="468">
      <c r="A468" s="19" t="n">
        <v>40330</v>
      </c>
      <c r="B468" s="61">
        <f>VLOOKUP(Table18[[#This Row],[Date]],database!A:G,5,)</f>
        <v/>
      </c>
      <c r="C468" s="74">
        <f>B468/B467-1</f>
        <v/>
      </c>
      <c r="D468" s="74">
        <f>(Table18[[#This Row],[Index]]-B456)/B456</f>
        <v/>
      </c>
    </row>
    <row r="469">
      <c r="A469" s="19" t="n">
        <v>40360</v>
      </c>
      <c r="B469" s="61">
        <f>VLOOKUP(Table18[[#This Row],[Date]],database!A:G,5,)</f>
        <v/>
      </c>
      <c r="C469" s="74">
        <f>B469/B468-1</f>
        <v/>
      </c>
      <c r="D469" s="74">
        <f>(Table18[[#This Row],[Index]]-B457)/B457</f>
        <v/>
      </c>
    </row>
    <row r="470">
      <c r="A470" s="19" t="n">
        <v>40391</v>
      </c>
      <c r="B470" s="61">
        <f>VLOOKUP(Table18[[#This Row],[Date]],database!A:G,5,)</f>
        <v/>
      </c>
      <c r="C470" s="74">
        <f>B470/B469-1</f>
        <v/>
      </c>
      <c r="D470" s="74">
        <f>(Table18[[#This Row],[Index]]-B458)/B458</f>
        <v/>
      </c>
    </row>
    <row r="471">
      <c r="A471" s="19" t="n">
        <v>40422</v>
      </c>
      <c r="B471" s="61">
        <f>VLOOKUP(Table18[[#This Row],[Date]],database!A:G,5,)</f>
        <v/>
      </c>
      <c r="C471" s="74">
        <f>B471/B470-1</f>
        <v/>
      </c>
      <c r="D471" s="74">
        <f>(Table18[[#This Row],[Index]]-B459)/B459</f>
        <v/>
      </c>
    </row>
    <row r="472">
      <c r="A472" s="19" t="n">
        <v>40452</v>
      </c>
      <c r="B472" s="61">
        <f>VLOOKUP(Table18[[#This Row],[Date]],database!A:G,5,)</f>
        <v/>
      </c>
      <c r="C472" s="74">
        <f>B472/B471-1</f>
        <v/>
      </c>
      <c r="D472" s="74">
        <f>(Table18[[#This Row],[Index]]-B460)/B460</f>
        <v/>
      </c>
    </row>
    <row r="473">
      <c r="A473" s="19" t="n">
        <v>40483</v>
      </c>
      <c r="B473" s="61">
        <f>VLOOKUP(Table18[[#This Row],[Date]],database!A:G,5,)</f>
        <v/>
      </c>
      <c r="C473" s="74">
        <f>B473/B472-1</f>
        <v/>
      </c>
      <c r="D473" s="74">
        <f>(Table18[[#This Row],[Index]]-B461)/B461</f>
        <v/>
      </c>
    </row>
    <row r="474">
      <c r="A474" s="19" t="n">
        <v>40513</v>
      </c>
      <c r="B474" s="61">
        <f>VLOOKUP(Table18[[#This Row],[Date]],database!A:G,5,)</f>
        <v/>
      </c>
      <c r="C474" s="74">
        <f>B474/B473-1</f>
        <v/>
      </c>
      <c r="D474" s="74">
        <f>(Table18[[#This Row],[Index]]-B462)/B462</f>
        <v/>
      </c>
    </row>
    <row r="475">
      <c r="A475" s="19" t="n">
        <v>40544</v>
      </c>
      <c r="B475" s="61">
        <f>VLOOKUP(Table18[[#This Row],[Date]],database!A:G,5,)</f>
        <v/>
      </c>
      <c r="C475" s="74">
        <f>B475/B474-1</f>
        <v/>
      </c>
      <c r="D475" s="74">
        <f>(Table18[[#This Row],[Index]]-B463)/B463</f>
        <v/>
      </c>
    </row>
    <row r="476">
      <c r="A476" s="19" t="n">
        <v>40575</v>
      </c>
      <c r="B476" s="61">
        <f>VLOOKUP(Table18[[#This Row],[Date]],database!A:G,5,)</f>
        <v/>
      </c>
      <c r="C476" s="74">
        <f>B476/B475-1</f>
        <v/>
      </c>
      <c r="D476" s="74">
        <f>(Table18[[#This Row],[Index]]-B464)/B464</f>
        <v/>
      </c>
    </row>
    <row r="477">
      <c r="A477" s="19" t="n">
        <v>40603</v>
      </c>
      <c r="B477" s="61">
        <f>VLOOKUP(Table18[[#This Row],[Date]],database!A:G,5,)</f>
        <v/>
      </c>
      <c r="C477" s="74">
        <f>B477/B476-1</f>
        <v/>
      </c>
      <c r="D477" s="74">
        <f>(Table18[[#This Row],[Index]]-B465)/B465</f>
        <v/>
      </c>
    </row>
    <row r="478">
      <c r="A478" s="19" t="n">
        <v>40634</v>
      </c>
      <c r="B478" s="61">
        <f>VLOOKUP(Table18[[#This Row],[Date]],database!A:G,5,)</f>
        <v/>
      </c>
      <c r="C478" s="75">
        <f>B478/B477-1</f>
        <v/>
      </c>
      <c r="D478" s="74">
        <f>(Table18[[#This Row],[Index]]-B466)/B466</f>
        <v/>
      </c>
    </row>
    <row r="479">
      <c r="A479" s="19" t="n">
        <v>40664</v>
      </c>
      <c r="B479" s="61">
        <f>VLOOKUP(Table18[[#This Row],[Date]],database!A:G,5,)</f>
        <v/>
      </c>
      <c r="C479" s="74">
        <f>B479/B478-1</f>
        <v/>
      </c>
      <c r="D479" s="74">
        <f>(Table18[[#This Row],[Index]]-B467)/B467</f>
        <v/>
      </c>
    </row>
    <row r="480">
      <c r="A480" s="19" t="n">
        <v>40695</v>
      </c>
      <c r="B480" s="61">
        <f>VLOOKUP(Table18[[#This Row],[Date]],database!A:G,5,)</f>
        <v/>
      </c>
      <c r="C480" s="74">
        <f>B480/B479-1</f>
        <v/>
      </c>
      <c r="D480" s="74">
        <f>(Table18[[#This Row],[Index]]-B468)/B468</f>
        <v/>
      </c>
    </row>
    <row r="481">
      <c r="A481" s="19" t="n">
        <v>40725</v>
      </c>
      <c r="B481" s="61">
        <f>VLOOKUP(Table18[[#This Row],[Date]],database!A:G,5,)</f>
        <v/>
      </c>
      <c r="C481" s="74">
        <f>B481/B480-1</f>
        <v/>
      </c>
      <c r="D481" s="74">
        <f>(Table18[[#This Row],[Index]]-B469)/B469</f>
        <v/>
      </c>
    </row>
    <row r="482">
      <c r="A482" s="19" t="n">
        <v>40756</v>
      </c>
      <c r="B482" s="61">
        <f>VLOOKUP(Table18[[#This Row],[Date]],database!A:G,5,)</f>
        <v/>
      </c>
      <c r="C482" s="74">
        <f>B482/B481-1</f>
        <v/>
      </c>
      <c r="D482" s="74">
        <f>(Table18[[#This Row],[Index]]-B470)/B470</f>
        <v/>
      </c>
    </row>
    <row r="483">
      <c r="A483" s="19" t="n">
        <v>40787</v>
      </c>
      <c r="B483" s="61">
        <f>VLOOKUP(Table18[[#This Row],[Date]],database!A:G,5,)</f>
        <v/>
      </c>
      <c r="C483" s="74">
        <f>B483/B482-1</f>
        <v/>
      </c>
      <c r="D483" s="74">
        <f>(Table18[[#This Row],[Index]]-B471)/B471</f>
        <v/>
      </c>
    </row>
    <row r="484">
      <c r="A484" s="19" t="n">
        <v>40817</v>
      </c>
      <c r="B484" s="61">
        <f>VLOOKUP(Table18[[#This Row],[Date]],database!A:G,5,)</f>
        <v/>
      </c>
      <c r="C484" s="74">
        <f>B484/B483-1</f>
        <v/>
      </c>
      <c r="D484" s="74">
        <f>(Table18[[#This Row],[Index]]-B472)/B472</f>
        <v/>
      </c>
    </row>
    <row r="485">
      <c r="A485" s="19" t="n">
        <v>40848</v>
      </c>
      <c r="B485" s="61">
        <f>VLOOKUP(Table18[[#This Row],[Date]],database!A:G,5,)</f>
        <v/>
      </c>
      <c r="C485" s="74">
        <f>B485/B484-1</f>
        <v/>
      </c>
      <c r="D485" s="74">
        <f>(Table18[[#This Row],[Index]]-B473)/B473</f>
        <v/>
      </c>
    </row>
    <row r="486">
      <c r="A486" s="19" t="n">
        <v>40878</v>
      </c>
      <c r="B486" s="61">
        <f>VLOOKUP(Table18[[#This Row],[Date]],database!A:G,5,)</f>
        <v/>
      </c>
      <c r="C486" s="74">
        <f>B486/B485-1</f>
        <v/>
      </c>
      <c r="D486" s="74">
        <f>(Table18[[#This Row],[Index]]-B474)/B474</f>
        <v/>
      </c>
    </row>
    <row r="487">
      <c r="A487" s="19" t="n">
        <v>40909</v>
      </c>
      <c r="B487" s="61">
        <f>VLOOKUP(Table18[[#This Row],[Date]],database!A:G,5,)</f>
        <v/>
      </c>
      <c r="C487" s="74">
        <f>B487/B486-1</f>
        <v/>
      </c>
      <c r="D487" s="74">
        <f>(Table18[[#This Row],[Index]]-B475)/B475</f>
        <v/>
      </c>
    </row>
    <row r="488">
      <c r="A488" s="19" t="n">
        <v>40940</v>
      </c>
      <c r="B488" s="61">
        <f>VLOOKUP(Table18[[#This Row],[Date]],database!A:G,5,)</f>
        <v/>
      </c>
      <c r="C488" s="74">
        <f>B488/B487-1</f>
        <v/>
      </c>
      <c r="D488" s="74">
        <f>(Table18[[#This Row],[Index]]-B476)/B476</f>
        <v/>
      </c>
    </row>
    <row r="489">
      <c r="A489" s="19" t="n">
        <v>40969</v>
      </c>
      <c r="B489" s="61">
        <f>VLOOKUP(Table18[[#This Row],[Date]],database!A:G,5,)</f>
        <v/>
      </c>
      <c r="C489" s="74">
        <f>B489/B488-1</f>
        <v/>
      </c>
      <c r="D489" s="74">
        <f>(Table18[[#This Row],[Index]]-B477)/B477</f>
        <v/>
      </c>
    </row>
    <row r="490">
      <c r="A490" s="19" t="n">
        <v>41000</v>
      </c>
      <c r="B490" s="61">
        <f>VLOOKUP(Table18[[#This Row],[Date]],database!A:G,5,)</f>
        <v/>
      </c>
      <c r="C490" s="74">
        <f>B490/B489-1</f>
        <v/>
      </c>
      <c r="D490" s="74">
        <f>(Table18[[#This Row],[Index]]-B478)/B478</f>
        <v/>
      </c>
    </row>
    <row r="491">
      <c r="A491" s="19" t="n">
        <v>41030</v>
      </c>
      <c r="B491" s="61">
        <f>VLOOKUP(Table18[[#This Row],[Date]],database!A:G,5,)</f>
        <v/>
      </c>
      <c r="C491" s="74">
        <f>B491/B490-1</f>
        <v/>
      </c>
      <c r="D491" s="74">
        <f>(Table18[[#This Row],[Index]]-B479)/B479</f>
        <v/>
      </c>
    </row>
    <row r="492">
      <c r="A492" s="19" t="n">
        <v>41061</v>
      </c>
      <c r="B492" s="61">
        <f>VLOOKUP(Table18[[#This Row],[Date]],database!A:G,5,)</f>
        <v/>
      </c>
      <c r="C492" s="74">
        <f>B492/B491-1</f>
        <v/>
      </c>
      <c r="D492" s="74">
        <f>(Table18[[#This Row],[Index]]-B480)/B480</f>
        <v/>
      </c>
    </row>
    <row r="493">
      <c r="A493" s="19" t="n">
        <v>41091</v>
      </c>
      <c r="B493" s="61">
        <f>VLOOKUP(Table18[[#This Row],[Date]],database!A:G,5,)</f>
        <v/>
      </c>
      <c r="C493" s="74">
        <f>B493/B492-1</f>
        <v/>
      </c>
      <c r="D493" s="74">
        <f>(Table18[[#This Row],[Index]]-B481)/B481</f>
        <v/>
      </c>
    </row>
    <row r="494">
      <c r="A494" s="19" t="n">
        <v>41122</v>
      </c>
      <c r="B494" s="61">
        <f>VLOOKUP(Table18[[#This Row],[Date]],database!A:G,5,)</f>
        <v/>
      </c>
      <c r="C494" s="74">
        <f>B494/B493-1</f>
        <v/>
      </c>
      <c r="D494" s="74">
        <f>(Table18[[#This Row],[Index]]-B482)/B482</f>
        <v/>
      </c>
    </row>
    <row r="495">
      <c r="A495" s="19" t="n">
        <v>41153</v>
      </c>
      <c r="B495" s="61">
        <f>VLOOKUP(Table18[[#This Row],[Date]],database!A:G,5,)</f>
        <v/>
      </c>
      <c r="C495" s="74">
        <f>B495/B494-1</f>
        <v/>
      </c>
      <c r="D495" s="74">
        <f>(Table18[[#This Row],[Index]]-B483)/B483</f>
        <v/>
      </c>
    </row>
    <row r="496">
      <c r="A496" s="19" t="n">
        <v>41183</v>
      </c>
      <c r="B496" s="61">
        <f>VLOOKUP(Table18[[#This Row],[Date]],database!A:G,5,)</f>
        <v/>
      </c>
      <c r="C496" s="74">
        <f>B496/B495-1</f>
        <v/>
      </c>
      <c r="D496" s="74">
        <f>(Table18[[#This Row],[Index]]-B484)/B484</f>
        <v/>
      </c>
    </row>
    <row r="497">
      <c r="A497" s="19" t="n">
        <v>41214</v>
      </c>
      <c r="B497" s="61">
        <f>VLOOKUP(Table18[[#This Row],[Date]],database!A:G,5,)</f>
        <v/>
      </c>
      <c r="C497" s="74">
        <f>B497/B496-1</f>
        <v/>
      </c>
      <c r="D497" s="74">
        <f>(Table18[[#This Row],[Index]]-B485)/B485</f>
        <v/>
      </c>
    </row>
    <row r="498">
      <c r="A498" s="19" t="n">
        <v>41244</v>
      </c>
      <c r="B498" s="61">
        <f>VLOOKUP(Table18[[#This Row],[Date]],database!A:G,5,)</f>
        <v/>
      </c>
      <c r="C498" s="74">
        <f>B498/B497-1</f>
        <v/>
      </c>
      <c r="D498" s="74">
        <f>(Table18[[#This Row],[Index]]-B486)/B486</f>
        <v/>
      </c>
    </row>
    <row r="499">
      <c r="A499" s="19" t="n">
        <v>41275</v>
      </c>
      <c r="B499" s="61">
        <f>VLOOKUP(Table18[[#This Row],[Date]],database!A:G,5,)</f>
        <v/>
      </c>
      <c r="C499" s="74">
        <f>B499/B498-1</f>
        <v/>
      </c>
      <c r="D499" s="74">
        <f>(Table18[[#This Row],[Index]]-B487)/B487</f>
        <v/>
      </c>
    </row>
    <row r="500">
      <c r="A500" s="19" t="n">
        <v>41306</v>
      </c>
      <c r="B500" s="61">
        <f>VLOOKUP(Table18[[#This Row],[Date]],database!A:G,5,)</f>
        <v/>
      </c>
      <c r="C500" s="74">
        <f>B500/B499-1</f>
        <v/>
      </c>
      <c r="D500" s="74">
        <f>(Table18[[#This Row],[Index]]-B488)/B488</f>
        <v/>
      </c>
    </row>
    <row r="501">
      <c r="A501" s="19" t="n">
        <v>41334</v>
      </c>
      <c r="B501" s="61">
        <f>VLOOKUP(Table18[[#This Row],[Date]],database!A:G,5,)</f>
        <v/>
      </c>
      <c r="C501" s="74">
        <f>B501/B500-1</f>
        <v/>
      </c>
      <c r="D501" s="74">
        <f>(Table18[[#This Row],[Index]]-B489)/B489</f>
        <v/>
      </c>
    </row>
    <row r="502">
      <c r="A502" s="19" t="n">
        <v>41365</v>
      </c>
      <c r="B502" s="61">
        <f>VLOOKUP(Table18[[#This Row],[Date]],database!A:G,5,)</f>
        <v/>
      </c>
      <c r="C502" s="74">
        <f>B502/B501-1</f>
        <v/>
      </c>
      <c r="D502" s="74">
        <f>(Table18[[#This Row],[Index]]-B490)/B490</f>
        <v/>
      </c>
    </row>
    <row r="503">
      <c r="A503" s="19" t="n">
        <v>41395</v>
      </c>
      <c r="B503" s="61">
        <f>VLOOKUP(Table18[[#This Row],[Date]],database!A:G,5,)</f>
        <v/>
      </c>
      <c r="C503" s="74">
        <f>B503/B502-1</f>
        <v/>
      </c>
      <c r="D503" s="74">
        <f>(Table18[[#This Row],[Index]]-B491)/B491</f>
        <v/>
      </c>
    </row>
    <row r="504">
      <c r="A504" s="19" t="n">
        <v>41426</v>
      </c>
      <c r="B504" s="61">
        <f>VLOOKUP(Table18[[#This Row],[Date]],database!A:G,5,)</f>
        <v/>
      </c>
      <c r="C504" s="74">
        <f>B504/B503-1</f>
        <v/>
      </c>
      <c r="D504" s="74">
        <f>(Table18[[#This Row],[Index]]-B492)/B492</f>
        <v/>
      </c>
    </row>
    <row r="505">
      <c r="A505" s="19" t="n">
        <v>41456</v>
      </c>
      <c r="B505" s="61">
        <f>VLOOKUP(Table18[[#This Row],[Date]],database!A:G,5,)</f>
        <v/>
      </c>
      <c r="C505" s="74">
        <f>B505/B504-1</f>
        <v/>
      </c>
      <c r="D505" s="74">
        <f>(Table18[[#This Row],[Index]]-B493)/B493</f>
        <v/>
      </c>
    </row>
    <row r="506">
      <c r="A506" s="19" t="n">
        <v>41487</v>
      </c>
      <c r="B506" s="61">
        <f>VLOOKUP(Table18[[#This Row],[Date]],database!A:G,5,)</f>
        <v/>
      </c>
      <c r="C506" s="74">
        <f>B506/B505-1</f>
        <v/>
      </c>
      <c r="D506" s="74">
        <f>(Table18[[#This Row],[Index]]-B494)/B494</f>
        <v/>
      </c>
    </row>
    <row r="507">
      <c r="A507" s="19" t="n">
        <v>41518</v>
      </c>
      <c r="B507" s="61">
        <f>VLOOKUP(Table18[[#This Row],[Date]],database!A:G,5,)</f>
        <v/>
      </c>
      <c r="C507" s="74">
        <f>B507/B506-1</f>
        <v/>
      </c>
      <c r="D507" s="74">
        <f>(Table18[[#This Row],[Index]]-B495)/B495</f>
        <v/>
      </c>
    </row>
    <row r="508">
      <c r="A508" s="19" t="n">
        <v>41548</v>
      </c>
      <c r="B508" s="61">
        <f>VLOOKUP(Table18[[#This Row],[Date]],database!A:G,5,)</f>
        <v/>
      </c>
      <c r="C508" s="74">
        <f>B508/B507-1</f>
        <v/>
      </c>
      <c r="D508" s="74">
        <f>(Table18[[#This Row],[Index]]-B496)/B496</f>
        <v/>
      </c>
    </row>
    <row r="509">
      <c r="A509" s="19" t="n">
        <v>41579</v>
      </c>
      <c r="B509" s="61">
        <f>VLOOKUP(Table18[[#This Row],[Date]],database!A:G,5,)</f>
        <v/>
      </c>
      <c r="C509" s="74">
        <f>B509/B508-1</f>
        <v/>
      </c>
      <c r="D509" s="74">
        <f>(Table18[[#This Row],[Index]]-B497)/B497</f>
        <v/>
      </c>
    </row>
    <row r="510">
      <c r="A510" s="19" t="n">
        <v>41609</v>
      </c>
      <c r="B510" s="61">
        <f>VLOOKUP(Table18[[#This Row],[Date]],database!A:G,5,)</f>
        <v/>
      </c>
      <c r="C510" s="74">
        <f>B510/B509-1</f>
        <v/>
      </c>
      <c r="D510" s="74">
        <f>(Table18[[#This Row],[Index]]-B498)/B498</f>
        <v/>
      </c>
    </row>
    <row r="511">
      <c r="A511" s="19" t="n">
        <v>41640</v>
      </c>
      <c r="B511" s="61">
        <f>VLOOKUP(Table18[[#This Row],[Date]],database!A:G,5,)</f>
        <v/>
      </c>
      <c r="C511" s="74">
        <f>B511/B510-1</f>
        <v/>
      </c>
      <c r="D511" s="74">
        <f>(Table18[[#This Row],[Index]]-B499)/B499</f>
        <v/>
      </c>
    </row>
    <row r="512">
      <c r="A512" s="19" t="n">
        <v>41671</v>
      </c>
      <c r="B512" s="61">
        <f>VLOOKUP(Table18[[#This Row],[Date]],database!A:G,5,)</f>
        <v/>
      </c>
      <c r="C512" s="74">
        <f>B512/B511-1</f>
        <v/>
      </c>
      <c r="D512" s="74">
        <f>(Table18[[#This Row],[Index]]-B500)/B500</f>
        <v/>
      </c>
    </row>
    <row r="513">
      <c r="A513" s="19" t="n">
        <v>41699</v>
      </c>
      <c r="B513" s="61">
        <f>VLOOKUP(Table18[[#This Row],[Date]],database!A:G,5,)</f>
        <v/>
      </c>
      <c r="C513" s="74">
        <f>B513/B512-1</f>
        <v/>
      </c>
      <c r="D513" s="74">
        <f>(Table18[[#This Row],[Index]]-B501)/B501</f>
        <v/>
      </c>
    </row>
    <row r="514">
      <c r="A514" s="19" t="n">
        <v>41730</v>
      </c>
      <c r="B514" s="61">
        <f>VLOOKUP(Table18[[#This Row],[Date]],database!A:G,5,)</f>
        <v/>
      </c>
      <c r="C514" s="74">
        <f>B514/B513-1</f>
        <v/>
      </c>
      <c r="D514" s="74">
        <f>(Table18[[#This Row],[Index]]-B502)/B502</f>
        <v/>
      </c>
    </row>
    <row r="515">
      <c r="A515" s="19" t="n">
        <v>41760</v>
      </c>
      <c r="B515" s="61">
        <f>VLOOKUP(Table18[[#This Row],[Date]],database!A:G,5,)</f>
        <v/>
      </c>
      <c r="C515" s="74">
        <f>B515/B514-1</f>
        <v/>
      </c>
      <c r="D515" s="74">
        <f>(Table18[[#This Row],[Index]]-B503)/B503</f>
        <v/>
      </c>
    </row>
    <row r="516">
      <c r="A516" s="19" t="n">
        <v>41791</v>
      </c>
      <c r="B516" s="61">
        <f>VLOOKUP(Table18[[#This Row],[Date]],database!A:G,5,)</f>
        <v/>
      </c>
      <c r="C516" s="74">
        <f>B516/B515-1</f>
        <v/>
      </c>
      <c r="D516" s="74">
        <f>(Table18[[#This Row],[Index]]-B504)/B504</f>
        <v/>
      </c>
    </row>
    <row r="517">
      <c r="A517" s="19" t="n">
        <v>41821</v>
      </c>
      <c r="B517" s="61">
        <f>VLOOKUP(Table18[[#This Row],[Date]],database!A:G,5,)</f>
        <v/>
      </c>
      <c r="C517" s="74">
        <f>B517/B516-1</f>
        <v/>
      </c>
      <c r="D517" s="74">
        <f>(Table18[[#This Row],[Index]]-B505)/B505</f>
        <v/>
      </c>
    </row>
    <row r="518">
      <c r="A518" s="19" t="n">
        <v>41852</v>
      </c>
      <c r="B518" s="61">
        <f>VLOOKUP(Table18[[#This Row],[Date]],database!A:G,5,)</f>
        <v/>
      </c>
      <c r="C518" s="74">
        <f>B518/B517-1</f>
        <v/>
      </c>
      <c r="D518" s="74">
        <f>(Table18[[#This Row],[Index]]-B506)/B506</f>
        <v/>
      </c>
    </row>
    <row r="519">
      <c r="A519" s="19" t="n">
        <v>41883</v>
      </c>
      <c r="B519" s="61">
        <f>VLOOKUP(Table18[[#This Row],[Date]],database!A:G,5,)</f>
        <v/>
      </c>
      <c r="C519" s="74">
        <f>B519/B518-1</f>
        <v/>
      </c>
      <c r="D519" s="74">
        <f>(Table18[[#This Row],[Index]]-B507)/B507</f>
        <v/>
      </c>
    </row>
    <row r="520">
      <c r="A520" s="19" t="n">
        <v>41913</v>
      </c>
      <c r="B520" s="61">
        <f>VLOOKUP(Table18[[#This Row],[Date]],database!A:G,5,)</f>
        <v/>
      </c>
      <c r="C520" s="74">
        <f>B520/B519-1</f>
        <v/>
      </c>
      <c r="D520" s="74">
        <f>(Table18[[#This Row],[Index]]-B508)/B508</f>
        <v/>
      </c>
    </row>
    <row r="521">
      <c r="A521" s="19" t="n">
        <v>41944</v>
      </c>
      <c r="B521" s="61">
        <f>VLOOKUP(Table18[[#This Row],[Date]],database!A:G,5,)</f>
        <v/>
      </c>
      <c r="C521" s="75">
        <f>B521/B520-1</f>
        <v/>
      </c>
      <c r="D521" s="74">
        <f>(Table18[[#This Row],[Index]]-B509)/B509</f>
        <v/>
      </c>
    </row>
    <row r="522">
      <c r="A522" s="19" t="n">
        <v>41974</v>
      </c>
      <c r="B522" s="61">
        <f>VLOOKUP(Table18[[#This Row],[Date]],database!A:G,5,)</f>
        <v/>
      </c>
      <c r="C522" s="74">
        <f>B522/B521-1</f>
        <v/>
      </c>
      <c r="D522" s="74">
        <f>(Table18[[#This Row],[Index]]-B510)/B510</f>
        <v/>
      </c>
    </row>
    <row r="523">
      <c r="A523" s="19" t="n">
        <v>42005</v>
      </c>
      <c r="B523" s="61">
        <f>VLOOKUP(Table18[[#This Row],[Date]],database!A:G,5,)</f>
        <v/>
      </c>
      <c r="C523" s="75">
        <f>B523/B522-1</f>
        <v/>
      </c>
      <c r="D523" s="74">
        <f>(Table18[[#This Row],[Index]]-B511)/B511</f>
        <v/>
      </c>
    </row>
    <row r="524">
      <c r="A524" s="19" t="n">
        <v>42036</v>
      </c>
      <c r="B524" s="61">
        <f>VLOOKUP(Table18[[#This Row],[Date]],database!A:G,5,)</f>
        <v/>
      </c>
      <c r="C524" s="74">
        <f>B524/B523-1</f>
        <v/>
      </c>
      <c r="D524" s="74">
        <f>(Table18[[#This Row],[Index]]-B512)/B512</f>
        <v/>
      </c>
    </row>
    <row r="525">
      <c r="A525" s="19" t="n">
        <v>42064</v>
      </c>
      <c r="B525" s="61">
        <f>VLOOKUP(Table18[[#This Row],[Date]],database!A:G,5,)</f>
        <v/>
      </c>
      <c r="C525" s="75">
        <f>B525/B524-1</f>
        <v/>
      </c>
      <c r="D525" s="74">
        <f>(Table18[[#This Row],[Index]]-B513)/B513</f>
        <v/>
      </c>
    </row>
    <row r="526">
      <c r="A526" s="19" t="n">
        <v>42095</v>
      </c>
      <c r="B526" s="61">
        <f>VLOOKUP(Table18[[#This Row],[Date]],database!A:G,5,)</f>
        <v/>
      </c>
      <c r="C526" s="74">
        <f>B526/B525-1</f>
        <v/>
      </c>
      <c r="D526" s="74">
        <f>(Table18[[#This Row],[Index]]-B514)/B514</f>
        <v/>
      </c>
    </row>
    <row r="527">
      <c r="A527" s="19" t="n">
        <v>42125</v>
      </c>
      <c r="B527" s="61">
        <f>VLOOKUP(Table18[[#This Row],[Date]],database!A:G,5,)</f>
        <v/>
      </c>
      <c r="C527" s="74">
        <f>B527/B526-1</f>
        <v/>
      </c>
      <c r="D527" s="74">
        <f>(Table18[[#This Row],[Index]]-B515)/B515</f>
        <v/>
      </c>
    </row>
    <row r="528">
      <c r="A528" s="19" t="n">
        <v>42156</v>
      </c>
      <c r="B528" s="61">
        <f>VLOOKUP(Table18[[#This Row],[Date]],database!A:G,5,)</f>
        <v/>
      </c>
      <c r="C528" s="74">
        <f>B528/B527-1</f>
        <v/>
      </c>
      <c r="D528" s="74">
        <f>(Table18[[#This Row],[Index]]-B516)/B516</f>
        <v/>
      </c>
    </row>
    <row r="529">
      <c r="A529" s="19" t="n">
        <v>42186</v>
      </c>
      <c r="B529" s="61">
        <f>VLOOKUP(Table18[[#This Row],[Date]],database!A:G,5,)</f>
        <v/>
      </c>
      <c r="C529" s="74">
        <f>B529/B528-1</f>
        <v/>
      </c>
      <c r="D529" s="74">
        <f>(Table18[[#This Row],[Index]]-B517)/B517</f>
        <v/>
      </c>
    </row>
    <row r="530">
      <c r="A530" s="19" t="n">
        <v>42217</v>
      </c>
      <c r="B530" s="61">
        <f>VLOOKUP(Table18[[#This Row],[Date]],database!A:G,5,)</f>
        <v/>
      </c>
      <c r="C530" s="74">
        <f>B530/B529-1</f>
        <v/>
      </c>
      <c r="D530" s="74">
        <f>(Table18[[#This Row],[Index]]-B518)/B518</f>
        <v/>
      </c>
    </row>
    <row r="531">
      <c r="A531" s="19" t="n">
        <v>42248</v>
      </c>
      <c r="B531" s="61">
        <f>VLOOKUP(Table18[[#This Row],[Date]],database!A:G,5,)</f>
        <v/>
      </c>
      <c r="C531" s="74">
        <f>B531/B530-1</f>
        <v/>
      </c>
      <c r="D531" s="74">
        <f>(Table18[[#This Row],[Index]]-B519)/B519</f>
        <v/>
      </c>
    </row>
    <row r="532">
      <c r="A532" s="19" t="n">
        <v>42278</v>
      </c>
      <c r="B532" s="61">
        <f>VLOOKUP(Table18[[#This Row],[Date]],database!A:G,5,)</f>
        <v/>
      </c>
      <c r="C532" s="74">
        <f>B532/B531-1</f>
        <v/>
      </c>
      <c r="D532" s="74">
        <f>(Table18[[#This Row],[Index]]-B520)/B520</f>
        <v/>
      </c>
    </row>
    <row r="533">
      <c r="A533" s="19" t="n">
        <v>42309</v>
      </c>
      <c r="B533" s="61">
        <f>VLOOKUP(Table18[[#This Row],[Date]],database!A:G,5,)</f>
        <v/>
      </c>
      <c r="C533" s="74">
        <f>B533/B532-1</f>
        <v/>
      </c>
      <c r="D533" s="74">
        <f>(Table18[[#This Row],[Index]]-B521)/B521</f>
        <v/>
      </c>
    </row>
    <row r="534">
      <c r="A534" s="19" t="n">
        <v>42339</v>
      </c>
      <c r="B534" s="61">
        <f>VLOOKUP(Table18[[#This Row],[Date]],database!A:G,5,)</f>
        <v/>
      </c>
      <c r="C534" s="74">
        <f>B534/B533-1</f>
        <v/>
      </c>
      <c r="D534" s="74">
        <f>(Table18[[#This Row],[Index]]-B522)/B522</f>
        <v/>
      </c>
    </row>
    <row r="535">
      <c r="A535" s="19" t="n">
        <v>42370</v>
      </c>
      <c r="B535" s="61">
        <f>VLOOKUP(Table18[[#This Row],[Date]],database!A:G,5,)</f>
        <v/>
      </c>
      <c r="C535" s="74">
        <f>B535/B534-1</f>
        <v/>
      </c>
      <c r="D535" s="74">
        <f>(Table18[[#This Row],[Index]]-B523)/B523</f>
        <v/>
      </c>
    </row>
    <row r="536">
      <c r="A536" s="19" t="n">
        <v>42401</v>
      </c>
      <c r="B536" s="61">
        <f>VLOOKUP(Table18[[#This Row],[Date]],database!A:G,5,)</f>
        <v/>
      </c>
      <c r="C536" s="74">
        <f>B536/B535-1</f>
        <v/>
      </c>
      <c r="D536" s="74">
        <f>(Table18[[#This Row],[Index]]-B524)/B524</f>
        <v/>
      </c>
    </row>
    <row r="537">
      <c r="A537" s="19" t="n">
        <v>42430</v>
      </c>
      <c r="B537" s="61">
        <f>VLOOKUP(Table18[[#This Row],[Date]],database!A:G,5,)</f>
        <v/>
      </c>
      <c r="C537" s="74">
        <f>B537/B536-1</f>
        <v/>
      </c>
      <c r="D537" s="74">
        <f>(Table18[[#This Row],[Index]]-B525)/B525</f>
        <v/>
      </c>
    </row>
    <row r="538">
      <c r="A538" s="19" t="n">
        <v>42461</v>
      </c>
      <c r="B538" s="61">
        <f>VLOOKUP(Table18[[#This Row],[Date]],database!A:G,5,)</f>
        <v/>
      </c>
      <c r="C538" s="74">
        <f>B538/B537-1</f>
        <v/>
      </c>
      <c r="D538" s="74">
        <f>(Table18[[#This Row],[Index]]-B526)/B526</f>
        <v/>
      </c>
    </row>
    <row r="539">
      <c r="A539" s="19" t="n">
        <v>42491</v>
      </c>
      <c r="B539" s="61">
        <f>VLOOKUP(Table18[[#This Row],[Date]],database!A:G,5,)</f>
        <v/>
      </c>
      <c r="C539" s="74">
        <f>B539/B538-1</f>
        <v/>
      </c>
      <c r="D539" s="74">
        <f>(Table18[[#This Row],[Index]]-B527)/B527</f>
        <v/>
      </c>
    </row>
    <row r="540">
      <c r="A540" s="19" t="n">
        <v>42522</v>
      </c>
      <c r="B540" s="61">
        <f>VLOOKUP(Table18[[#This Row],[Date]],database!A:G,5,)</f>
        <v/>
      </c>
      <c r="C540" s="74">
        <f>B540/B539-1</f>
        <v/>
      </c>
      <c r="D540" s="74">
        <f>(Table18[[#This Row],[Index]]-B528)/B528</f>
        <v/>
      </c>
    </row>
    <row r="541">
      <c r="A541" s="19" t="n">
        <v>42552</v>
      </c>
      <c r="B541" s="61">
        <f>VLOOKUP(Table18[[#This Row],[Date]],database!A:G,5,)</f>
        <v/>
      </c>
      <c r="C541" s="74">
        <f>B541/B540-1</f>
        <v/>
      </c>
      <c r="D541" s="74">
        <f>(Table18[[#This Row],[Index]]-B529)/B529</f>
        <v/>
      </c>
    </row>
    <row r="542">
      <c r="A542" s="19" t="n">
        <v>42583</v>
      </c>
      <c r="B542" s="61">
        <f>VLOOKUP(Table18[[#This Row],[Date]],database!A:G,5,)</f>
        <v/>
      </c>
      <c r="C542" s="74">
        <f>B542/B541-1</f>
        <v/>
      </c>
      <c r="D542" s="74">
        <f>(Table18[[#This Row],[Index]]-B530)/B530</f>
        <v/>
      </c>
    </row>
    <row r="543">
      <c r="A543" s="19" t="n">
        <v>42614</v>
      </c>
      <c r="B543" s="61">
        <f>VLOOKUP(Table18[[#This Row],[Date]],database!A:G,5,)</f>
        <v/>
      </c>
      <c r="C543" s="74">
        <f>B543/B542-1</f>
        <v/>
      </c>
      <c r="D543" s="74">
        <f>(Table18[[#This Row],[Index]]-B531)/B531</f>
        <v/>
      </c>
    </row>
    <row r="544">
      <c r="A544" s="19" t="n">
        <v>42644</v>
      </c>
      <c r="B544" s="61">
        <f>VLOOKUP(Table18[[#This Row],[Date]],database!A:G,5,)</f>
        <v/>
      </c>
      <c r="C544" s="74">
        <f>B544/B543-1</f>
        <v/>
      </c>
      <c r="D544" s="74">
        <f>(Table18[[#This Row],[Index]]-B532)/B532</f>
        <v/>
      </c>
    </row>
    <row r="545">
      <c r="A545" s="19" t="n">
        <v>42675</v>
      </c>
      <c r="B545" s="61">
        <f>VLOOKUP(Table18[[#This Row],[Date]],database!A:G,5,)</f>
        <v/>
      </c>
      <c r="C545" s="74">
        <f>B545/B544-1</f>
        <v/>
      </c>
      <c r="D545" s="74">
        <f>(Table18[[#This Row],[Index]]-B533)/B533</f>
        <v/>
      </c>
    </row>
    <row r="546">
      <c r="A546" s="19" t="n">
        <v>42705</v>
      </c>
      <c r="B546" s="61">
        <f>VLOOKUP(Table18[[#This Row],[Date]],database!A:G,5,)</f>
        <v/>
      </c>
      <c r="C546" s="74">
        <f>B546/B545-1</f>
        <v/>
      </c>
      <c r="D546" s="74">
        <f>(Table18[[#This Row],[Index]]-B534)/B534</f>
        <v/>
      </c>
    </row>
    <row r="547">
      <c r="A547" s="19" t="n">
        <v>42736</v>
      </c>
      <c r="B547" s="61">
        <f>VLOOKUP(Table18[[#This Row],[Date]],database!A:G,5,)</f>
        <v/>
      </c>
      <c r="C547" s="74">
        <f>B547/B546-1</f>
        <v/>
      </c>
      <c r="D547" s="74">
        <f>(Table18[[#This Row],[Index]]-B535)/B535</f>
        <v/>
      </c>
    </row>
    <row r="548">
      <c r="A548" s="19" t="n">
        <v>42767</v>
      </c>
      <c r="B548" s="61">
        <f>VLOOKUP(Table18[[#This Row],[Date]],database!A:G,5,)</f>
        <v/>
      </c>
      <c r="C548" s="74">
        <f>B548/B547-1</f>
        <v/>
      </c>
      <c r="D548" s="74">
        <f>(Table18[[#This Row],[Index]]-B536)/B536</f>
        <v/>
      </c>
    </row>
    <row r="549">
      <c r="A549" s="19" t="n">
        <v>42795</v>
      </c>
      <c r="B549" s="61">
        <f>VLOOKUP(Table18[[#This Row],[Date]],database!A:G,5,)</f>
        <v/>
      </c>
      <c r="C549" s="74">
        <f>B549/B548-1</f>
        <v/>
      </c>
      <c r="D549" s="74">
        <f>(Table18[[#This Row],[Index]]-B537)/B537</f>
        <v/>
      </c>
    </row>
    <row r="550">
      <c r="A550" s="19" t="n">
        <v>42826</v>
      </c>
      <c r="B550" s="61">
        <f>VLOOKUP(Table18[[#This Row],[Date]],database!A:G,5,)</f>
        <v/>
      </c>
      <c r="C550" s="74">
        <f>B550/B549-1</f>
        <v/>
      </c>
      <c r="D550" s="74">
        <f>(Table18[[#This Row],[Index]]-B538)/B538</f>
        <v/>
      </c>
    </row>
    <row r="551">
      <c r="A551" s="19" t="n">
        <v>42856</v>
      </c>
      <c r="B551" s="61">
        <f>VLOOKUP(Table18[[#This Row],[Date]],database!A:G,5,)</f>
        <v/>
      </c>
      <c r="C551" s="74">
        <f>B551/B550-1</f>
        <v/>
      </c>
      <c r="D551" s="74">
        <f>(Table18[[#This Row],[Index]]-B539)/B539</f>
        <v/>
      </c>
    </row>
    <row r="552">
      <c r="A552" s="19" t="n">
        <v>42887</v>
      </c>
      <c r="B552" s="61">
        <f>VLOOKUP(Table18[[#This Row],[Date]],database!A:G,5,)</f>
        <v/>
      </c>
      <c r="C552" s="74">
        <f>B552/B551-1</f>
        <v/>
      </c>
      <c r="D552" s="74">
        <f>(Table18[[#This Row],[Index]]-B540)/B540</f>
        <v/>
      </c>
    </row>
    <row r="553">
      <c r="A553" s="19" t="n">
        <v>42917</v>
      </c>
      <c r="B553" s="61">
        <f>VLOOKUP(Table18[[#This Row],[Date]],database!A:G,5,)</f>
        <v/>
      </c>
      <c r="C553" s="74">
        <f>B553/B552-1</f>
        <v/>
      </c>
      <c r="D553" s="74">
        <f>(Table18[[#This Row],[Index]]-B541)/B541</f>
        <v/>
      </c>
    </row>
    <row r="554">
      <c r="A554" s="19" t="n">
        <v>42948</v>
      </c>
      <c r="B554" s="61">
        <f>VLOOKUP(Table18[[#This Row],[Date]],database!A:G,5,)</f>
        <v/>
      </c>
      <c r="C554" s="74">
        <f>B554/B553-1</f>
        <v/>
      </c>
      <c r="D554" s="74">
        <f>(Table18[[#This Row],[Index]]-B542)/B542</f>
        <v/>
      </c>
    </row>
    <row r="555">
      <c r="A555" s="19" t="n">
        <v>42979</v>
      </c>
      <c r="B555" s="61">
        <f>VLOOKUP(Table18[[#This Row],[Date]],database!A:G,5,)</f>
        <v/>
      </c>
      <c r="C555" s="74">
        <f>B555/B554-1</f>
        <v/>
      </c>
      <c r="D555" s="74">
        <f>(Table18[[#This Row],[Index]]-B543)/B543</f>
        <v/>
      </c>
    </row>
    <row r="556">
      <c r="A556" s="19" t="n">
        <v>43009</v>
      </c>
      <c r="B556" s="61">
        <f>VLOOKUP(Table18[[#This Row],[Date]],database!A:G,5,)</f>
        <v/>
      </c>
      <c r="C556" s="74">
        <f>B556/B555-1</f>
        <v/>
      </c>
      <c r="D556" s="74">
        <f>(Table18[[#This Row],[Index]]-B544)/B544</f>
        <v/>
      </c>
    </row>
    <row r="557">
      <c r="A557" s="19" t="n">
        <v>43040</v>
      </c>
      <c r="B557" s="61">
        <f>VLOOKUP(Table18[[#This Row],[Date]],database!A:G,5,)</f>
        <v/>
      </c>
      <c r="C557" s="74">
        <f>B557/B556-1</f>
        <v/>
      </c>
      <c r="D557" s="74">
        <f>(Table18[[#This Row],[Index]]-B545)/B545</f>
        <v/>
      </c>
    </row>
    <row r="558">
      <c r="A558" s="19" t="n">
        <v>43070</v>
      </c>
      <c r="B558" s="61">
        <f>VLOOKUP(Table18[[#This Row],[Date]],database!A:G,5,)</f>
        <v/>
      </c>
      <c r="C558" s="74">
        <f>B558/B557-1</f>
        <v/>
      </c>
      <c r="D558" s="74">
        <f>(Table18[[#This Row],[Index]]-B546)/B546</f>
        <v/>
      </c>
    </row>
    <row r="559">
      <c r="A559" s="19" t="n">
        <v>43101</v>
      </c>
      <c r="B559" s="61">
        <f>VLOOKUP(Table18[[#This Row],[Date]],database!A:G,5,)</f>
        <v/>
      </c>
      <c r="C559" s="74">
        <f>B559/B558-1</f>
        <v/>
      </c>
      <c r="D559" s="74">
        <f>(Table18[[#This Row],[Index]]-B547)/B547</f>
        <v/>
      </c>
    </row>
    <row r="560">
      <c r="A560" s="19" t="n">
        <v>43132</v>
      </c>
      <c r="B560" s="61">
        <f>VLOOKUP(Table18[[#This Row],[Date]],database!A:G,5,)</f>
        <v/>
      </c>
      <c r="C560" s="74">
        <f>B560/B559-1</f>
        <v/>
      </c>
      <c r="D560" s="74">
        <f>(Table18[[#This Row],[Index]]-B548)/B548</f>
        <v/>
      </c>
    </row>
    <row r="561">
      <c r="A561" s="19" t="n">
        <v>43160</v>
      </c>
      <c r="B561" s="61">
        <f>VLOOKUP(Table18[[#This Row],[Date]],database!A:G,5,)</f>
        <v/>
      </c>
      <c r="C561" s="74">
        <f>B561/B560-1</f>
        <v/>
      </c>
      <c r="D561" s="74">
        <f>(Table18[[#This Row],[Index]]-B549)/B549</f>
        <v/>
      </c>
    </row>
    <row r="562">
      <c r="A562" s="19" t="n">
        <v>43191</v>
      </c>
      <c r="B562" s="61">
        <f>VLOOKUP(Table18[[#This Row],[Date]],database!A:G,5,)</f>
        <v/>
      </c>
      <c r="C562" s="74">
        <f>B562/B561-1</f>
        <v/>
      </c>
      <c r="D562" s="74">
        <f>(Table18[[#This Row],[Index]]-B550)/B550</f>
        <v/>
      </c>
    </row>
    <row r="563">
      <c r="A563" s="19" t="n">
        <v>43221</v>
      </c>
      <c r="B563" s="61">
        <f>VLOOKUP(Table18[[#This Row],[Date]],database!A:G,5,)</f>
        <v/>
      </c>
      <c r="C563" s="74">
        <f>B563/B562-1</f>
        <v/>
      </c>
      <c r="D563" s="74">
        <f>(Table18[[#This Row],[Index]]-B551)/B551</f>
        <v/>
      </c>
    </row>
    <row r="564">
      <c r="A564" s="19" t="n">
        <v>43252</v>
      </c>
      <c r="B564" s="61">
        <f>VLOOKUP(Table18[[#This Row],[Date]],database!A:G,5,)</f>
        <v/>
      </c>
      <c r="C564" s="74">
        <f>B564/B563-1</f>
        <v/>
      </c>
      <c r="D564" s="74">
        <f>(Table18[[#This Row],[Index]]-B552)/B552</f>
        <v/>
      </c>
    </row>
    <row r="565">
      <c r="A565" s="19" t="n">
        <v>43282</v>
      </c>
      <c r="B565" s="61">
        <f>VLOOKUP(Table18[[#This Row],[Date]],database!A:G,5,)</f>
        <v/>
      </c>
      <c r="C565" s="74">
        <f>B565/B564-1</f>
        <v/>
      </c>
      <c r="D565" s="74">
        <f>(Table18[[#This Row],[Index]]-B553)/B553</f>
        <v/>
      </c>
    </row>
    <row r="566">
      <c r="A566" s="19" t="n">
        <v>43313</v>
      </c>
      <c r="B566" s="61">
        <f>VLOOKUP(Table18[[#This Row],[Date]],database!A:G,5,)</f>
        <v/>
      </c>
      <c r="C566" s="74">
        <f>B566/B565-1</f>
        <v/>
      </c>
      <c r="D566" s="74">
        <f>(Table18[[#This Row],[Index]]-B554)/B554</f>
        <v/>
      </c>
    </row>
    <row r="567">
      <c r="A567" s="19" t="n">
        <v>43344</v>
      </c>
      <c r="B567" s="61">
        <f>VLOOKUP(Table18[[#This Row],[Date]],database!A:G,5,)</f>
        <v/>
      </c>
      <c r="C567" s="74">
        <f>B567/B566-1</f>
        <v/>
      </c>
      <c r="D567" s="74">
        <f>(Table18[[#This Row],[Index]]-B555)/B555</f>
        <v/>
      </c>
    </row>
    <row r="568">
      <c r="A568" s="19" t="n">
        <v>43374</v>
      </c>
      <c r="B568" s="61">
        <f>VLOOKUP(Table18[[#This Row],[Date]],database!A:G,5,)</f>
        <v/>
      </c>
      <c r="C568" s="74">
        <f>B568/B567-1</f>
        <v/>
      </c>
      <c r="D568" s="74">
        <f>(Table18[[#This Row],[Index]]-B556)/B556</f>
        <v/>
      </c>
    </row>
    <row r="569">
      <c r="A569" s="19" t="n">
        <v>43405</v>
      </c>
      <c r="B569" s="61">
        <f>VLOOKUP(Table18[[#This Row],[Date]],database!A:G,5,)</f>
        <v/>
      </c>
      <c r="C569" s="74">
        <f>B569/B568-1</f>
        <v/>
      </c>
      <c r="D569" s="74">
        <f>(Table18[[#This Row],[Index]]-B557)/B557</f>
        <v/>
      </c>
    </row>
    <row r="570">
      <c r="A570" s="19" t="n">
        <v>43435</v>
      </c>
      <c r="B570" s="61">
        <f>VLOOKUP(Table18[[#This Row],[Date]],database!A:G,5,)</f>
        <v/>
      </c>
      <c r="C570" s="74">
        <f>B570/B569-1</f>
        <v/>
      </c>
      <c r="D570" s="74">
        <f>(Table18[[#This Row],[Index]]-B558)/B558</f>
        <v/>
      </c>
    </row>
    <row r="571">
      <c r="A571" s="19" t="n">
        <v>43466</v>
      </c>
      <c r="B571" s="61">
        <f>VLOOKUP(Table18[[#This Row],[Date]],database!A:G,5,)</f>
        <v/>
      </c>
      <c r="C571" s="74">
        <f>B571/B570-1</f>
        <v/>
      </c>
      <c r="D571" s="74">
        <f>(Table18[[#This Row],[Index]]-B559)/B559</f>
        <v/>
      </c>
    </row>
    <row r="572">
      <c r="A572" s="19" t="n">
        <v>43497</v>
      </c>
      <c r="B572" s="61">
        <f>VLOOKUP(Table18[[#This Row],[Date]],database!A:G,5,)</f>
        <v/>
      </c>
      <c r="C572" s="74">
        <f>B572/B571-1</f>
        <v/>
      </c>
      <c r="D572" s="74">
        <f>(Table18[[#This Row],[Index]]-B560)/B560</f>
        <v/>
      </c>
    </row>
    <row r="573">
      <c r="A573" s="19" t="n">
        <v>43525</v>
      </c>
      <c r="B573" s="61">
        <f>VLOOKUP(Table18[[#This Row],[Date]],database!A:G,5,)</f>
        <v/>
      </c>
      <c r="C573" s="74">
        <f>B573/B572-1</f>
        <v/>
      </c>
      <c r="D573" s="74">
        <f>(Table18[[#This Row],[Index]]-B561)/B561</f>
        <v/>
      </c>
    </row>
    <row r="574">
      <c r="A574" s="19" t="n">
        <v>43556</v>
      </c>
      <c r="B574" s="61">
        <f>VLOOKUP(Table18[[#This Row],[Date]],database!A:G,5,)</f>
        <v/>
      </c>
      <c r="C574" s="74">
        <f>B574/B573-1</f>
        <v/>
      </c>
      <c r="D574" s="74">
        <f>(Table18[[#This Row],[Index]]-B562)/B562</f>
        <v/>
      </c>
    </row>
    <row r="575">
      <c r="A575" s="19" t="n">
        <v>43586</v>
      </c>
      <c r="B575" s="61">
        <f>VLOOKUP(Table18[[#This Row],[Date]],database!A:G,5,)</f>
        <v/>
      </c>
      <c r="C575" s="74">
        <f>B575/B574-1</f>
        <v/>
      </c>
      <c r="D575" s="74">
        <f>(Table18[[#This Row],[Index]]-B563)/B563</f>
        <v/>
      </c>
    </row>
    <row r="576">
      <c r="A576" s="19" t="n">
        <v>43617</v>
      </c>
      <c r="B576" s="61">
        <f>VLOOKUP(Table18[[#This Row],[Date]],database!A:G,5,)</f>
        <v/>
      </c>
      <c r="C576" s="74">
        <f>B576/B575-1</f>
        <v/>
      </c>
      <c r="D576" s="74">
        <f>(Table18[[#This Row],[Index]]-B564)/B564</f>
        <v/>
      </c>
    </row>
    <row r="577">
      <c r="A577" s="19" t="n">
        <v>43647</v>
      </c>
      <c r="B577" s="61">
        <f>VLOOKUP(Table18[[#This Row],[Date]],database!A:G,5,)</f>
        <v/>
      </c>
      <c r="C577" s="74">
        <f>B577/B576-1</f>
        <v/>
      </c>
      <c r="D577" s="74">
        <f>(Table18[[#This Row],[Index]]-B565)/B565</f>
        <v/>
      </c>
    </row>
    <row r="578">
      <c r="A578" s="19" t="n">
        <v>43678</v>
      </c>
      <c r="B578" s="61">
        <f>VLOOKUP(Table18[[#This Row],[Date]],database!A:G,5,)</f>
        <v/>
      </c>
      <c r="C578" s="74">
        <f>B578/B577-1</f>
        <v/>
      </c>
      <c r="D578" s="74">
        <f>(Table18[[#This Row],[Index]]-B566)/B566</f>
        <v/>
      </c>
    </row>
    <row r="579">
      <c r="A579" s="19" t="n">
        <v>43709</v>
      </c>
      <c r="B579" s="61">
        <f>VLOOKUP(Table18[[#This Row],[Date]],database!A:G,5,)</f>
        <v/>
      </c>
      <c r="C579" s="74">
        <f>B579/B578-1</f>
        <v/>
      </c>
      <c r="D579" s="74">
        <f>(Table18[[#This Row],[Index]]-B567)/B567</f>
        <v/>
      </c>
    </row>
    <row r="580">
      <c r="A580" s="19" t="n">
        <v>43739</v>
      </c>
      <c r="B580" s="61">
        <f>VLOOKUP(Table18[[#This Row],[Date]],database!A:G,5,)</f>
        <v/>
      </c>
      <c r="C580" s="74">
        <f>B580/B579-1</f>
        <v/>
      </c>
      <c r="D580" s="74">
        <f>(Table18[[#This Row],[Index]]-B568)/B568</f>
        <v/>
      </c>
    </row>
    <row r="581">
      <c r="A581" s="19" t="n">
        <v>43770</v>
      </c>
      <c r="B581" s="61">
        <f>VLOOKUP(Table18[[#This Row],[Date]],database!A:G,5,)</f>
        <v/>
      </c>
      <c r="C581" s="74">
        <f>B581/B580-1</f>
        <v/>
      </c>
      <c r="D581" s="74">
        <f>(Table18[[#This Row],[Index]]-B569)/B569</f>
        <v/>
      </c>
    </row>
    <row r="582">
      <c r="A582" s="19" t="n">
        <v>43800</v>
      </c>
      <c r="B582" s="61">
        <f>VLOOKUP(Table18[[#This Row],[Date]],database!A:G,5,)</f>
        <v/>
      </c>
      <c r="C582" s="74">
        <f>B582/B581-1</f>
        <v/>
      </c>
      <c r="D582" s="74">
        <f>(Table18[[#This Row],[Index]]-B570)/B570</f>
        <v/>
      </c>
    </row>
    <row r="583">
      <c r="A583" s="19" t="n">
        <v>43831</v>
      </c>
      <c r="B583" s="61">
        <f>VLOOKUP(Table18[[#This Row],[Date]],database!A:G,5,)</f>
        <v/>
      </c>
      <c r="C583" s="74">
        <f>B583/B582-1</f>
        <v/>
      </c>
      <c r="D583" s="74">
        <f>(Table18[[#This Row],[Index]]-B571)/B571</f>
        <v/>
      </c>
    </row>
    <row r="584">
      <c r="A584" s="19" t="n">
        <v>43862</v>
      </c>
      <c r="B584" s="61">
        <f>VLOOKUP(Table18[[#This Row],[Date]],database!A:G,5,)</f>
        <v/>
      </c>
      <c r="C584" s="74">
        <f>B584/B583-1</f>
        <v/>
      </c>
      <c r="D584" s="74">
        <f>(Table18[[#This Row],[Index]]-B572)/B572</f>
        <v/>
      </c>
    </row>
    <row r="585">
      <c r="A585" s="19" t="n">
        <v>43891</v>
      </c>
      <c r="B585" s="61">
        <f>VLOOKUP(Table18[[#This Row],[Date]],database!A:G,5,)</f>
        <v/>
      </c>
      <c r="C585" s="74">
        <f>B585/B584-1</f>
        <v/>
      </c>
      <c r="D585" s="74">
        <f>(Table18[[#This Row],[Index]]-B573)/B573</f>
        <v/>
      </c>
    </row>
    <row r="586">
      <c r="A586" s="19" t="n">
        <v>43922</v>
      </c>
      <c r="B586" s="61">
        <f>VLOOKUP(Table18[[#This Row],[Date]],database!A:G,5,)</f>
        <v/>
      </c>
      <c r="C586" s="74">
        <f>B586/B585-1</f>
        <v/>
      </c>
      <c r="D586" s="74">
        <f>(Table18[[#This Row],[Index]]-B574)/B574</f>
        <v/>
      </c>
    </row>
    <row r="587">
      <c r="A587" s="19" t="n">
        <v>43952</v>
      </c>
      <c r="B587" s="61">
        <f>VLOOKUP(Table18[[#This Row],[Date]],database!A:G,5,)</f>
        <v/>
      </c>
      <c r="C587" s="74">
        <f>B587/B586-1</f>
        <v/>
      </c>
      <c r="D587" s="74">
        <f>(Table18[[#This Row],[Index]]-B575)/B575</f>
        <v/>
      </c>
    </row>
    <row r="588">
      <c r="A588" s="19" t="n">
        <v>43983</v>
      </c>
      <c r="B588" s="61">
        <f>VLOOKUP(Table18[[#This Row],[Date]],database!A:G,5,)</f>
        <v/>
      </c>
      <c r="C588" s="74">
        <f>B588/B587-1</f>
        <v/>
      </c>
      <c r="D588" s="74">
        <f>(Table18[[#This Row],[Index]]-B576)/B576</f>
        <v/>
      </c>
    </row>
    <row r="589">
      <c r="A589" s="19" t="n">
        <v>44013</v>
      </c>
      <c r="B589" s="61">
        <f>VLOOKUP(Table18[[#This Row],[Date]],database!A:G,5,)</f>
        <v/>
      </c>
      <c r="C589" s="74">
        <f>B589/B588-1</f>
        <v/>
      </c>
      <c r="D589" s="74">
        <f>(Table18[[#This Row],[Index]]-B577)/B577</f>
        <v/>
      </c>
    </row>
    <row r="590">
      <c r="A590" s="19" t="n">
        <v>44044</v>
      </c>
      <c r="B590" s="61">
        <f>VLOOKUP(Table18[[#This Row],[Date]],database!A:G,5,)</f>
        <v/>
      </c>
      <c r="C590" s="74">
        <f>B590/B589-1</f>
        <v/>
      </c>
      <c r="D590" s="74">
        <f>(Table18[[#This Row],[Index]]-B578)/B578</f>
        <v/>
      </c>
    </row>
    <row r="591">
      <c r="A591" s="19" t="n">
        <v>44075</v>
      </c>
      <c r="B591" s="61">
        <f>VLOOKUP(Table18[[#This Row],[Date]],database!A:G,5,)</f>
        <v/>
      </c>
      <c r="C591" s="74">
        <f>B591/B590-1</f>
        <v/>
      </c>
      <c r="D591" s="74">
        <f>(Table18[[#This Row],[Index]]-B579)/B579</f>
        <v/>
      </c>
    </row>
    <row r="592">
      <c r="A592" s="19" t="n">
        <v>44105</v>
      </c>
      <c r="B592" s="61">
        <f>VLOOKUP(Table18[[#This Row],[Date]],database!A:G,5,)</f>
        <v/>
      </c>
      <c r="C592" s="74">
        <f>B592/B591-1</f>
        <v/>
      </c>
      <c r="D592" s="74">
        <f>(Table18[[#This Row],[Index]]-B580)/B580</f>
        <v/>
      </c>
    </row>
    <row r="593">
      <c r="A593" s="19" t="n">
        <v>44136</v>
      </c>
      <c r="B593" s="61">
        <f>VLOOKUP(Table18[[#This Row],[Date]],database!A:G,5,)</f>
        <v/>
      </c>
      <c r="C593" s="74">
        <f>B593/B592-1</f>
        <v/>
      </c>
      <c r="D593" s="74">
        <f>(Table18[[#This Row],[Index]]-B581)/B581</f>
        <v/>
      </c>
    </row>
    <row r="594">
      <c r="A594" s="19" t="n">
        <v>44166</v>
      </c>
      <c r="B594" s="61">
        <f>VLOOKUP(Table18[[#This Row],[Date]],database!A:G,5,)</f>
        <v/>
      </c>
      <c r="C594" s="74">
        <f>B594/B593-1</f>
        <v/>
      </c>
      <c r="D594" s="74">
        <f>(Table18[[#This Row],[Index]]-B582)/B582</f>
        <v/>
      </c>
    </row>
    <row r="595">
      <c r="A595" s="19" t="n">
        <v>44197</v>
      </c>
      <c r="B595" s="61">
        <f>VLOOKUP(Table18[[#This Row],[Date]],database!A:G,5,)</f>
        <v/>
      </c>
      <c r="C595" s="74">
        <f>B595/B594-1</f>
        <v/>
      </c>
      <c r="D595" s="74">
        <f>(Table18[[#This Row],[Index]]-B583)/B583</f>
        <v/>
      </c>
    </row>
    <row r="596">
      <c r="A596" s="19" t="n">
        <v>44228</v>
      </c>
      <c r="B596" s="61">
        <f>VLOOKUP(Table18[[#This Row],[Date]],database!A:G,5,)</f>
        <v/>
      </c>
      <c r="C596" s="74">
        <f>B596/B595-1</f>
        <v/>
      </c>
      <c r="D596" s="74">
        <f>(Table18[[#This Row],[Index]]-B584)/B584</f>
        <v/>
      </c>
    </row>
    <row r="597">
      <c r="A597" s="19" t="n">
        <v>44256</v>
      </c>
      <c r="B597" s="61">
        <f>VLOOKUP(Table18[[#This Row],[Date]],database!A:G,5,)</f>
        <v/>
      </c>
      <c r="C597" s="74">
        <f>B597/B596-1</f>
        <v/>
      </c>
      <c r="D597" s="74">
        <f>(Table18[[#This Row],[Index]]-B585)/B585</f>
        <v/>
      </c>
    </row>
    <row r="598">
      <c r="A598" s="19" t="n">
        <v>44287</v>
      </c>
      <c r="B598" s="61">
        <f>VLOOKUP(Table18[[#This Row],[Date]],database!A:G,5,)</f>
        <v/>
      </c>
      <c r="C598" s="74">
        <f>B598/B597-1</f>
        <v/>
      </c>
      <c r="D598" s="74">
        <f>(Table18[[#This Row],[Index]]-B586)/B586</f>
        <v/>
      </c>
    </row>
    <row r="599">
      <c r="A599" s="19" t="n">
        <v>44317</v>
      </c>
      <c r="B599" s="61">
        <f>VLOOKUP(Table18[[#This Row],[Date]],database!A:G,5,)</f>
        <v/>
      </c>
      <c r="C599" s="74">
        <f>B599/B598-1</f>
        <v/>
      </c>
      <c r="D599" s="74">
        <f>(Table18[[#This Row],[Index]]-B587)/B587</f>
        <v/>
      </c>
    </row>
    <row r="600">
      <c r="A600" s="19" t="n">
        <v>44348</v>
      </c>
      <c r="B600" s="61">
        <f>VLOOKUP(Table18[[#This Row],[Date]],database!A:G,5,)</f>
        <v/>
      </c>
      <c r="C600" s="74">
        <f>B600/B599-1</f>
        <v/>
      </c>
      <c r="D600" s="74">
        <f>(Table18[[#This Row],[Index]]-B588)/B588</f>
        <v/>
      </c>
    </row>
    <row r="601">
      <c r="A601" s="19" t="n">
        <v>44378</v>
      </c>
      <c r="B601" s="61">
        <f>VLOOKUP(Table18[[#This Row],[Date]],database!A:G,5,)</f>
        <v/>
      </c>
      <c r="C601" s="74">
        <f>B601/B600-1</f>
        <v/>
      </c>
      <c r="D601" s="74">
        <f>(Table18[[#This Row],[Index]]-B589)/B589</f>
        <v/>
      </c>
    </row>
    <row r="602">
      <c r="A602" s="19" t="n">
        <v>44409</v>
      </c>
      <c r="B602" s="61">
        <f>VLOOKUP(Table18[[#This Row],[Date]],database!A:G,5,)</f>
        <v/>
      </c>
      <c r="C602" s="74">
        <f>B602/B601-1</f>
        <v/>
      </c>
      <c r="D602" s="74">
        <f>(Table18[[#This Row],[Index]]-B590)/B590</f>
        <v/>
      </c>
    </row>
    <row r="603">
      <c r="A603" s="19" t="n">
        <v>44440</v>
      </c>
      <c r="B603" s="61">
        <f>VLOOKUP(Table18[[#This Row],[Date]],database!A:G,5,)</f>
        <v/>
      </c>
      <c r="C603" s="74">
        <f>B603/B602-1</f>
        <v/>
      </c>
      <c r="D603" s="74">
        <f>(Table18[[#This Row],[Index]]-B591)/B591</f>
        <v/>
      </c>
    </row>
    <row r="604">
      <c r="A604" s="19" t="n">
        <v>44470</v>
      </c>
      <c r="B604" s="61">
        <f>VLOOKUP(Table18[[#This Row],[Date]],database!A:G,5,)</f>
        <v/>
      </c>
      <c r="C604" s="74">
        <f>B604/B603-1</f>
        <v/>
      </c>
      <c r="D604" s="74">
        <f>(Table18[[#This Row],[Index]]-B592)/B592</f>
        <v/>
      </c>
    </row>
    <row r="605">
      <c r="A605" s="19" t="n">
        <v>44501</v>
      </c>
      <c r="B605" s="61">
        <f>VLOOKUP(Table18[[#This Row],[Date]],database!A:G,5,)</f>
        <v/>
      </c>
      <c r="C605" s="74">
        <f>B605/B604-1</f>
        <v/>
      </c>
      <c r="D605" s="74">
        <f>(Table18[[#This Row],[Index]]-B593)/B593</f>
        <v/>
      </c>
    </row>
    <row r="606">
      <c r="A606" s="19" t="n">
        <v>44531</v>
      </c>
      <c r="B606" s="61">
        <f>VLOOKUP(Table18[[#This Row],[Date]],database!A:G,5,)</f>
        <v/>
      </c>
      <c r="C606" s="74">
        <f>B606/B605-1</f>
        <v/>
      </c>
      <c r="D606" s="74">
        <f>(Table18[[#This Row],[Index]]-B594)/B594</f>
        <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6"/>
  <sheetViews>
    <sheetView zoomScale="150" zoomScaleNormal="150" workbookViewId="0">
      <pane ySplit="6" topLeftCell="A568" activePane="bottomLeft" state="frozen"/>
      <selection activeCell="J582" sqref="J582"/>
      <selection pane="bottomLeft" activeCell="Y595" sqref="Y595"/>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IPBUSEQ</t>
        </is>
      </c>
      <c r="B1" s="81" t="n"/>
      <c r="C1" s="81" t="n"/>
      <c r="S1" s="81" t="inlineStr">
        <is>
          <t>Industrial Production: Business Equipment</t>
        </is>
      </c>
      <c r="T1" s="81" t="inlineStr">
        <is>
          <t xml:space="preserve"> since 2000 - </t>
        </is>
      </c>
      <c r="U1" s="81">
        <f>S1&amp;T1</f>
        <v/>
      </c>
      <c r="Y1" s="81">
        <f>U2&amp; T1</f>
        <v/>
      </c>
    </row>
    <row r="2">
      <c r="A2" s="18" t="n"/>
      <c r="B2" s="81" t="n"/>
      <c r="C2" s="81" t="n"/>
      <c r="U2" s="81">
        <f>S1&amp;Table16[[#Headers],[ yoy]]</f>
        <v/>
      </c>
    </row>
    <row r="3">
      <c r="A3" s="18" t="n"/>
      <c r="B3" s="58" t="n"/>
      <c r="C3" s="70" t="n"/>
    </row>
    <row r="4">
      <c r="A4" s="18" t="n"/>
      <c r="B4" s="58" t="n"/>
      <c r="C4" s="70" t="n"/>
    </row>
    <row r="5">
      <c r="A5" s="18" t="n"/>
      <c r="B5" s="58" t="n"/>
      <c r="C5" s="70" t="n"/>
    </row>
    <row r="6">
      <c r="A6" s="21" t="inlineStr">
        <is>
          <t>Date</t>
        </is>
      </c>
      <c r="B6" s="62" t="inlineStr">
        <is>
          <t>Index</t>
        </is>
      </c>
      <c r="C6" s="77" t="inlineStr">
        <is>
          <t>mom</t>
        </is>
      </c>
      <c r="D6" s="78" t="inlineStr">
        <is>
          <t xml:space="preserve"> yoy</t>
        </is>
      </c>
    </row>
    <row r="7">
      <c r="A7" s="19" t="n">
        <v>26299</v>
      </c>
      <c r="B7" s="61">
        <f>VLOOKUP(Table16[[#This Row],[Date]],database!A:H,4,)</f>
        <v/>
      </c>
      <c r="C7" s="74" t="n"/>
      <c r="D7" s="74" t="n"/>
    </row>
    <row r="8">
      <c r="A8" s="19" t="n">
        <v>26330</v>
      </c>
      <c r="B8" s="61">
        <f>VLOOKUP(Table16[[#This Row],[Date]],database!A:H,4,)</f>
        <v/>
      </c>
      <c r="C8" s="74">
        <f>B8/B7-1</f>
        <v/>
      </c>
      <c r="D8" s="74" t="n"/>
    </row>
    <row r="9">
      <c r="A9" s="19" t="n">
        <v>26359</v>
      </c>
      <c r="B9" s="61">
        <f>VLOOKUP(Table16[[#This Row],[Date]],database!A:H,4,)</f>
        <v/>
      </c>
      <c r="C9" s="74">
        <f>B9/B8-1</f>
        <v/>
      </c>
      <c r="D9" s="74" t="n"/>
    </row>
    <row r="10">
      <c r="A10" s="19" t="n">
        <v>26390</v>
      </c>
      <c r="B10" s="61">
        <f>VLOOKUP(Table16[[#This Row],[Date]],database!A:H,4,)</f>
        <v/>
      </c>
      <c r="C10" s="74">
        <f>B10/B9-1</f>
        <v/>
      </c>
      <c r="D10" s="74" t="n"/>
    </row>
    <row r="11">
      <c r="A11" s="19" t="n">
        <v>26420</v>
      </c>
      <c r="B11" s="61">
        <f>VLOOKUP(Table16[[#This Row],[Date]],database!A:H,4,)</f>
        <v/>
      </c>
      <c r="C11" s="74">
        <f>B11/B10-1</f>
        <v/>
      </c>
      <c r="D11" s="74" t="n"/>
    </row>
    <row r="12">
      <c r="A12" s="19" t="n">
        <v>26451</v>
      </c>
      <c r="B12" s="61">
        <f>VLOOKUP(Table16[[#This Row],[Date]],database!A:H,4,)</f>
        <v/>
      </c>
      <c r="C12" s="74">
        <f>B12/B11-1</f>
        <v/>
      </c>
      <c r="D12" s="74" t="n"/>
    </row>
    <row r="13">
      <c r="A13" s="19" t="n">
        <v>26481</v>
      </c>
      <c r="B13" s="61">
        <f>VLOOKUP(Table16[[#This Row],[Date]],database!A:H,4,)</f>
        <v/>
      </c>
      <c r="C13" s="74">
        <f>B13/B12-1</f>
        <v/>
      </c>
      <c r="D13" s="74" t="n"/>
    </row>
    <row r="14">
      <c r="A14" s="19" t="n">
        <v>26512</v>
      </c>
      <c r="B14" s="61">
        <f>VLOOKUP(Table16[[#This Row],[Date]],database!A:H,4,)</f>
        <v/>
      </c>
      <c r="C14" s="74">
        <f>B14/B13-1</f>
        <v/>
      </c>
      <c r="D14" s="74" t="n"/>
    </row>
    <row r="15">
      <c r="A15" s="19" t="n">
        <v>26543</v>
      </c>
      <c r="B15" s="61">
        <f>VLOOKUP(Table16[[#This Row],[Date]],database!A:H,4,)</f>
        <v/>
      </c>
      <c r="C15" s="74">
        <f>B15/B14-1</f>
        <v/>
      </c>
      <c r="D15" s="74" t="n"/>
    </row>
    <row r="16">
      <c r="A16" s="19" t="n">
        <v>26573</v>
      </c>
      <c r="B16" s="61">
        <f>VLOOKUP(Table16[[#This Row],[Date]],database!A:H,4,)</f>
        <v/>
      </c>
      <c r="C16" s="74">
        <f>B16/B15-1</f>
        <v/>
      </c>
      <c r="D16" s="74" t="n"/>
    </row>
    <row r="17">
      <c r="A17" s="19" t="n">
        <v>26604</v>
      </c>
      <c r="B17" s="61">
        <f>VLOOKUP(Table16[[#This Row],[Date]],database!A:H,4,)</f>
        <v/>
      </c>
      <c r="C17" s="74">
        <f>B17/B16-1</f>
        <v/>
      </c>
      <c r="D17" s="74" t="n"/>
    </row>
    <row r="18">
      <c r="A18" s="19" t="n">
        <v>26634</v>
      </c>
      <c r="B18" s="61">
        <f>VLOOKUP(Table16[[#This Row],[Date]],database!A:H,4,)</f>
        <v/>
      </c>
      <c r="C18" s="74">
        <f>B18/B17-1</f>
        <v/>
      </c>
      <c r="D18" s="74" t="n"/>
    </row>
    <row r="19">
      <c r="A19" s="19" t="n">
        <v>26665</v>
      </c>
      <c r="B19" s="61">
        <f>VLOOKUP(Table16[[#This Row],[Date]],database!A:H,4,)</f>
        <v/>
      </c>
      <c r="C19" s="74">
        <f>B19/B18-1</f>
        <v/>
      </c>
      <c r="D19" s="74" t="n"/>
    </row>
    <row r="20">
      <c r="A20" s="19" t="n">
        <v>26696</v>
      </c>
      <c r="B20" s="61">
        <f>VLOOKUP(Table16[[#This Row],[Date]],database!A:H,4,)</f>
        <v/>
      </c>
      <c r="C20" s="74">
        <f>B20/B19-1</f>
        <v/>
      </c>
      <c r="D20" s="74">
        <f>(Table16[[#This Row],[Index]]-B8)/B8</f>
        <v/>
      </c>
    </row>
    <row r="21">
      <c r="A21" s="19" t="n">
        <v>26724</v>
      </c>
      <c r="B21" s="61">
        <f>VLOOKUP(Table16[[#This Row],[Date]],database!A:H,4,)</f>
        <v/>
      </c>
      <c r="C21" s="74">
        <f>B21/B20-1</f>
        <v/>
      </c>
      <c r="D21" s="74">
        <f>(Table16[[#This Row],[Index]]-B9)/B9</f>
        <v/>
      </c>
    </row>
    <row r="22">
      <c r="A22" s="19" t="n">
        <v>26755</v>
      </c>
      <c r="B22" s="61">
        <f>VLOOKUP(Table16[[#This Row],[Date]],database!A:H,4,)</f>
        <v/>
      </c>
      <c r="C22" s="74">
        <f>B22/B21-1</f>
        <v/>
      </c>
      <c r="D22" s="74">
        <f>(Table16[[#This Row],[Index]]-B10)/B10</f>
        <v/>
      </c>
    </row>
    <row r="23">
      <c r="A23" s="19" t="n">
        <v>26785</v>
      </c>
      <c r="B23" s="61">
        <f>VLOOKUP(Table16[[#This Row],[Date]],database!A:H,4,)</f>
        <v/>
      </c>
      <c r="C23" s="74">
        <f>B23/B22-1</f>
        <v/>
      </c>
      <c r="D23" s="74">
        <f>(Table16[[#This Row],[Index]]-B11)/B11</f>
        <v/>
      </c>
    </row>
    <row r="24">
      <c r="A24" s="19" t="n">
        <v>26816</v>
      </c>
      <c r="B24" s="61">
        <f>VLOOKUP(Table16[[#This Row],[Date]],database!A:H,4,)</f>
        <v/>
      </c>
      <c r="C24" s="74">
        <f>B24/B23-1</f>
        <v/>
      </c>
      <c r="D24" s="74">
        <f>(Table16[[#This Row],[Index]]-B12)/B12</f>
        <v/>
      </c>
    </row>
    <row r="25">
      <c r="A25" s="19" t="n">
        <v>26846</v>
      </c>
      <c r="B25" s="61">
        <f>VLOOKUP(Table16[[#This Row],[Date]],database!A:H,4,)</f>
        <v/>
      </c>
      <c r="C25" s="74">
        <f>B25/B24-1</f>
        <v/>
      </c>
      <c r="D25" s="74">
        <f>(Table16[[#This Row],[Index]]-B13)/B13</f>
        <v/>
      </c>
    </row>
    <row r="26">
      <c r="A26" s="19" t="n">
        <v>26877</v>
      </c>
      <c r="B26" s="61">
        <f>VLOOKUP(Table16[[#This Row],[Date]],database!A:H,4,)</f>
        <v/>
      </c>
      <c r="C26" s="74">
        <f>B26/B25-1</f>
        <v/>
      </c>
      <c r="D26" s="74">
        <f>(Table16[[#This Row],[Index]]-B14)/B14</f>
        <v/>
      </c>
    </row>
    <row r="27">
      <c r="A27" s="19" t="n">
        <v>26908</v>
      </c>
      <c r="B27" s="61">
        <f>VLOOKUP(Table16[[#This Row],[Date]],database!A:H,4,)</f>
        <v/>
      </c>
      <c r="C27" s="74">
        <f>B27/B26-1</f>
        <v/>
      </c>
      <c r="D27" s="74">
        <f>(Table16[[#This Row],[Index]]-B15)/B15</f>
        <v/>
      </c>
    </row>
    <row r="28">
      <c r="A28" s="19" t="n">
        <v>26938</v>
      </c>
      <c r="B28" s="61">
        <f>VLOOKUP(Table16[[#This Row],[Date]],database!A:H,4,)</f>
        <v/>
      </c>
      <c r="C28" s="74">
        <f>B28/B27-1</f>
        <v/>
      </c>
      <c r="D28" s="74">
        <f>(Table16[[#This Row],[Index]]-B16)/B16</f>
        <v/>
      </c>
    </row>
    <row r="29">
      <c r="A29" s="19" t="n">
        <v>26969</v>
      </c>
      <c r="B29" s="61">
        <f>VLOOKUP(Table16[[#This Row],[Date]],database!A:H,4,)</f>
        <v/>
      </c>
      <c r="C29" s="74">
        <f>B29/B28-1</f>
        <v/>
      </c>
      <c r="D29" s="74">
        <f>(Table16[[#This Row],[Index]]-B17)/B17</f>
        <v/>
      </c>
    </row>
    <row r="30">
      <c r="A30" s="19" t="n">
        <v>26999</v>
      </c>
      <c r="B30" s="61">
        <f>VLOOKUP(Table16[[#This Row],[Date]],database!A:H,4,)</f>
        <v/>
      </c>
      <c r="C30" s="74">
        <f>B30/B29-1</f>
        <v/>
      </c>
      <c r="D30" s="74">
        <f>(Table16[[#This Row],[Index]]-B18)/B18</f>
        <v/>
      </c>
    </row>
    <row r="31">
      <c r="A31" s="19" t="n">
        <v>27030</v>
      </c>
      <c r="B31" s="61">
        <f>VLOOKUP(Table16[[#This Row],[Date]],database!A:H,4,)</f>
        <v/>
      </c>
      <c r="C31" s="74">
        <f>B31/B30-1</f>
        <v/>
      </c>
      <c r="D31" s="74">
        <f>(Table16[[#This Row],[Index]]-B19)/B19</f>
        <v/>
      </c>
    </row>
    <row r="32">
      <c r="A32" s="19" t="n">
        <v>27061</v>
      </c>
      <c r="B32" s="61">
        <f>VLOOKUP(Table16[[#This Row],[Date]],database!A:H,4,)</f>
        <v/>
      </c>
      <c r="C32" s="74">
        <f>B32/B31-1</f>
        <v/>
      </c>
      <c r="D32" s="74">
        <f>(Table16[[#This Row],[Index]]-B20)/B20</f>
        <v/>
      </c>
    </row>
    <row r="33">
      <c r="A33" s="19" t="n">
        <v>27089</v>
      </c>
      <c r="B33" s="61">
        <f>VLOOKUP(Table16[[#This Row],[Date]],database!A:H,4,)</f>
        <v/>
      </c>
      <c r="C33" s="74">
        <f>B33/B32-1</f>
        <v/>
      </c>
      <c r="D33" s="74">
        <f>(Table16[[#This Row],[Index]]-B21)/B21</f>
        <v/>
      </c>
    </row>
    <row r="34">
      <c r="A34" s="19" t="n">
        <v>27120</v>
      </c>
      <c r="B34" s="61">
        <f>VLOOKUP(Table16[[#This Row],[Date]],database!A:H,4,)</f>
        <v/>
      </c>
      <c r="C34" s="74">
        <f>B34/B33-1</f>
        <v/>
      </c>
      <c r="D34" s="74">
        <f>(Table16[[#This Row],[Index]]-B22)/B22</f>
        <v/>
      </c>
    </row>
    <row r="35">
      <c r="A35" s="19" t="n">
        <v>27150</v>
      </c>
      <c r="B35" s="61">
        <f>VLOOKUP(Table16[[#This Row],[Date]],database!A:H,4,)</f>
        <v/>
      </c>
      <c r="C35" s="74">
        <f>B35/B34-1</f>
        <v/>
      </c>
      <c r="D35" s="74">
        <f>(Table16[[#This Row],[Index]]-B23)/B23</f>
        <v/>
      </c>
    </row>
    <row r="36">
      <c r="A36" s="19" t="n">
        <v>27181</v>
      </c>
      <c r="B36" s="61">
        <f>VLOOKUP(Table16[[#This Row],[Date]],database!A:H,4,)</f>
        <v/>
      </c>
      <c r="C36" s="74">
        <f>B36/B35-1</f>
        <v/>
      </c>
      <c r="D36" s="74">
        <f>(Table16[[#This Row],[Index]]-B24)/B24</f>
        <v/>
      </c>
    </row>
    <row r="37">
      <c r="A37" s="19" t="n">
        <v>27211</v>
      </c>
      <c r="B37" s="61">
        <f>VLOOKUP(Table16[[#This Row],[Date]],database!A:H,4,)</f>
        <v/>
      </c>
      <c r="C37" s="74">
        <f>B37/B36-1</f>
        <v/>
      </c>
      <c r="D37" s="74">
        <f>(Table16[[#This Row],[Index]]-B25)/B25</f>
        <v/>
      </c>
    </row>
    <row r="38">
      <c r="A38" s="19" t="n">
        <v>27242</v>
      </c>
      <c r="B38" s="61">
        <f>VLOOKUP(Table16[[#This Row],[Date]],database!A:H,4,)</f>
        <v/>
      </c>
      <c r="C38" s="74">
        <f>B38/B37-1</f>
        <v/>
      </c>
      <c r="D38" s="74">
        <f>(Table16[[#This Row],[Index]]-B26)/B26</f>
        <v/>
      </c>
    </row>
    <row r="39">
      <c r="A39" s="19" t="n">
        <v>27273</v>
      </c>
      <c r="B39" s="61">
        <f>VLOOKUP(Table16[[#This Row],[Date]],database!A:H,4,)</f>
        <v/>
      </c>
      <c r="C39" s="74">
        <f>B39/B38-1</f>
        <v/>
      </c>
      <c r="D39" s="74">
        <f>(Table16[[#This Row],[Index]]-B27)/B27</f>
        <v/>
      </c>
    </row>
    <row r="40">
      <c r="A40" s="19" t="n">
        <v>27303</v>
      </c>
      <c r="B40" s="61">
        <f>VLOOKUP(Table16[[#This Row],[Date]],database!A:H,4,)</f>
        <v/>
      </c>
      <c r="C40" s="74">
        <f>B40/B39-1</f>
        <v/>
      </c>
      <c r="D40" s="74">
        <f>(Table16[[#This Row],[Index]]-B28)/B28</f>
        <v/>
      </c>
    </row>
    <row r="41">
      <c r="A41" s="19" t="n">
        <v>27334</v>
      </c>
      <c r="B41" s="61">
        <f>VLOOKUP(Table16[[#This Row],[Date]],database!A:H,4,)</f>
        <v/>
      </c>
      <c r="C41" s="74">
        <f>B41/B40-1</f>
        <v/>
      </c>
      <c r="D41" s="74">
        <f>(Table16[[#This Row],[Index]]-B29)/B29</f>
        <v/>
      </c>
    </row>
    <row r="42">
      <c r="A42" s="19" t="n">
        <v>27364</v>
      </c>
      <c r="B42" s="61">
        <f>VLOOKUP(Table16[[#This Row],[Date]],database!A:H,4,)</f>
        <v/>
      </c>
      <c r="C42" s="74">
        <f>B42/B41-1</f>
        <v/>
      </c>
      <c r="D42" s="74">
        <f>(Table16[[#This Row],[Index]]-B30)/B30</f>
        <v/>
      </c>
    </row>
    <row r="43">
      <c r="A43" s="19" t="n">
        <v>27395</v>
      </c>
      <c r="B43" s="61">
        <f>VLOOKUP(Table16[[#This Row],[Date]],database!A:H,4,)</f>
        <v/>
      </c>
      <c r="C43" s="74">
        <f>B43/B42-1</f>
        <v/>
      </c>
      <c r="D43" s="74">
        <f>(Table16[[#This Row],[Index]]-B31)/B31</f>
        <v/>
      </c>
    </row>
    <row r="44">
      <c r="A44" s="19" t="n">
        <v>27426</v>
      </c>
      <c r="B44" s="61">
        <f>VLOOKUP(Table16[[#This Row],[Date]],database!A:H,4,)</f>
        <v/>
      </c>
      <c r="C44" s="74">
        <f>B44/B43-1</f>
        <v/>
      </c>
      <c r="D44" s="74">
        <f>(Table16[[#This Row],[Index]]-B32)/B32</f>
        <v/>
      </c>
    </row>
    <row r="45">
      <c r="A45" s="19" t="n">
        <v>27454</v>
      </c>
      <c r="B45" s="61">
        <f>VLOOKUP(Table16[[#This Row],[Date]],database!A:H,4,)</f>
        <v/>
      </c>
      <c r="C45" s="74">
        <f>B45/B44-1</f>
        <v/>
      </c>
      <c r="D45" s="74">
        <f>(Table16[[#This Row],[Index]]-B33)/B33</f>
        <v/>
      </c>
    </row>
    <row r="46">
      <c r="A46" s="19" t="n">
        <v>27485</v>
      </c>
      <c r="B46" s="61">
        <f>VLOOKUP(Table16[[#This Row],[Date]],database!A:H,4,)</f>
        <v/>
      </c>
      <c r="C46" s="74">
        <f>B46/B45-1</f>
        <v/>
      </c>
      <c r="D46" s="74">
        <f>(Table16[[#This Row],[Index]]-B34)/B34</f>
        <v/>
      </c>
    </row>
    <row r="47">
      <c r="A47" s="19" t="n">
        <v>27515</v>
      </c>
      <c r="B47" s="61">
        <f>VLOOKUP(Table16[[#This Row],[Date]],database!A:H,4,)</f>
        <v/>
      </c>
      <c r="C47" s="74">
        <f>B47/B46-1</f>
        <v/>
      </c>
      <c r="D47" s="74">
        <f>(Table16[[#This Row],[Index]]-B35)/B35</f>
        <v/>
      </c>
    </row>
    <row r="48">
      <c r="A48" s="19" t="n">
        <v>27546</v>
      </c>
      <c r="B48" s="61">
        <f>VLOOKUP(Table16[[#This Row],[Date]],database!A:H,4,)</f>
        <v/>
      </c>
      <c r="C48" s="74">
        <f>B48/B47-1</f>
        <v/>
      </c>
      <c r="D48" s="74">
        <f>(Table16[[#This Row],[Index]]-B36)/B36</f>
        <v/>
      </c>
    </row>
    <row r="49">
      <c r="A49" s="19" t="n">
        <v>27576</v>
      </c>
      <c r="B49" s="61">
        <f>VLOOKUP(Table16[[#This Row],[Date]],database!A:H,4,)</f>
        <v/>
      </c>
      <c r="C49" s="74">
        <f>B49/B48-1</f>
        <v/>
      </c>
      <c r="D49" s="74">
        <f>(Table16[[#This Row],[Index]]-B37)/B37</f>
        <v/>
      </c>
    </row>
    <row r="50">
      <c r="A50" s="19" t="n">
        <v>27607</v>
      </c>
      <c r="B50" s="61">
        <f>VLOOKUP(Table16[[#This Row],[Date]],database!A:H,4,)</f>
        <v/>
      </c>
      <c r="C50" s="74">
        <f>B50/B49-1</f>
        <v/>
      </c>
      <c r="D50" s="74">
        <f>(Table16[[#This Row],[Index]]-B38)/B38</f>
        <v/>
      </c>
    </row>
    <row r="51">
      <c r="A51" s="19" t="n">
        <v>27638</v>
      </c>
      <c r="B51" s="61">
        <f>VLOOKUP(Table16[[#This Row],[Date]],database!A:H,4,)</f>
        <v/>
      </c>
      <c r="C51" s="74">
        <f>B51/B50-1</f>
        <v/>
      </c>
      <c r="D51" s="74">
        <f>(Table16[[#This Row],[Index]]-B39)/B39</f>
        <v/>
      </c>
    </row>
    <row r="52">
      <c r="A52" s="19" t="n">
        <v>27668</v>
      </c>
      <c r="B52" s="61">
        <f>VLOOKUP(Table16[[#This Row],[Date]],database!A:H,4,)</f>
        <v/>
      </c>
      <c r="C52" s="74">
        <f>B52/B51-1</f>
        <v/>
      </c>
      <c r="D52" s="74">
        <f>(Table16[[#This Row],[Index]]-B40)/B40</f>
        <v/>
      </c>
    </row>
    <row r="53">
      <c r="A53" s="19" t="n">
        <v>27699</v>
      </c>
      <c r="B53" s="61">
        <f>VLOOKUP(Table16[[#This Row],[Date]],database!A:H,4,)</f>
        <v/>
      </c>
      <c r="C53" s="74">
        <f>B53/B52-1</f>
        <v/>
      </c>
      <c r="D53" s="74">
        <f>(Table16[[#This Row],[Index]]-B41)/B41</f>
        <v/>
      </c>
    </row>
    <row r="54">
      <c r="A54" s="19" t="n">
        <v>27729</v>
      </c>
      <c r="B54" s="61">
        <f>VLOOKUP(Table16[[#This Row],[Date]],database!A:H,4,)</f>
        <v/>
      </c>
      <c r="C54" s="74">
        <f>B54/B53-1</f>
        <v/>
      </c>
      <c r="D54" s="74">
        <f>(Table16[[#This Row],[Index]]-B42)/B42</f>
        <v/>
      </c>
    </row>
    <row r="55">
      <c r="A55" s="19" t="n">
        <v>27760</v>
      </c>
      <c r="B55" s="61">
        <f>VLOOKUP(Table16[[#This Row],[Date]],database!A:H,4,)</f>
        <v/>
      </c>
      <c r="C55" s="74">
        <f>B55/B54-1</f>
        <v/>
      </c>
      <c r="D55" s="74">
        <f>(Table16[[#This Row],[Index]]-B43)/B43</f>
        <v/>
      </c>
    </row>
    <row r="56">
      <c r="A56" s="19" t="n">
        <v>27791</v>
      </c>
      <c r="B56" s="61">
        <f>VLOOKUP(Table16[[#This Row],[Date]],database!A:H,4,)</f>
        <v/>
      </c>
      <c r="C56" s="74">
        <f>B56/B55-1</f>
        <v/>
      </c>
      <c r="D56" s="74">
        <f>(Table16[[#This Row],[Index]]-B44)/B44</f>
        <v/>
      </c>
    </row>
    <row r="57">
      <c r="A57" s="19" t="n">
        <v>27820</v>
      </c>
      <c r="B57" s="61">
        <f>VLOOKUP(Table16[[#This Row],[Date]],database!A:H,4,)</f>
        <v/>
      </c>
      <c r="C57" s="74">
        <f>B57/B56-1</f>
        <v/>
      </c>
      <c r="D57" s="74">
        <f>(Table16[[#This Row],[Index]]-B45)/B45</f>
        <v/>
      </c>
    </row>
    <row r="58">
      <c r="A58" s="19" t="n">
        <v>27851</v>
      </c>
      <c r="B58" s="61">
        <f>VLOOKUP(Table16[[#This Row],[Date]],database!A:H,4,)</f>
        <v/>
      </c>
      <c r="C58" s="74">
        <f>B58/B57-1</f>
        <v/>
      </c>
      <c r="D58" s="74">
        <f>(Table16[[#This Row],[Index]]-B46)/B46</f>
        <v/>
      </c>
    </row>
    <row r="59">
      <c r="A59" s="19" t="n">
        <v>27881</v>
      </c>
      <c r="B59" s="61">
        <f>VLOOKUP(Table16[[#This Row],[Date]],database!A:H,4,)</f>
        <v/>
      </c>
      <c r="C59" s="74">
        <f>B59/B58-1</f>
        <v/>
      </c>
      <c r="D59" s="74">
        <f>(Table16[[#This Row],[Index]]-B47)/B47</f>
        <v/>
      </c>
    </row>
    <row r="60">
      <c r="A60" s="19" t="n">
        <v>27912</v>
      </c>
      <c r="B60" s="61">
        <f>VLOOKUP(Table16[[#This Row],[Date]],database!A:H,4,)</f>
        <v/>
      </c>
      <c r="C60" s="74">
        <f>B60/B59-1</f>
        <v/>
      </c>
      <c r="D60" s="74">
        <f>(Table16[[#This Row],[Index]]-B48)/B48</f>
        <v/>
      </c>
    </row>
    <row r="61">
      <c r="A61" s="19" t="n">
        <v>27942</v>
      </c>
      <c r="B61" s="61">
        <f>VLOOKUP(Table16[[#This Row],[Date]],database!A:H,4,)</f>
        <v/>
      </c>
      <c r="C61" s="74">
        <f>B61/B60-1</f>
        <v/>
      </c>
      <c r="D61" s="74">
        <f>(Table16[[#This Row],[Index]]-B49)/B49</f>
        <v/>
      </c>
    </row>
    <row r="62">
      <c r="A62" s="19" t="n">
        <v>27973</v>
      </c>
      <c r="B62" s="61">
        <f>VLOOKUP(Table16[[#This Row],[Date]],database!A:H,4,)</f>
        <v/>
      </c>
      <c r="C62" s="74">
        <f>B62/B61-1</f>
        <v/>
      </c>
      <c r="D62" s="74">
        <f>(Table16[[#This Row],[Index]]-B50)/B50</f>
        <v/>
      </c>
    </row>
    <row r="63">
      <c r="A63" s="19" t="n">
        <v>28004</v>
      </c>
      <c r="B63" s="61">
        <f>VLOOKUP(Table16[[#This Row],[Date]],database!A:H,4,)</f>
        <v/>
      </c>
      <c r="C63" s="74">
        <f>B63/B62-1</f>
        <v/>
      </c>
      <c r="D63" s="74">
        <f>(Table16[[#This Row],[Index]]-B51)/B51</f>
        <v/>
      </c>
    </row>
    <row r="64">
      <c r="A64" s="19" t="n">
        <v>28034</v>
      </c>
      <c r="B64" s="61">
        <f>VLOOKUP(Table16[[#This Row],[Date]],database!A:H,4,)</f>
        <v/>
      </c>
      <c r="C64" s="74">
        <f>B64/B63-1</f>
        <v/>
      </c>
      <c r="D64" s="74">
        <f>(Table16[[#This Row],[Index]]-B52)/B52</f>
        <v/>
      </c>
    </row>
    <row r="65">
      <c r="A65" s="19" t="n">
        <v>28065</v>
      </c>
      <c r="B65" s="61">
        <f>VLOOKUP(Table16[[#This Row],[Date]],database!A:H,4,)</f>
        <v/>
      </c>
      <c r="C65" s="74">
        <f>B65/B64-1</f>
        <v/>
      </c>
      <c r="D65" s="74">
        <f>(Table16[[#This Row],[Index]]-B53)/B53</f>
        <v/>
      </c>
    </row>
    <row r="66">
      <c r="A66" s="19" t="n">
        <v>28095</v>
      </c>
      <c r="B66" s="61">
        <f>VLOOKUP(Table16[[#This Row],[Date]],database!A:H,4,)</f>
        <v/>
      </c>
      <c r="C66" s="74">
        <f>B66/B65-1</f>
        <v/>
      </c>
      <c r="D66" s="74">
        <f>(Table16[[#This Row],[Index]]-B54)/B54</f>
        <v/>
      </c>
    </row>
    <row r="67">
      <c r="A67" s="19" t="n">
        <v>28126</v>
      </c>
      <c r="B67" s="61">
        <f>VLOOKUP(Table16[[#This Row],[Date]],database!A:H,4,)</f>
        <v/>
      </c>
      <c r="C67" s="74">
        <f>B67/B66-1</f>
        <v/>
      </c>
      <c r="D67" s="74">
        <f>(Table16[[#This Row],[Index]]-B55)/B55</f>
        <v/>
      </c>
    </row>
    <row r="68">
      <c r="A68" s="19" t="n">
        <v>28157</v>
      </c>
      <c r="B68" s="61">
        <f>VLOOKUP(Table16[[#This Row],[Date]],database!A:H,4,)</f>
        <v/>
      </c>
      <c r="C68" s="74">
        <f>B68/B67-1</f>
        <v/>
      </c>
      <c r="D68" s="74">
        <f>(Table16[[#This Row],[Index]]-B56)/B56</f>
        <v/>
      </c>
    </row>
    <row r="69">
      <c r="A69" s="19" t="n">
        <v>28185</v>
      </c>
      <c r="B69" s="61">
        <f>VLOOKUP(Table16[[#This Row],[Date]],database!A:H,4,)</f>
        <v/>
      </c>
      <c r="C69" s="74">
        <f>B69/B68-1</f>
        <v/>
      </c>
      <c r="D69" s="74">
        <f>(Table16[[#This Row],[Index]]-B57)/B57</f>
        <v/>
      </c>
    </row>
    <row r="70">
      <c r="A70" s="19" t="n">
        <v>28216</v>
      </c>
      <c r="B70" s="61">
        <f>VLOOKUP(Table16[[#This Row],[Date]],database!A:H,4,)</f>
        <v/>
      </c>
      <c r="C70" s="74">
        <f>B70/B69-1</f>
        <v/>
      </c>
      <c r="D70" s="74">
        <f>(Table16[[#This Row],[Index]]-B58)/B58</f>
        <v/>
      </c>
    </row>
    <row r="71">
      <c r="A71" s="19" t="n">
        <v>28246</v>
      </c>
      <c r="B71" s="61">
        <f>VLOOKUP(Table16[[#This Row],[Date]],database!A:H,4,)</f>
        <v/>
      </c>
      <c r="C71" s="74">
        <f>B71/B70-1</f>
        <v/>
      </c>
      <c r="D71" s="74">
        <f>(Table16[[#This Row],[Index]]-B59)/B59</f>
        <v/>
      </c>
    </row>
    <row r="72">
      <c r="A72" s="19" t="n">
        <v>28277</v>
      </c>
      <c r="B72" s="61">
        <f>VLOOKUP(Table16[[#This Row],[Date]],database!A:H,4,)</f>
        <v/>
      </c>
      <c r="C72" s="74">
        <f>B72/B71-1</f>
        <v/>
      </c>
      <c r="D72" s="74">
        <f>(Table16[[#This Row],[Index]]-B60)/B60</f>
        <v/>
      </c>
    </row>
    <row r="73">
      <c r="A73" s="19" t="n">
        <v>28307</v>
      </c>
      <c r="B73" s="61">
        <f>VLOOKUP(Table16[[#This Row],[Date]],database!A:H,4,)</f>
        <v/>
      </c>
      <c r="C73" s="74">
        <f>B73/B72-1</f>
        <v/>
      </c>
      <c r="D73" s="74">
        <f>(Table16[[#This Row],[Index]]-B61)/B61</f>
        <v/>
      </c>
    </row>
    <row r="74">
      <c r="A74" s="19" t="n">
        <v>28338</v>
      </c>
      <c r="B74" s="61">
        <f>VLOOKUP(Table16[[#This Row],[Date]],database!A:H,4,)</f>
        <v/>
      </c>
      <c r="C74" s="74">
        <f>B74/B73-1</f>
        <v/>
      </c>
      <c r="D74" s="74">
        <f>(Table16[[#This Row],[Index]]-B62)/B62</f>
        <v/>
      </c>
    </row>
    <row r="75">
      <c r="A75" s="19" t="n">
        <v>28369</v>
      </c>
      <c r="B75" s="61">
        <f>VLOOKUP(Table16[[#This Row],[Date]],database!A:H,4,)</f>
        <v/>
      </c>
      <c r="C75" s="74">
        <f>B75/B74-1</f>
        <v/>
      </c>
      <c r="D75" s="74">
        <f>(Table16[[#This Row],[Index]]-B63)/B63</f>
        <v/>
      </c>
    </row>
    <row r="76">
      <c r="A76" s="19" t="n">
        <v>28399</v>
      </c>
      <c r="B76" s="61">
        <f>VLOOKUP(Table16[[#This Row],[Date]],database!A:H,4,)</f>
        <v/>
      </c>
      <c r="C76" s="74">
        <f>B76/B75-1</f>
        <v/>
      </c>
      <c r="D76" s="74">
        <f>(Table16[[#This Row],[Index]]-B64)/B64</f>
        <v/>
      </c>
    </row>
    <row r="77">
      <c r="A77" s="19" t="n">
        <v>28430</v>
      </c>
      <c r="B77" s="61">
        <f>VLOOKUP(Table16[[#This Row],[Date]],database!A:H,4,)</f>
        <v/>
      </c>
      <c r="C77" s="74">
        <f>B77/B76-1</f>
        <v/>
      </c>
      <c r="D77" s="74">
        <f>(Table16[[#This Row],[Index]]-B65)/B65</f>
        <v/>
      </c>
    </row>
    <row r="78">
      <c r="A78" s="19" t="n">
        <v>28460</v>
      </c>
      <c r="B78" s="61">
        <f>VLOOKUP(Table16[[#This Row],[Date]],database!A:H,4,)</f>
        <v/>
      </c>
      <c r="C78" s="74">
        <f>B78/B77-1</f>
        <v/>
      </c>
      <c r="D78" s="74">
        <f>(Table16[[#This Row],[Index]]-B66)/B66</f>
        <v/>
      </c>
    </row>
    <row r="79">
      <c r="A79" s="19" t="n">
        <v>28491</v>
      </c>
      <c r="B79" s="61">
        <f>VLOOKUP(Table16[[#This Row],[Date]],database!A:H,4,)</f>
        <v/>
      </c>
      <c r="C79" s="74">
        <f>B79/B78-1</f>
        <v/>
      </c>
      <c r="D79" s="74">
        <f>(Table16[[#This Row],[Index]]-B67)/B67</f>
        <v/>
      </c>
    </row>
    <row r="80">
      <c r="A80" s="19" t="n">
        <v>28522</v>
      </c>
      <c r="B80" s="61">
        <f>VLOOKUP(Table16[[#This Row],[Date]],database!A:H,4,)</f>
        <v/>
      </c>
      <c r="C80" s="74">
        <f>B80/B79-1</f>
        <v/>
      </c>
      <c r="D80" s="74">
        <f>(Table16[[#This Row],[Index]]-B68)/B68</f>
        <v/>
      </c>
    </row>
    <row r="81">
      <c r="A81" s="19" t="n">
        <v>28550</v>
      </c>
      <c r="B81" s="61">
        <f>VLOOKUP(Table16[[#This Row],[Date]],database!A:H,4,)</f>
        <v/>
      </c>
      <c r="C81" s="74">
        <f>B81/B80-1</f>
        <v/>
      </c>
      <c r="D81" s="74">
        <f>(Table16[[#This Row],[Index]]-B69)/B69</f>
        <v/>
      </c>
    </row>
    <row r="82">
      <c r="A82" s="19" t="n">
        <v>28581</v>
      </c>
      <c r="B82" s="61">
        <f>VLOOKUP(Table16[[#This Row],[Date]],database!A:H,4,)</f>
        <v/>
      </c>
      <c r="C82" s="74">
        <f>B82/B81-1</f>
        <v/>
      </c>
      <c r="D82" s="74">
        <f>(Table16[[#This Row],[Index]]-B70)/B70</f>
        <v/>
      </c>
    </row>
    <row r="83">
      <c r="A83" s="19" t="n">
        <v>28611</v>
      </c>
      <c r="B83" s="61">
        <f>VLOOKUP(Table16[[#This Row],[Date]],database!A:H,4,)</f>
        <v/>
      </c>
      <c r="C83" s="74">
        <f>B83/B82-1</f>
        <v/>
      </c>
      <c r="D83" s="74">
        <f>(Table16[[#This Row],[Index]]-B71)/B71</f>
        <v/>
      </c>
    </row>
    <row r="84">
      <c r="A84" s="19" t="n">
        <v>28642</v>
      </c>
      <c r="B84" s="61">
        <f>VLOOKUP(Table16[[#This Row],[Date]],database!A:H,4,)</f>
        <v/>
      </c>
      <c r="C84" s="74">
        <f>B84/B83-1</f>
        <v/>
      </c>
      <c r="D84" s="74">
        <f>(Table16[[#This Row],[Index]]-B72)/B72</f>
        <v/>
      </c>
    </row>
    <row r="85">
      <c r="A85" s="19" t="n">
        <v>28672</v>
      </c>
      <c r="B85" s="61">
        <f>VLOOKUP(Table16[[#This Row],[Date]],database!A:H,4,)</f>
        <v/>
      </c>
      <c r="C85" s="74">
        <f>B85/B84-1</f>
        <v/>
      </c>
      <c r="D85" s="74">
        <f>(Table16[[#This Row],[Index]]-B73)/B73</f>
        <v/>
      </c>
    </row>
    <row r="86">
      <c r="A86" s="19" t="n">
        <v>28703</v>
      </c>
      <c r="B86" s="61">
        <f>VLOOKUP(Table16[[#This Row],[Date]],database!A:H,4,)</f>
        <v/>
      </c>
      <c r="C86" s="74">
        <f>B86/B85-1</f>
        <v/>
      </c>
      <c r="D86" s="74">
        <f>(Table16[[#This Row],[Index]]-B74)/B74</f>
        <v/>
      </c>
    </row>
    <row r="87">
      <c r="A87" s="19" t="n">
        <v>28734</v>
      </c>
      <c r="B87" s="61">
        <f>VLOOKUP(Table16[[#This Row],[Date]],database!A:H,4,)</f>
        <v/>
      </c>
      <c r="C87" s="74">
        <f>B87/B86-1</f>
        <v/>
      </c>
      <c r="D87" s="74">
        <f>(Table16[[#This Row],[Index]]-B75)/B75</f>
        <v/>
      </c>
    </row>
    <row r="88">
      <c r="A88" s="19" t="n">
        <v>28764</v>
      </c>
      <c r="B88" s="61">
        <f>VLOOKUP(Table16[[#This Row],[Date]],database!A:H,4,)</f>
        <v/>
      </c>
      <c r="C88" s="74">
        <f>B88/B87-1</f>
        <v/>
      </c>
      <c r="D88" s="74">
        <f>(Table16[[#This Row],[Index]]-B76)/B76</f>
        <v/>
      </c>
    </row>
    <row r="89">
      <c r="A89" s="19" t="n">
        <v>28795</v>
      </c>
      <c r="B89" s="61">
        <f>VLOOKUP(Table16[[#This Row],[Date]],database!A:H,4,)</f>
        <v/>
      </c>
      <c r="C89" s="74">
        <f>B89/B88-1</f>
        <v/>
      </c>
      <c r="D89" s="74">
        <f>(Table16[[#This Row],[Index]]-B77)/B77</f>
        <v/>
      </c>
    </row>
    <row r="90">
      <c r="A90" s="19" t="n">
        <v>28825</v>
      </c>
      <c r="B90" s="61">
        <f>VLOOKUP(Table16[[#This Row],[Date]],database!A:H,4,)</f>
        <v/>
      </c>
      <c r="C90" s="74">
        <f>B90/B89-1</f>
        <v/>
      </c>
      <c r="D90" s="74">
        <f>(Table16[[#This Row],[Index]]-B78)/B78</f>
        <v/>
      </c>
    </row>
    <row r="91">
      <c r="A91" s="19" t="n">
        <v>28856</v>
      </c>
      <c r="B91" s="61">
        <f>VLOOKUP(Table16[[#This Row],[Date]],database!A:H,4,)</f>
        <v/>
      </c>
      <c r="C91" s="74">
        <f>B91/B90-1</f>
        <v/>
      </c>
      <c r="D91" s="74">
        <f>(Table16[[#This Row],[Index]]-B79)/B79</f>
        <v/>
      </c>
    </row>
    <row r="92">
      <c r="A92" s="19" t="n">
        <v>28887</v>
      </c>
      <c r="B92" s="61">
        <f>VLOOKUP(Table16[[#This Row],[Date]],database!A:H,4,)</f>
        <v/>
      </c>
      <c r="C92" s="74">
        <f>B92/B91-1</f>
        <v/>
      </c>
      <c r="D92" s="74">
        <f>(Table16[[#This Row],[Index]]-B80)/B80</f>
        <v/>
      </c>
    </row>
    <row r="93">
      <c r="A93" s="19" t="n">
        <v>28915</v>
      </c>
      <c r="B93" s="61">
        <f>VLOOKUP(Table16[[#This Row],[Date]],database!A:H,4,)</f>
        <v/>
      </c>
      <c r="C93" s="74">
        <f>B93/B92-1</f>
        <v/>
      </c>
      <c r="D93" s="74">
        <f>(Table16[[#This Row],[Index]]-B81)/B81</f>
        <v/>
      </c>
    </row>
    <row r="94">
      <c r="A94" s="19" t="n">
        <v>28946</v>
      </c>
      <c r="B94" s="61">
        <f>VLOOKUP(Table16[[#This Row],[Date]],database!A:H,4,)</f>
        <v/>
      </c>
      <c r="C94" s="74">
        <f>B94/B93-1</f>
        <v/>
      </c>
      <c r="D94" s="74">
        <f>(Table16[[#This Row],[Index]]-B82)/B82</f>
        <v/>
      </c>
    </row>
    <row r="95">
      <c r="A95" s="19" t="n">
        <v>28976</v>
      </c>
      <c r="B95" s="61">
        <f>VLOOKUP(Table16[[#This Row],[Date]],database!A:H,4,)</f>
        <v/>
      </c>
      <c r="C95" s="74">
        <f>B95/B94-1</f>
        <v/>
      </c>
      <c r="D95" s="74">
        <f>(Table16[[#This Row],[Index]]-B83)/B83</f>
        <v/>
      </c>
    </row>
    <row r="96">
      <c r="A96" s="19" t="n">
        <v>29007</v>
      </c>
      <c r="B96" s="61">
        <f>VLOOKUP(Table16[[#This Row],[Date]],database!A:H,4,)</f>
        <v/>
      </c>
      <c r="C96" s="74">
        <f>B96/B95-1</f>
        <v/>
      </c>
      <c r="D96" s="74">
        <f>(Table16[[#This Row],[Index]]-B84)/B84</f>
        <v/>
      </c>
    </row>
    <row r="97">
      <c r="A97" s="19" t="n">
        <v>29037</v>
      </c>
      <c r="B97" s="61">
        <f>VLOOKUP(Table16[[#This Row],[Date]],database!A:H,4,)</f>
        <v/>
      </c>
      <c r="C97" s="74">
        <f>B97/B96-1</f>
        <v/>
      </c>
      <c r="D97" s="74">
        <f>(Table16[[#This Row],[Index]]-B85)/B85</f>
        <v/>
      </c>
    </row>
    <row r="98">
      <c r="A98" s="19" t="n">
        <v>29068</v>
      </c>
      <c r="B98" s="61">
        <f>VLOOKUP(Table16[[#This Row],[Date]],database!A:H,4,)</f>
        <v/>
      </c>
      <c r="C98" s="74">
        <f>B98/B97-1</f>
        <v/>
      </c>
      <c r="D98" s="74">
        <f>(Table16[[#This Row],[Index]]-B86)/B86</f>
        <v/>
      </c>
    </row>
    <row r="99">
      <c r="A99" s="19" t="n">
        <v>29099</v>
      </c>
      <c r="B99" s="61">
        <f>VLOOKUP(Table16[[#This Row],[Date]],database!A:H,4,)</f>
        <v/>
      </c>
      <c r="C99" s="74">
        <f>B99/B98-1</f>
        <v/>
      </c>
      <c r="D99" s="74">
        <f>(Table16[[#This Row],[Index]]-B87)/B87</f>
        <v/>
      </c>
    </row>
    <row r="100">
      <c r="A100" s="19" t="n">
        <v>29129</v>
      </c>
      <c r="B100" s="61">
        <f>VLOOKUP(Table16[[#This Row],[Date]],database!A:H,4,)</f>
        <v/>
      </c>
      <c r="C100" s="74">
        <f>B100/B99-1</f>
        <v/>
      </c>
      <c r="D100" s="74">
        <f>(Table16[[#This Row],[Index]]-B88)/B88</f>
        <v/>
      </c>
    </row>
    <row r="101">
      <c r="A101" s="19" t="n">
        <v>29160</v>
      </c>
      <c r="B101" s="61">
        <f>VLOOKUP(Table16[[#This Row],[Date]],database!A:H,4,)</f>
        <v/>
      </c>
      <c r="C101" s="74">
        <f>B101/B100-1</f>
        <v/>
      </c>
      <c r="D101" s="74">
        <f>(Table16[[#This Row],[Index]]-B89)/B89</f>
        <v/>
      </c>
    </row>
    <row r="102">
      <c r="A102" s="19" t="n">
        <v>29190</v>
      </c>
      <c r="B102" s="61">
        <f>VLOOKUP(Table16[[#This Row],[Date]],database!A:H,4,)</f>
        <v/>
      </c>
      <c r="C102" s="74">
        <f>B102/B101-1</f>
        <v/>
      </c>
      <c r="D102" s="74">
        <f>(Table16[[#This Row],[Index]]-B90)/B90</f>
        <v/>
      </c>
    </row>
    <row r="103">
      <c r="A103" s="19" t="n">
        <v>29221</v>
      </c>
      <c r="B103" s="61">
        <f>VLOOKUP(Table16[[#This Row],[Date]],database!A:H,4,)</f>
        <v/>
      </c>
      <c r="C103" s="74">
        <f>B103/B102-1</f>
        <v/>
      </c>
      <c r="D103" s="74">
        <f>(Table16[[#This Row],[Index]]-B91)/B91</f>
        <v/>
      </c>
    </row>
    <row r="104">
      <c r="A104" s="19" t="n">
        <v>29252</v>
      </c>
      <c r="B104" s="61">
        <f>VLOOKUP(Table16[[#This Row],[Date]],database!A:H,4,)</f>
        <v/>
      </c>
      <c r="C104" s="74">
        <f>B104/B103-1</f>
        <v/>
      </c>
      <c r="D104" s="74">
        <f>(Table16[[#This Row],[Index]]-B92)/B92</f>
        <v/>
      </c>
    </row>
    <row r="105">
      <c r="A105" s="19" t="n">
        <v>29281</v>
      </c>
      <c r="B105" s="61">
        <f>VLOOKUP(Table16[[#This Row],[Date]],database!A:H,4,)</f>
        <v/>
      </c>
      <c r="C105" s="74">
        <f>B105/B104-1</f>
        <v/>
      </c>
      <c r="D105" s="74">
        <f>(Table16[[#This Row],[Index]]-B93)/B93</f>
        <v/>
      </c>
    </row>
    <row r="106">
      <c r="A106" s="19" t="n">
        <v>29312</v>
      </c>
      <c r="B106" s="61">
        <f>VLOOKUP(Table16[[#This Row],[Date]],database!A:H,4,)</f>
        <v/>
      </c>
      <c r="C106" s="74">
        <f>B106/B105-1</f>
        <v/>
      </c>
      <c r="D106" s="74">
        <f>(Table16[[#This Row],[Index]]-B94)/B94</f>
        <v/>
      </c>
    </row>
    <row r="107">
      <c r="A107" s="19" t="n">
        <v>29342</v>
      </c>
      <c r="B107" s="61">
        <f>VLOOKUP(Table16[[#This Row],[Date]],database!A:H,4,)</f>
        <v/>
      </c>
      <c r="C107" s="74">
        <f>B107/B106-1</f>
        <v/>
      </c>
      <c r="D107" s="74">
        <f>(Table16[[#This Row],[Index]]-B95)/B95</f>
        <v/>
      </c>
    </row>
    <row r="108">
      <c r="A108" s="19" t="n">
        <v>29373</v>
      </c>
      <c r="B108" s="61">
        <f>VLOOKUP(Table16[[#This Row],[Date]],database!A:H,4,)</f>
        <v/>
      </c>
      <c r="C108" s="74">
        <f>B108/B107-1</f>
        <v/>
      </c>
      <c r="D108" s="74">
        <f>(Table16[[#This Row],[Index]]-B96)/B96</f>
        <v/>
      </c>
    </row>
    <row r="109">
      <c r="A109" s="19" t="n">
        <v>29403</v>
      </c>
      <c r="B109" s="61">
        <f>VLOOKUP(Table16[[#This Row],[Date]],database!A:H,4,)</f>
        <v/>
      </c>
      <c r="C109" s="74">
        <f>B109/B108-1</f>
        <v/>
      </c>
      <c r="D109" s="74">
        <f>(Table16[[#This Row],[Index]]-B97)/B97</f>
        <v/>
      </c>
    </row>
    <row r="110">
      <c r="A110" s="19" t="n">
        <v>29434</v>
      </c>
      <c r="B110" s="61">
        <f>VLOOKUP(Table16[[#This Row],[Date]],database!A:H,4,)</f>
        <v/>
      </c>
      <c r="C110" s="74">
        <f>B110/B109-1</f>
        <v/>
      </c>
      <c r="D110" s="74">
        <f>(Table16[[#This Row],[Index]]-B98)/B98</f>
        <v/>
      </c>
    </row>
    <row r="111">
      <c r="A111" s="19" t="n">
        <v>29465</v>
      </c>
      <c r="B111" s="61">
        <f>VLOOKUP(Table16[[#This Row],[Date]],database!A:H,4,)</f>
        <v/>
      </c>
      <c r="C111" s="74">
        <f>B111/B110-1</f>
        <v/>
      </c>
      <c r="D111" s="74">
        <f>(Table16[[#This Row],[Index]]-B99)/B99</f>
        <v/>
      </c>
    </row>
    <row r="112">
      <c r="A112" s="19" t="n">
        <v>29495</v>
      </c>
      <c r="B112" s="61">
        <f>VLOOKUP(Table16[[#This Row],[Date]],database!A:H,4,)</f>
        <v/>
      </c>
      <c r="C112" s="74">
        <f>B112/B111-1</f>
        <v/>
      </c>
      <c r="D112" s="74">
        <f>(Table16[[#This Row],[Index]]-B100)/B100</f>
        <v/>
      </c>
    </row>
    <row r="113">
      <c r="A113" s="19" t="n">
        <v>29526</v>
      </c>
      <c r="B113" s="61">
        <f>VLOOKUP(Table16[[#This Row],[Date]],database!A:H,4,)</f>
        <v/>
      </c>
      <c r="C113" s="74">
        <f>B113/B112-1</f>
        <v/>
      </c>
      <c r="D113" s="74">
        <f>(Table16[[#This Row],[Index]]-B101)/B101</f>
        <v/>
      </c>
    </row>
    <row r="114">
      <c r="A114" s="19" t="n">
        <v>29556</v>
      </c>
      <c r="B114" s="61">
        <f>VLOOKUP(Table16[[#This Row],[Date]],database!A:H,4,)</f>
        <v/>
      </c>
      <c r="C114" s="74">
        <f>B114/B113-1</f>
        <v/>
      </c>
      <c r="D114" s="74">
        <f>(Table16[[#This Row],[Index]]-B102)/B102</f>
        <v/>
      </c>
    </row>
    <row r="115">
      <c r="A115" s="19" t="n">
        <v>29587</v>
      </c>
      <c r="B115" s="61">
        <f>VLOOKUP(Table16[[#This Row],[Date]],database!A:H,4,)</f>
        <v/>
      </c>
      <c r="C115" s="74">
        <f>B115/B114-1</f>
        <v/>
      </c>
      <c r="D115" s="74">
        <f>(Table16[[#This Row],[Index]]-B103)/B103</f>
        <v/>
      </c>
    </row>
    <row r="116">
      <c r="A116" s="19" t="n">
        <v>29618</v>
      </c>
      <c r="B116" s="61">
        <f>VLOOKUP(Table16[[#This Row],[Date]],database!A:H,4,)</f>
        <v/>
      </c>
      <c r="C116" s="74">
        <f>B116/B115-1</f>
        <v/>
      </c>
      <c r="D116" s="74">
        <f>(Table16[[#This Row],[Index]]-B104)/B104</f>
        <v/>
      </c>
    </row>
    <row r="117">
      <c r="A117" s="19" t="n">
        <v>29646</v>
      </c>
      <c r="B117" s="61">
        <f>VLOOKUP(Table16[[#This Row],[Date]],database!A:H,4,)</f>
        <v/>
      </c>
      <c r="C117" s="74">
        <f>B117/B116-1</f>
        <v/>
      </c>
      <c r="D117" s="74">
        <f>(Table16[[#This Row],[Index]]-B105)/B105</f>
        <v/>
      </c>
    </row>
    <row r="118">
      <c r="A118" s="19" t="n">
        <v>29677</v>
      </c>
      <c r="B118" s="61">
        <f>VLOOKUP(Table16[[#This Row],[Date]],database!A:H,4,)</f>
        <v/>
      </c>
      <c r="C118" s="74">
        <f>B118/B117-1</f>
        <v/>
      </c>
      <c r="D118" s="74">
        <f>(Table16[[#This Row],[Index]]-B106)/B106</f>
        <v/>
      </c>
    </row>
    <row r="119">
      <c r="A119" s="19" t="n">
        <v>29707</v>
      </c>
      <c r="B119" s="61">
        <f>VLOOKUP(Table16[[#This Row],[Date]],database!A:H,4,)</f>
        <v/>
      </c>
      <c r="C119" s="74">
        <f>B119/B118-1</f>
        <v/>
      </c>
      <c r="D119" s="74">
        <f>(Table16[[#This Row],[Index]]-B107)/B107</f>
        <v/>
      </c>
    </row>
    <row r="120">
      <c r="A120" s="19" t="n">
        <v>29738</v>
      </c>
      <c r="B120" s="61">
        <f>VLOOKUP(Table16[[#This Row],[Date]],database!A:H,4,)</f>
        <v/>
      </c>
      <c r="C120" s="74">
        <f>B120/B119-1</f>
        <v/>
      </c>
      <c r="D120" s="74">
        <f>(Table16[[#This Row],[Index]]-B108)/B108</f>
        <v/>
      </c>
    </row>
    <row r="121">
      <c r="A121" s="19" t="n">
        <v>29768</v>
      </c>
      <c r="B121" s="61">
        <f>VLOOKUP(Table16[[#This Row],[Date]],database!A:H,4,)</f>
        <v/>
      </c>
      <c r="C121" s="74">
        <f>B121/B120-1</f>
        <v/>
      </c>
      <c r="D121" s="74">
        <f>(Table16[[#This Row],[Index]]-B109)/B109</f>
        <v/>
      </c>
    </row>
    <row r="122">
      <c r="A122" s="19" t="n">
        <v>29799</v>
      </c>
      <c r="B122" s="61">
        <f>VLOOKUP(Table16[[#This Row],[Date]],database!A:H,4,)</f>
        <v/>
      </c>
      <c r="C122" s="74">
        <f>B122/B121-1</f>
        <v/>
      </c>
      <c r="D122" s="74">
        <f>(Table16[[#This Row],[Index]]-B110)/B110</f>
        <v/>
      </c>
    </row>
    <row r="123">
      <c r="A123" s="19" t="n">
        <v>29830</v>
      </c>
      <c r="B123" s="61">
        <f>VLOOKUP(Table16[[#This Row],[Date]],database!A:H,4,)</f>
        <v/>
      </c>
      <c r="C123" s="74">
        <f>B123/B122-1</f>
        <v/>
      </c>
      <c r="D123" s="74">
        <f>(Table16[[#This Row],[Index]]-B111)/B111</f>
        <v/>
      </c>
    </row>
    <row r="124">
      <c r="A124" s="19" t="n">
        <v>29860</v>
      </c>
      <c r="B124" s="61">
        <f>VLOOKUP(Table16[[#This Row],[Date]],database!A:H,4,)</f>
        <v/>
      </c>
      <c r="C124" s="74">
        <f>B124/B123-1</f>
        <v/>
      </c>
      <c r="D124" s="74">
        <f>(Table16[[#This Row],[Index]]-B112)/B112</f>
        <v/>
      </c>
    </row>
    <row r="125">
      <c r="A125" s="19" t="n">
        <v>29891</v>
      </c>
      <c r="B125" s="61">
        <f>VLOOKUP(Table16[[#This Row],[Date]],database!A:H,4,)</f>
        <v/>
      </c>
      <c r="C125" s="74">
        <f>B125/B124-1</f>
        <v/>
      </c>
      <c r="D125" s="74">
        <f>(Table16[[#This Row],[Index]]-B113)/B113</f>
        <v/>
      </c>
    </row>
    <row r="126">
      <c r="A126" s="19" t="n">
        <v>29921</v>
      </c>
      <c r="B126" s="61">
        <f>VLOOKUP(Table16[[#This Row],[Date]],database!A:H,4,)</f>
        <v/>
      </c>
      <c r="C126" s="74">
        <f>B126/B125-1</f>
        <v/>
      </c>
      <c r="D126" s="74">
        <f>(Table16[[#This Row],[Index]]-B114)/B114</f>
        <v/>
      </c>
    </row>
    <row r="127">
      <c r="A127" s="19" t="n">
        <v>29952</v>
      </c>
      <c r="B127" s="61">
        <f>VLOOKUP(Table16[[#This Row],[Date]],database!A:H,4,)</f>
        <v/>
      </c>
      <c r="C127" s="74">
        <f>B127/B126-1</f>
        <v/>
      </c>
      <c r="D127" s="74">
        <f>(Table16[[#This Row],[Index]]-B115)/B115</f>
        <v/>
      </c>
    </row>
    <row r="128">
      <c r="A128" s="19" t="n">
        <v>29983</v>
      </c>
      <c r="B128" s="61">
        <f>VLOOKUP(Table16[[#This Row],[Date]],database!A:H,4,)</f>
        <v/>
      </c>
      <c r="C128" s="74">
        <f>B128/B127-1</f>
        <v/>
      </c>
      <c r="D128" s="74">
        <f>(Table16[[#This Row],[Index]]-B116)/B116</f>
        <v/>
      </c>
    </row>
    <row r="129">
      <c r="A129" s="19" t="n">
        <v>30011</v>
      </c>
      <c r="B129" s="61">
        <f>VLOOKUP(Table16[[#This Row],[Date]],database!A:H,4,)</f>
        <v/>
      </c>
      <c r="C129" s="74">
        <f>B129/B128-1</f>
        <v/>
      </c>
      <c r="D129" s="74">
        <f>(Table16[[#This Row],[Index]]-B117)/B117</f>
        <v/>
      </c>
    </row>
    <row r="130">
      <c r="A130" s="19" t="n">
        <v>30042</v>
      </c>
      <c r="B130" s="61">
        <f>VLOOKUP(Table16[[#This Row],[Date]],database!A:H,4,)</f>
        <v/>
      </c>
      <c r="C130" s="74">
        <f>B130/B129-1</f>
        <v/>
      </c>
      <c r="D130" s="74">
        <f>(Table16[[#This Row],[Index]]-B118)/B118</f>
        <v/>
      </c>
    </row>
    <row r="131">
      <c r="A131" s="19" t="n">
        <v>30072</v>
      </c>
      <c r="B131" s="61">
        <f>VLOOKUP(Table16[[#This Row],[Date]],database!A:H,4,)</f>
        <v/>
      </c>
      <c r="C131" s="74">
        <f>B131/B130-1</f>
        <v/>
      </c>
      <c r="D131" s="74">
        <f>(Table16[[#This Row],[Index]]-B119)/B119</f>
        <v/>
      </c>
    </row>
    <row r="132">
      <c r="A132" s="19" t="n">
        <v>30103</v>
      </c>
      <c r="B132" s="61">
        <f>VLOOKUP(Table16[[#This Row],[Date]],database!A:H,4,)</f>
        <v/>
      </c>
      <c r="C132" s="74">
        <f>B132/B131-1</f>
        <v/>
      </c>
      <c r="D132" s="74">
        <f>(Table16[[#This Row],[Index]]-B120)/B120</f>
        <v/>
      </c>
    </row>
    <row r="133">
      <c r="A133" s="19" t="n">
        <v>30133</v>
      </c>
      <c r="B133" s="61">
        <f>VLOOKUP(Table16[[#This Row],[Date]],database!A:H,4,)</f>
        <v/>
      </c>
      <c r="C133" s="74">
        <f>B133/B132-1</f>
        <v/>
      </c>
      <c r="D133" s="74">
        <f>(Table16[[#This Row],[Index]]-B121)/B121</f>
        <v/>
      </c>
    </row>
    <row r="134">
      <c r="A134" s="19" t="n">
        <v>30164</v>
      </c>
      <c r="B134" s="61">
        <f>VLOOKUP(Table16[[#This Row],[Date]],database!A:H,4,)</f>
        <v/>
      </c>
      <c r="C134" s="74">
        <f>B134/B133-1</f>
        <v/>
      </c>
      <c r="D134" s="74">
        <f>(Table16[[#This Row],[Index]]-B122)/B122</f>
        <v/>
      </c>
    </row>
    <row r="135">
      <c r="A135" s="19" t="n">
        <v>30195</v>
      </c>
      <c r="B135" s="61">
        <f>VLOOKUP(Table16[[#This Row],[Date]],database!A:H,4,)</f>
        <v/>
      </c>
      <c r="C135" s="74">
        <f>B135/B134-1</f>
        <v/>
      </c>
      <c r="D135" s="74">
        <f>(Table16[[#This Row],[Index]]-B123)/B123</f>
        <v/>
      </c>
    </row>
    <row r="136">
      <c r="A136" s="19" t="n">
        <v>30225</v>
      </c>
      <c r="B136" s="61">
        <f>VLOOKUP(Table16[[#This Row],[Date]],database!A:H,4,)</f>
        <v/>
      </c>
      <c r="C136" s="74">
        <f>B136/B135-1</f>
        <v/>
      </c>
      <c r="D136" s="74">
        <f>(Table16[[#This Row],[Index]]-B124)/B124</f>
        <v/>
      </c>
    </row>
    <row r="137">
      <c r="A137" s="19" t="n">
        <v>30256</v>
      </c>
      <c r="B137" s="61">
        <f>VLOOKUP(Table16[[#This Row],[Date]],database!A:H,4,)</f>
        <v/>
      </c>
      <c r="C137" s="74">
        <f>B137/B136-1</f>
        <v/>
      </c>
      <c r="D137" s="74">
        <f>(Table16[[#This Row],[Index]]-B125)/B125</f>
        <v/>
      </c>
    </row>
    <row r="138">
      <c r="A138" s="19" t="n">
        <v>30286</v>
      </c>
      <c r="B138" s="61">
        <f>VLOOKUP(Table16[[#This Row],[Date]],database!A:H,4,)</f>
        <v/>
      </c>
      <c r="C138" s="74">
        <f>B138/B137-1</f>
        <v/>
      </c>
      <c r="D138" s="74">
        <f>(Table16[[#This Row],[Index]]-B126)/B126</f>
        <v/>
      </c>
    </row>
    <row r="139">
      <c r="A139" s="19" t="n">
        <v>30317</v>
      </c>
      <c r="B139" s="61">
        <f>VLOOKUP(Table16[[#This Row],[Date]],database!A:H,4,)</f>
        <v/>
      </c>
      <c r="C139" s="74">
        <f>B139/B138-1</f>
        <v/>
      </c>
      <c r="D139" s="74">
        <f>(Table16[[#This Row],[Index]]-B127)/B127</f>
        <v/>
      </c>
    </row>
    <row r="140">
      <c r="A140" s="19" t="n">
        <v>30348</v>
      </c>
      <c r="B140" s="61">
        <f>VLOOKUP(Table16[[#This Row],[Date]],database!A:H,4,)</f>
        <v/>
      </c>
      <c r="C140" s="74">
        <f>B140/B139-1</f>
        <v/>
      </c>
      <c r="D140" s="74">
        <f>(Table16[[#This Row],[Index]]-B128)/B128</f>
        <v/>
      </c>
    </row>
    <row r="141">
      <c r="A141" s="19" t="n">
        <v>30376</v>
      </c>
      <c r="B141" s="61">
        <f>VLOOKUP(Table16[[#This Row],[Date]],database!A:H,4,)</f>
        <v/>
      </c>
      <c r="C141" s="74">
        <f>B141/B140-1</f>
        <v/>
      </c>
      <c r="D141" s="74">
        <f>(Table16[[#This Row],[Index]]-B129)/B129</f>
        <v/>
      </c>
    </row>
    <row r="142">
      <c r="A142" s="19" t="n">
        <v>30407</v>
      </c>
      <c r="B142" s="61">
        <f>VLOOKUP(Table16[[#This Row],[Date]],database!A:H,4,)</f>
        <v/>
      </c>
      <c r="C142" s="74">
        <f>B142/B141-1</f>
        <v/>
      </c>
      <c r="D142" s="74">
        <f>(Table16[[#This Row],[Index]]-B130)/B130</f>
        <v/>
      </c>
    </row>
    <row r="143">
      <c r="A143" s="19" t="n">
        <v>30437</v>
      </c>
      <c r="B143" s="61">
        <f>VLOOKUP(Table16[[#This Row],[Date]],database!A:H,4,)</f>
        <v/>
      </c>
      <c r="C143" s="74">
        <f>B143/B142-1</f>
        <v/>
      </c>
      <c r="D143" s="74">
        <f>(Table16[[#This Row],[Index]]-B131)/B131</f>
        <v/>
      </c>
    </row>
    <row r="144">
      <c r="A144" s="19" t="n">
        <v>30468</v>
      </c>
      <c r="B144" s="61">
        <f>VLOOKUP(Table16[[#This Row],[Date]],database!A:H,4,)</f>
        <v/>
      </c>
      <c r="C144" s="74">
        <f>B144/B143-1</f>
        <v/>
      </c>
      <c r="D144" s="74">
        <f>(Table16[[#This Row],[Index]]-B132)/B132</f>
        <v/>
      </c>
    </row>
    <row r="145">
      <c r="A145" s="19" t="n">
        <v>30498</v>
      </c>
      <c r="B145" s="61">
        <f>VLOOKUP(Table16[[#This Row],[Date]],database!A:H,4,)</f>
        <v/>
      </c>
      <c r="C145" s="74">
        <f>B145/B144-1</f>
        <v/>
      </c>
      <c r="D145" s="74">
        <f>(Table16[[#This Row],[Index]]-B133)/B133</f>
        <v/>
      </c>
    </row>
    <row r="146">
      <c r="A146" s="19" t="n">
        <v>30529</v>
      </c>
      <c r="B146" s="61">
        <f>VLOOKUP(Table16[[#This Row],[Date]],database!A:H,4,)</f>
        <v/>
      </c>
      <c r="C146" s="74">
        <f>B146/B145-1</f>
        <v/>
      </c>
      <c r="D146" s="74">
        <f>(Table16[[#This Row],[Index]]-B134)/B134</f>
        <v/>
      </c>
    </row>
    <row r="147">
      <c r="A147" s="19" t="n">
        <v>30560</v>
      </c>
      <c r="B147" s="61">
        <f>VLOOKUP(Table16[[#This Row],[Date]],database!A:H,4,)</f>
        <v/>
      </c>
      <c r="C147" s="74">
        <f>B147/B146-1</f>
        <v/>
      </c>
      <c r="D147" s="74">
        <f>(Table16[[#This Row],[Index]]-B135)/B135</f>
        <v/>
      </c>
    </row>
    <row r="148">
      <c r="A148" s="19" t="n">
        <v>30590</v>
      </c>
      <c r="B148" s="61">
        <f>VLOOKUP(Table16[[#This Row],[Date]],database!A:H,4,)</f>
        <v/>
      </c>
      <c r="C148" s="74">
        <f>B148/B147-1</f>
        <v/>
      </c>
      <c r="D148" s="74">
        <f>(Table16[[#This Row],[Index]]-B136)/B136</f>
        <v/>
      </c>
    </row>
    <row r="149">
      <c r="A149" s="19" t="n">
        <v>30621</v>
      </c>
      <c r="B149" s="61">
        <f>VLOOKUP(Table16[[#This Row],[Date]],database!A:H,4,)</f>
        <v/>
      </c>
      <c r="C149" s="74">
        <f>B149/B148-1</f>
        <v/>
      </c>
      <c r="D149" s="74">
        <f>(Table16[[#This Row],[Index]]-B137)/B137</f>
        <v/>
      </c>
    </row>
    <row r="150">
      <c r="A150" s="19" t="n">
        <v>30651</v>
      </c>
      <c r="B150" s="61">
        <f>VLOOKUP(Table16[[#This Row],[Date]],database!A:H,4,)</f>
        <v/>
      </c>
      <c r="C150" s="74">
        <f>B150/B149-1</f>
        <v/>
      </c>
      <c r="D150" s="74">
        <f>(Table16[[#This Row],[Index]]-B138)/B138</f>
        <v/>
      </c>
    </row>
    <row r="151">
      <c r="A151" s="19" t="n">
        <v>30682</v>
      </c>
      <c r="B151" s="61">
        <f>VLOOKUP(Table16[[#This Row],[Date]],database!A:H,4,)</f>
        <v/>
      </c>
      <c r="C151" s="74">
        <f>B151/B150-1</f>
        <v/>
      </c>
      <c r="D151" s="74">
        <f>(Table16[[#This Row],[Index]]-B139)/B139</f>
        <v/>
      </c>
    </row>
    <row r="152">
      <c r="A152" s="19" t="n">
        <v>30713</v>
      </c>
      <c r="B152" s="61">
        <f>VLOOKUP(Table16[[#This Row],[Date]],database!A:H,4,)</f>
        <v/>
      </c>
      <c r="C152" s="74">
        <f>B152/B151-1</f>
        <v/>
      </c>
      <c r="D152" s="74">
        <f>(Table16[[#This Row],[Index]]-B140)/B140</f>
        <v/>
      </c>
    </row>
    <row r="153">
      <c r="A153" s="19" t="n">
        <v>30742</v>
      </c>
      <c r="B153" s="61">
        <f>VLOOKUP(Table16[[#This Row],[Date]],database!A:H,4,)</f>
        <v/>
      </c>
      <c r="C153" s="74">
        <f>B153/B152-1</f>
        <v/>
      </c>
      <c r="D153" s="74">
        <f>(Table16[[#This Row],[Index]]-B141)/B141</f>
        <v/>
      </c>
    </row>
    <row r="154">
      <c r="A154" s="19" t="n">
        <v>30773</v>
      </c>
      <c r="B154" s="61">
        <f>VLOOKUP(Table16[[#This Row],[Date]],database!A:H,4,)</f>
        <v/>
      </c>
      <c r="C154" s="74">
        <f>B154/B153-1</f>
        <v/>
      </c>
      <c r="D154" s="74">
        <f>(Table16[[#This Row],[Index]]-B142)/B142</f>
        <v/>
      </c>
    </row>
    <row r="155">
      <c r="A155" s="19" t="n">
        <v>30803</v>
      </c>
      <c r="B155" s="61">
        <f>VLOOKUP(Table16[[#This Row],[Date]],database!A:H,4,)</f>
        <v/>
      </c>
      <c r="C155" s="74">
        <f>B155/B154-1</f>
        <v/>
      </c>
      <c r="D155" s="74">
        <f>(Table16[[#This Row],[Index]]-B143)/B143</f>
        <v/>
      </c>
    </row>
    <row r="156">
      <c r="A156" s="19" t="n">
        <v>30834</v>
      </c>
      <c r="B156" s="61">
        <f>VLOOKUP(Table16[[#This Row],[Date]],database!A:H,4,)</f>
        <v/>
      </c>
      <c r="C156" s="74">
        <f>B156/B155-1</f>
        <v/>
      </c>
      <c r="D156" s="74">
        <f>(Table16[[#This Row],[Index]]-B144)/B144</f>
        <v/>
      </c>
    </row>
    <row r="157">
      <c r="A157" s="19" t="n">
        <v>30864</v>
      </c>
      <c r="B157" s="61">
        <f>VLOOKUP(Table16[[#This Row],[Date]],database!A:H,4,)</f>
        <v/>
      </c>
      <c r="C157" s="74">
        <f>B157/B156-1</f>
        <v/>
      </c>
      <c r="D157" s="74">
        <f>(Table16[[#This Row],[Index]]-B145)/B145</f>
        <v/>
      </c>
    </row>
    <row r="158">
      <c r="A158" s="19" t="n">
        <v>30895</v>
      </c>
      <c r="B158" s="61">
        <f>VLOOKUP(Table16[[#This Row],[Date]],database!A:H,4,)</f>
        <v/>
      </c>
      <c r="C158" s="74">
        <f>B158/B157-1</f>
        <v/>
      </c>
      <c r="D158" s="74">
        <f>(Table16[[#This Row],[Index]]-B146)/B146</f>
        <v/>
      </c>
    </row>
    <row r="159">
      <c r="A159" s="19" t="n">
        <v>30926</v>
      </c>
      <c r="B159" s="61">
        <f>VLOOKUP(Table16[[#This Row],[Date]],database!A:H,4,)</f>
        <v/>
      </c>
      <c r="C159" s="74">
        <f>B159/B158-1</f>
        <v/>
      </c>
      <c r="D159" s="74">
        <f>(Table16[[#This Row],[Index]]-B147)/B147</f>
        <v/>
      </c>
    </row>
    <row r="160">
      <c r="A160" s="19" t="n">
        <v>30956</v>
      </c>
      <c r="B160" s="61">
        <f>VLOOKUP(Table16[[#This Row],[Date]],database!A:H,4,)</f>
        <v/>
      </c>
      <c r="C160" s="74">
        <f>B160/B159-1</f>
        <v/>
      </c>
      <c r="D160" s="74">
        <f>(Table16[[#This Row],[Index]]-B148)/B148</f>
        <v/>
      </c>
    </row>
    <row r="161">
      <c r="A161" s="19" t="n">
        <v>30987</v>
      </c>
      <c r="B161" s="61">
        <f>VLOOKUP(Table16[[#This Row],[Date]],database!A:H,4,)</f>
        <v/>
      </c>
      <c r="C161" s="74">
        <f>B161/B160-1</f>
        <v/>
      </c>
      <c r="D161" s="74">
        <f>(Table16[[#This Row],[Index]]-B149)/B149</f>
        <v/>
      </c>
    </row>
    <row r="162">
      <c r="A162" s="19" t="n">
        <v>31017</v>
      </c>
      <c r="B162" s="61">
        <f>VLOOKUP(Table16[[#This Row],[Date]],database!A:H,4,)</f>
        <v/>
      </c>
      <c r="C162" s="74">
        <f>B162/B161-1</f>
        <v/>
      </c>
      <c r="D162" s="74">
        <f>(Table16[[#This Row],[Index]]-B150)/B150</f>
        <v/>
      </c>
    </row>
    <row r="163">
      <c r="A163" s="19" t="n">
        <v>31048</v>
      </c>
      <c r="B163" s="61">
        <f>VLOOKUP(Table16[[#This Row],[Date]],database!A:H,4,)</f>
        <v/>
      </c>
      <c r="C163" s="74">
        <f>B163/B162-1</f>
        <v/>
      </c>
      <c r="D163" s="74">
        <f>(Table16[[#This Row],[Index]]-B151)/B151</f>
        <v/>
      </c>
    </row>
    <row r="164">
      <c r="A164" s="19" t="n">
        <v>31079</v>
      </c>
      <c r="B164" s="61">
        <f>VLOOKUP(Table16[[#This Row],[Date]],database!A:H,4,)</f>
        <v/>
      </c>
      <c r="C164" s="74">
        <f>B164/B163-1</f>
        <v/>
      </c>
      <c r="D164" s="74">
        <f>(Table16[[#This Row],[Index]]-B152)/B152</f>
        <v/>
      </c>
    </row>
    <row r="165">
      <c r="A165" s="19" t="n">
        <v>31107</v>
      </c>
      <c r="B165" s="61">
        <f>VLOOKUP(Table16[[#This Row],[Date]],database!A:H,4,)</f>
        <v/>
      </c>
      <c r="C165" s="74">
        <f>B165/B164-1</f>
        <v/>
      </c>
      <c r="D165" s="74">
        <f>(Table16[[#This Row],[Index]]-B153)/B153</f>
        <v/>
      </c>
    </row>
    <row r="166">
      <c r="A166" s="19" t="n">
        <v>31138</v>
      </c>
      <c r="B166" s="61">
        <f>VLOOKUP(Table16[[#This Row],[Date]],database!A:H,4,)</f>
        <v/>
      </c>
      <c r="C166" s="74">
        <f>B166/B165-1</f>
        <v/>
      </c>
      <c r="D166" s="74">
        <f>(Table16[[#This Row],[Index]]-B154)/B154</f>
        <v/>
      </c>
    </row>
    <row r="167">
      <c r="A167" s="19" t="n">
        <v>31168</v>
      </c>
      <c r="B167" s="61">
        <f>VLOOKUP(Table16[[#This Row],[Date]],database!A:H,4,)</f>
        <v/>
      </c>
      <c r="C167" s="74">
        <f>B167/B166-1</f>
        <v/>
      </c>
      <c r="D167" s="74">
        <f>(Table16[[#This Row],[Index]]-B155)/B155</f>
        <v/>
      </c>
    </row>
    <row r="168">
      <c r="A168" s="19" t="n">
        <v>31199</v>
      </c>
      <c r="B168" s="61">
        <f>VLOOKUP(Table16[[#This Row],[Date]],database!A:H,4,)</f>
        <v/>
      </c>
      <c r="C168" s="74">
        <f>B168/B167-1</f>
        <v/>
      </c>
      <c r="D168" s="74">
        <f>(Table16[[#This Row],[Index]]-B156)/B156</f>
        <v/>
      </c>
    </row>
    <row r="169">
      <c r="A169" s="19" t="n">
        <v>31229</v>
      </c>
      <c r="B169" s="61">
        <f>VLOOKUP(Table16[[#This Row],[Date]],database!A:H,4,)</f>
        <v/>
      </c>
      <c r="C169" s="74">
        <f>B169/B168-1</f>
        <v/>
      </c>
      <c r="D169" s="74">
        <f>(Table16[[#This Row],[Index]]-B157)/B157</f>
        <v/>
      </c>
    </row>
    <row r="170">
      <c r="A170" s="19" t="n">
        <v>31260</v>
      </c>
      <c r="B170" s="61">
        <f>VLOOKUP(Table16[[#This Row],[Date]],database!A:H,4,)</f>
        <v/>
      </c>
      <c r="C170" s="74">
        <f>B170/B169-1</f>
        <v/>
      </c>
      <c r="D170" s="74">
        <f>(Table16[[#This Row],[Index]]-B158)/B158</f>
        <v/>
      </c>
    </row>
    <row r="171">
      <c r="A171" s="19" t="n">
        <v>31291</v>
      </c>
      <c r="B171" s="61">
        <f>VLOOKUP(Table16[[#This Row],[Date]],database!A:H,4,)</f>
        <v/>
      </c>
      <c r="C171" s="74">
        <f>B171/B170-1</f>
        <v/>
      </c>
      <c r="D171" s="74">
        <f>(Table16[[#This Row],[Index]]-B159)/B159</f>
        <v/>
      </c>
    </row>
    <row r="172">
      <c r="A172" s="19" t="n">
        <v>31321</v>
      </c>
      <c r="B172" s="61">
        <f>VLOOKUP(Table16[[#This Row],[Date]],database!A:H,4,)</f>
        <v/>
      </c>
      <c r="C172" s="74">
        <f>B172/B171-1</f>
        <v/>
      </c>
      <c r="D172" s="74">
        <f>(Table16[[#This Row],[Index]]-B160)/B160</f>
        <v/>
      </c>
    </row>
    <row r="173">
      <c r="A173" s="19" t="n">
        <v>31352</v>
      </c>
      <c r="B173" s="61">
        <f>VLOOKUP(Table16[[#This Row],[Date]],database!A:H,4,)</f>
        <v/>
      </c>
      <c r="C173" s="74">
        <f>B173/B172-1</f>
        <v/>
      </c>
      <c r="D173" s="74">
        <f>(Table16[[#This Row],[Index]]-B161)/B161</f>
        <v/>
      </c>
    </row>
    <row r="174">
      <c r="A174" s="19" t="n">
        <v>31382</v>
      </c>
      <c r="B174" s="61">
        <f>VLOOKUP(Table16[[#This Row],[Date]],database!A:H,4,)</f>
        <v/>
      </c>
      <c r="C174" s="74">
        <f>B174/B173-1</f>
        <v/>
      </c>
      <c r="D174" s="74">
        <f>(Table16[[#This Row],[Index]]-B162)/B162</f>
        <v/>
      </c>
    </row>
    <row r="175">
      <c r="A175" s="19" t="n">
        <v>31413</v>
      </c>
      <c r="B175" s="61">
        <f>VLOOKUP(Table16[[#This Row],[Date]],database!A:H,4,)</f>
        <v/>
      </c>
      <c r="C175" s="74">
        <f>B175/B174-1</f>
        <v/>
      </c>
      <c r="D175" s="74">
        <f>(Table16[[#This Row],[Index]]-B163)/B163</f>
        <v/>
      </c>
    </row>
    <row r="176">
      <c r="A176" s="19" t="n">
        <v>31444</v>
      </c>
      <c r="B176" s="61">
        <f>VLOOKUP(Table16[[#This Row],[Date]],database!A:H,4,)</f>
        <v/>
      </c>
      <c r="C176" s="74">
        <f>B176/B175-1</f>
        <v/>
      </c>
      <c r="D176" s="74">
        <f>(Table16[[#This Row],[Index]]-B164)/B164</f>
        <v/>
      </c>
    </row>
    <row r="177">
      <c r="A177" s="19" t="n">
        <v>31472</v>
      </c>
      <c r="B177" s="61">
        <f>VLOOKUP(Table16[[#This Row],[Date]],database!A:H,4,)</f>
        <v/>
      </c>
      <c r="C177" s="74">
        <f>B177/B176-1</f>
        <v/>
      </c>
      <c r="D177" s="74">
        <f>(Table16[[#This Row],[Index]]-B165)/B165</f>
        <v/>
      </c>
    </row>
    <row r="178">
      <c r="A178" s="19" t="n">
        <v>31503</v>
      </c>
      <c r="B178" s="61">
        <f>VLOOKUP(Table16[[#This Row],[Date]],database!A:H,4,)</f>
        <v/>
      </c>
      <c r="C178" s="74">
        <f>B178/B177-1</f>
        <v/>
      </c>
      <c r="D178" s="74">
        <f>(Table16[[#This Row],[Index]]-B166)/B166</f>
        <v/>
      </c>
    </row>
    <row r="179">
      <c r="A179" s="19" t="n">
        <v>31533</v>
      </c>
      <c r="B179" s="61">
        <f>VLOOKUP(Table16[[#This Row],[Date]],database!A:H,4,)</f>
        <v/>
      </c>
      <c r="C179" s="74">
        <f>B179/B178-1</f>
        <v/>
      </c>
      <c r="D179" s="74">
        <f>(Table16[[#This Row],[Index]]-B167)/B167</f>
        <v/>
      </c>
    </row>
    <row r="180">
      <c r="A180" s="19" t="n">
        <v>31564</v>
      </c>
      <c r="B180" s="61">
        <f>VLOOKUP(Table16[[#This Row],[Date]],database!A:H,4,)</f>
        <v/>
      </c>
      <c r="C180" s="74">
        <f>B180/B179-1</f>
        <v/>
      </c>
      <c r="D180" s="74">
        <f>(Table16[[#This Row],[Index]]-B168)/B168</f>
        <v/>
      </c>
    </row>
    <row r="181">
      <c r="A181" s="19" t="n">
        <v>31594</v>
      </c>
      <c r="B181" s="61">
        <f>VLOOKUP(Table16[[#This Row],[Date]],database!A:H,4,)</f>
        <v/>
      </c>
      <c r="C181" s="74">
        <f>B181/B180-1</f>
        <v/>
      </c>
      <c r="D181" s="74">
        <f>(Table16[[#This Row],[Index]]-B169)/B169</f>
        <v/>
      </c>
    </row>
    <row r="182">
      <c r="A182" s="19" t="n">
        <v>31625</v>
      </c>
      <c r="B182" s="61">
        <f>VLOOKUP(Table16[[#This Row],[Date]],database!A:H,4,)</f>
        <v/>
      </c>
      <c r="C182" s="74">
        <f>B182/B181-1</f>
        <v/>
      </c>
      <c r="D182" s="74">
        <f>(Table16[[#This Row],[Index]]-B170)/B170</f>
        <v/>
      </c>
    </row>
    <row r="183">
      <c r="A183" s="19" t="n">
        <v>31656</v>
      </c>
      <c r="B183" s="61">
        <f>VLOOKUP(Table16[[#This Row],[Date]],database!A:H,4,)</f>
        <v/>
      </c>
      <c r="C183" s="74">
        <f>B183/B182-1</f>
        <v/>
      </c>
      <c r="D183" s="74">
        <f>(Table16[[#This Row],[Index]]-B171)/B171</f>
        <v/>
      </c>
    </row>
    <row r="184">
      <c r="A184" s="19" t="n">
        <v>31686</v>
      </c>
      <c r="B184" s="61">
        <f>VLOOKUP(Table16[[#This Row],[Date]],database!A:H,4,)</f>
        <v/>
      </c>
      <c r="C184" s="74">
        <f>B184/B183-1</f>
        <v/>
      </c>
      <c r="D184" s="74">
        <f>(Table16[[#This Row],[Index]]-B172)/B172</f>
        <v/>
      </c>
    </row>
    <row r="185">
      <c r="A185" s="19" t="n">
        <v>31717</v>
      </c>
      <c r="B185" s="61">
        <f>VLOOKUP(Table16[[#This Row],[Date]],database!A:H,4,)</f>
        <v/>
      </c>
      <c r="C185" s="74">
        <f>B185/B184-1</f>
        <v/>
      </c>
      <c r="D185" s="74">
        <f>(Table16[[#This Row],[Index]]-B173)/B173</f>
        <v/>
      </c>
    </row>
    <row r="186">
      <c r="A186" s="19" t="n">
        <v>31747</v>
      </c>
      <c r="B186" s="61">
        <f>VLOOKUP(Table16[[#This Row],[Date]],database!A:H,4,)</f>
        <v/>
      </c>
      <c r="C186" s="74">
        <f>B186/B185-1</f>
        <v/>
      </c>
      <c r="D186" s="74">
        <f>(Table16[[#This Row],[Index]]-B174)/B174</f>
        <v/>
      </c>
    </row>
    <row r="187">
      <c r="A187" s="19" t="n">
        <v>31778</v>
      </c>
      <c r="B187" s="61">
        <f>VLOOKUP(Table16[[#This Row],[Date]],database!A:H,4,)</f>
        <v/>
      </c>
      <c r="C187" s="74">
        <f>B187/B186-1</f>
        <v/>
      </c>
      <c r="D187" s="74">
        <f>(Table16[[#This Row],[Index]]-B175)/B175</f>
        <v/>
      </c>
    </row>
    <row r="188">
      <c r="A188" s="19" t="n">
        <v>31809</v>
      </c>
      <c r="B188" s="61">
        <f>VLOOKUP(Table16[[#This Row],[Date]],database!A:H,4,)</f>
        <v/>
      </c>
      <c r="C188" s="74">
        <f>B188/B187-1</f>
        <v/>
      </c>
      <c r="D188" s="74">
        <f>(Table16[[#This Row],[Index]]-B176)/B176</f>
        <v/>
      </c>
    </row>
    <row r="189">
      <c r="A189" s="19" t="n">
        <v>31837</v>
      </c>
      <c r="B189" s="61">
        <f>VLOOKUP(Table16[[#This Row],[Date]],database!A:H,4,)</f>
        <v/>
      </c>
      <c r="C189" s="74">
        <f>B189/B188-1</f>
        <v/>
      </c>
      <c r="D189" s="74">
        <f>(Table16[[#This Row],[Index]]-B177)/B177</f>
        <v/>
      </c>
    </row>
    <row r="190">
      <c r="A190" s="19" t="n">
        <v>31868</v>
      </c>
      <c r="B190" s="61">
        <f>VLOOKUP(Table16[[#This Row],[Date]],database!A:H,4,)</f>
        <v/>
      </c>
      <c r="C190" s="74">
        <f>B190/B189-1</f>
        <v/>
      </c>
      <c r="D190" s="74">
        <f>(Table16[[#This Row],[Index]]-B178)/B178</f>
        <v/>
      </c>
    </row>
    <row r="191">
      <c r="A191" s="19" t="n">
        <v>31898</v>
      </c>
      <c r="B191" s="61">
        <f>VLOOKUP(Table16[[#This Row],[Date]],database!A:H,4,)</f>
        <v/>
      </c>
      <c r="C191" s="74">
        <f>B191/B190-1</f>
        <v/>
      </c>
      <c r="D191" s="74">
        <f>(Table16[[#This Row],[Index]]-B179)/B179</f>
        <v/>
      </c>
    </row>
    <row r="192">
      <c r="A192" s="19" t="n">
        <v>31929</v>
      </c>
      <c r="B192" s="61">
        <f>VLOOKUP(Table16[[#This Row],[Date]],database!A:H,4,)</f>
        <v/>
      </c>
      <c r="C192" s="74">
        <f>B192/B191-1</f>
        <v/>
      </c>
      <c r="D192" s="74">
        <f>(Table16[[#This Row],[Index]]-B180)/B180</f>
        <v/>
      </c>
    </row>
    <row r="193">
      <c r="A193" s="19" t="n">
        <v>31959</v>
      </c>
      <c r="B193" s="61">
        <f>VLOOKUP(Table16[[#This Row],[Date]],database!A:H,4,)</f>
        <v/>
      </c>
      <c r="C193" s="74">
        <f>B193/B192-1</f>
        <v/>
      </c>
      <c r="D193" s="74">
        <f>(Table16[[#This Row],[Index]]-B181)/B181</f>
        <v/>
      </c>
    </row>
    <row r="194">
      <c r="A194" s="19" t="n">
        <v>31990</v>
      </c>
      <c r="B194" s="61">
        <f>VLOOKUP(Table16[[#This Row],[Date]],database!A:H,4,)</f>
        <v/>
      </c>
      <c r="C194" s="74">
        <f>B194/B193-1</f>
        <v/>
      </c>
      <c r="D194" s="74">
        <f>(Table16[[#This Row],[Index]]-B182)/B182</f>
        <v/>
      </c>
    </row>
    <row r="195">
      <c r="A195" s="19" t="n">
        <v>32021</v>
      </c>
      <c r="B195" s="61">
        <f>VLOOKUP(Table16[[#This Row],[Date]],database!A:H,4,)</f>
        <v/>
      </c>
      <c r="C195" s="74">
        <f>B195/B194-1</f>
        <v/>
      </c>
      <c r="D195" s="74">
        <f>(Table16[[#This Row],[Index]]-B183)/B183</f>
        <v/>
      </c>
    </row>
    <row r="196">
      <c r="A196" s="19" t="n">
        <v>32051</v>
      </c>
      <c r="B196" s="61">
        <f>VLOOKUP(Table16[[#This Row],[Date]],database!A:H,4,)</f>
        <v/>
      </c>
      <c r="C196" s="74">
        <f>B196/B195-1</f>
        <v/>
      </c>
      <c r="D196" s="74">
        <f>(Table16[[#This Row],[Index]]-B184)/B184</f>
        <v/>
      </c>
    </row>
    <row r="197">
      <c r="A197" s="19" t="n">
        <v>32082</v>
      </c>
      <c r="B197" s="61">
        <f>VLOOKUP(Table16[[#This Row],[Date]],database!A:H,4,)</f>
        <v/>
      </c>
      <c r="C197" s="74">
        <f>B197/B196-1</f>
        <v/>
      </c>
      <c r="D197" s="74">
        <f>(Table16[[#This Row],[Index]]-B185)/B185</f>
        <v/>
      </c>
    </row>
    <row r="198">
      <c r="A198" s="19" t="n">
        <v>32112</v>
      </c>
      <c r="B198" s="61">
        <f>VLOOKUP(Table16[[#This Row],[Date]],database!A:H,4,)</f>
        <v/>
      </c>
      <c r="C198" s="74">
        <f>B198/B197-1</f>
        <v/>
      </c>
      <c r="D198" s="74">
        <f>(Table16[[#This Row],[Index]]-B186)/B186</f>
        <v/>
      </c>
    </row>
    <row r="199">
      <c r="A199" s="19" t="n">
        <v>32143</v>
      </c>
      <c r="B199" s="61">
        <f>VLOOKUP(Table16[[#This Row],[Date]],database!A:H,4,)</f>
        <v/>
      </c>
      <c r="C199" s="74">
        <f>B199/B198-1</f>
        <v/>
      </c>
      <c r="D199" s="74">
        <f>(Table16[[#This Row],[Index]]-B187)/B187</f>
        <v/>
      </c>
    </row>
    <row r="200">
      <c r="A200" s="19" t="n">
        <v>32174</v>
      </c>
      <c r="B200" s="61">
        <f>VLOOKUP(Table16[[#This Row],[Date]],database!A:H,4,)</f>
        <v/>
      </c>
      <c r="C200" s="74">
        <f>B200/B199-1</f>
        <v/>
      </c>
      <c r="D200" s="74">
        <f>(Table16[[#This Row],[Index]]-B188)/B188</f>
        <v/>
      </c>
    </row>
    <row r="201">
      <c r="A201" s="19" t="n">
        <v>32203</v>
      </c>
      <c r="B201" s="61">
        <f>VLOOKUP(Table16[[#This Row],[Date]],database!A:H,4,)</f>
        <v/>
      </c>
      <c r="C201" s="74">
        <f>B201/B200-1</f>
        <v/>
      </c>
      <c r="D201" s="74">
        <f>(Table16[[#This Row],[Index]]-B189)/B189</f>
        <v/>
      </c>
    </row>
    <row r="202">
      <c r="A202" s="19" t="n">
        <v>32234</v>
      </c>
      <c r="B202" s="61">
        <f>VLOOKUP(Table16[[#This Row],[Date]],database!A:H,4,)</f>
        <v/>
      </c>
      <c r="C202" s="74">
        <f>B202/B201-1</f>
        <v/>
      </c>
      <c r="D202" s="74">
        <f>(Table16[[#This Row],[Index]]-B190)/B190</f>
        <v/>
      </c>
    </row>
    <row r="203">
      <c r="A203" s="19" t="n">
        <v>32264</v>
      </c>
      <c r="B203" s="61">
        <f>VLOOKUP(Table16[[#This Row],[Date]],database!A:H,4,)</f>
        <v/>
      </c>
      <c r="C203" s="74">
        <f>B203/B202-1</f>
        <v/>
      </c>
      <c r="D203" s="74">
        <f>(Table16[[#This Row],[Index]]-B191)/B191</f>
        <v/>
      </c>
    </row>
    <row r="204">
      <c r="A204" s="19" t="n">
        <v>32295</v>
      </c>
      <c r="B204" s="61">
        <f>VLOOKUP(Table16[[#This Row],[Date]],database!A:H,4,)</f>
        <v/>
      </c>
      <c r="C204" s="74">
        <f>B204/B203-1</f>
        <v/>
      </c>
      <c r="D204" s="74">
        <f>(Table16[[#This Row],[Index]]-B192)/B192</f>
        <v/>
      </c>
    </row>
    <row r="205">
      <c r="A205" s="19" t="n">
        <v>32325</v>
      </c>
      <c r="B205" s="61">
        <f>VLOOKUP(Table16[[#This Row],[Date]],database!A:H,4,)</f>
        <v/>
      </c>
      <c r="C205" s="74">
        <f>B205/B204-1</f>
        <v/>
      </c>
      <c r="D205" s="74">
        <f>(Table16[[#This Row],[Index]]-B193)/B193</f>
        <v/>
      </c>
    </row>
    <row r="206">
      <c r="A206" s="19" t="n">
        <v>32356</v>
      </c>
      <c r="B206" s="61">
        <f>VLOOKUP(Table16[[#This Row],[Date]],database!A:H,4,)</f>
        <v/>
      </c>
      <c r="C206" s="74">
        <f>B206/B205-1</f>
        <v/>
      </c>
      <c r="D206" s="74">
        <f>(Table16[[#This Row],[Index]]-B194)/B194</f>
        <v/>
      </c>
    </row>
    <row r="207">
      <c r="A207" s="19" t="n">
        <v>32387</v>
      </c>
      <c r="B207" s="61">
        <f>VLOOKUP(Table16[[#This Row],[Date]],database!A:H,4,)</f>
        <v/>
      </c>
      <c r="C207" s="74">
        <f>B207/B206-1</f>
        <v/>
      </c>
      <c r="D207" s="74">
        <f>(Table16[[#This Row],[Index]]-B195)/B195</f>
        <v/>
      </c>
    </row>
    <row r="208">
      <c r="A208" s="19" t="n">
        <v>32417</v>
      </c>
      <c r="B208" s="61">
        <f>VLOOKUP(Table16[[#This Row],[Date]],database!A:H,4,)</f>
        <v/>
      </c>
      <c r="C208" s="74">
        <f>B208/B207-1</f>
        <v/>
      </c>
      <c r="D208" s="74">
        <f>(Table16[[#This Row],[Index]]-B196)/B196</f>
        <v/>
      </c>
    </row>
    <row r="209">
      <c r="A209" s="19" t="n">
        <v>32448</v>
      </c>
      <c r="B209" s="61">
        <f>VLOOKUP(Table16[[#This Row],[Date]],database!A:H,4,)</f>
        <v/>
      </c>
      <c r="C209" s="74">
        <f>B209/B208-1</f>
        <v/>
      </c>
      <c r="D209" s="74">
        <f>(Table16[[#This Row],[Index]]-B197)/B197</f>
        <v/>
      </c>
    </row>
    <row r="210">
      <c r="A210" s="19" t="n">
        <v>32478</v>
      </c>
      <c r="B210" s="61">
        <f>VLOOKUP(Table16[[#This Row],[Date]],database!A:H,4,)</f>
        <v/>
      </c>
      <c r="C210" s="74">
        <f>B210/B209-1</f>
        <v/>
      </c>
      <c r="D210" s="74">
        <f>(Table16[[#This Row],[Index]]-B198)/B198</f>
        <v/>
      </c>
    </row>
    <row r="211">
      <c r="A211" s="19" t="n">
        <v>32509</v>
      </c>
      <c r="B211" s="61">
        <f>VLOOKUP(Table16[[#This Row],[Date]],database!A:H,4,)</f>
        <v/>
      </c>
      <c r="C211" s="74">
        <f>B211/B210-1</f>
        <v/>
      </c>
      <c r="D211" s="74">
        <f>(Table16[[#This Row],[Index]]-B199)/B199</f>
        <v/>
      </c>
    </row>
    <row r="212">
      <c r="A212" s="19" t="n">
        <v>32540</v>
      </c>
      <c r="B212" s="61">
        <f>VLOOKUP(Table16[[#This Row],[Date]],database!A:H,4,)</f>
        <v/>
      </c>
      <c r="C212" s="74">
        <f>B212/B211-1</f>
        <v/>
      </c>
      <c r="D212" s="74">
        <f>(Table16[[#This Row],[Index]]-B200)/B200</f>
        <v/>
      </c>
    </row>
    <row r="213">
      <c r="A213" s="19" t="n">
        <v>32568</v>
      </c>
      <c r="B213" s="61">
        <f>VLOOKUP(Table16[[#This Row],[Date]],database!A:H,4,)</f>
        <v/>
      </c>
      <c r="C213" s="74">
        <f>B213/B212-1</f>
        <v/>
      </c>
      <c r="D213" s="74">
        <f>(Table16[[#This Row],[Index]]-B201)/B201</f>
        <v/>
      </c>
    </row>
    <row r="214">
      <c r="A214" s="19" t="n">
        <v>32599</v>
      </c>
      <c r="B214" s="61">
        <f>VLOOKUP(Table16[[#This Row],[Date]],database!A:H,4,)</f>
        <v/>
      </c>
      <c r="C214" s="74">
        <f>B214/B213-1</f>
        <v/>
      </c>
      <c r="D214" s="74">
        <f>(Table16[[#This Row],[Index]]-B202)/B202</f>
        <v/>
      </c>
    </row>
    <row r="215">
      <c r="A215" s="19" t="n">
        <v>32629</v>
      </c>
      <c r="B215" s="61">
        <f>VLOOKUP(Table16[[#This Row],[Date]],database!A:H,4,)</f>
        <v/>
      </c>
      <c r="C215" s="74">
        <f>B215/B214-1</f>
        <v/>
      </c>
      <c r="D215" s="74">
        <f>(Table16[[#This Row],[Index]]-B203)/B203</f>
        <v/>
      </c>
    </row>
    <row r="216">
      <c r="A216" s="19" t="n">
        <v>32660</v>
      </c>
      <c r="B216" s="61">
        <f>VLOOKUP(Table16[[#This Row],[Date]],database!A:H,4,)</f>
        <v/>
      </c>
      <c r="C216" s="74">
        <f>B216/B215-1</f>
        <v/>
      </c>
      <c r="D216" s="74">
        <f>(Table16[[#This Row],[Index]]-B204)/B204</f>
        <v/>
      </c>
    </row>
    <row r="217">
      <c r="A217" s="19" t="n">
        <v>32690</v>
      </c>
      <c r="B217" s="61">
        <f>VLOOKUP(Table16[[#This Row],[Date]],database!A:H,4,)</f>
        <v/>
      </c>
      <c r="C217" s="74">
        <f>B217/B216-1</f>
        <v/>
      </c>
      <c r="D217" s="74">
        <f>(Table16[[#This Row],[Index]]-B205)/B205</f>
        <v/>
      </c>
    </row>
    <row r="218">
      <c r="A218" s="19" t="n">
        <v>32721</v>
      </c>
      <c r="B218" s="61">
        <f>VLOOKUP(Table16[[#This Row],[Date]],database!A:H,4,)</f>
        <v/>
      </c>
      <c r="C218" s="74">
        <f>B218/B217-1</f>
        <v/>
      </c>
      <c r="D218" s="74">
        <f>(Table16[[#This Row],[Index]]-B206)/B206</f>
        <v/>
      </c>
    </row>
    <row r="219">
      <c r="A219" s="19" t="n">
        <v>32752</v>
      </c>
      <c r="B219" s="61">
        <f>VLOOKUP(Table16[[#This Row],[Date]],database!A:H,4,)</f>
        <v/>
      </c>
      <c r="C219" s="74">
        <f>B219/B218-1</f>
        <v/>
      </c>
      <c r="D219" s="74">
        <f>(Table16[[#This Row],[Index]]-B207)/B207</f>
        <v/>
      </c>
    </row>
    <row r="220">
      <c r="A220" s="19" t="n">
        <v>32782</v>
      </c>
      <c r="B220" s="61">
        <f>VLOOKUP(Table16[[#This Row],[Date]],database!A:H,4,)</f>
        <v/>
      </c>
      <c r="C220" s="74">
        <f>B220/B219-1</f>
        <v/>
      </c>
      <c r="D220" s="74">
        <f>(Table16[[#This Row],[Index]]-B208)/B208</f>
        <v/>
      </c>
    </row>
    <row r="221">
      <c r="A221" s="19" t="n">
        <v>32813</v>
      </c>
      <c r="B221" s="61">
        <f>VLOOKUP(Table16[[#This Row],[Date]],database!A:H,4,)</f>
        <v/>
      </c>
      <c r="C221" s="74">
        <f>B221/B220-1</f>
        <v/>
      </c>
      <c r="D221" s="74">
        <f>(Table16[[#This Row],[Index]]-B209)/B209</f>
        <v/>
      </c>
    </row>
    <row r="222">
      <c r="A222" s="19" t="n">
        <v>32843</v>
      </c>
      <c r="B222" s="61">
        <f>VLOOKUP(Table16[[#This Row],[Date]],database!A:H,4,)</f>
        <v/>
      </c>
      <c r="C222" s="74">
        <f>B222/B221-1</f>
        <v/>
      </c>
      <c r="D222" s="74">
        <f>(Table16[[#This Row],[Index]]-B210)/B210</f>
        <v/>
      </c>
    </row>
    <row r="223">
      <c r="A223" s="19" t="n">
        <v>32874</v>
      </c>
      <c r="B223" s="61">
        <f>VLOOKUP(Table16[[#This Row],[Date]],database!A:H,4,)</f>
        <v/>
      </c>
      <c r="C223" s="74">
        <f>B223/B222-1</f>
        <v/>
      </c>
      <c r="D223" s="74">
        <f>(Table16[[#This Row],[Index]]-B211)/B211</f>
        <v/>
      </c>
    </row>
    <row r="224">
      <c r="A224" s="19" t="n">
        <v>32905</v>
      </c>
      <c r="B224" s="61">
        <f>VLOOKUP(Table16[[#This Row],[Date]],database!A:H,4,)</f>
        <v/>
      </c>
      <c r="C224" s="74">
        <f>B224/B223-1</f>
        <v/>
      </c>
      <c r="D224" s="74">
        <f>(Table16[[#This Row],[Index]]-B212)/B212</f>
        <v/>
      </c>
    </row>
    <row r="225">
      <c r="A225" s="19" t="n">
        <v>32933</v>
      </c>
      <c r="B225" s="61">
        <f>VLOOKUP(Table16[[#This Row],[Date]],database!A:H,4,)</f>
        <v/>
      </c>
      <c r="C225" s="74">
        <f>B225/B224-1</f>
        <v/>
      </c>
      <c r="D225" s="74">
        <f>(Table16[[#This Row],[Index]]-B213)/B213</f>
        <v/>
      </c>
    </row>
    <row r="226">
      <c r="A226" s="19" t="n">
        <v>32964</v>
      </c>
      <c r="B226" s="61">
        <f>VLOOKUP(Table16[[#This Row],[Date]],database!A:H,4,)</f>
        <v/>
      </c>
      <c r="C226" s="74">
        <f>B226/B225-1</f>
        <v/>
      </c>
      <c r="D226" s="74">
        <f>(Table16[[#This Row],[Index]]-B214)/B214</f>
        <v/>
      </c>
    </row>
    <row r="227">
      <c r="A227" s="19" t="n">
        <v>32994</v>
      </c>
      <c r="B227" s="61">
        <f>VLOOKUP(Table16[[#This Row],[Date]],database!A:H,4,)</f>
        <v/>
      </c>
      <c r="C227" s="74">
        <f>B227/B226-1</f>
        <v/>
      </c>
      <c r="D227" s="74">
        <f>(Table16[[#This Row],[Index]]-B215)/B215</f>
        <v/>
      </c>
    </row>
    <row r="228">
      <c r="A228" s="19" t="n">
        <v>33025</v>
      </c>
      <c r="B228" s="61">
        <f>VLOOKUP(Table16[[#This Row],[Date]],database!A:H,4,)</f>
        <v/>
      </c>
      <c r="C228" s="74">
        <f>B228/B227-1</f>
        <v/>
      </c>
      <c r="D228" s="74">
        <f>(Table16[[#This Row],[Index]]-B216)/B216</f>
        <v/>
      </c>
    </row>
    <row r="229">
      <c r="A229" s="19" t="n">
        <v>33055</v>
      </c>
      <c r="B229" s="61">
        <f>VLOOKUP(Table16[[#This Row],[Date]],database!A:H,4,)</f>
        <v/>
      </c>
      <c r="C229" s="74">
        <f>B229/B228-1</f>
        <v/>
      </c>
      <c r="D229" s="74">
        <f>(Table16[[#This Row],[Index]]-B217)/B217</f>
        <v/>
      </c>
    </row>
    <row r="230">
      <c r="A230" s="19" t="n">
        <v>33086</v>
      </c>
      <c r="B230" s="61">
        <f>VLOOKUP(Table16[[#This Row],[Date]],database!A:H,4,)</f>
        <v/>
      </c>
      <c r="C230" s="74">
        <f>B230/B229-1</f>
        <v/>
      </c>
      <c r="D230" s="74">
        <f>(Table16[[#This Row],[Index]]-B218)/B218</f>
        <v/>
      </c>
    </row>
    <row r="231">
      <c r="A231" s="19" t="n">
        <v>33117</v>
      </c>
      <c r="B231" s="61">
        <f>VLOOKUP(Table16[[#This Row],[Date]],database!A:H,4,)</f>
        <v/>
      </c>
      <c r="C231" s="74">
        <f>B231/B230-1</f>
        <v/>
      </c>
      <c r="D231" s="74">
        <f>(Table16[[#This Row],[Index]]-B219)/B219</f>
        <v/>
      </c>
    </row>
    <row r="232">
      <c r="A232" s="19" t="n">
        <v>33147</v>
      </c>
      <c r="B232" s="61">
        <f>VLOOKUP(Table16[[#This Row],[Date]],database!A:H,4,)</f>
        <v/>
      </c>
      <c r="C232" s="74">
        <f>B232/B231-1</f>
        <v/>
      </c>
      <c r="D232" s="74">
        <f>(Table16[[#This Row],[Index]]-B220)/B220</f>
        <v/>
      </c>
    </row>
    <row r="233">
      <c r="A233" s="19" t="n">
        <v>33178</v>
      </c>
      <c r="B233" s="61">
        <f>VLOOKUP(Table16[[#This Row],[Date]],database!A:H,4,)</f>
        <v/>
      </c>
      <c r="C233" s="74">
        <f>B233/B232-1</f>
        <v/>
      </c>
      <c r="D233" s="74">
        <f>(Table16[[#This Row],[Index]]-B221)/B221</f>
        <v/>
      </c>
    </row>
    <row r="234">
      <c r="A234" s="19" t="n">
        <v>33208</v>
      </c>
      <c r="B234" s="61">
        <f>VLOOKUP(Table16[[#This Row],[Date]],database!A:H,4,)</f>
        <v/>
      </c>
      <c r="C234" s="74">
        <f>B234/B233-1</f>
        <v/>
      </c>
      <c r="D234" s="74">
        <f>(Table16[[#This Row],[Index]]-B222)/B222</f>
        <v/>
      </c>
    </row>
    <row r="235">
      <c r="A235" s="19" t="n">
        <v>33239</v>
      </c>
      <c r="B235" s="61">
        <f>VLOOKUP(Table16[[#This Row],[Date]],database!A:H,4,)</f>
        <v/>
      </c>
      <c r="C235" s="74">
        <f>B235/B234-1</f>
        <v/>
      </c>
      <c r="D235" s="74">
        <f>(Table16[[#This Row],[Index]]-B223)/B223</f>
        <v/>
      </c>
    </row>
    <row r="236">
      <c r="A236" s="19" t="n">
        <v>33270</v>
      </c>
      <c r="B236" s="61">
        <f>VLOOKUP(Table16[[#This Row],[Date]],database!A:H,4,)</f>
        <v/>
      </c>
      <c r="C236" s="74">
        <f>B236/B235-1</f>
        <v/>
      </c>
      <c r="D236" s="74">
        <f>(Table16[[#This Row],[Index]]-B224)/B224</f>
        <v/>
      </c>
    </row>
    <row r="237">
      <c r="A237" s="19" t="n">
        <v>33298</v>
      </c>
      <c r="B237" s="61">
        <f>VLOOKUP(Table16[[#This Row],[Date]],database!A:H,4,)</f>
        <v/>
      </c>
      <c r="C237" s="74">
        <f>B237/B236-1</f>
        <v/>
      </c>
      <c r="D237" s="74">
        <f>(Table16[[#This Row],[Index]]-B225)/B225</f>
        <v/>
      </c>
    </row>
    <row r="238">
      <c r="A238" s="19" t="n">
        <v>33329</v>
      </c>
      <c r="B238" s="61">
        <f>VLOOKUP(Table16[[#This Row],[Date]],database!A:H,4,)</f>
        <v/>
      </c>
      <c r="C238" s="74">
        <f>B238/B237-1</f>
        <v/>
      </c>
      <c r="D238" s="74">
        <f>(Table16[[#This Row],[Index]]-B226)/B226</f>
        <v/>
      </c>
    </row>
    <row r="239">
      <c r="A239" s="19" t="n">
        <v>33359</v>
      </c>
      <c r="B239" s="61">
        <f>VLOOKUP(Table16[[#This Row],[Date]],database!A:H,4,)</f>
        <v/>
      </c>
      <c r="C239" s="74">
        <f>B239/B238-1</f>
        <v/>
      </c>
      <c r="D239" s="74">
        <f>(Table16[[#This Row],[Index]]-B227)/B227</f>
        <v/>
      </c>
    </row>
    <row r="240">
      <c r="A240" s="19" t="n">
        <v>33390</v>
      </c>
      <c r="B240" s="61">
        <f>VLOOKUP(Table16[[#This Row],[Date]],database!A:H,4,)</f>
        <v/>
      </c>
      <c r="C240" s="74">
        <f>B240/B239-1</f>
        <v/>
      </c>
      <c r="D240" s="74">
        <f>(Table16[[#This Row],[Index]]-B228)/B228</f>
        <v/>
      </c>
    </row>
    <row r="241">
      <c r="A241" s="19" t="n">
        <v>33420</v>
      </c>
      <c r="B241" s="61">
        <f>VLOOKUP(Table16[[#This Row],[Date]],database!A:H,4,)</f>
        <v/>
      </c>
      <c r="C241" s="74">
        <f>B241/B240-1</f>
        <v/>
      </c>
      <c r="D241" s="74">
        <f>(Table16[[#This Row],[Index]]-B229)/B229</f>
        <v/>
      </c>
    </row>
    <row r="242">
      <c r="A242" s="19" t="n">
        <v>33451</v>
      </c>
      <c r="B242" s="61">
        <f>VLOOKUP(Table16[[#This Row],[Date]],database!A:H,4,)</f>
        <v/>
      </c>
      <c r="C242" s="74">
        <f>B242/B241-1</f>
        <v/>
      </c>
      <c r="D242" s="74">
        <f>(Table16[[#This Row],[Index]]-B230)/B230</f>
        <v/>
      </c>
    </row>
    <row r="243">
      <c r="A243" s="19" t="n">
        <v>33482</v>
      </c>
      <c r="B243" s="61">
        <f>VLOOKUP(Table16[[#This Row],[Date]],database!A:H,4,)</f>
        <v/>
      </c>
      <c r="C243" s="74">
        <f>B243/B242-1</f>
        <v/>
      </c>
      <c r="D243" s="74">
        <f>(Table16[[#This Row],[Index]]-B231)/B231</f>
        <v/>
      </c>
    </row>
    <row r="244">
      <c r="A244" s="19" t="n">
        <v>33512</v>
      </c>
      <c r="B244" s="61">
        <f>VLOOKUP(Table16[[#This Row],[Date]],database!A:H,4,)</f>
        <v/>
      </c>
      <c r="C244" s="74">
        <f>B244/B243-1</f>
        <v/>
      </c>
      <c r="D244" s="74">
        <f>(Table16[[#This Row],[Index]]-B232)/B232</f>
        <v/>
      </c>
    </row>
    <row r="245">
      <c r="A245" s="19" t="n">
        <v>33543</v>
      </c>
      <c r="B245" s="61">
        <f>VLOOKUP(Table16[[#This Row],[Date]],database!A:H,4,)</f>
        <v/>
      </c>
      <c r="C245" s="74">
        <f>B245/B244-1</f>
        <v/>
      </c>
      <c r="D245" s="74">
        <f>(Table16[[#This Row],[Index]]-B233)/B233</f>
        <v/>
      </c>
    </row>
    <row r="246">
      <c r="A246" s="19" t="n">
        <v>33573</v>
      </c>
      <c r="B246" s="61">
        <f>VLOOKUP(Table16[[#This Row],[Date]],database!A:H,4,)</f>
        <v/>
      </c>
      <c r="C246" s="74">
        <f>B246/B245-1</f>
        <v/>
      </c>
      <c r="D246" s="74">
        <f>(Table16[[#This Row],[Index]]-B234)/B234</f>
        <v/>
      </c>
    </row>
    <row r="247">
      <c r="A247" s="19" t="n">
        <v>33604</v>
      </c>
      <c r="B247" s="61">
        <f>VLOOKUP(Table16[[#This Row],[Date]],database!A:H,4,)</f>
        <v/>
      </c>
      <c r="C247" s="74">
        <f>B247/B246-1</f>
        <v/>
      </c>
      <c r="D247" s="74">
        <f>(Table16[[#This Row],[Index]]-B235)/B235</f>
        <v/>
      </c>
    </row>
    <row r="248">
      <c r="A248" s="19" t="n">
        <v>33635</v>
      </c>
      <c r="B248" s="61">
        <f>VLOOKUP(Table16[[#This Row],[Date]],database!A:H,4,)</f>
        <v/>
      </c>
      <c r="C248" s="74">
        <f>B248/B247-1</f>
        <v/>
      </c>
      <c r="D248" s="74">
        <f>(Table16[[#This Row],[Index]]-B236)/B236</f>
        <v/>
      </c>
    </row>
    <row r="249">
      <c r="A249" s="19" t="n">
        <v>33664</v>
      </c>
      <c r="B249" s="61">
        <f>VLOOKUP(Table16[[#This Row],[Date]],database!A:H,4,)</f>
        <v/>
      </c>
      <c r="C249" s="74">
        <f>B249/B248-1</f>
        <v/>
      </c>
      <c r="D249" s="74">
        <f>(Table16[[#This Row],[Index]]-B237)/B237</f>
        <v/>
      </c>
    </row>
    <row r="250">
      <c r="A250" s="19" t="n">
        <v>33695</v>
      </c>
      <c r="B250" s="61">
        <f>VLOOKUP(Table16[[#This Row],[Date]],database!A:H,4,)</f>
        <v/>
      </c>
      <c r="C250" s="74">
        <f>B250/B249-1</f>
        <v/>
      </c>
      <c r="D250" s="74">
        <f>(Table16[[#This Row],[Index]]-B238)/B238</f>
        <v/>
      </c>
    </row>
    <row r="251">
      <c r="A251" s="19" t="n">
        <v>33725</v>
      </c>
      <c r="B251" s="61">
        <f>VLOOKUP(Table16[[#This Row],[Date]],database!A:H,4,)</f>
        <v/>
      </c>
      <c r="C251" s="74">
        <f>B251/B250-1</f>
        <v/>
      </c>
      <c r="D251" s="74">
        <f>(Table16[[#This Row],[Index]]-B239)/B239</f>
        <v/>
      </c>
    </row>
    <row r="252">
      <c r="A252" s="19" t="n">
        <v>33756</v>
      </c>
      <c r="B252" s="61">
        <f>VLOOKUP(Table16[[#This Row],[Date]],database!A:H,4,)</f>
        <v/>
      </c>
      <c r="C252" s="74">
        <f>B252/B251-1</f>
        <v/>
      </c>
      <c r="D252" s="74">
        <f>(Table16[[#This Row],[Index]]-B240)/B240</f>
        <v/>
      </c>
    </row>
    <row r="253">
      <c r="A253" s="19" t="n">
        <v>33786</v>
      </c>
      <c r="B253" s="61">
        <f>VLOOKUP(Table16[[#This Row],[Date]],database!A:H,4,)</f>
        <v/>
      </c>
      <c r="C253" s="74">
        <f>B253/B252-1</f>
        <v/>
      </c>
      <c r="D253" s="74">
        <f>(Table16[[#This Row],[Index]]-B241)/B241</f>
        <v/>
      </c>
    </row>
    <row r="254">
      <c r="A254" s="19" t="n">
        <v>33817</v>
      </c>
      <c r="B254" s="61">
        <f>VLOOKUP(Table16[[#This Row],[Date]],database!A:H,4,)</f>
        <v/>
      </c>
      <c r="C254" s="74">
        <f>B254/B253-1</f>
        <v/>
      </c>
      <c r="D254" s="74">
        <f>(Table16[[#This Row],[Index]]-B242)/B242</f>
        <v/>
      </c>
    </row>
    <row r="255">
      <c r="A255" s="19" t="n">
        <v>33848</v>
      </c>
      <c r="B255" s="61">
        <f>VLOOKUP(Table16[[#This Row],[Date]],database!A:H,4,)</f>
        <v/>
      </c>
      <c r="C255" s="74">
        <f>B255/B254-1</f>
        <v/>
      </c>
      <c r="D255" s="74">
        <f>(Table16[[#This Row],[Index]]-B243)/B243</f>
        <v/>
      </c>
    </row>
    <row r="256">
      <c r="A256" s="19" t="n">
        <v>33878</v>
      </c>
      <c r="B256" s="61">
        <f>VLOOKUP(Table16[[#This Row],[Date]],database!A:H,4,)</f>
        <v/>
      </c>
      <c r="C256" s="74">
        <f>B256/B255-1</f>
        <v/>
      </c>
      <c r="D256" s="74">
        <f>(Table16[[#This Row],[Index]]-B244)/B244</f>
        <v/>
      </c>
    </row>
    <row r="257">
      <c r="A257" s="19" t="n">
        <v>33909</v>
      </c>
      <c r="B257" s="61">
        <f>VLOOKUP(Table16[[#This Row],[Date]],database!A:H,4,)</f>
        <v/>
      </c>
      <c r="C257" s="74">
        <f>B257/B256-1</f>
        <v/>
      </c>
      <c r="D257" s="74">
        <f>(Table16[[#This Row],[Index]]-B245)/B245</f>
        <v/>
      </c>
    </row>
    <row r="258">
      <c r="A258" s="19" t="n">
        <v>33939</v>
      </c>
      <c r="B258" s="61">
        <f>VLOOKUP(Table16[[#This Row],[Date]],database!A:H,4,)</f>
        <v/>
      </c>
      <c r="C258" s="74">
        <f>B258/B257-1</f>
        <v/>
      </c>
      <c r="D258" s="74">
        <f>(Table16[[#This Row],[Index]]-B246)/B246</f>
        <v/>
      </c>
    </row>
    <row r="259">
      <c r="A259" s="19" t="n">
        <v>33970</v>
      </c>
      <c r="B259" s="61">
        <f>VLOOKUP(Table16[[#This Row],[Date]],database!A:H,4,)</f>
        <v/>
      </c>
      <c r="C259" s="74">
        <f>B259/B258-1</f>
        <v/>
      </c>
      <c r="D259" s="74">
        <f>(Table16[[#This Row],[Index]]-B247)/B247</f>
        <v/>
      </c>
    </row>
    <row r="260">
      <c r="A260" s="19" t="n">
        <v>34001</v>
      </c>
      <c r="B260" s="61">
        <f>VLOOKUP(Table16[[#This Row],[Date]],database!A:H,4,)</f>
        <v/>
      </c>
      <c r="C260" s="74">
        <f>B260/B259-1</f>
        <v/>
      </c>
      <c r="D260" s="74">
        <f>(Table16[[#This Row],[Index]]-B248)/B248</f>
        <v/>
      </c>
    </row>
    <row r="261">
      <c r="A261" s="19" t="n">
        <v>34029</v>
      </c>
      <c r="B261" s="61">
        <f>VLOOKUP(Table16[[#This Row],[Date]],database!A:H,4,)</f>
        <v/>
      </c>
      <c r="C261" s="74">
        <f>B261/B260-1</f>
        <v/>
      </c>
      <c r="D261" s="74">
        <f>(Table16[[#This Row],[Index]]-B249)/B249</f>
        <v/>
      </c>
    </row>
    <row r="262">
      <c r="A262" s="19" t="n">
        <v>34060</v>
      </c>
      <c r="B262" s="61">
        <f>VLOOKUP(Table16[[#This Row],[Date]],database!A:H,4,)</f>
        <v/>
      </c>
      <c r="C262" s="74">
        <f>B262/B261-1</f>
        <v/>
      </c>
      <c r="D262" s="74">
        <f>(Table16[[#This Row],[Index]]-B250)/B250</f>
        <v/>
      </c>
    </row>
    <row r="263">
      <c r="A263" s="19" t="n">
        <v>34090</v>
      </c>
      <c r="B263" s="61">
        <f>VLOOKUP(Table16[[#This Row],[Date]],database!A:H,4,)</f>
        <v/>
      </c>
      <c r="C263" s="74">
        <f>B263/B262-1</f>
        <v/>
      </c>
      <c r="D263" s="74">
        <f>(Table16[[#This Row],[Index]]-B251)/B251</f>
        <v/>
      </c>
    </row>
    <row r="264">
      <c r="A264" s="19" t="n">
        <v>34121</v>
      </c>
      <c r="B264" s="61">
        <f>VLOOKUP(Table16[[#This Row],[Date]],database!A:H,4,)</f>
        <v/>
      </c>
      <c r="C264" s="74">
        <f>B264/B263-1</f>
        <v/>
      </c>
      <c r="D264" s="74">
        <f>(Table16[[#This Row],[Index]]-B252)/B252</f>
        <v/>
      </c>
    </row>
    <row r="265">
      <c r="A265" s="19" t="n">
        <v>34151</v>
      </c>
      <c r="B265" s="61">
        <f>VLOOKUP(Table16[[#This Row],[Date]],database!A:H,4,)</f>
        <v/>
      </c>
      <c r="C265" s="74">
        <f>B265/B264-1</f>
        <v/>
      </c>
      <c r="D265" s="74">
        <f>(Table16[[#This Row],[Index]]-B253)/B253</f>
        <v/>
      </c>
    </row>
    <row r="266">
      <c r="A266" s="19" t="n">
        <v>34182</v>
      </c>
      <c r="B266" s="61">
        <f>VLOOKUP(Table16[[#This Row],[Date]],database!A:H,4,)</f>
        <v/>
      </c>
      <c r="C266" s="74">
        <f>B266/B265-1</f>
        <v/>
      </c>
      <c r="D266" s="74">
        <f>(Table16[[#This Row],[Index]]-B254)/B254</f>
        <v/>
      </c>
    </row>
    <row r="267">
      <c r="A267" s="19" t="n">
        <v>34213</v>
      </c>
      <c r="B267" s="61">
        <f>VLOOKUP(Table16[[#This Row],[Date]],database!A:H,4,)</f>
        <v/>
      </c>
      <c r="C267" s="74">
        <f>B267/B266-1</f>
        <v/>
      </c>
      <c r="D267" s="74">
        <f>(Table16[[#This Row],[Index]]-B255)/B255</f>
        <v/>
      </c>
    </row>
    <row r="268">
      <c r="A268" s="19" t="n">
        <v>34243</v>
      </c>
      <c r="B268" s="61">
        <f>VLOOKUP(Table16[[#This Row],[Date]],database!A:H,4,)</f>
        <v/>
      </c>
      <c r="C268" s="74">
        <f>B268/B267-1</f>
        <v/>
      </c>
      <c r="D268" s="74">
        <f>(Table16[[#This Row],[Index]]-B256)/B256</f>
        <v/>
      </c>
    </row>
    <row r="269">
      <c r="A269" s="19" t="n">
        <v>34274</v>
      </c>
      <c r="B269" s="61">
        <f>VLOOKUP(Table16[[#This Row],[Date]],database!A:H,4,)</f>
        <v/>
      </c>
      <c r="C269" s="74">
        <f>B269/B268-1</f>
        <v/>
      </c>
      <c r="D269" s="74">
        <f>(Table16[[#This Row],[Index]]-B257)/B257</f>
        <v/>
      </c>
    </row>
    <row r="270">
      <c r="A270" s="19" t="n">
        <v>34304</v>
      </c>
      <c r="B270" s="61">
        <f>VLOOKUP(Table16[[#This Row],[Date]],database!A:H,4,)</f>
        <v/>
      </c>
      <c r="C270" s="74">
        <f>B270/B269-1</f>
        <v/>
      </c>
      <c r="D270" s="74">
        <f>(Table16[[#This Row],[Index]]-B258)/B258</f>
        <v/>
      </c>
    </row>
    <row r="271">
      <c r="A271" s="19" t="n">
        <v>34335</v>
      </c>
      <c r="B271" s="61">
        <f>VLOOKUP(Table16[[#This Row],[Date]],database!A:H,4,)</f>
        <v/>
      </c>
      <c r="C271" s="74">
        <f>B271/B270-1</f>
        <v/>
      </c>
      <c r="D271" s="74">
        <f>(Table16[[#This Row],[Index]]-B259)/B259</f>
        <v/>
      </c>
    </row>
    <row r="272">
      <c r="A272" s="19" t="n">
        <v>34366</v>
      </c>
      <c r="B272" s="61">
        <f>VLOOKUP(Table16[[#This Row],[Date]],database!A:H,4,)</f>
        <v/>
      </c>
      <c r="C272" s="74">
        <f>B272/B271-1</f>
        <v/>
      </c>
      <c r="D272" s="74">
        <f>(Table16[[#This Row],[Index]]-B260)/B260</f>
        <v/>
      </c>
    </row>
    <row r="273">
      <c r="A273" s="19" t="n">
        <v>34394</v>
      </c>
      <c r="B273" s="61">
        <f>VLOOKUP(Table16[[#This Row],[Date]],database!A:H,4,)</f>
        <v/>
      </c>
      <c r="C273" s="74">
        <f>B273/B272-1</f>
        <v/>
      </c>
      <c r="D273" s="74">
        <f>(Table16[[#This Row],[Index]]-B261)/B261</f>
        <v/>
      </c>
    </row>
    <row r="274">
      <c r="A274" s="19" t="n">
        <v>34425</v>
      </c>
      <c r="B274" s="61">
        <f>VLOOKUP(Table16[[#This Row],[Date]],database!A:H,4,)</f>
        <v/>
      </c>
      <c r="C274" s="74">
        <f>B274/B273-1</f>
        <v/>
      </c>
      <c r="D274" s="74">
        <f>(Table16[[#This Row],[Index]]-B262)/B262</f>
        <v/>
      </c>
    </row>
    <row r="275">
      <c r="A275" s="19" t="n">
        <v>34455</v>
      </c>
      <c r="B275" s="61">
        <f>VLOOKUP(Table16[[#This Row],[Date]],database!A:H,4,)</f>
        <v/>
      </c>
      <c r="C275" s="74">
        <f>B275/B274-1</f>
        <v/>
      </c>
      <c r="D275" s="74">
        <f>(Table16[[#This Row],[Index]]-B263)/B263</f>
        <v/>
      </c>
    </row>
    <row r="276">
      <c r="A276" s="19" t="n">
        <v>34486</v>
      </c>
      <c r="B276" s="61">
        <f>VLOOKUP(Table16[[#This Row],[Date]],database!A:H,4,)</f>
        <v/>
      </c>
      <c r="C276" s="74">
        <f>B276/B275-1</f>
        <v/>
      </c>
      <c r="D276" s="74">
        <f>(Table16[[#This Row],[Index]]-B264)/B264</f>
        <v/>
      </c>
    </row>
    <row r="277">
      <c r="A277" s="19" t="n">
        <v>34516</v>
      </c>
      <c r="B277" s="61">
        <f>VLOOKUP(Table16[[#This Row],[Date]],database!A:H,4,)</f>
        <v/>
      </c>
      <c r="C277" s="74">
        <f>B277/B276-1</f>
        <v/>
      </c>
      <c r="D277" s="74">
        <f>(Table16[[#This Row],[Index]]-B265)/B265</f>
        <v/>
      </c>
    </row>
    <row r="278">
      <c r="A278" s="19" t="n">
        <v>34547</v>
      </c>
      <c r="B278" s="61">
        <f>VLOOKUP(Table16[[#This Row],[Date]],database!A:H,4,)</f>
        <v/>
      </c>
      <c r="C278" s="74">
        <f>B278/B277-1</f>
        <v/>
      </c>
      <c r="D278" s="74">
        <f>(Table16[[#This Row],[Index]]-B266)/B266</f>
        <v/>
      </c>
    </row>
    <row r="279">
      <c r="A279" s="19" t="n">
        <v>34578</v>
      </c>
      <c r="B279" s="61">
        <f>VLOOKUP(Table16[[#This Row],[Date]],database!A:H,4,)</f>
        <v/>
      </c>
      <c r="C279" s="74">
        <f>B279/B278-1</f>
        <v/>
      </c>
      <c r="D279" s="74">
        <f>(Table16[[#This Row],[Index]]-B267)/B267</f>
        <v/>
      </c>
    </row>
    <row r="280">
      <c r="A280" s="19" t="n">
        <v>34608</v>
      </c>
      <c r="B280" s="61">
        <f>VLOOKUP(Table16[[#This Row],[Date]],database!A:H,4,)</f>
        <v/>
      </c>
      <c r="C280" s="74">
        <f>B280/B279-1</f>
        <v/>
      </c>
      <c r="D280" s="74">
        <f>(Table16[[#This Row],[Index]]-B268)/B268</f>
        <v/>
      </c>
    </row>
    <row r="281">
      <c r="A281" s="19" t="n">
        <v>34639</v>
      </c>
      <c r="B281" s="61">
        <f>VLOOKUP(Table16[[#This Row],[Date]],database!A:H,4,)</f>
        <v/>
      </c>
      <c r="C281" s="74">
        <f>B281/B280-1</f>
        <v/>
      </c>
      <c r="D281" s="74">
        <f>(Table16[[#This Row],[Index]]-B269)/B269</f>
        <v/>
      </c>
    </row>
    <row r="282">
      <c r="A282" s="19" t="n">
        <v>34669</v>
      </c>
      <c r="B282" s="61">
        <f>VLOOKUP(Table16[[#This Row],[Date]],database!A:H,4,)</f>
        <v/>
      </c>
      <c r="C282" s="74">
        <f>B282/B281-1</f>
        <v/>
      </c>
      <c r="D282" s="74">
        <f>(Table16[[#This Row],[Index]]-B270)/B270</f>
        <v/>
      </c>
    </row>
    <row r="283">
      <c r="A283" s="19" t="n">
        <v>34700</v>
      </c>
      <c r="B283" s="61">
        <f>VLOOKUP(Table16[[#This Row],[Date]],database!A:H,4,)</f>
        <v/>
      </c>
      <c r="C283" s="74">
        <f>B283/B282-1</f>
        <v/>
      </c>
      <c r="D283" s="74">
        <f>(Table16[[#This Row],[Index]]-B271)/B271</f>
        <v/>
      </c>
    </row>
    <row r="284">
      <c r="A284" s="19" t="n">
        <v>34731</v>
      </c>
      <c r="B284" s="61">
        <f>VLOOKUP(Table16[[#This Row],[Date]],database!A:H,4,)</f>
        <v/>
      </c>
      <c r="C284" s="74">
        <f>B284/B283-1</f>
        <v/>
      </c>
      <c r="D284" s="74">
        <f>(Table16[[#This Row],[Index]]-B272)/B272</f>
        <v/>
      </c>
    </row>
    <row r="285">
      <c r="A285" s="19" t="n">
        <v>34759</v>
      </c>
      <c r="B285" s="61">
        <f>VLOOKUP(Table16[[#This Row],[Date]],database!A:H,4,)</f>
        <v/>
      </c>
      <c r="C285" s="74">
        <f>B285/B284-1</f>
        <v/>
      </c>
      <c r="D285" s="74">
        <f>(Table16[[#This Row],[Index]]-B273)/B273</f>
        <v/>
      </c>
    </row>
    <row r="286">
      <c r="A286" s="19" t="n">
        <v>34790</v>
      </c>
      <c r="B286" s="61">
        <f>VLOOKUP(Table16[[#This Row],[Date]],database!A:H,4,)</f>
        <v/>
      </c>
      <c r="C286" s="74">
        <f>B286/B285-1</f>
        <v/>
      </c>
      <c r="D286" s="74">
        <f>(Table16[[#This Row],[Index]]-B274)/B274</f>
        <v/>
      </c>
    </row>
    <row r="287">
      <c r="A287" s="19" t="n">
        <v>34820</v>
      </c>
      <c r="B287" s="61">
        <f>VLOOKUP(Table16[[#This Row],[Date]],database!A:H,4,)</f>
        <v/>
      </c>
      <c r="C287" s="74">
        <f>B287/B286-1</f>
        <v/>
      </c>
      <c r="D287" s="74">
        <f>(Table16[[#This Row],[Index]]-B275)/B275</f>
        <v/>
      </c>
    </row>
    <row r="288">
      <c r="A288" s="19" t="n">
        <v>34851</v>
      </c>
      <c r="B288" s="61">
        <f>VLOOKUP(Table16[[#This Row],[Date]],database!A:H,4,)</f>
        <v/>
      </c>
      <c r="C288" s="74">
        <f>B288/B287-1</f>
        <v/>
      </c>
      <c r="D288" s="74">
        <f>(Table16[[#This Row],[Index]]-B276)/B276</f>
        <v/>
      </c>
    </row>
    <row r="289">
      <c r="A289" s="19" t="n">
        <v>34881</v>
      </c>
      <c r="B289" s="61">
        <f>VLOOKUP(Table16[[#This Row],[Date]],database!A:H,4,)</f>
        <v/>
      </c>
      <c r="C289" s="74">
        <f>B289/B288-1</f>
        <v/>
      </c>
      <c r="D289" s="74">
        <f>(Table16[[#This Row],[Index]]-B277)/B277</f>
        <v/>
      </c>
    </row>
    <row r="290">
      <c r="A290" s="19" t="n">
        <v>34912</v>
      </c>
      <c r="B290" s="61">
        <f>VLOOKUP(Table16[[#This Row],[Date]],database!A:H,4,)</f>
        <v/>
      </c>
      <c r="C290" s="74">
        <f>B290/B289-1</f>
        <v/>
      </c>
      <c r="D290" s="74">
        <f>(Table16[[#This Row],[Index]]-B278)/B278</f>
        <v/>
      </c>
    </row>
    <row r="291">
      <c r="A291" s="19" t="n">
        <v>34943</v>
      </c>
      <c r="B291" s="61">
        <f>VLOOKUP(Table16[[#This Row],[Date]],database!A:H,4,)</f>
        <v/>
      </c>
      <c r="C291" s="74">
        <f>B291/B290-1</f>
        <v/>
      </c>
      <c r="D291" s="74">
        <f>(Table16[[#This Row],[Index]]-B279)/B279</f>
        <v/>
      </c>
    </row>
    <row r="292">
      <c r="A292" s="19" t="n">
        <v>34973</v>
      </c>
      <c r="B292" s="61">
        <f>VLOOKUP(Table16[[#This Row],[Date]],database!A:H,4,)</f>
        <v/>
      </c>
      <c r="C292" s="74">
        <f>B292/B291-1</f>
        <v/>
      </c>
      <c r="D292" s="74">
        <f>(Table16[[#This Row],[Index]]-B280)/B280</f>
        <v/>
      </c>
    </row>
    <row r="293">
      <c r="A293" s="19" t="n">
        <v>35004</v>
      </c>
      <c r="B293" s="61">
        <f>VLOOKUP(Table16[[#This Row],[Date]],database!A:H,4,)</f>
        <v/>
      </c>
      <c r="C293" s="74">
        <f>B293/B292-1</f>
        <v/>
      </c>
      <c r="D293" s="74">
        <f>(Table16[[#This Row],[Index]]-B281)/B281</f>
        <v/>
      </c>
    </row>
    <row r="294">
      <c r="A294" s="19" t="n">
        <v>35034</v>
      </c>
      <c r="B294" s="61">
        <f>VLOOKUP(Table16[[#This Row],[Date]],database!A:H,4,)</f>
        <v/>
      </c>
      <c r="C294" s="74">
        <f>B294/B293-1</f>
        <v/>
      </c>
      <c r="D294" s="74">
        <f>(Table16[[#This Row],[Index]]-B282)/B282</f>
        <v/>
      </c>
    </row>
    <row r="295">
      <c r="A295" s="19" t="n">
        <v>35065</v>
      </c>
      <c r="B295" s="61">
        <f>VLOOKUP(Table16[[#This Row],[Date]],database!A:H,4,)</f>
        <v/>
      </c>
      <c r="C295" s="74">
        <f>B295/B294-1</f>
        <v/>
      </c>
      <c r="D295" s="74">
        <f>(Table16[[#This Row],[Index]]-B283)/B283</f>
        <v/>
      </c>
    </row>
    <row r="296">
      <c r="A296" s="19" t="n">
        <v>35096</v>
      </c>
      <c r="B296" s="61">
        <f>VLOOKUP(Table16[[#This Row],[Date]],database!A:H,4,)</f>
        <v/>
      </c>
      <c r="C296" s="74">
        <f>B296/B295-1</f>
        <v/>
      </c>
      <c r="D296" s="74">
        <f>(Table16[[#This Row],[Index]]-B284)/B284</f>
        <v/>
      </c>
    </row>
    <row r="297">
      <c r="A297" s="19" t="n">
        <v>35125</v>
      </c>
      <c r="B297" s="61">
        <f>VLOOKUP(Table16[[#This Row],[Date]],database!A:H,4,)</f>
        <v/>
      </c>
      <c r="C297" s="74">
        <f>B297/B296-1</f>
        <v/>
      </c>
      <c r="D297" s="74">
        <f>(Table16[[#This Row],[Index]]-B285)/B285</f>
        <v/>
      </c>
    </row>
    <row r="298">
      <c r="A298" s="19" t="n">
        <v>35156</v>
      </c>
      <c r="B298" s="61">
        <f>VLOOKUP(Table16[[#This Row],[Date]],database!A:H,4,)</f>
        <v/>
      </c>
      <c r="C298" s="74">
        <f>B298/B297-1</f>
        <v/>
      </c>
      <c r="D298" s="74">
        <f>(Table16[[#This Row],[Index]]-B286)/B286</f>
        <v/>
      </c>
    </row>
    <row r="299">
      <c r="A299" s="19" t="n">
        <v>35186</v>
      </c>
      <c r="B299" s="61">
        <f>VLOOKUP(Table16[[#This Row],[Date]],database!A:H,4,)</f>
        <v/>
      </c>
      <c r="C299" s="74">
        <f>B299/B298-1</f>
        <v/>
      </c>
      <c r="D299" s="74">
        <f>(Table16[[#This Row],[Index]]-B287)/B287</f>
        <v/>
      </c>
    </row>
    <row r="300">
      <c r="A300" s="19" t="n">
        <v>35217</v>
      </c>
      <c r="B300" s="61">
        <f>VLOOKUP(Table16[[#This Row],[Date]],database!A:H,4,)</f>
        <v/>
      </c>
      <c r="C300" s="74">
        <f>B300/B299-1</f>
        <v/>
      </c>
      <c r="D300" s="74">
        <f>(Table16[[#This Row],[Index]]-B288)/B288</f>
        <v/>
      </c>
    </row>
    <row r="301">
      <c r="A301" s="19" t="n">
        <v>35247</v>
      </c>
      <c r="B301" s="61">
        <f>VLOOKUP(Table16[[#This Row],[Date]],database!A:H,4,)</f>
        <v/>
      </c>
      <c r="C301" s="74">
        <f>B301/B300-1</f>
        <v/>
      </c>
      <c r="D301" s="74">
        <f>(Table16[[#This Row],[Index]]-B289)/B289</f>
        <v/>
      </c>
    </row>
    <row r="302">
      <c r="A302" s="19" t="n">
        <v>35278</v>
      </c>
      <c r="B302" s="61">
        <f>VLOOKUP(Table16[[#This Row],[Date]],database!A:H,4,)</f>
        <v/>
      </c>
      <c r="C302" s="74">
        <f>B302/B301-1</f>
        <v/>
      </c>
      <c r="D302" s="74">
        <f>(Table16[[#This Row],[Index]]-B290)/B290</f>
        <v/>
      </c>
    </row>
    <row r="303">
      <c r="A303" s="19" t="n">
        <v>35309</v>
      </c>
      <c r="B303" s="61">
        <f>VLOOKUP(Table16[[#This Row],[Date]],database!A:H,4,)</f>
        <v/>
      </c>
      <c r="C303" s="74">
        <f>B303/B302-1</f>
        <v/>
      </c>
      <c r="D303" s="74">
        <f>(Table16[[#This Row],[Index]]-B291)/B291</f>
        <v/>
      </c>
    </row>
    <row r="304">
      <c r="A304" s="19" t="n">
        <v>35339</v>
      </c>
      <c r="B304" s="61">
        <f>VLOOKUP(Table16[[#This Row],[Date]],database!A:H,4,)</f>
        <v/>
      </c>
      <c r="C304" s="74">
        <f>B304/B303-1</f>
        <v/>
      </c>
      <c r="D304" s="74">
        <f>(Table16[[#This Row],[Index]]-B292)/B292</f>
        <v/>
      </c>
    </row>
    <row r="305">
      <c r="A305" s="19" t="n">
        <v>35370</v>
      </c>
      <c r="B305" s="61">
        <f>VLOOKUP(Table16[[#This Row],[Date]],database!A:H,4,)</f>
        <v/>
      </c>
      <c r="C305" s="74">
        <f>B305/B304-1</f>
        <v/>
      </c>
      <c r="D305" s="74">
        <f>(Table16[[#This Row],[Index]]-B293)/B293</f>
        <v/>
      </c>
    </row>
    <row r="306">
      <c r="A306" s="19" t="n">
        <v>35400</v>
      </c>
      <c r="B306" s="61">
        <f>VLOOKUP(Table16[[#This Row],[Date]],database!A:H,4,)</f>
        <v/>
      </c>
      <c r="C306" s="74">
        <f>B306/B305-1</f>
        <v/>
      </c>
      <c r="D306" s="74">
        <f>(Table16[[#This Row],[Index]]-B294)/B294</f>
        <v/>
      </c>
    </row>
    <row r="307">
      <c r="A307" s="19" t="n">
        <v>35431</v>
      </c>
      <c r="B307" s="61">
        <f>VLOOKUP(Table16[[#This Row],[Date]],database!A:H,4,)</f>
        <v/>
      </c>
      <c r="C307" s="74">
        <f>B307/B306-1</f>
        <v/>
      </c>
      <c r="D307" s="74">
        <f>(Table16[[#This Row],[Index]]-B295)/B295</f>
        <v/>
      </c>
    </row>
    <row r="308">
      <c r="A308" s="19" t="n">
        <v>35462</v>
      </c>
      <c r="B308" s="61">
        <f>VLOOKUP(Table16[[#This Row],[Date]],database!A:H,4,)</f>
        <v/>
      </c>
      <c r="C308" s="74">
        <f>B308/B307-1</f>
        <v/>
      </c>
      <c r="D308" s="74">
        <f>(Table16[[#This Row],[Index]]-B296)/B296</f>
        <v/>
      </c>
    </row>
    <row r="309">
      <c r="A309" s="19" t="n">
        <v>35490</v>
      </c>
      <c r="B309" s="61">
        <f>VLOOKUP(Table16[[#This Row],[Date]],database!A:H,4,)</f>
        <v/>
      </c>
      <c r="C309" s="74">
        <f>B309/B308-1</f>
        <v/>
      </c>
      <c r="D309" s="74">
        <f>(Table16[[#This Row],[Index]]-B297)/B297</f>
        <v/>
      </c>
    </row>
    <row r="310">
      <c r="A310" s="19" t="n">
        <v>35521</v>
      </c>
      <c r="B310" s="61">
        <f>VLOOKUP(Table16[[#This Row],[Date]],database!A:H,4,)</f>
        <v/>
      </c>
      <c r="C310" s="74">
        <f>B310/B309-1</f>
        <v/>
      </c>
      <c r="D310" s="74">
        <f>(Table16[[#This Row],[Index]]-B298)/B298</f>
        <v/>
      </c>
    </row>
    <row r="311">
      <c r="A311" s="19" t="n">
        <v>35551</v>
      </c>
      <c r="B311" s="61">
        <f>VLOOKUP(Table16[[#This Row],[Date]],database!A:H,4,)</f>
        <v/>
      </c>
      <c r="C311" s="74">
        <f>B311/B310-1</f>
        <v/>
      </c>
      <c r="D311" s="74">
        <f>(Table16[[#This Row],[Index]]-B299)/B299</f>
        <v/>
      </c>
    </row>
    <row r="312">
      <c r="A312" s="19" t="n">
        <v>35582</v>
      </c>
      <c r="B312" s="61">
        <f>VLOOKUP(Table16[[#This Row],[Date]],database!A:H,4,)</f>
        <v/>
      </c>
      <c r="C312" s="74">
        <f>B312/B311-1</f>
        <v/>
      </c>
      <c r="D312" s="74">
        <f>(Table16[[#This Row],[Index]]-B300)/B300</f>
        <v/>
      </c>
    </row>
    <row r="313">
      <c r="A313" s="19" t="n">
        <v>35612</v>
      </c>
      <c r="B313" s="61">
        <f>VLOOKUP(Table16[[#This Row],[Date]],database!A:H,4,)</f>
        <v/>
      </c>
      <c r="C313" s="74">
        <f>B313/B312-1</f>
        <v/>
      </c>
      <c r="D313" s="74">
        <f>(Table16[[#This Row],[Index]]-B301)/B301</f>
        <v/>
      </c>
    </row>
    <row r="314">
      <c r="A314" s="19" t="n">
        <v>35643</v>
      </c>
      <c r="B314" s="61">
        <f>VLOOKUP(Table16[[#This Row],[Date]],database!A:H,4,)</f>
        <v/>
      </c>
      <c r="C314" s="74">
        <f>B314/B313-1</f>
        <v/>
      </c>
      <c r="D314" s="74">
        <f>(Table16[[#This Row],[Index]]-B302)/B302</f>
        <v/>
      </c>
    </row>
    <row r="315">
      <c r="A315" s="19" t="n">
        <v>35674</v>
      </c>
      <c r="B315" s="61">
        <f>VLOOKUP(Table16[[#This Row],[Date]],database!A:H,4,)</f>
        <v/>
      </c>
      <c r="C315" s="74">
        <f>B315/B314-1</f>
        <v/>
      </c>
      <c r="D315" s="74">
        <f>(Table16[[#This Row],[Index]]-B303)/B303</f>
        <v/>
      </c>
    </row>
    <row r="316">
      <c r="A316" s="19" t="n">
        <v>35704</v>
      </c>
      <c r="B316" s="61">
        <f>VLOOKUP(Table16[[#This Row],[Date]],database!A:H,4,)</f>
        <v/>
      </c>
      <c r="C316" s="74">
        <f>B316/B315-1</f>
        <v/>
      </c>
      <c r="D316" s="74">
        <f>(Table16[[#This Row],[Index]]-B304)/B304</f>
        <v/>
      </c>
    </row>
    <row r="317">
      <c r="A317" s="19" t="n">
        <v>35735</v>
      </c>
      <c r="B317" s="61">
        <f>VLOOKUP(Table16[[#This Row],[Date]],database!A:H,4,)</f>
        <v/>
      </c>
      <c r="C317" s="74">
        <f>B317/B316-1</f>
        <v/>
      </c>
      <c r="D317" s="74">
        <f>(Table16[[#This Row],[Index]]-B305)/B305</f>
        <v/>
      </c>
    </row>
    <row r="318">
      <c r="A318" s="19" t="n">
        <v>35765</v>
      </c>
      <c r="B318" s="61">
        <f>VLOOKUP(Table16[[#This Row],[Date]],database!A:H,4,)</f>
        <v/>
      </c>
      <c r="C318" s="74">
        <f>B318/B317-1</f>
        <v/>
      </c>
      <c r="D318" s="74">
        <f>(Table16[[#This Row],[Index]]-B306)/B306</f>
        <v/>
      </c>
    </row>
    <row r="319">
      <c r="A319" s="19" t="n">
        <v>35796</v>
      </c>
      <c r="B319" s="61">
        <f>VLOOKUP(Table16[[#This Row],[Date]],database!A:H,4,)</f>
        <v/>
      </c>
      <c r="C319" s="74">
        <f>B319/B318-1</f>
        <v/>
      </c>
      <c r="D319" s="74">
        <f>(Table16[[#This Row],[Index]]-B307)/B307</f>
        <v/>
      </c>
    </row>
    <row r="320">
      <c r="A320" s="19" t="n">
        <v>35827</v>
      </c>
      <c r="B320" s="61">
        <f>VLOOKUP(Table16[[#This Row],[Date]],database!A:H,4,)</f>
        <v/>
      </c>
      <c r="C320" s="74">
        <f>B320/B319-1</f>
        <v/>
      </c>
      <c r="D320" s="74">
        <f>(Table16[[#This Row],[Index]]-B308)/B308</f>
        <v/>
      </c>
    </row>
    <row r="321">
      <c r="A321" s="19" t="n">
        <v>35855</v>
      </c>
      <c r="B321" s="61">
        <f>VLOOKUP(Table16[[#This Row],[Date]],database!A:H,4,)</f>
        <v/>
      </c>
      <c r="C321" s="74">
        <f>B321/B320-1</f>
        <v/>
      </c>
      <c r="D321" s="74">
        <f>(Table16[[#This Row],[Index]]-B309)/B309</f>
        <v/>
      </c>
    </row>
    <row r="322">
      <c r="A322" s="19" t="n">
        <v>35886</v>
      </c>
      <c r="B322" s="61">
        <f>VLOOKUP(Table16[[#This Row],[Date]],database!A:H,4,)</f>
        <v/>
      </c>
      <c r="C322" s="74">
        <f>B322/B321-1</f>
        <v/>
      </c>
      <c r="D322" s="74">
        <f>(Table16[[#This Row],[Index]]-B310)/B310</f>
        <v/>
      </c>
    </row>
    <row r="323">
      <c r="A323" s="19" t="n">
        <v>35916</v>
      </c>
      <c r="B323" s="61">
        <f>VLOOKUP(Table16[[#This Row],[Date]],database!A:H,4,)</f>
        <v/>
      </c>
      <c r="C323" s="74">
        <f>B323/B322-1</f>
        <v/>
      </c>
      <c r="D323" s="74">
        <f>(Table16[[#This Row],[Index]]-B311)/B311</f>
        <v/>
      </c>
    </row>
    <row r="324">
      <c r="A324" s="19" t="n">
        <v>35947</v>
      </c>
      <c r="B324" s="61">
        <f>VLOOKUP(Table16[[#This Row],[Date]],database!A:H,4,)</f>
        <v/>
      </c>
      <c r="C324" s="74">
        <f>B324/B323-1</f>
        <v/>
      </c>
      <c r="D324" s="74">
        <f>(Table16[[#This Row],[Index]]-B312)/B312</f>
        <v/>
      </c>
    </row>
    <row r="325">
      <c r="A325" s="19" t="n">
        <v>35977</v>
      </c>
      <c r="B325" s="61">
        <f>VLOOKUP(Table16[[#This Row],[Date]],database!A:H,4,)</f>
        <v/>
      </c>
      <c r="C325" s="74">
        <f>B325/B324-1</f>
        <v/>
      </c>
      <c r="D325" s="74">
        <f>(Table16[[#This Row],[Index]]-B313)/B313</f>
        <v/>
      </c>
    </row>
    <row r="326">
      <c r="A326" s="19" t="n">
        <v>36008</v>
      </c>
      <c r="B326" s="61">
        <f>VLOOKUP(Table16[[#This Row],[Date]],database!A:H,4,)</f>
        <v/>
      </c>
      <c r="C326" s="74">
        <f>B326/B325-1</f>
        <v/>
      </c>
      <c r="D326" s="74">
        <f>(Table16[[#This Row],[Index]]-B314)/B314</f>
        <v/>
      </c>
    </row>
    <row r="327">
      <c r="A327" s="19" t="n">
        <v>36039</v>
      </c>
      <c r="B327" s="61">
        <f>VLOOKUP(Table16[[#This Row],[Date]],database!A:H,4,)</f>
        <v/>
      </c>
      <c r="C327" s="74">
        <f>B327/B326-1</f>
        <v/>
      </c>
      <c r="D327" s="74">
        <f>(Table16[[#This Row],[Index]]-B315)/B315</f>
        <v/>
      </c>
    </row>
    <row r="328">
      <c r="A328" s="19" t="n">
        <v>36069</v>
      </c>
      <c r="B328" s="61">
        <f>VLOOKUP(Table16[[#This Row],[Date]],database!A:H,4,)</f>
        <v/>
      </c>
      <c r="C328" s="74">
        <f>B328/B327-1</f>
        <v/>
      </c>
      <c r="D328" s="74">
        <f>(Table16[[#This Row],[Index]]-B316)/B316</f>
        <v/>
      </c>
    </row>
    <row r="329">
      <c r="A329" s="19" t="n">
        <v>36100</v>
      </c>
      <c r="B329" s="61">
        <f>VLOOKUP(Table16[[#This Row],[Date]],database!A:H,4,)</f>
        <v/>
      </c>
      <c r="C329" s="74">
        <f>B329/B328-1</f>
        <v/>
      </c>
      <c r="D329" s="74">
        <f>(Table16[[#This Row],[Index]]-B317)/B317</f>
        <v/>
      </c>
    </row>
    <row r="330">
      <c r="A330" s="19" t="n">
        <v>36130</v>
      </c>
      <c r="B330" s="61">
        <f>VLOOKUP(Table16[[#This Row],[Date]],database!A:H,4,)</f>
        <v/>
      </c>
      <c r="C330" s="74">
        <f>B330/B329-1</f>
        <v/>
      </c>
      <c r="D330" s="74">
        <f>(Table16[[#This Row],[Index]]-B318)/B318</f>
        <v/>
      </c>
    </row>
    <row r="331">
      <c r="A331" s="19" t="n">
        <v>36161</v>
      </c>
      <c r="B331" s="61">
        <f>VLOOKUP(Table16[[#This Row],[Date]],database!A:H,4,)</f>
        <v/>
      </c>
      <c r="C331" s="74">
        <f>B331/B330-1</f>
        <v/>
      </c>
      <c r="D331" s="74">
        <f>(Table16[[#This Row],[Index]]-B319)/B319</f>
        <v/>
      </c>
    </row>
    <row r="332">
      <c r="A332" s="19" t="n">
        <v>36192</v>
      </c>
      <c r="B332" s="61">
        <f>VLOOKUP(Table16[[#This Row],[Date]],database!A:H,4,)</f>
        <v/>
      </c>
      <c r="C332" s="74">
        <f>B332/B331-1</f>
        <v/>
      </c>
      <c r="D332" s="74">
        <f>(Table16[[#This Row],[Index]]-B320)/B320</f>
        <v/>
      </c>
    </row>
    <row r="333">
      <c r="A333" s="19" t="n">
        <v>36220</v>
      </c>
      <c r="B333" s="61">
        <f>VLOOKUP(Table16[[#This Row],[Date]],database!A:H,4,)</f>
        <v/>
      </c>
      <c r="C333" s="74">
        <f>B333/B332-1</f>
        <v/>
      </c>
      <c r="D333" s="74">
        <f>(Table16[[#This Row],[Index]]-B321)/B321</f>
        <v/>
      </c>
    </row>
    <row r="334">
      <c r="A334" s="19" t="n">
        <v>36251</v>
      </c>
      <c r="B334" s="61">
        <f>VLOOKUP(Table16[[#This Row],[Date]],database!A:H,4,)</f>
        <v/>
      </c>
      <c r="C334" s="74">
        <f>B334/B333-1</f>
        <v/>
      </c>
      <c r="D334" s="74">
        <f>(Table16[[#This Row],[Index]]-B322)/B322</f>
        <v/>
      </c>
    </row>
    <row r="335">
      <c r="A335" s="19" t="n">
        <v>36281</v>
      </c>
      <c r="B335" s="61">
        <f>VLOOKUP(Table16[[#This Row],[Date]],database!A:H,4,)</f>
        <v/>
      </c>
      <c r="C335" s="74">
        <f>B335/B334-1</f>
        <v/>
      </c>
      <c r="D335" s="74">
        <f>(Table16[[#This Row],[Index]]-B323)/B323</f>
        <v/>
      </c>
    </row>
    <row r="336">
      <c r="A336" s="19" t="n">
        <v>36312</v>
      </c>
      <c r="B336" s="61">
        <f>VLOOKUP(Table16[[#This Row],[Date]],database!A:H,4,)</f>
        <v/>
      </c>
      <c r="C336" s="74">
        <f>B336/B335-1</f>
        <v/>
      </c>
      <c r="D336" s="74">
        <f>(Table16[[#This Row],[Index]]-B324)/B324</f>
        <v/>
      </c>
    </row>
    <row r="337">
      <c r="A337" s="19" t="n">
        <v>36342</v>
      </c>
      <c r="B337" s="61">
        <f>VLOOKUP(Table16[[#This Row],[Date]],database!A:H,4,)</f>
        <v/>
      </c>
      <c r="C337" s="74">
        <f>B337/B336-1</f>
        <v/>
      </c>
      <c r="D337" s="74">
        <f>(Table16[[#This Row],[Index]]-B325)/B325</f>
        <v/>
      </c>
    </row>
    <row r="338">
      <c r="A338" s="19" t="n">
        <v>36373</v>
      </c>
      <c r="B338" s="61">
        <f>VLOOKUP(Table16[[#This Row],[Date]],database!A:H,4,)</f>
        <v/>
      </c>
      <c r="C338" s="74">
        <f>B338/B337-1</f>
        <v/>
      </c>
      <c r="D338" s="74">
        <f>(Table16[[#This Row],[Index]]-B326)/B326</f>
        <v/>
      </c>
    </row>
    <row r="339">
      <c r="A339" s="19" t="n">
        <v>36404</v>
      </c>
      <c r="B339" s="61">
        <f>VLOOKUP(Table16[[#This Row],[Date]],database!A:H,4,)</f>
        <v/>
      </c>
      <c r="C339" s="74">
        <f>B339/B338-1</f>
        <v/>
      </c>
      <c r="D339" s="74">
        <f>(Table16[[#This Row],[Index]]-B327)/B327</f>
        <v/>
      </c>
    </row>
    <row r="340">
      <c r="A340" s="19" t="n">
        <v>36434</v>
      </c>
      <c r="B340" s="61">
        <f>VLOOKUP(Table16[[#This Row],[Date]],database!A:H,4,)</f>
        <v/>
      </c>
      <c r="C340" s="74">
        <f>B340/B339-1</f>
        <v/>
      </c>
      <c r="D340" s="74">
        <f>(Table16[[#This Row],[Index]]-B328)/B328</f>
        <v/>
      </c>
    </row>
    <row r="341">
      <c r="A341" s="19" t="n">
        <v>36465</v>
      </c>
      <c r="B341" s="61">
        <f>VLOOKUP(Table16[[#This Row],[Date]],database!A:H,4,)</f>
        <v/>
      </c>
      <c r="C341" s="74">
        <f>B341/B340-1</f>
        <v/>
      </c>
      <c r="D341" s="74">
        <f>(Table16[[#This Row],[Index]]-B329)/B329</f>
        <v/>
      </c>
    </row>
    <row r="342">
      <c r="A342" s="19" t="n">
        <v>36495</v>
      </c>
      <c r="B342" s="61">
        <f>VLOOKUP(Table16[[#This Row],[Date]],database!A:H,4,)</f>
        <v/>
      </c>
      <c r="C342" s="74">
        <f>B342/B341-1</f>
        <v/>
      </c>
      <c r="D342" s="74">
        <f>(Table16[[#This Row],[Index]]-B330)/B330</f>
        <v/>
      </c>
    </row>
    <row r="343">
      <c r="A343" s="19" t="n">
        <v>36526</v>
      </c>
      <c r="B343" s="61">
        <f>VLOOKUP(Table16[[#This Row],[Date]],database!A:H,4,)</f>
        <v/>
      </c>
      <c r="C343" s="74">
        <f>B343/B342-1</f>
        <v/>
      </c>
      <c r="D343" s="74">
        <f>(Table16[[#This Row],[Index]]-B331)/B331</f>
        <v/>
      </c>
    </row>
    <row r="344">
      <c r="A344" s="19" t="n">
        <v>36557</v>
      </c>
      <c r="B344" s="61">
        <f>VLOOKUP(Table16[[#This Row],[Date]],database!A:H,4,)</f>
        <v/>
      </c>
      <c r="C344" s="74">
        <f>B344/B343-1</f>
        <v/>
      </c>
      <c r="D344" s="74">
        <f>(Table16[[#This Row],[Index]]-B332)/B332</f>
        <v/>
      </c>
    </row>
    <row r="345">
      <c r="A345" s="19" t="n">
        <v>36586</v>
      </c>
      <c r="B345" s="61">
        <f>VLOOKUP(Table16[[#This Row],[Date]],database!A:H,4,)</f>
        <v/>
      </c>
      <c r="C345" s="74">
        <f>B345/B344-1</f>
        <v/>
      </c>
      <c r="D345" s="74">
        <f>(Table16[[#This Row],[Index]]-B333)/B333</f>
        <v/>
      </c>
    </row>
    <row r="346">
      <c r="A346" s="19" t="n">
        <v>36617</v>
      </c>
      <c r="B346" s="61">
        <f>VLOOKUP(Table16[[#This Row],[Date]],database!A:H,4,)</f>
        <v/>
      </c>
      <c r="C346" s="74">
        <f>B346/B345-1</f>
        <v/>
      </c>
      <c r="D346" s="74">
        <f>(Table16[[#This Row],[Index]]-B334)/B334</f>
        <v/>
      </c>
    </row>
    <row r="347">
      <c r="A347" s="19" t="n">
        <v>36647</v>
      </c>
      <c r="B347" s="61">
        <f>VLOOKUP(Table16[[#This Row],[Date]],database!A:H,4,)</f>
        <v/>
      </c>
      <c r="C347" s="74">
        <f>B347/B346-1</f>
        <v/>
      </c>
      <c r="D347" s="74">
        <f>(Table16[[#This Row],[Index]]-B335)/B335</f>
        <v/>
      </c>
    </row>
    <row r="348">
      <c r="A348" s="19" t="n">
        <v>36678</v>
      </c>
      <c r="B348" s="61">
        <f>VLOOKUP(Table16[[#This Row],[Date]],database!A:H,4,)</f>
        <v/>
      </c>
      <c r="C348" s="74">
        <f>B348/B347-1</f>
        <v/>
      </c>
      <c r="D348" s="74">
        <f>(Table16[[#This Row],[Index]]-B336)/B336</f>
        <v/>
      </c>
    </row>
    <row r="349">
      <c r="A349" s="19" t="n">
        <v>36708</v>
      </c>
      <c r="B349" s="61">
        <f>VLOOKUP(Table16[[#This Row],[Date]],database!A:H,4,)</f>
        <v/>
      </c>
      <c r="C349" s="74">
        <f>B349/B348-1</f>
        <v/>
      </c>
      <c r="D349" s="74">
        <f>(Table16[[#This Row],[Index]]-B337)/B337</f>
        <v/>
      </c>
    </row>
    <row r="350">
      <c r="A350" s="19" t="n">
        <v>36739</v>
      </c>
      <c r="B350" s="61">
        <f>VLOOKUP(Table16[[#This Row],[Date]],database!A:H,4,)</f>
        <v/>
      </c>
      <c r="C350" s="74">
        <f>B350/B349-1</f>
        <v/>
      </c>
      <c r="D350" s="74">
        <f>(Table16[[#This Row],[Index]]-B338)/B338</f>
        <v/>
      </c>
    </row>
    <row r="351">
      <c r="A351" s="19" t="n">
        <v>36770</v>
      </c>
      <c r="B351" s="61">
        <f>VLOOKUP(Table16[[#This Row],[Date]],database!A:H,4,)</f>
        <v/>
      </c>
      <c r="C351" s="74">
        <f>B351/B350-1</f>
        <v/>
      </c>
      <c r="D351" s="74">
        <f>(Table16[[#This Row],[Index]]-B339)/B339</f>
        <v/>
      </c>
    </row>
    <row r="352">
      <c r="A352" s="19" t="n">
        <v>36800</v>
      </c>
      <c r="B352" s="61">
        <f>VLOOKUP(Table16[[#This Row],[Date]],database!A:H,4,)</f>
        <v/>
      </c>
      <c r="C352" s="74">
        <f>B352/B351-1</f>
        <v/>
      </c>
      <c r="D352" s="74">
        <f>(Table16[[#This Row],[Index]]-B340)/B340</f>
        <v/>
      </c>
    </row>
    <row r="353">
      <c r="A353" s="19" t="n">
        <v>36831</v>
      </c>
      <c r="B353" s="61">
        <f>VLOOKUP(Table16[[#This Row],[Date]],database!A:H,4,)</f>
        <v/>
      </c>
      <c r="C353" s="74">
        <f>B353/B352-1</f>
        <v/>
      </c>
      <c r="D353" s="74">
        <f>(Table16[[#This Row],[Index]]-B341)/B341</f>
        <v/>
      </c>
    </row>
    <row r="354">
      <c r="A354" s="19" t="n">
        <v>36861</v>
      </c>
      <c r="B354" s="61">
        <f>VLOOKUP(Table16[[#This Row],[Date]],database!A:H,4,)</f>
        <v/>
      </c>
      <c r="C354" s="74">
        <f>B354/B353-1</f>
        <v/>
      </c>
      <c r="D354" s="74">
        <f>(Table16[[#This Row],[Index]]-B342)/B342</f>
        <v/>
      </c>
    </row>
    <row r="355">
      <c r="A355" s="19" t="n">
        <v>36892</v>
      </c>
      <c r="B355" s="61">
        <f>VLOOKUP(Table16[[#This Row],[Date]],database!A:H,4,)</f>
        <v/>
      </c>
      <c r="C355" s="74">
        <f>B355/B354-1</f>
        <v/>
      </c>
      <c r="D355" s="74">
        <f>(Table16[[#This Row],[Index]]-B343)/B343</f>
        <v/>
      </c>
    </row>
    <row r="356">
      <c r="A356" s="19" t="n">
        <v>36923</v>
      </c>
      <c r="B356" s="61">
        <f>VLOOKUP(Table16[[#This Row],[Date]],database!A:H,4,)</f>
        <v/>
      </c>
      <c r="C356" s="74">
        <f>B356/B355-1</f>
        <v/>
      </c>
      <c r="D356" s="74">
        <f>(Table16[[#This Row],[Index]]-B344)/B344</f>
        <v/>
      </c>
    </row>
    <row r="357">
      <c r="A357" s="19" t="n">
        <v>36951</v>
      </c>
      <c r="B357" s="61">
        <f>VLOOKUP(Table16[[#This Row],[Date]],database!A:H,4,)</f>
        <v/>
      </c>
      <c r="C357" s="74">
        <f>B357/B356-1</f>
        <v/>
      </c>
      <c r="D357" s="74">
        <f>(Table16[[#This Row],[Index]]-B345)/B345</f>
        <v/>
      </c>
    </row>
    <row r="358">
      <c r="A358" s="19" t="n">
        <v>36982</v>
      </c>
      <c r="B358" s="61">
        <f>VLOOKUP(Table16[[#This Row],[Date]],database!A:H,4,)</f>
        <v/>
      </c>
      <c r="C358" s="74">
        <f>B358/B357-1</f>
        <v/>
      </c>
      <c r="D358" s="74">
        <f>(Table16[[#This Row],[Index]]-B346)/B346</f>
        <v/>
      </c>
    </row>
    <row r="359">
      <c r="A359" s="19" t="n">
        <v>37012</v>
      </c>
      <c r="B359" s="61">
        <f>VLOOKUP(Table16[[#This Row],[Date]],database!A:H,4,)</f>
        <v/>
      </c>
      <c r="C359" s="74">
        <f>B359/B358-1</f>
        <v/>
      </c>
      <c r="D359" s="74">
        <f>(Table16[[#This Row],[Index]]-B347)/B347</f>
        <v/>
      </c>
    </row>
    <row r="360">
      <c r="A360" s="19" t="n">
        <v>37043</v>
      </c>
      <c r="B360" s="61">
        <f>VLOOKUP(Table16[[#This Row],[Date]],database!A:H,4,)</f>
        <v/>
      </c>
      <c r="C360" s="74">
        <f>B360/B359-1</f>
        <v/>
      </c>
      <c r="D360" s="74">
        <f>(Table16[[#This Row],[Index]]-B348)/B348</f>
        <v/>
      </c>
    </row>
    <row r="361">
      <c r="A361" s="19" t="n">
        <v>37073</v>
      </c>
      <c r="B361" s="61">
        <f>VLOOKUP(Table16[[#This Row],[Date]],database!A:H,4,)</f>
        <v/>
      </c>
      <c r="C361" s="74">
        <f>B361/B360-1</f>
        <v/>
      </c>
      <c r="D361" s="74">
        <f>(Table16[[#This Row],[Index]]-B349)/B349</f>
        <v/>
      </c>
    </row>
    <row r="362">
      <c r="A362" s="19" t="n">
        <v>37104</v>
      </c>
      <c r="B362" s="61">
        <f>VLOOKUP(Table16[[#This Row],[Date]],database!A:H,4,)</f>
        <v/>
      </c>
      <c r="C362" s="74">
        <f>B362/B361-1</f>
        <v/>
      </c>
      <c r="D362" s="74">
        <f>(Table16[[#This Row],[Index]]-B350)/B350</f>
        <v/>
      </c>
    </row>
    <row r="363">
      <c r="A363" s="19" t="n">
        <v>37135</v>
      </c>
      <c r="B363" s="61">
        <f>VLOOKUP(Table16[[#This Row],[Date]],database!A:H,4,)</f>
        <v/>
      </c>
      <c r="C363" s="74">
        <f>B363/B362-1</f>
        <v/>
      </c>
      <c r="D363" s="74">
        <f>(Table16[[#This Row],[Index]]-B351)/B351</f>
        <v/>
      </c>
    </row>
    <row r="364">
      <c r="A364" s="19" t="n">
        <v>37165</v>
      </c>
      <c r="B364" s="61">
        <f>VLOOKUP(Table16[[#This Row],[Date]],database!A:H,4,)</f>
        <v/>
      </c>
      <c r="C364" s="74">
        <f>B364/B363-1</f>
        <v/>
      </c>
      <c r="D364" s="74">
        <f>(Table16[[#This Row],[Index]]-B352)/B352</f>
        <v/>
      </c>
    </row>
    <row r="365">
      <c r="A365" s="19" t="n">
        <v>37196</v>
      </c>
      <c r="B365" s="61">
        <f>VLOOKUP(Table16[[#This Row],[Date]],database!A:H,4,)</f>
        <v/>
      </c>
      <c r="C365" s="74">
        <f>B365/B364-1</f>
        <v/>
      </c>
      <c r="D365" s="74">
        <f>(Table16[[#This Row],[Index]]-B353)/B353</f>
        <v/>
      </c>
    </row>
    <row r="366">
      <c r="A366" s="19" t="n">
        <v>37226</v>
      </c>
      <c r="B366" s="61">
        <f>VLOOKUP(Table16[[#This Row],[Date]],database!A:H,4,)</f>
        <v/>
      </c>
      <c r="C366" s="74">
        <f>B366/B365-1</f>
        <v/>
      </c>
      <c r="D366" s="74">
        <f>(Table16[[#This Row],[Index]]-B354)/B354</f>
        <v/>
      </c>
    </row>
    <row r="367">
      <c r="A367" s="19" t="n">
        <v>37257</v>
      </c>
      <c r="B367" s="61">
        <f>VLOOKUP(Table16[[#This Row],[Date]],database!A:H,4,)</f>
        <v/>
      </c>
      <c r="C367" s="74">
        <f>B367/B366-1</f>
        <v/>
      </c>
      <c r="D367" s="74">
        <f>(Table16[[#This Row],[Index]]-B355)/B355</f>
        <v/>
      </c>
    </row>
    <row r="368">
      <c r="A368" s="19" t="n">
        <v>37288</v>
      </c>
      <c r="B368" s="61">
        <f>VLOOKUP(Table16[[#This Row],[Date]],database!A:H,4,)</f>
        <v/>
      </c>
      <c r="C368" s="74">
        <f>B368/B367-1</f>
        <v/>
      </c>
      <c r="D368" s="74">
        <f>(Table16[[#This Row],[Index]]-B356)/B356</f>
        <v/>
      </c>
    </row>
    <row r="369">
      <c r="A369" s="19" t="n">
        <v>37316</v>
      </c>
      <c r="B369" s="61">
        <f>VLOOKUP(Table16[[#This Row],[Date]],database!A:H,4,)</f>
        <v/>
      </c>
      <c r="C369" s="74">
        <f>B369/B368-1</f>
        <v/>
      </c>
      <c r="D369" s="74">
        <f>(Table16[[#This Row],[Index]]-B357)/B357</f>
        <v/>
      </c>
    </row>
    <row r="370">
      <c r="A370" s="19" t="n">
        <v>37347</v>
      </c>
      <c r="B370" s="61">
        <f>VLOOKUP(Table16[[#This Row],[Date]],database!A:H,4,)</f>
        <v/>
      </c>
      <c r="C370" s="74">
        <f>B370/B369-1</f>
        <v/>
      </c>
      <c r="D370" s="74">
        <f>(Table16[[#This Row],[Index]]-B358)/B358</f>
        <v/>
      </c>
    </row>
    <row r="371">
      <c r="A371" s="19" t="n">
        <v>37377</v>
      </c>
      <c r="B371" s="61">
        <f>VLOOKUP(Table16[[#This Row],[Date]],database!A:H,4,)</f>
        <v/>
      </c>
      <c r="C371" s="74">
        <f>B371/B370-1</f>
        <v/>
      </c>
      <c r="D371" s="74">
        <f>(Table16[[#This Row],[Index]]-B359)/B359</f>
        <v/>
      </c>
    </row>
    <row r="372">
      <c r="A372" s="19" t="n">
        <v>37408</v>
      </c>
      <c r="B372" s="61">
        <f>VLOOKUP(Table16[[#This Row],[Date]],database!A:H,4,)</f>
        <v/>
      </c>
      <c r="C372" s="74">
        <f>B372/B371-1</f>
        <v/>
      </c>
      <c r="D372" s="74">
        <f>(Table16[[#This Row],[Index]]-B360)/B360</f>
        <v/>
      </c>
    </row>
    <row r="373">
      <c r="A373" s="19" t="n">
        <v>37438</v>
      </c>
      <c r="B373" s="61">
        <f>VLOOKUP(Table16[[#This Row],[Date]],database!A:H,4,)</f>
        <v/>
      </c>
      <c r="C373" s="74">
        <f>B373/B372-1</f>
        <v/>
      </c>
      <c r="D373" s="74">
        <f>(Table16[[#This Row],[Index]]-B361)/B361</f>
        <v/>
      </c>
    </row>
    <row r="374">
      <c r="A374" s="19" t="n">
        <v>37469</v>
      </c>
      <c r="B374" s="61">
        <f>VLOOKUP(Table16[[#This Row],[Date]],database!A:H,4,)</f>
        <v/>
      </c>
      <c r="C374" s="74">
        <f>B374/B373-1</f>
        <v/>
      </c>
      <c r="D374" s="74">
        <f>(Table16[[#This Row],[Index]]-B362)/B362</f>
        <v/>
      </c>
    </row>
    <row r="375">
      <c r="A375" s="19" t="n">
        <v>37500</v>
      </c>
      <c r="B375" s="61">
        <f>VLOOKUP(Table16[[#This Row],[Date]],database!A:H,4,)</f>
        <v/>
      </c>
      <c r="C375" s="74">
        <f>B375/B374-1</f>
        <v/>
      </c>
      <c r="D375" s="74">
        <f>(Table16[[#This Row],[Index]]-B363)/B363</f>
        <v/>
      </c>
    </row>
    <row r="376">
      <c r="A376" s="19" t="n">
        <v>37530</v>
      </c>
      <c r="B376" s="61">
        <f>VLOOKUP(Table16[[#This Row],[Date]],database!A:H,4,)</f>
        <v/>
      </c>
      <c r="C376" s="74">
        <f>B376/B375-1</f>
        <v/>
      </c>
      <c r="D376" s="74">
        <f>(Table16[[#This Row],[Index]]-B364)/B364</f>
        <v/>
      </c>
    </row>
    <row r="377">
      <c r="A377" s="19" t="n">
        <v>37561</v>
      </c>
      <c r="B377" s="61">
        <f>VLOOKUP(Table16[[#This Row],[Date]],database!A:H,4,)</f>
        <v/>
      </c>
      <c r="C377" s="74">
        <f>B377/B376-1</f>
        <v/>
      </c>
      <c r="D377" s="74">
        <f>(Table16[[#This Row],[Index]]-B365)/B365</f>
        <v/>
      </c>
    </row>
    <row r="378">
      <c r="A378" s="19" t="n">
        <v>37591</v>
      </c>
      <c r="B378" s="61">
        <f>VLOOKUP(Table16[[#This Row],[Date]],database!A:H,4,)</f>
        <v/>
      </c>
      <c r="C378" s="74">
        <f>B378/B377-1</f>
        <v/>
      </c>
      <c r="D378" s="74">
        <f>(Table16[[#This Row],[Index]]-B366)/B366</f>
        <v/>
      </c>
    </row>
    <row r="379">
      <c r="A379" s="19" t="n">
        <v>37622</v>
      </c>
      <c r="B379" s="61">
        <f>VLOOKUP(Table16[[#This Row],[Date]],database!A:H,4,)</f>
        <v/>
      </c>
      <c r="C379" s="74">
        <f>B379/B378-1</f>
        <v/>
      </c>
      <c r="D379" s="74">
        <f>(Table16[[#This Row],[Index]]-B367)/B367</f>
        <v/>
      </c>
    </row>
    <row r="380">
      <c r="A380" s="19" t="n">
        <v>37653</v>
      </c>
      <c r="B380" s="61">
        <f>VLOOKUP(Table16[[#This Row],[Date]],database!A:H,4,)</f>
        <v/>
      </c>
      <c r="C380" s="74">
        <f>B380/B379-1</f>
        <v/>
      </c>
      <c r="D380" s="74">
        <f>(Table16[[#This Row],[Index]]-B368)/B368</f>
        <v/>
      </c>
    </row>
    <row r="381">
      <c r="A381" s="19" t="n">
        <v>37681</v>
      </c>
      <c r="B381" s="61">
        <f>VLOOKUP(Table16[[#This Row],[Date]],database!A:H,4,)</f>
        <v/>
      </c>
      <c r="C381" s="74">
        <f>B381/B380-1</f>
        <v/>
      </c>
      <c r="D381" s="74">
        <f>(Table16[[#This Row],[Index]]-B369)/B369</f>
        <v/>
      </c>
    </row>
    <row r="382">
      <c r="A382" s="19" t="n">
        <v>37712</v>
      </c>
      <c r="B382" s="61">
        <f>VLOOKUP(Table16[[#This Row],[Date]],database!A:H,4,)</f>
        <v/>
      </c>
      <c r="C382" s="74">
        <f>B382/B381-1</f>
        <v/>
      </c>
      <c r="D382" s="74">
        <f>(Table16[[#This Row],[Index]]-B370)/B370</f>
        <v/>
      </c>
    </row>
    <row r="383">
      <c r="A383" s="19" t="n">
        <v>37742</v>
      </c>
      <c r="B383" s="61">
        <f>VLOOKUP(Table16[[#This Row],[Date]],database!A:H,4,)</f>
        <v/>
      </c>
      <c r="C383" s="74">
        <f>B383/B382-1</f>
        <v/>
      </c>
      <c r="D383" s="74">
        <f>(Table16[[#This Row],[Index]]-B371)/B371</f>
        <v/>
      </c>
    </row>
    <row r="384">
      <c r="A384" s="19" t="n">
        <v>37773</v>
      </c>
      <c r="B384" s="61">
        <f>VLOOKUP(Table16[[#This Row],[Date]],database!A:H,4,)</f>
        <v/>
      </c>
      <c r="C384" s="74">
        <f>B384/B383-1</f>
        <v/>
      </c>
      <c r="D384" s="74">
        <f>(Table16[[#This Row],[Index]]-B372)/B372</f>
        <v/>
      </c>
    </row>
    <row r="385">
      <c r="A385" s="19" t="n">
        <v>37803</v>
      </c>
      <c r="B385" s="61">
        <f>VLOOKUP(Table16[[#This Row],[Date]],database!A:H,4,)</f>
        <v/>
      </c>
      <c r="C385" s="74">
        <f>B385/B384-1</f>
        <v/>
      </c>
      <c r="D385" s="74">
        <f>(Table16[[#This Row],[Index]]-B373)/B373</f>
        <v/>
      </c>
    </row>
    <row r="386">
      <c r="A386" s="19" t="n">
        <v>37834</v>
      </c>
      <c r="B386" s="61">
        <f>VLOOKUP(Table16[[#This Row],[Date]],database!A:H,4,)</f>
        <v/>
      </c>
      <c r="C386" s="74">
        <f>B386/B385-1</f>
        <v/>
      </c>
      <c r="D386" s="74">
        <f>(Table16[[#This Row],[Index]]-B374)/B374</f>
        <v/>
      </c>
    </row>
    <row r="387">
      <c r="A387" s="19" t="n">
        <v>37865</v>
      </c>
      <c r="B387" s="61">
        <f>VLOOKUP(Table16[[#This Row],[Date]],database!A:H,4,)</f>
        <v/>
      </c>
      <c r="C387" s="74">
        <f>B387/B386-1</f>
        <v/>
      </c>
      <c r="D387" s="74">
        <f>(Table16[[#This Row],[Index]]-B375)/B375</f>
        <v/>
      </c>
    </row>
    <row r="388">
      <c r="A388" s="19" t="n">
        <v>37895</v>
      </c>
      <c r="B388" s="61">
        <f>VLOOKUP(Table16[[#This Row],[Date]],database!A:H,4,)</f>
        <v/>
      </c>
      <c r="C388" s="74">
        <f>B388/B387-1</f>
        <v/>
      </c>
      <c r="D388" s="74">
        <f>(Table16[[#This Row],[Index]]-B376)/B376</f>
        <v/>
      </c>
    </row>
    <row r="389">
      <c r="A389" s="19" t="n">
        <v>37926</v>
      </c>
      <c r="B389" s="61">
        <f>VLOOKUP(Table16[[#This Row],[Date]],database!A:H,4,)</f>
        <v/>
      </c>
      <c r="C389" s="74">
        <f>B389/B388-1</f>
        <v/>
      </c>
      <c r="D389" s="74">
        <f>(Table16[[#This Row],[Index]]-B377)/B377</f>
        <v/>
      </c>
    </row>
    <row r="390">
      <c r="A390" s="19" t="n">
        <v>37956</v>
      </c>
      <c r="B390" s="61">
        <f>VLOOKUP(Table16[[#This Row],[Date]],database!A:H,4,)</f>
        <v/>
      </c>
      <c r="C390" s="74">
        <f>B390/B389-1</f>
        <v/>
      </c>
      <c r="D390" s="74">
        <f>(Table16[[#This Row],[Index]]-B378)/B378</f>
        <v/>
      </c>
    </row>
    <row r="391">
      <c r="A391" s="19" t="n">
        <v>37987</v>
      </c>
      <c r="B391" s="61">
        <f>VLOOKUP(Table16[[#This Row],[Date]],database!A:H,4,)</f>
        <v/>
      </c>
      <c r="C391" s="74">
        <f>B391/B390-1</f>
        <v/>
      </c>
      <c r="D391" s="74">
        <f>(Table16[[#This Row],[Index]]-B379)/B379</f>
        <v/>
      </c>
    </row>
    <row r="392">
      <c r="A392" s="19" t="n">
        <v>38018</v>
      </c>
      <c r="B392" s="61">
        <f>VLOOKUP(Table16[[#This Row],[Date]],database!A:H,4,)</f>
        <v/>
      </c>
      <c r="C392" s="74">
        <f>B392/B391-1</f>
        <v/>
      </c>
      <c r="D392" s="74">
        <f>(Table16[[#This Row],[Index]]-B380)/B380</f>
        <v/>
      </c>
    </row>
    <row r="393">
      <c r="A393" s="19" t="n">
        <v>38047</v>
      </c>
      <c r="B393" s="61">
        <f>VLOOKUP(Table16[[#This Row],[Date]],database!A:H,4,)</f>
        <v/>
      </c>
      <c r="C393" s="74">
        <f>B393/B392-1</f>
        <v/>
      </c>
      <c r="D393" s="74">
        <f>(Table16[[#This Row],[Index]]-B381)/B381</f>
        <v/>
      </c>
    </row>
    <row r="394">
      <c r="A394" s="19" t="n">
        <v>38078</v>
      </c>
      <c r="B394" s="61">
        <f>VLOOKUP(Table16[[#This Row],[Date]],database!A:H,4,)</f>
        <v/>
      </c>
      <c r="C394" s="74">
        <f>B394/B393-1</f>
        <v/>
      </c>
      <c r="D394" s="74">
        <f>(Table16[[#This Row],[Index]]-B382)/B382</f>
        <v/>
      </c>
    </row>
    <row r="395">
      <c r="A395" s="19" t="n">
        <v>38108</v>
      </c>
      <c r="B395" s="61">
        <f>VLOOKUP(Table16[[#This Row],[Date]],database!A:H,4,)</f>
        <v/>
      </c>
      <c r="C395" s="74">
        <f>B395/B394-1</f>
        <v/>
      </c>
      <c r="D395" s="74">
        <f>(Table16[[#This Row],[Index]]-B383)/B383</f>
        <v/>
      </c>
    </row>
    <row r="396">
      <c r="A396" s="19" t="n">
        <v>38139</v>
      </c>
      <c r="B396" s="61">
        <f>VLOOKUP(Table16[[#This Row],[Date]],database!A:H,4,)</f>
        <v/>
      </c>
      <c r="C396" s="74">
        <f>B396/B395-1</f>
        <v/>
      </c>
      <c r="D396" s="74">
        <f>(Table16[[#This Row],[Index]]-B384)/B384</f>
        <v/>
      </c>
    </row>
    <row r="397">
      <c r="A397" s="19" t="n">
        <v>38169</v>
      </c>
      <c r="B397" s="61">
        <f>VLOOKUP(Table16[[#This Row],[Date]],database!A:H,4,)</f>
        <v/>
      </c>
      <c r="C397" s="74">
        <f>B397/B396-1</f>
        <v/>
      </c>
      <c r="D397" s="74">
        <f>(Table16[[#This Row],[Index]]-B385)/B385</f>
        <v/>
      </c>
    </row>
    <row r="398">
      <c r="A398" s="19" t="n">
        <v>38200</v>
      </c>
      <c r="B398" s="61">
        <f>VLOOKUP(Table16[[#This Row],[Date]],database!A:H,4,)</f>
        <v/>
      </c>
      <c r="C398" s="74">
        <f>B398/B397-1</f>
        <v/>
      </c>
      <c r="D398" s="74">
        <f>(Table16[[#This Row],[Index]]-B386)/B386</f>
        <v/>
      </c>
    </row>
    <row r="399">
      <c r="A399" s="19" t="n">
        <v>38231</v>
      </c>
      <c r="B399" s="61">
        <f>VLOOKUP(Table16[[#This Row],[Date]],database!A:H,4,)</f>
        <v/>
      </c>
      <c r="C399" s="74">
        <f>B399/B398-1</f>
        <v/>
      </c>
      <c r="D399" s="74">
        <f>(Table16[[#This Row],[Index]]-B387)/B387</f>
        <v/>
      </c>
    </row>
    <row r="400">
      <c r="A400" s="19" t="n">
        <v>38261</v>
      </c>
      <c r="B400" s="61">
        <f>VLOOKUP(Table16[[#This Row],[Date]],database!A:H,4,)</f>
        <v/>
      </c>
      <c r="C400" s="74">
        <f>B400/B399-1</f>
        <v/>
      </c>
      <c r="D400" s="74">
        <f>(Table16[[#This Row],[Index]]-B388)/B388</f>
        <v/>
      </c>
    </row>
    <row r="401">
      <c r="A401" s="19" t="n">
        <v>38292</v>
      </c>
      <c r="B401" s="61">
        <f>VLOOKUP(Table16[[#This Row],[Date]],database!A:H,4,)</f>
        <v/>
      </c>
      <c r="C401" s="74">
        <f>B401/B400-1</f>
        <v/>
      </c>
      <c r="D401" s="74">
        <f>(Table16[[#This Row],[Index]]-B389)/B389</f>
        <v/>
      </c>
    </row>
    <row r="402">
      <c r="A402" s="19" t="n">
        <v>38322</v>
      </c>
      <c r="B402" s="61">
        <f>VLOOKUP(Table16[[#This Row],[Date]],database!A:H,4,)</f>
        <v/>
      </c>
      <c r="C402" s="74">
        <f>B402/B401-1</f>
        <v/>
      </c>
      <c r="D402" s="74">
        <f>(Table16[[#This Row],[Index]]-B390)/B390</f>
        <v/>
      </c>
    </row>
    <row r="403">
      <c r="A403" s="19" t="n">
        <v>38353</v>
      </c>
      <c r="B403" s="61">
        <f>VLOOKUP(Table16[[#This Row],[Date]],database!A:H,4,)</f>
        <v/>
      </c>
      <c r="C403" s="74">
        <f>B403/B402-1</f>
        <v/>
      </c>
      <c r="D403" s="74">
        <f>(Table16[[#This Row],[Index]]-B391)/B391</f>
        <v/>
      </c>
    </row>
    <row r="404">
      <c r="A404" s="19" t="n">
        <v>38384</v>
      </c>
      <c r="B404" s="61">
        <f>VLOOKUP(Table16[[#This Row],[Date]],database!A:H,4,)</f>
        <v/>
      </c>
      <c r="C404" s="74">
        <f>B404/B403-1</f>
        <v/>
      </c>
      <c r="D404" s="74">
        <f>(Table16[[#This Row],[Index]]-B392)/B392</f>
        <v/>
      </c>
    </row>
    <row r="405">
      <c r="A405" s="19" t="n">
        <v>38412</v>
      </c>
      <c r="B405" s="61">
        <f>VLOOKUP(Table16[[#This Row],[Date]],database!A:H,4,)</f>
        <v/>
      </c>
      <c r="C405" s="74">
        <f>B405/B404-1</f>
        <v/>
      </c>
      <c r="D405" s="74">
        <f>(Table16[[#This Row],[Index]]-B393)/B393</f>
        <v/>
      </c>
    </row>
    <row r="406">
      <c r="A406" s="19" t="n">
        <v>38443</v>
      </c>
      <c r="B406" s="61">
        <f>VLOOKUP(Table16[[#This Row],[Date]],database!A:H,4,)</f>
        <v/>
      </c>
      <c r="C406" s="74">
        <f>B406/B405-1</f>
        <v/>
      </c>
      <c r="D406" s="74">
        <f>(Table16[[#This Row],[Index]]-B394)/B394</f>
        <v/>
      </c>
    </row>
    <row r="407">
      <c r="A407" s="19" t="n">
        <v>38473</v>
      </c>
      <c r="B407" s="61">
        <f>VLOOKUP(Table16[[#This Row],[Date]],database!A:H,4,)</f>
        <v/>
      </c>
      <c r="C407" s="74">
        <f>B407/B406-1</f>
        <v/>
      </c>
      <c r="D407" s="74">
        <f>(Table16[[#This Row],[Index]]-B395)/B395</f>
        <v/>
      </c>
    </row>
    <row r="408">
      <c r="A408" s="19" t="n">
        <v>38504</v>
      </c>
      <c r="B408" s="61">
        <f>VLOOKUP(Table16[[#This Row],[Date]],database!A:H,4,)</f>
        <v/>
      </c>
      <c r="C408" s="74">
        <f>B408/B407-1</f>
        <v/>
      </c>
      <c r="D408" s="74">
        <f>(Table16[[#This Row],[Index]]-B396)/B396</f>
        <v/>
      </c>
    </row>
    <row r="409">
      <c r="A409" s="19" t="n">
        <v>38534</v>
      </c>
      <c r="B409" s="61">
        <f>VLOOKUP(Table16[[#This Row],[Date]],database!A:H,4,)</f>
        <v/>
      </c>
      <c r="C409" s="74">
        <f>B409/B408-1</f>
        <v/>
      </c>
      <c r="D409" s="74">
        <f>(Table16[[#This Row],[Index]]-B397)/B397</f>
        <v/>
      </c>
    </row>
    <row r="410">
      <c r="A410" s="19" t="n">
        <v>38565</v>
      </c>
      <c r="B410" s="61">
        <f>VLOOKUP(Table16[[#This Row],[Date]],database!A:H,4,)</f>
        <v/>
      </c>
      <c r="C410" s="74">
        <f>B410/B409-1</f>
        <v/>
      </c>
      <c r="D410" s="74">
        <f>(Table16[[#This Row],[Index]]-B398)/B398</f>
        <v/>
      </c>
    </row>
    <row r="411">
      <c r="A411" s="19" t="n">
        <v>38596</v>
      </c>
      <c r="B411" s="61">
        <f>VLOOKUP(Table16[[#This Row],[Date]],database!A:H,4,)</f>
        <v/>
      </c>
      <c r="C411" s="74">
        <f>B411/B410-1</f>
        <v/>
      </c>
      <c r="D411" s="74">
        <f>(Table16[[#This Row],[Index]]-B399)/B399</f>
        <v/>
      </c>
    </row>
    <row r="412">
      <c r="A412" s="19" t="n">
        <v>38626</v>
      </c>
      <c r="B412" s="61">
        <f>VLOOKUP(Table16[[#This Row],[Date]],database!A:H,4,)</f>
        <v/>
      </c>
      <c r="C412" s="74">
        <f>B412/B411-1</f>
        <v/>
      </c>
      <c r="D412" s="74">
        <f>(Table16[[#This Row],[Index]]-B400)/B400</f>
        <v/>
      </c>
    </row>
    <row r="413">
      <c r="A413" s="19" t="n">
        <v>38657</v>
      </c>
      <c r="B413" s="61">
        <f>VLOOKUP(Table16[[#This Row],[Date]],database!A:H,4,)</f>
        <v/>
      </c>
      <c r="C413" s="74">
        <f>B413/B412-1</f>
        <v/>
      </c>
      <c r="D413" s="74">
        <f>(Table16[[#This Row],[Index]]-B401)/B401</f>
        <v/>
      </c>
    </row>
    <row r="414">
      <c r="A414" s="19" t="n">
        <v>38687</v>
      </c>
      <c r="B414" s="61">
        <f>VLOOKUP(Table16[[#This Row],[Date]],database!A:H,4,)</f>
        <v/>
      </c>
      <c r="C414" s="74">
        <f>B414/B413-1</f>
        <v/>
      </c>
      <c r="D414" s="74">
        <f>(Table16[[#This Row],[Index]]-B402)/B402</f>
        <v/>
      </c>
    </row>
    <row r="415">
      <c r="A415" s="19" t="n">
        <v>38718</v>
      </c>
      <c r="B415" s="61">
        <f>VLOOKUP(Table16[[#This Row],[Date]],database!A:H,4,)</f>
        <v/>
      </c>
      <c r="C415" s="74">
        <f>B415/B414-1</f>
        <v/>
      </c>
      <c r="D415" s="74">
        <f>(Table16[[#This Row],[Index]]-B403)/B403</f>
        <v/>
      </c>
    </row>
    <row r="416">
      <c r="A416" s="19" t="n">
        <v>38749</v>
      </c>
      <c r="B416" s="61">
        <f>VLOOKUP(Table16[[#This Row],[Date]],database!A:H,4,)</f>
        <v/>
      </c>
      <c r="C416" s="74">
        <f>B416/B415-1</f>
        <v/>
      </c>
      <c r="D416" s="74">
        <f>(Table16[[#This Row],[Index]]-B404)/B404</f>
        <v/>
      </c>
    </row>
    <row r="417">
      <c r="A417" s="19" t="n">
        <v>38777</v>
      </c>
      <c r="B417" s="61">
        <f>VLOOKUP(Table16[[#This Row],[Date]],database!A:H,4,)</f>
        <v/>
      </c>
      <c r="C417" s="74">
        <f>B417/B416-1</f>
        <v/>
      </c>
      <c r="D417" s="74">
        <f>(Table16[[#This Row],[Index]]-B405)/B405</f>
        <v/>
      </c>
    </row>
    <row r="418">
      <c r="A418" s="19" t="n">
        <v>38808</v>
      </c>
      <c r="B418" s="61">
        <f>VLOOKUP(Table16[[#This Row],[Date]],database!A:H,4,)</f>
        <v/>
      </c>
      <c r="C418" s="74">
        <f>B418/B417-1</f>
        <v/>
      </c>
      <c r="D418" s="74">
        <f>(Table16[[#This Row],[Index]]-B406)/B406</f>
        <v/>
      </c>
    </row>
    <row r="419">
      <c r="A419" s="19" t="n">
        <v>38838</v>
      </c>
      <c r="B419" s="61">
        <f>VLOOKUP(Table16[[#This Row],[Date]],database!A:H,4,)</f>
        <v/>
      </c>
      <c r="C419" s="74">
        <f>B419/B418-1</f>
        <v/>
      </c>
      <c r="D419" s="74">
        <f>(Table16[[#This Row],[Index]]-B407)/B407</f>
        <v/>
      </c>
    </row>
    <row r="420">
      <c r="A420" s="19" t="n">
        <v>38869</v>
      </c>
      <c r="B420" s="61">
        <f>VLOOKUP(Table16[[#This Row],[Date]],database!A:H,4,)</f>
        <v/>
      </c>
      <c r="C420" s="74">
        <f>B420/B419-1</f>
        <v/>
      </c>
      <c r="D420" s="74">
        <f>(Table16[[#This Row],[Index]]-B408)/B408</f>
        <v/>
      </c>
    </row>
    <row r="421">
      <c r="A421" s="19" t="n">
        <v>38899</v>
      </c>
      <c r="B421" s="61">
        <f>VLOOKUP(Table16[[#This Row],[Date]],database!A:H,4,)</f>
        <v/>
      </c>
      <c r="C421" s="74">
        <f>B421/B420-1</f>
        <v/>
      </c>
      <c r="D421" s="74">
        <f>(Table16[[#This Row],[Index]]-B409)/B409</f>
        <v/>
      </c>
    </row>
    <row r="422">
      <c r="A422" s="19" t="n">
        <v>38930</v>
      </c>
      <c r="B422" s="61">
        <f>VLOOKUP(Table16[[#This Row],[Date]],database!A:H,4,)</f>
        <v/>
      </c>
      <c r="C422" s="74">
        <f>B422/B421-1</f>
        <v/>
      </c>
      <c r="D422" s="74">
        <f>(Table16[[#This Row],[Index]]-B410)/B410</f>
        <v/>
      </c>
    </row>
    <row r="423">
      <c r="A423" s="19" t="n">
        <v>38961</v>
      </c>
      <c r="B423" s="61">
        <f>VLOOKUP(Table16[[#This Row],[Date]],database!A:H,4,)</f>
        <v/>
      </c>
      <c r="C423" s="74">
        <f>B423/B422-1</f>
        <v/>
      </c>
      <c r="D423" s="74">
        <f>(Table16[[#This Row],[Index]]-B411)/B411</f>
        <v/>
      </c>
    </row>
    <row r="424">
      <c r="A424" s="19" t="n">
        <v>38991</v>
      </c>
      <c r="B424" s="61">
        <f>VLOOKUP(Table16[[#This Row],[Date]],database!A:H,4,)</f>
        <v/>
      </c>
      <c r="C424" s="74">
        <f>B424/B423-1</f>
        <v/>
      </c>
      <c r="D424" s="74">
        <f>(Table16[[#This Row],[Index]]-B412)/B412</f>
        <v/>
      </c>
    </row>
    <row r="425">
      <c r="A425" s="19" t="n">
        <v>39022</v>
      </c>
      <c r="B425" s="61">
        <f>VLOOKUP(Table16[[#This Row],[Date]],database!A:H,4,)</f>
        <v/>
      </c>
      <c r="C425" s="74">
        <f>B425/B424-1</f>
        <v/>
      </c>
      <c r="D425" s="74">
        <f>(Table16[[#This Row],[Index]]-B413)/B413</f>
        <v/>
      </c>
    </row>
    <row r="426">
      <c r="A426" s="19" t="n">
        <v>39052</v>
      </c>
      <c r="B426" s="61">
        <f>VLOOKUP(Table16[[#This Row],[Date]],database!A:H,4,)</f>
        <v/>
      </c>
      <c r="C426" s="74">
        <f>B426/B425-1</f>
        <v/>
      </c>
      <c r="D426" s="74">
        <f>(Table16[[#This Row],[Index]]-B414)/B414</f>
        <v/>
      </c>
    </row>
    <row r="427">
      <c r="A427" s="19" t="n">
        <v>39083</v>
      </c>
      <c r="B427" s="61">
        <f>VLOOKUP(Table16[[#This Row],[Date]],database!A:H,4,)</f>
        <v/>
      </c>
      <c r="C427" s="74">
        <f>B427/B426-1</f>
        <v/>
      </c>
      <c r="D427" s="74">
        <f>(Table16[[#This Row],[Index]]-B415)/B415</f>
        <v/>
      </c>
    </row>
    <row r="428">
      <c r="A428" s="19" t="n">
        <v>39114</v>
      </c>
      <c r="B428" s="61">
        <f>VLOOKUP(Table16[[#This Row],[Date]],database!A:H,4,)</f>
        <v/>
      </c>
      <c r="C428" s="74">
        <f>B428/B427-1</f>
        <v/>
      </c>
      <c r="D428" s="74">
        <f>(Table16[[#This Row],[Index]]-B416)/B416</f>
        <v/>
      </c>
    </row>
    <row r="429">
      <c r="A429" s="19" t="n">
        <v>39142</v>
      </c>
      <c r="B429" s="61">
        <f>VLOOKUP(Table16[[#This Row],[Date]],database!A:H,4,)</f>
        <v/>
      </c>
      <c r="C429" s="74">
        <f>B429/B428-1</f>
        <v/>
      </c>
      <c r="D429" s="74">
        <f>(Table16[[#This Row],[Index]]-B417)/B417</f>
        <v/>
      </c>
    </row>
    <row r="430">
      <c r="A430" s="19" t="n">
        <v>39173</v>
      </c>
      <c r="B430" s="61">
        <f>VLOOKUP(Table16[[#This Row],[Date]],database!A:H,4,)</f>
        <v/>
      </c>
      <c r="C430" s="74">
        <f>B430/B429-1</f>
        <v/>
      </c>
      <c r="D430" s="74">
        <f>(Table16[[#This Row],[Index]]-B418)/B418</f>
        <v/>
      </c>
    </row>
    <row r="431">
      <c r="A431" s="19" t="n">
        <v>39203</v>
      </c>
      <c r="B431" s="61">
        <f>VLOOKUP(Table16[[#This Row],[Date]],database!A:H,4,)</f>
        <v/>
      </c>
      <c r="C431" s="74">
        <f>B431/B430-1</f>
        <v/>
      </c>
      <c r="D431" s="74">
        <f>(Table16[[#This Row],[Index]]-B419)/B419</f>
        <v/>
      </c>
    </row>
    <row r="432">
      <c r="A432" s="19" t="n">
        <v>39234</v>
      </c>
      <c r="B432" s="61">
        <f>VLOOKUP(Table16[[#This Row],[Date]],database!A:H,4,)</f>
        <v/>
      </c>
      <c r="C432" s="74">
        <f>B432/B431-1</f>
        <v/>
      </c>
      <c r="D432" s="74">
        <f>(Table16[[#This Row],[Index]]-B420)/B420</f>
        <v/>
      </c>
    </row>
    <row r="433">
      <c r="A433" s="19" t="n">
        <v>39264</v>
      </c>
      <c r="B433" s="61">
        <f>VLOOKUP(Table16[[#This Row],[Date]],database!A:H,4,)</f>
        <v/>
      </c>
      <c r="C433" s="74">
        <f>B433/B432-1</f>
        <v/>
      </c>
      <c r="D433" s="74">
        <f>(Table16[[#This Row],[Index]]-B421)/B421</f>
        <v/>
      </c>
    </row>
    <row r="434">
      <c r="A434" s="19" t="n">
        <v>39295</v>
      </c>
      <c r="B434" s="61">
        <f>VLOOKUP(Table16[[#This Row],[Date]],database!A:H,4,)</f>
        <v/>
      </c>
      <c r="C434" s="74">
        <f>B434/B433-1</f>
        <v/>
      </c>
      <c r="D434" s="74">
        <f>(Table16[[#This Row],[Index]]-B422)/B422</f>
        <v/>
      </c>
    </row>
    <row r="435">
      <c r="A435" s="19" t="n">
        <v>39326</v>
      </c>
      <c r="B435" s="61">
        <f>VLOOKUP(Table16[[#This Row],[Date]],database!A:H,4,)</f>
        <v/>
      </c>
      <c r="C435" s="74">
        <f>B435/B434-1</f>
        <v/>
      </c>
      <c r="D435" s="74">
        <f>(Table16[[#This Row],[Index]]-B423)/B423</f>
        <v/>
      </c>
    </row>
    <row r="436">
      <c r="A436" s="19" t="n">
        <v>39356</v>
      </c>
      <c r="B436" s="61">
        <f>VLOOKUP(Table16[[#This Row],[Date]],database!A:H,4,)</f>
        <v/>
      </c>
      <c r="C436" s="74">
        <f>B436/B435-1</f>
        <v/>
      </c>
      <c r="D436" s="74">
        <f>(Table16[[#This Row],[Index]]-B424)/B424</f>
        <v/>
      </c>
    </row>
    <row r="437">
      <c r="A437" s="19" t="n">
        <v>39387</v>
      </c>
      <c r="B437" s="61">
        <f>VLOOKUP(Table16[[#This Row],[Date]],database!A:H,4,)</f>
        <v/>
      </c>
      <c r="C437" s="74">
        <f>B437/B436-1</f>
        <v/>
      </c>
      <c r="D437" s="74">
        <f>(Table16[[#This Row],[Index]]-B425)/B425</f>
        <v/>
      </c>
    </row>
    <row r="438">
      <c r="A438" s="19" t="n">
        <v>39417</v>
      </c>
      <c r="B438" s="61">
        <f>VLOOKUP(Table16[[#This Row],[Date]],database!A:H,4,)</f>
        <v/>
      </c>
      <c r="C438" s="74">
        <f>B438/B437-1</f>
        <v/>
      </c>
      <c r="D438" s="74">
        <f>(Table16[[#This Row],[Index]]-B426)/B426</f>
        <v/>
      </c>
    </row>
    <row r="439">
      <c r="A439" s="19" t="n">
        <v>39448</v>
      </c>
      <c r="B439" s="61">
        <f>VLOOKUP(Table16[[#This Row],[Date]],database!A:H,4,)</f>
        <v/>
      </c>
      <c r="C439" s="74">
        <f>B439/B438-1</f>
        <v/>
      </c>
      <c r="D439" s="74">
        <f>(Table16[[#This Row],[Index]]-B427)/B427</f>
        <v/>
      </c>
    </row>
    <row r="440">
      <c r="A440" s="19" t="n">
        <v>39479</v>
      </c>
      <c r="B440" s="61">
        <f>VLOOKUP(Table16[[#This Row],[Date]],database!A:H,4,)</f>
        <v/>
      </c>
      <c r="C440" s="74">
        <f>B440/B439-1</f>
        <v/>
      </c>
      <c r="D440" s="74">
        <f>(Table16[[#This Row],[Index]]-B428)/B428</f>
        <v/>
      </c>
    </row>
    <row r="441">
      <c r="A441" s="19" t="n">
        <v>39508</v>
      </c>
      <c r="B441" s="61">
        <f>VLOOKUP(Table16[[#This Row],[Date]],database!A:H,4,)</f>
        <v/>
      </c>
      <c r="C441" s="74">
        <f>B441/B440-1</f>
        <v/>
      </c>
      <c r="D441" s="74">
        <f>(Table16[[#This Row],[Index]]-B429)/B429</f>
        <v/>
      </c>
    </row>
    <row r="442">
      <c r="A442" s="19" t="n">
        <v>39539</v>
      </c>
      <c r="B442" s="61">
        <f>VLOOKUP(Table16[[#This Row],[Date]],database!A:H,4,)</f>
        <v/>
      </c>
      <c r="C442" s="74">
        <f>B442/B441-1</f>
        <v/>
      </c>
      <c r="D442" s="74">
        <f>(Table16[[#This Row],[Index]]-B430)/B430</f>
        <v/>
      </c>
    </row>
    <row r="443">
      <c r="A443" s="19" t="n">
        <v>39569</v>
      </c>
      <c r="B443" s="61">
        <f>VLOOKUP(Table16[[#This Row],[Date]],database!A:H,4,)</f>
        <v/>
      </c>
      <c r="C443" s="74">
        <f>B443/B442-1</f>
        <v/>
      </c>
      <c r="D443" s="74">
        <f>(Table16[[#This Row],[Index]]-B431)/B431</f>
        <v/>
      </c>
    </row>
    <row r="444">
      <c r="A444" s="19" t="n">
        <v>39600</v>
      </c>
      <c r="B444" s="61">
        <f>VLOOKUP(Table16[[#This Row],[Date]],database!A:H,4,)</f>
        <v/>
      </c>
      <c r="C444" s="74">
        <f>B444/B443-1</f>
        <v/>
      </c>
      <c r="D444" s="74">
        <f>(Table16[[#This Row],[Index]]-B432)/B432</f>
        <v/>
      </c>
    </row>
    <row r="445">
      <c r="A445" s="19" t="n">
        <v>39630</v>
      </c>
      <c r="B445" s="61">
        <f>VLOOKUP(Table16[[#This Row],[Date]],database!A:H,4,)</f>
        <v/>
      </c>
      <c r="C445" s="74">
        <f>B445/B444-1</f>
        <v/>
      </c>
      <c r="D445" s="74">
        <f>(Table16[[#This Row],[Index]]-B433)/B433</f>
        <v/>
      </c>
    </row>
    <row r="446">
      <c r="A446" s="19" t="n">
        <v>39661</v>
      </c>
      <c r="B446" s="61">
        <f>VLOOKUP(Table16[[#This Row],[Date]],database!A:H,4,)</f>
        <v/>
      </c>
      <c r="C446" s="74">
        <f>B446/B445-1</f>
        <v/>
      </c>
      <c r="D446" s="74">
        <f>(Table16[[#This Row],[Index]]-B434)/B434</f>
        <v/>
      </c>
    </row>
    <row r="447">
      <c r="A447" s="19" t="n">
        <v>39692</v>
      </c>
      <c r="B447" s="61">
        <f>VLOOKUP(Table16[[#This Row],[Date]],database!A:H,4,)</f>
        <v/>
      </c>
      <c r="C447" s="74">
        <f>B447/B446-1</f>
        <v/>
      </c>
      <c r="D447" s="74">
        <f>(Table16[[#This Row],[Index]]-B435)/B435</f>
        <v/>
      </c>
    </row>
    <row r="448">
      <c r="A448" s="19" t="n">
        <v>39722</v>
      </c>
      <c r="B448" s="61">
        <f>VLOOKUP(Table16[[#This Row],[Date]],database!A:H,4,)</f>
        <v/>
      </c>
      <c r="C448" s="74">
        <f>B448/B447-1</f>
        <v/>
      </c>
      <c r="D448" s="74">
        <f>(Table16[[#This Row],[Index]]-B436)/B436</f>
        <v/>
      </c>
    </row>
    <row r="449">
      <c r="A449" s="19" t="n">
        <v>39753</v>
      </c>
      <c r="B449" s="61">
        <f>VLOOKUP(Table16[[#This Row],[Date]],database!A:H,4,)</f>
        <v/>
      </c>
      <c r="C449" s="74">
        <f>B449/B448-1</f>
        <v/>
      </c>
      <c r="D449" s="74">
        <f>(Table16[[#This Row],[Index]]-B437)/B437</f>
        <v/>
      </c>
    </row>
    <row r="450">
      <c r="A450" s="19" t="n">
        <v>39783</v>
      </c>
      <c r="B450" s="61">
        <f>VLOOKUP(Table16[[#This Row],[Date]],database!A:H,4,)</f>
        <v/>
      </c>
      <c r="C450" s="74">
        <f>B450/B449-1</f>
        <v/>
      </c>
      <c r="D450" s="74">
        <f>(Table16[[#This Row],[Index]]-B438)/B438</f>
        <v/>
      </c>
    </row>
    <row r="451">
      <c r="A451" s="19" t="n">
        <v>39814</v>
      </c>
      <c r="B451" s="61">
        <f>VLOOKUP(Table16[[#This Row],[Date]],database!A:H,4,)</f>
        <v/>
      </c>
      <c r="C451" s="74">
        <f>B451/B450-1</f>
        <v/>
      </c>
      <c r="D451" s="74">
        <f>(Table16[[#This Row],[Index]]-B439)/B439</f>
        <v/>
      </c>
    </row>
    <row r="452">
      <c r="A452" s="19" t="n">
        <v>39845</v>
      </c>
      <c r="B452" s="61">
        <f>VLOOKUP(Table16[[#This Row],[Date]],database!A:H,4,)</f>
        <v/>
      </c>
      <c r="C452" s="74">
        <f>B452/B451-1</f>
        <v/>
      </c>
      <c r="D452" s="74">
        <f>(Table16[[#This Row],[Index]]-B440)/B440</f>
        <v/>
      </c>
    </row>
    <row r="453">
      <c r="A453" s="19" t="n">
        <v>39873</v>
      </c>
      <c r="B453" s="61">
        <f>VLOOKUP(Table16[[#This Row],[Date]],database!A:H,4,)</f>
        <v/>
      </c>
      <c r="C453" s="74">
        <f>B453/B452-1</f>
        <v/>
      </c>
      <c r="D453" s="74">
        <f>(Table16[[#This Row],[Index]]-B441)/B441</f>
        <v/>
      </c>
    </row>
    <row r="454">
      <c r="A454" s="19" t="n">
        <v>39904</v>
      </c>
      <c r="B454" s="61">
        <f>VLOOKUP(Table16[[#This Row],[Date]],database!A:H,4,)</f>
        <v/>
      </c>
      <c r="C454" s="74">
        <f>B454/B453-1</f>
        <v/>
      </c>
      <c r="D454" s="74">
        <f>(Table16[[#This Row],[Index]]-B442)/B442</f>
        <v/>
      </c>
    </row>
    <row r="455">
      <c r="A455" s="19" t="n">
        <v>39934</v>
      </c>
      <c r="B455" s="61">
        <f>VLOOKUP(Table16[[#This Row],[Date]],database!A:H,4,)</f>
        <v/>
      </c>
      <c r="C455" s="74">
        <f>B455/B454-1</f>
        <v/>
      </c>
      <c r="D455" s="74">
        <f>(Table16[[#This Row],[Index]]-B443)/B443</f>
        <v/>
      </c>
    </row>
    <row r="456">
      <c r="A456" s="19" t="n">
        <v>39965</v>
      </c>
      <c r="B456" s="61">
        <f>VLOOKUP(Table16[[#This Row],[Date]],database!A:H,4,)</f>
        <v/>
      </c>
      <c r="C456" s="74">
        <f>B456/B455-1</f>
        <v/>
      </c>
      <c r="D456" s="74">
        <f>(Table16[[#This Row],[Index]]-B444)/B444</f>
        <v/>
      </c>
    </row>
    <row r="457">
      <c r="A457" s="19" t="n">
        <v>39995</v>
      </c>
      <c r="B457" s="61">
        <f>VLOOKUP(Table16[[#This Row],[Date]],database!A:H,4,)</f>
        <v/>
      </c>
      <c r="C457" s="74">
        <f>B457/B456-1</f>
        <v/>
      </c>
      <c r="D457" s="74">
        <f>(Table16[[#This Row],[Index]]-B445)/B445</f>
        <v/>
      </c>
    </row>
    <row r="458">
      <c r="A458" s="19" t="n">
        <v>40026</v>
      </c>
      <c r="B458" s="61">
        <f>VLOOKUP(Table16[[#This Row],[Date]],database!A:H,4,)</f>
        <v/>
      </c>
      <c r="C458" s="74">
        <f>B458/B457-1</f>
        <v/>
      </c>
      <c r="D458" s="74">
        <f>(Table16[[#This Row],[Index]]-B446)/B446</f>
        <v/>
      </c>
    </row>
    <row r="459">
      <c r="A459" s="19" t="n">
        <v>40057</v>
      </c>
      <c r="B459" s="61">
        <f>VLOOKUP(Table16[[#This Row],[Date]],database!A:H,4,)</f>
        <v/>
      </c>
      <c r="C459" s="74">
        <f>B459/B458-1</f>
        <v/>
      </c>
      <c r="D459" s="74">
        <f>(Table16[[#This Row],[Index]]-B447)/B447</f>
        <v/>
      </c>
    </row>
    <row r="460">
      <c r="A460" s="19" t="n">
        <v>40087</v>
      </c>
      <c r="B460" s="61">
        <f>VLOOKUP(Table16[[#This Row],[Date]],database!A:H,4,)</f>
        <v/>
      </c>
      <c r="C460" s="74">
        <f>B460/B459-1</f>
        <v/>
      </c>
      <c r="D460" s="74">
        <f>(Table16[[#This Row],[Index]]-B448)/B448</f>
        <v/>
      </c>
    </row>
    <row r="461">
      <c r="A461" s="19" t="n">
        <v>40118</v>
      </c>
      <c r="B461" s="61">
        <f>VLOOKUP(Table16[[#This Row],[Date]],database!A:H,4,)</f>
        <v/>
      </c>
      <c r="C461" s="74">
        <f>B461/B460-1</f>
        <v/>
      </c>
      <c r="D461" s="74">
        <f>(Table16[[#This Row],[Index]]-B449)/B449</f>
        <v/>
      </c>
    </row>
    <row r="462">
      <c r="A462" s="19" t="n">
        <v>40148</v>
      </c>
      <c r="B462" s="61">
        <f>VLOOKUP(Table16[[#This Row],[Date]],database!A:H,4,)</f>
        <v/>
      </c>
      <c r="C462" s="74">
        <f>B462/B461-1</f>
        <v/>
      </c>
      <c r="D462" s="74">
        <f>(Table16[[#This Row],[Index]]-B450)/B450</f>
        <v/>
      </c>
    </row>
    <row r="463">
      <c r="A463" s="19" t="n">
        <v>40179</v>
      </c>
      <c r="B463" s="61">
        <f>VLOOKUP(Table16[[#This Row],[Date]],database!A:H,4,)</f>
        <v/>
      </c>
      <c r="C463" s="74">
        <f>B463/B462-1</f>
        <v/>
      </c>
      <c r="D463" s="74">
        <f>(Table16[[#This Row],[Index]]-B451)/B451</f>
        <v/>
      </c>
    </row>
    <row r="464">
      <c r="A464" s="19" t="n">
        <v>40210</v>
      </c>
      <c r="B464" s="61">
        <f>VLOOKUP(Table16[[#This Row],[Date]],database!A:H,4,)</f>
        <v/>
      </c>
      <c r="C464" s="74">
        <f>B464/B463-1</f>
        <v/>
      </c>
      <c r="D464" s="74">
        <f>(Table16[[#This Row],[Index]]-B452)/B452</f>
        <v/>
      </c>
    </row>
    <row r="465">
      <c r="A465" s="19" t="n">
        <v>40238</v>
      </c>
      <c r="B465" s="61">
        <f>VLOOKUP(Table16[[#This Row],[Date]],database!A:H,4,)</f>
        <v/>
      </c>
      <c r="C465" s="74">
        <f>B465/B464-1</f>
        <v/>
      </c>
      <c r="D465" s="74">
        <f>(Table16[[#This Row],[Index]]-B453)/B453</f>
        <v/>
      </c>
    </row>
    <row r="466">
      <c r="A466" s="19" t="n">
        <v>40269</v>
      </c>
      <c r="B466" s="61">
        <f>VLOOKUP(Table16[[#This Row],[Date]],database!A:H,4,)</f>
        <v/>
      </c>
      <c r="C466" s="74">
        <f>B466/B465-1</f>
        <v/>
      </c>
      <c r="D466" s="74">
        <f>(Table16[[#This Row],[Index]]-B454)/B454</f>
        <v/>
      </c>
    </row>
    <row r="467">
      <c r="A467" s="19" t="n">
        <v>40299</v>
      </c>
      <c r="B467" s="61">
        <f>VLOOKUP(Table16[[#This Row],[Date]],database!A:H,4,)</f>
        <v/>
      </c>
      <c r="C467" s="74">
        <f>B467/B466-1</f>
        <v/>
      </c>
      <c r="D467" s="74">
        <f>(Table16[[#This Row],[Index]]-B455)/B455</f>
        <v/>
      </c>
    </row>
    <row r="468">
      <c r="A468" s="19" t="n">
        <v>40330</v>
      </c>
      <c r="B468" s="61">
        <f>VLOOKUP(Table16[[#This Row],[Date]],database!A:H,4,)</f>
        <v/>
      </c>
      <c r="C468" s="74">
        <f>B468/B467-1</f>
        <v/>
      </c>
      <c r="D468" s="74">
        <f>(Table16[[#This Row],[Index]]-B456)/B456</f>
        <v/>
      </c>
    </row>
    <row r="469">
      <c r="A469" s="19" t="n">
        <v>40360</v>
      </c>
      <c r="B469" s="61">
        <f>VLOOKUP(Table16[[#This Row],[Date]],database!A:H,4,)</f>
        <v/>
      </c>
      <c r="C469" s="74">
        <f>B469/B468-1</f>
        <v/>
      </c>
      <c r="D469" s="74">
        <f>(Table16[[#This Row],[Index]]-B457)/B457</f>
        <v/>
      </c>
    </row>
    <row r="470">
      <c r="A470" s="19" t="n">
        <v>40391</v>
      </c>
      <c r="B470" s="61">
        <f>VLOOKUP(Table16[[#This Row],[Date]],database!A:H,4,)</f>
        <v/>
      </c>
      <c r="C470" s="74">
        <f>B470/B469-1</f>
        <v/>
      </c>
      <c r="D470" s="74">
        <f>(Table16[[#This Row],[Index]]-B458)/B458</f>
        <v/>
      </c>
    </row>
    <row r="471">
      <c r="A471" s="19" t="n">
        <v>40422</v>
      </c>
      <c r="B471" s="61">
        <f>VLOOKUP(Table16[[#This Row],[Date]],database!A:H,4,)</f>
        <v/>
      </c>
      <c r="C471" s="74">
        <f>B471/B470-1</f>
        <v/>
      </c>
      <c r="D471" s="74">
        <f>(Table16[[#This Row],[Index]]-B459)/B459</f>
        <v/>
      </c>
    </row>
    <row r="472">
      <c r="A472" s="19" t="n">
        <v>40452</v>
      </c>
      <c r="B472" s="61">
        <f>VLOOKUP(Table16[[#This Row],[Date]],database!A:H,4,)</f>
        <v/>
      </c>
      <c r="C472" s="74">
        <f>B472/B471-1</f>
        <v/>
      </c>
      <c r="D472" s="74">
        <f>(Table16[[#This Row],[Index]]-B460)/B460</f>
        <v/>
      </c>
    </row>
    <row r="473">
      <c r="A473" s="19" t="n">
        <v>40483</v>
      </c>
      <c r="B473" s="61">
        <f>VLOOKUP(Table16[[#This Row],[Date]],database!A:H,4,)</f>
        <v/>
      </c>
      <c r="C473" s="74">
        <f>B473/B472-1</f>
        <v/>
      </c>
      <c r="D473" s="74">
        <f>(Table16[[#This Row],[Index]]-B461)/B461</f>
        <v/>
      </c>
    </row>
    <row r="474">
      <c r="A474" s="19" t="n">
        <v>40513</v>
      </c>
      <c r="B474" s="61">
        <f>VLOOKUP(Table16[[#This Row],[Date]],database!A:H,4,)</f>
        <v/>
      </c>
      <c r="C474" s="74">
        <f>B474/B473-1</f>
        <v/>
      </c>
      <c r="D474" s="74">
        <f>(Table16[[#This Row],[Index]]-B462)/B462</f>
        <v/>
      </c>
    </row>
    <row r="475">
      <c r="A475" s="19" t="n">
        <v>40544</v>
      </c>
      <c r="B475" s="61">
        <f>VLOOKUP(Table16[[#This Row],[Date]],database!A:H,4,)</f>
        <v/>
      </c>
      <c r="C475" s="74">
        <f>B475/B474-1</f>
        <v/>
      </c>
      <c r="D475" s="74">
        <f>(Table16[[#This Row],[Index]]-B463)/B463</f>
        <v/>
      </c>
    </row>
    <row r="476">
      <c r="A476" s="19" t="n">
        <v>40575</v>
      </c>
      <c r="B476" s="61">
        <f>VLOOKUP(Table16[[#This Row],[Date]],database!A:H,4,)</f>
        <v/>
      </c>
      <c r="C476" s="74">
        <f>B476/B475-1</f>
        <v/>
      </c>
      <c r="D476" s="74">
        <f>(Table16[[#This Row],[Index]]-B464)/B464</f>
        <v/>
      </c>
    </row>
    <row r="477">
      <c r="A477" s="19" t="n">
        <v>40603</v>
      </c>
      <c r="B477" s="61">
        <f>VLOOKUP(Table16[[#This Row],[Date]],database!A:H,4,)</f>
        <v/>
      </c>
      <c r="C477" s="74">
        <f>B477/B476-1</f>
        <v/>
      </c>
      <c r="D477" s="74">
        <f>(Table16[[#This Row],[Index]]-B465)/B465</f>
        <v/>
      </c>
    </row>
    <row r="478">
      <c r="A478" s="19" t="n">
        <v>40634</v>
      </c>
      <c r="B478" s="61">
        <f>VLOOKUP(Table16[[#This Row],[Date]],database!A:H,4,)</f>
        <v/>
      </c>
      <c r="C478" s="75">
        <f>B478/B477-1</f>
        <v/>
      </c>
      <c r="D478" s="74">
        <f>(Table16[[#This Row],[Index]]-B466)/B466</f>
        <v/>
      </c>
    </row>
    <row r="479">
      <c r="A479" s="19" t="n">
        <v>40664</v>
      </c>
      <c r="B479" s="61">
        <f>VLOOKUP(Table16[[#This Row],[Date]],database!A:H,4,)</f>
        <v/>
      </c>
      <c r="C479" s="74">
        <f>B479/B478-1</f>
        <v/>
      </c>
      <c r="D479" s="74">
        <f>(Table16[[#This Row],[Index]]-B467)/B467</f>
        <v/>
      </c>
    </row>
    <row r="480">
      <c r="A480" s="19" t="n">
        <v>40695</v>
      </c>
      <c r="B480" s="61">
        <f>VLOOKUP(Table16[[#This Row],[Date]],database!A:H,4,)</f>
        <v/>
      </c>
      <c r="C480" s="74">
        <f>B480/B479-1</f>
        <v/>
      </c>
      <c r="D480" s="74">
        <f>(Table16[[#This Row],[Index]]-B468)/B468</f>
        <v/>
      </c>
    </row>
    <row r="481">
      <c r="A481" s="19" t="n">
        <v>40725</v>
      </c>
      <c r="B481" s="61">
        <f>VLOOKUP(Table16[[#This Row],[Date]],database!A:H,4,)</f>
        <v/>
      </c>
      <c r="C481" s="74">
        <f>B481/B480-1</f>
        <v/>
      </c>
      <c r="D481" s="74">
        <f>(Table16[[#This Row],[Index]]-B469)/B469</f>
        <v/>
      </c>
    </row>
    <row r="482">
      <c r="A482" s="19" t="n">
        <v>40756</v>
      </c>
      <c r="B482" s="61">
        <f>VLOOKUP(Table16[[#This Row],[Date]],database!A:H,4,)</f>
        <v/>
      </c>
      <c r="C482" s="74">
        <f>B482/B481-1</f>
        <v/>
      </c>
      <c r="D482" s="74">
        <f>(Table16[[#This Row],[Index]]-B470)/B470</f>
        <v/>
      </c>
    </row>
    <row r="483">
      <c r="A483" s="19" t="n">
        <v>40787</v>
      </c>
      <c r="B483" s="61">
        <f>VLOOKUP(Table16[[#This Row],[Date]],database!A:H,4,)</f>
        <v/>
      </c>
      <c r="C483" s="74">
        <f>B483/B482-1</f>
        <v/>
      </c>
      <c r="D483" s="74">
        <f>(Table16[[#This Row],[Index]]-B471)/B471</f>
        <v/>
      </c>
    </row>
    <row r="484">
      <c r="A484" s="19" t="n">
        <v>40817</v>
      </c>
      <c r="B484" s="61">
        <f>VLOOKUP(Table16[[#This Row],[Date]],database!A:H,4,)</f>
        <v/>
      </c>
      <c r="C484" s="74">
        <f>B484/B483-1</f>
        <v/>
      </c>
      <c r="D484" s="74">
        <f>(Table16[[#This Row],[Index]]-B472)/B472</f>
        <v/>
      </c>
    </row>
    <row r="485">
      <c r="A485" s="19" t="n">
        <v>40848</v>
      </c>
      <c r="B485" s="61">
        <f>VLOOKUP(Table16[[#This Row],[Date]],database!A:H,4,)</f>
        <v/>
      </c>
      <c r="C485" s="74">
        <f>B485/B484-1</f>
        <v/>
      </c>
      <c r="D485" s="74">
        <f>(Table16[[#This Row],[Index]]-B473)/B473</f>
        <v/>
      </c>
    </row>
    <row r="486">
      <c r="A486" s="19" t="n">
        <v>40878</v>
      </c>
      <c r="B486" s="61">
        <f>VLOOKUP(Table16[[#This Row],[Date]],database!A:H,4,)</f>
        <v/>
      </c>
      <c r="C486" s="74">
        <f>B486/B485-1</f>
        <v/>
      </c>
      <c r="D486" s="74">
        <f>(Table16[[#This Row],[Index]]-B474)/B474</f>
        <v/>
      </c>
    </row>
    <row r="487">
      <c r="A487" s="19" t="n">
        <v>40909</v>
      </c>
      <c r="B487" s="61">
        <f>VLOOKUP(Table16[[#This Row],[Date]],database!A:H,4,)</f>
        <v/>
      </c>
      <c r="C487" s="74">
        <f>B487/B486-1</f>
        <v/>
      </c>
      <c r="D487" s="74">
        <f>(Table16[[#This Row],[Index]]-B475)/B475</f>
        <v/>
      </c>
    </row>
    <row r="488">
      <c r="A488" s="19" t="n">
        <v>40940</v>
      </c>
      <c r="B488" s="61">
        <f>VLOOKUP(Table16[[#This Row],[Date]],database!A:H,4,)</f>
        <v/>
      </c>
      <c r="C488" s="74">
        <f>B488/B487-1</f>
        <v/>
      </c>
      <c r="D488" s="74">
        <f>(Table16[[#This Row],[Index]]-B476)/B476</f>
        <v/>
      </c>
    </row>
    <row r="489">
      <c r="A489" s="19" t="n">
        <v>40969</v>
      </c>
      <c r="B489" s="61">
        <f>VLOOKUP(Table16[[#This Row],[Date]],database!A:H,4,)</f>
        <v/>
      </c>
      <c r="C489" s="74">
        <f>B489/B488-1</f>
        <v/>
      </c>
      <c r="D489" s="74">
        <f>(Table16[[#This Row],[Index]]-B477)/B477</f>
        <v/>
      </c>
    </row>
    <row r="490">
      <c r="A490" s="19" t="n">
        <v>41000</v>
      </c>
      <c r="B490" s="61">
        <f>VLOOKUP(Table16[[#This Row],[Date]],database!A:H,4,)</f>
        <v/>
      </c>
      <c r="C490" s="74">
        <f>B490/B489-1</f>
        <v/>
      </c>
      <c r="D490" s="74">
        <f>(Table16[[#This Row],[Index]]-B478)/B478</f>
        <v/>
      </c>
    </row>
    <row r="491">
      <c r="A491" s="19" t="n">
        <v>41030</v>
      </c>
      <c r="B491" s="61">
        <f>VLOOKUP(Table16[[#This Row],[Date]],database!A:H,4,)</f>
        <v/>
      </c>
      <c r="C491" s="74">
        <f>B491/B490-1</f>
        <v/>
      </c>
      <c r="D491" s="74">
        <f>(Table16[[#This Row],[Index]]-B479)/B479</f>
        <v/>
      </c>
    </row>
    <row r="492">
      <c r="A492" s="19" t="n">
        <v>41061</v>
      </c>
      <c r="B492" s="61">
        <f>VLOOKUP(Table16[[#This Row],[Date]],database!A:H,4,)</f>
        <v/>
      </c>
      <c r="C492" s="74">
        <f>B492/B491-1</f>
        <v/>
      </c>
      <c r="D492" s="74">
        <f>(Table16[[#This Row],[Index]]-B480)/B480</f>
        <v/>
      </c>
    </row>
    <row r="493">
      <c r="A493" s="19" t="n">
        <v>41091</v>
      </c>
      <c r="B493" s="61">
        <f>VLOOKUP(Table16[[#This Row],[Date]],database!A:H,4,)</f>
        <v/>
      </c>
      <c r="C493" s="74">
        <f>B493/B492-1</f>
        <v/>
      </c>
      <c r="D493" s="74">
        <f>(Table16[[#This Row],[Index]]-B481)/B481</f>
        <v/>
      </c>
    </row>
    <row r="494">
      <c r="A494" s="19" t="n">
        <v>41122</v>
      </c>
      <c r="B494" s="61">
        <f>VLOOKUP(Table16[[#This Row],[Date]],database!A:H,4,)</f>
        <v/>
      </c>
      <c r="C494" s="74">
        <f>B494/B493-1</f>
        <v/>
      </c>
      <c r="D494" s="74">
        <f>(Table16[[#This Row],[Index]]-B482)/B482</f>
        <v/>
      </c>
    </row>
    <row r="495">
      <c r="A495" s="19" t="n">
        <v>41153</v>
      </c>
      <c r="B495" s="61">
        <f>VLOOKUP(Table16[[#This Row],[Date]],database!A:H,4,)</f>
        <v/>
      </c>
      <c r="C495" s="74">
        <f>B495/B494-1</f>
        <v/>
      </c>
      <c r="D495" s="74">
        <f>(Table16[[#This Row],[Index]]-B483)/B483</f>
        <v/>
      </c>
    </row>
    <row r="496">
      <c r="A496" s="19" t="n">
        <v>41183</v>
      </c>
      <c r="B496" s="61">
        <f>VLOOKUP(Table16[[#This Row],[Date]],database!A:H,4,)</f>
        <v/>
      </c>
      <c r="C496" s="74">
        <f>B496/B495-1</f>
        <v/>
      </c>
      <c r="D496" s="74">
        <f>(Table16[[#This Row],[Index]]-B484)/B484</f>
        <v/>
      </c>
    </row>
    <row r="497">
      <c r="A497" s="19" t="n">
        <v>41214</v>
      </c>
      <c r="B497" s="61">
        <f>VLOOKUP(Table16[[#This Row],[Date]],database!A:H,4,)</f>
        <v/>
      </c>
      <c r="C497" s="74">
        <f>B497/B496-1</f>
        <v/>
      </c>
      <c r="D497" s="74">
        <f>(Table16[[#This Row],[Index]]-B485)/B485</f>
        <v/>
      </c>
    </row>
    <row r="498">
      <c r="A498" s="19" t="n">
        <v>41244</v>
      </c>
      <c r="B498" s="61">
        <f>VLOOKUP(Table16[[#This Row],[Date]],database!A:H,4,)</f>
        <v/>
      </c>
      <c r="C498" s="74">
        <f>B498/B497-1</f>
        <v/>
      </c>
      <c r="D498" s="74">
        <f>(Table16[[#This Row],[Index]]-B486)/B486</f>
        <v/>
      </c>
    </row>
    <row r="499">
      <c r="A499" s="19" t="n">
        <v>41275</v>
      </c>
      <c r="B499" s="61">
        <f>VLOOKUP(Table16[[#This Row],[Date]],database!A:H,4,)</f>
        <v/>
      </c>
      <c r="C499" s="74">
        <f>B499/B498-1</f>
        <v/>
      </c>
      <c r="D499" s="74">
        <f>(Table16[[#This Row],[Index]]-B487)/B487</f>
        <v/>
      </c>
    </row>
    <row r="500">
      <c r="A500" s="19" t="n">
        <v>41306</v>
      </c>
      <c r="B500" s="61">
        <f>VLOOKUP(Table16[[#This Row],[Date]],database!A:H,4,)</f>
        <v/>
      </c>
      <c r="C500" s="74">
        <f>B500/B499-1</f>
        <v/>
      </c>
      <c r="D500" s="74">
        <f>(Table16[[#This Row],[Index]]-B488)/B488</f>
        <v/>
      </c>
    </row>
    <row r="501">
      <c r="A501" s="19" t="n">
        <v>41334</v>
      </c>
      <c r="B501" s="61">
        <f>VLOOKUP(Table16[[#This Row],[Date]],database!A:H,4,)</f>
        <v/>
      </c>
      <c r="C501" s="74">
        <f>B501/B500-1</f>
        <v/>
      </c>
      <c r="D501" s="74">
        <f>(Table16[[#This Row],[Index]]-B489)/B489</f>
        <v/>
      </c>
    </row>
    <row r="502">
      <c r="A502" s="19" t="n">
        <v>41365</v>
      </c>
      <c r="B502" s="61">
        <f>VLOOKUP(Table16[[#This Row],[Date]],database!A:H,4,)</f>
        <v/>
      </c>
      <c r="C502" s="74">
        <f>B502/B501-1</f>
        <v/>
      </c>
      <c r="D502" s="74">
        <f>(Table16[[#This Row],[Index]]-B490)/B490</f>
        <v/>
      </c>
    </row>
    <row r="503">
      <c r="A503" s="19" t="n">
        <v>41395</v>
      </c>
      <c r="B503" s="61">
        <f>VLOOKUP(Table16[[#This Row],[Date]],database!A:H,4,)</f>
        <v/>
      </c>
      <c r="C503" s="74">
        <f>B503/B502-1</f>
        <v/>
      </c>
      <c r="D503" s="74">
        <f>(Table16[[#This Row],[Index]]-B491)/B491</f>
        <v/>
      </c>
    </row>
    <row r="504">
      <c r="A504" s="19" t="n">
        <v>41426</v>
      </c>
      <c r="B504" s="61">
        <f>VLOOKUP(Table16[[#This Row],[Date]],database!A:H,4,)</f>
        <v/>
      </c>
      <c r="C504" s="74">
        <f>B504/B503-1</f>
        <v/>
      </c>
      <c r="D504" s="74">
        <f>(Table16[[#This Row],[Index]]-B492)/B492</f>
        <v/>
      </c>
    </row>
    <row r="505">
      <c r="A505" s="19" t="n">
        <v>41456</v>
      </c>
      <c r="B505" s="61">
        <f>VLOOKUP(Table16[[#This Row],[Date]],database!A:H,4,)</f>
        <v/>
      </c>
      <c r="C505" s="74">
        <f>B505/B504-1</f>
        <v/>
      </c>
      <c r="D505" s="74">
        <f>(Table16[[#This Row],[Index]]-B493)/B493</f>
        <v/>
      </c>
    </row>
    <row r="506">
      <c r="A506" s="19" t="n">
        <v>41487</v>
      </c>
      <c r="B506" s="61">
        <f>VLOOKUP(Table16[[#This Row],[Date]],database!A:H,4,)</f>
        <v/>
      </c>
      <c r="C506" s="74">
        <f>B506/B505-1</f>
        <v/>
      </c>
      <c r="D506" s="74">
        <f>(Table16[[#This Row],[Index]]-B494)/B494</f>
        <v/>
      </c>
    </row>
    <row r="507">
      <c r="A507" s="19" t="n">
        <v>41518</v>
      </c>
      <c r="B507" s="61">
        <f>VLOOKUP(Table16[[#This Row],[Date]],database!A:H,4,)</f>
        <v/>
      </c>
      <c r="C507" s="74">
        <f>B507/B506-1</f>
        <v/>
      </c>
      <c r="D507" s="74">
        <f>(Table16[[#This Row],[Index]]-B495)/B495</f>
        <v/>
      </c>
    </row>
    <row r="508">
      <c r="A508" s="19" t="n">
        <v>41548</v>
      </c>
      <c r="B508" s="61">
        <f>VLOOKUP(Table16[[#This Row],[Date]],database!A:H,4,)</f>
        <v/>
      </c>
      <c r="C508" s="74">
        <f>B508/B507-1</f>
        <v/>
      </c>
      <c r="D508" s="74">
        <f>(Table16[[#This Row],[Index]]-B496)/B496</f>
        <v/>
      </c>
    </row>
    <row r="509">
      <c r="A509" s="19" t="n">
        <v>41579</v>
      </c>
      <c r="B509" s="61">
        <f>VLOOKUP(Table16[[#This Row],[Date]],database!A:H,4,)</f>
        <v/>
      </c>
      <c r="C509" s="74">
        <f>B509/B508-1</f>
        <v/>
      </c>
      <c r="D509" s="74">
        <f>(Table16[[#This Row],[Index]]-B497)/B497</f>
        <v/>
      </c>
    </row>
    <row r="510">
      <c r="A510" s="19" t="n">
        <v>41609</v>
      </c>
      <c r="B510" s="61">
        <f>VLOOKUP(Table16[[#This Row],[Date]],database!A:H,4,)</f>
        <v/>
      </c>
      <c r="C510" s="74">
        <f>B510/B509-1</f>
        <v/>
      </c>
      <c r="D510" s="74">
        <f>(Table16[[#This Row],[Index]]-B498)/B498</f>
        <v/>
      </c>
    </row>
    <row r="511">
      <c r="A511" s="19" t="n">
        <v>41640</v>
      </c>
      <c r="B511" s="61">
        <f>VLOOKUP(Table16[[#This Row],[Date]],database!A:H,4,)</f>
        <v/>
      </c>
      <c r="C511" s="74">
        <f>B511/B510-1</f>
        <v/>
      </c>
      <c r="D511" s="74">
        <f>(Table16[[#This Row],[Index]]-B499)/B499</f>
        <v/>
      </c>
    </row>
    <row r="512">
      <c r="A512" s="19" t="n">
        <v>41671</v>
      </c>
      <c r="B512" s="61">
        <f>VLOOKUP(Table16[[#This Row],[Date]],database!A:H,4,)</f>
        <v/>
      </c>
      <c r="C512" s="74">
        <f>B512/B511-1</f>
        <v/>
      </c>
      <c r="D512" s="74">
        <f>(Table16[[#This Row],[Index]]-B500)/B500</f>
        <v/>
      </c>
    </row>
    <row r="513">
      <c r="A513" s="19" t="n">
        <v>41699</v>
      </c>
      <c r="B513" s="61">
        <f>VLOOKUP(Table16[[#This Row],[Date]],database!A:H,4,)</f>
        <v/>
      </c>
      <c r="C513" s="74">
        <f>B513/B512-1</f>
        <v/>
      </c>
      <c r="D513" s="74">
        <f>(Table16[[#This Row],[Index]]-B501)/B501</f>
        <v/>
      </c>
    </row>
    <row r="514">
      <c r="A514" s="19" t="n">
        <v>41730</v>
      </c>
      <c r="B514" s="61">
        <f>VLOOKUP(Table16[[#This Row],[Date]],database!A:H,4,)</f>
        <v/>
      </c>
      <c r="C514" s="74">
        <f>B514/B513-1</f>
        <v/>
      </c>
      <c r="D514" s="74">
        <f>(Table16[[#This Row],[Index]]-B502)/B502</f>
        <v/>
      </c>
    </row>
    <row r="515">
      <c r="A515" s="19" t="n">
        <v>41760</v>
      </c>
      <c r="B515" s="61">
        <f>VLOOKUP(Table16[[#This Row],[Date]],database!A:H,4,)</f>
        <v/>
      </c>
      <c r="C515" s="74">
        <f>B515/B514-1</f>
        <v/>
      </c>
      <c r="D515" s="74">
        <f>(Table16[[#This Row],[Index]]-B503)/B503</f>
        <v/>
      </c>
    </row>
    <row r="516">
      <c r="A516" s="19" t="n">
        <v>41791</v>
      </c>
      <c r="B516" s="61">
        <f>VLOOKUP(Table16[[#This Row],[Date]],database!A:H,4,)</f>
        <v/>
      </c>
      <c r="C516" s="74">
        <f>B516/B515-1</f>
        <v/>
      </c>
      <c r="D516" s="74">
        <f>(Table16[[#This Row],[Index]]-B504)/B504</f>
        <v/>
      </c>
    </row>
    <row r="517">
      <c r="A517" s="19" t="n">
        <v>41821</v>
      </c>
      <c r="B517" s="61">
        <f>VLOOKUP(Table16[[#This Row],[Date]],database!A:H,4,)</f>
        <v/>
      </c>
      <c r="C517" s="74">
        <f>B517/B516-1</f>
        <v/>
      </c>
      <c r="D517" s="74">
        <f>(Table16[[#This Row],[Index]]-B505)/B505</f>
        <v/>
      </c>
    </row>
    <row r="518">
      <c r="A518" s="19" t="n">
        <v>41852</v>
      </c>
      <c r="B518" s="61">
        <f>VLOOKUP(Table16[[#This Row],[Date]],database!A:H,4,)</f>
        <v/>
      </c>
      <c r="C518" s="74">
        <f>B518/B517-1</f>
        <v/>
      </c>
      <c r="D518" s="74">
        <f>(Table16[[#This Row],[Index]]-B506)/B506</f>
        <v/>
      </c>
    </row>
    <row r="519">
      <c r="A519" s="19" t="n">
        <v>41883</v>
      </c>
      <c r="B519" s="61">
        <f>VLOOKUP(Table16[[#This Row],[Date]],database!A:H,4,)</f>
        <v/>
      </c>
      <c r="C519" s="74">
        <f>B519/B518-1</f>
        <v/>
      </c>
      <c r="D519" s="74">
        <f>(Table16[[#This Row],[Index]]-B507)/B507</f>
        <v/>
      </c>
    </row>
    <row r="520">
      <c r="A520" s="19" t="n">
        <v>41913</v>
      </c>
      <c r="B520" s="61">
        <f>VLOOKUP(Table16[[#This Row],[Date]],database!A:H,4,)</f>
        <v/>
      </c>
      <c r="C520" s="74">
        <f>B520/B519-1</f>
        <v/>
      </c>
      <c r="D520" s="74">
        <f>(Table16[[#This Row],[Index]]-B508)/B508</f>
        <v/>
      </c>
    </row>
    <row r="521">
      <c r="A521" s="19" t="n">
        <v>41944</v>
      </c>
      <c r="B521" s="61">
        <f>VLOOKUP(Table16[[#This Row],[Date]],database!A:H,4,)</f>
        <v/>
      </c>
      <c r="C521" s="75">
        <f>B521/B520-1</f>
        <v/>
      </c>
      <c r="D521" s="74">
        <f>(Table16[[#This Row],[Index]]-B509)/B509</f>
        <v/>
      </c>
    </row>
    <row r="522">
      <c r="A522" s="19" t="n">
        <v>41974</v>
      </c>
      <c r="B522" s="61">
        <f>VLOOKUP(Table16[[#This Row],[Date]],database!A:H,4,)</f>
        <v/>
      </c>
      <c r="C522" s="74">
        <f>B522/B521-1</f>
        <v/>
      </c>
      <c r="D522" s="74">
        <f>(Table16[[#This Row],[Index]]-B510)/B510</f>
        <v/>
      </c>
    </row>
    <row r="523">
      <c r="A523" s="19" t="n">
        <v>42005</v>
      </c>
      <c r="B523" s="61">
        <f>VLOOKUP(Table16[[#This Row],[Date]],database!A:H,4,)</f>
        <v/>
      </c>
      <c r="C523" s="75">
        <f>B523/B522-1</f>
        <v/>
      </c>
      <c r="D523" s="74">
        <f>(Table16[[#This Row],[Index]]-B511)/B511</f>
        <v/>
      </c>
    </row>
    <row r="524">
      <c r="A524" s="19" t="n">
        <v>42036</v>
      </c>
      <c r="B524" s="61">
        <f>VLOOKUP(Table16[[#This Row],[Date]],database!A:H,4,)</f>
        <v/>
      </c>
      <c r="C524" s="74">
        <f>B524/B523-1</f>
        <v/>
      </c>
      <c r="D524" s="74">
        <f>(Table16[[#This Row],[Index]]-B512)/B512</f>
        <v/>
      </c>
    </row>
    <row r="525">
      <c r="A525" s="19" t="n">
        <v>42064</v>
      </c>
      <c r="B525" s="61">
        <f>VLOOKUP(Table16[[#This Row],[Date]],database!A:H,4,)</f>
        <v/>
      </c>
      <c r="C525" s="75">
        <f>B525/B524-1</f>
        <v/>
      </c>
      <c r="D525" s="74">
        <f>(Table16[[#This Row],[Index]]-B513)/B513</f>
        <v/>
      </c>
    </row>
    <row r="526">
      <c r="A526" s="19" t="n">
        <v>42095</v>
      </c>
      <c r="B526" s="61">
        <f>VLOOKUP(Table16[[#This Row],[Date]],database!A:H,4,)</f>
        <v/>
      </c>
      <c r="C526" s="74">
        <f>B526/B525-1</f>
        <v/>
      </c>
      <c r="D526" s="74">
        <f>(Table16[[#This Row],[Index]]-B514)/B514</f>
        <v/>
      </c>
    </row>
    <row r="527">
      <c r="A527" s="19" t="n">
        <v>42125</v>
      </c>
      <c r="B527" s="61">
        <f>VLOOKUP(Table16[[#This Row],[Date]],database!A:H,4,)</f>
        <v/>
      </c>
      <c r="C527" s="74">
        <f>B527/B526-1</f>
        <v/>
      </c>
      <c r="D527" s="74">
        <f>(Table16[[#This Row],[Index]]-B515)/B515</f>
        <v/>
      </c>
    </row>
    <row r="528">
      <c r="A528" s="19" t="n">
        <v>42156</v>
      </c>
      <c r="B528" s="61">
        <f>VLOOKUP(Table16[[#This Row],[Date]],database!A:H,4,)</f>
        <v/>
      </c>
      <c r="C528" s="74">
        <f>B528/B527-1</f>
        <v/>
      </c>
      <c r="D528" s="74">
        <f>(Table16[[#This Row],[Index]]-B516)/B516</f>
        <v/>
      </c>
    </row>
    <row r="529">
      <c r="A529" s="19" t="n">
        <v>42186</v>
      </c>
      <c r="B529" s="61">
        <f>VLOOKUP(Table16[[#This Row],[Date]],database!A:H,4,)</f>
        <v/>
      </c>
      <c r="C529" s="74">
        <f>B529/B528-1</f>
        <v/>
      </c>
      <c r="D529" s="74">
        <f>(Table16[[#This Row],[Index]]-B517)/B517</f>
        <v/>
      </c>
    </row>
    <row r="530">
      <c r="A530" s="19" t="n">
        <v>42217</v>
      </c>
      <c r="B530" s="61">
        <f>VLOOKUP(Table16[[#This Row],[Date]],database!A:H,4,)</f>
        <v/>
      </c>
      <c r="C530" s="74">
        <f>B530/B529-1</f>
        <v/>
      </c>
      <c r="D530" s="74">
        <f>(Table16[[#This Row],[Index]]-B518)/B518</f>
        <v/>
      </c>
    </row>
    <row r="531">
      <c r="A531" s="19" t="n">
        <v>42248</v>
      </c>
      <c r="B531" s="61">
        <f>VLOOKUP(Table16[[#This Row],[Date]],database!A:H,4,)</f>
        <v/>
      </c>
      <c r="C531" s="74">
        <f>B531/B530-1</f>
        <v/>
      </c>
      <c r="D531" s="74">
        <f>(Table16[[#This Row],[Index]]-B519)/B519</f>
        <v/>
      </c>
    </row>
    <row r="532">
      <c r="A532" s="19" t="n">
        <v>42278</v>
      </c>
      <c r="B532" s="61">
        <f>VLOOKUP(Table16[[#This Row],[Date]],database!A:H,4,)</f>
        <v/>
      </c>
      <c r="C532" s="74">
        <f>B532/B531-1</f>
        <v/>
      </c>
      <c r="D532" s="74">
        <f>(Table16[[#This Row],[Index]]-B520)/B520</f>
        <v/>
      </c>
    </row>
    <row r="533">
      <c r="A533" s="19" t="n">
        <v>42309</v>
      </c>
      <c r="B533" s="61">
        <f>VLOOKUP(Table16[[#This Row],[Date]],database!A:H,4,)</f>
        <v/>
      </c>
      <c r="C533" s="74">
        <f>B533/B532-1</f>
        <v/>
      </c>
      <c r="D533" s="74">
        <f>(Table16[[#This Row],[Index]]-B521)/B521</f>
        <v/>
      </c>
    </row>
    <row r="534">
      <c r="A534" s="19" t="n">
        <v>42339</v>
      </c>
      <c r="B534" s="61">
        <f>VLOOKUP(Table16[[#This Row],[Date]],database!A:H,4,)</f>
        <v/>
      </c>
      <c r="C534" s="74">
        <f>B534/B533-1</f>
        <v/>
      </c>
      <c r="D534" s="74">
        <f>(Table16[[#This Row],[Index]]-B522)/B522</f>
        <v/>
      </c>
    </row>
    <row r="535">
      <c r="A535" s="19" t="n">
        <v>42370</v>
      </c>
      <c r="B535" s="61">
        <f>VLOOKUP(Table16[[#This Row],[Date]],database!A:H,4,)</f>
        <v/>
      </c>
      <c r="C535" s="74">
        <f>B535/B534-1</f>
        <v/>
      </c>
      <c r="D535" s="74">
        <f>(Table16[[#This Row],[Index]]-B523)/B523</f>
        <v/>
      </c>
    </row>
    <row r="536">
      <c r="A536" s="19" t="n">
        <v>42401</v>
      </c>
      <c r="B536" s="61">
        <f>VLOOKUP(Table16[[#This Row],[Date]],database!A:H,4,)</f>
        <v/>
      </c>
      <c r="C536" s="74">
        <f>B536/B535-1</f>
        <v/>
      </c>
      <c r="D536" s="74">
        <f>(Table16[[#This Row],[Index]]-B524)/B524</f>
        <v/>
      </c>
    </row>
    <row r="537">
      <c r="A537" s="19" t="n">
        <v>42430</v>
      </c>
      <c r="B537" s="61">
        <f>VLOOKUP(Table16[[#This Row],[Date]],database!A:H,4,)</f>
        <v/>
      </c>
      <c r="C537" s="74">
        <f>B537/B536-1</f>
        <v/>
      </c>
      <c r="D537" s="74">
        <f>(Table16[[#This Row],[Index]]-B525)/B525</f>
        <v/>
      </c>
    </row>
    <row r="538">
      <c r="A538" s="19" t="n">
        <v>42461</v>
      </c>
      <c r="B538" s="61">
        <f>VLOOKUP(Table16[[#This Row],[Date]],database!A:H,4,)</f>
        <v/>
      </c>
      <c r="C538" s="74">
        <f>B538/B537-1</f>
        <v/>
      </c>
      <c r="D538" s="74">
        <f>(Table16[[#This Row],[Index]]-B526)/B526</f>
        <v/>
      </c>
    </row>
    <row r="539">
      <c r="A539" s="19" t="n">
        <v>42491</v>
      </c>
      <c r="B539" s="61">
        <f>VLOOKUP(Table16[[#This Row],[Date]],database!A:H,4,)</f>
        <v/>
      </c>
      <c r="C539" s="74">
        <f>B539/B538-1</f>
        <v/>
      </c>
      <c r="D539" s="74">
        <f>(Table16[[#This Row],[Index]]-B527)/B527</f>
        <v/>
      </c>
    </row>
    <row r="540">
      <c r="A540" s="19" t="n">
        <v>42522</v>
      </c>
      <c r="B540" s="61">
        <f>VLOOKUP(Table16[[#This Row],[Date]],database!A:H,4,)</f>
        <v/>
      </c>
      <c r="C540" s="74">
        <f>B540/B539-1</f>
        <v/>
      </c>
      <c r="D540" s="74">
        <f>(Table16[[#This Row],[Index]]-B528)/B528</f>
        <v/>
      </c>
    </row>
    <row r="541">
      <c r="A541" s="19" t="n">
        <v>42552</v>
      </c>
      <c r="B541" s="61">
        <f>VLOOKUP(Table16[[#This Row],[Date]],database!A:H,4,)</f>
        <v/>
      </c>
      <c r="C541" s="74">
        <f>B541/B540-1</f>
        <v/>
      </c>
      <c r="D541" s="74">
        <f>(Table16[[#This Row],[Index]]-B529)/B529</f>
        <v/>
      </c>
    </row>
    <row r="542">
      <c r="A542" s="19" t="n">
        <v>42583</v>
      </c>
      <c r="B542" s="61">
        <f>VLOOKUP(Table16[[#This Row],[Date]],database!A:H,4,)</f>
        <v/>
      </c>
      <c r="C542" s="74">
        <f>B542/B541-1</f>
        <v/>
      </c>
      <c r="D542" s="74">
        <f>(Table16[[#This Row],[Index]]-B530)/B530</f>
        <v/>
      </c>
    </row>
    <row r="543">
      <c r="A543" s="19" t="n">
        <v>42614</v>
      </c>
      <c r="B543" s="61">
        <f>VLOOKUP(Table16[[#This Row],[Date]],database!A:H,4,)</f>
        <v/>
      </c>
      <c r="C543" s="74">
        <f>B543/B542-1</f>
        <v/>
      </c>
      <c r="D543" s="74">
        <f>(Table16[[#This Row],[Index]]-B531)/B531</f>
        <v/>
      </c>
    </row>
    <row r="544">
      <c r="A544" s="19" t="n">
        <v>42644</v>
      </c>
      <c r="B544" s="61">
        <f>VLOOKUP(Table16[[#This Row],[Date]],database!A:H,4,)</f>
        <v/>
      </c>
      <c r="C544" s="74">
        <f>B544/B543-1</f>
        <v/>
      </c>
      <c r="D544" s="74">
        <f>(Table16[[#This Row],[Index]]-B532)/B532</f>
        <v/>
      </c>
    </row>
    <row r="545">
      <c r="A545" s="19" t="n">
        <v>42675</v>
      </c>
      <c r="B545" s="61">
        <f>VLOOKUP(Table16[[#This Row],[Date]],database!A:H,4,)</f>
        <v/>
      </c>
      <c r="C545" s="74">
        <f>B545/B544-1</f>
        <v/>
      </c>
      <c r="D545" s="74">
        <f>(Table16[[#This Row],[Index]]-B533)/B533</f>
        <v/>
      </c>
    </row>
    <row r="546">
      <c r="A546" s="19" t="n">
        <v>42705</v>
      </c>
      <c r="B546" s="61">
        <f>VLOOKUP(Table16[[#This Row],[Date]],database!A:H,4,)</f>
        <v/>
      </c>
      <c r="C546" s="74">
        <f>B546/B545-1</f>
        <v/>
      </c>
      <c r="D546" s="74">
        <f>(Table16[[#This Row],[Index]]-B534)/B534</f>
        <v/>
      </c>
    </row>
    <row r="547">
      <c r="A547" s="19" t="n">
        <v>42736</v>
      </c>
      <c r="B547" s="61">
        <f>VLOOKUP(Table16[[#This Row],[Date]],database!A:H,4,)</f>
        <v/>
      </c>
      <c r="C547" s="74">
        <f>B547/B546-1</f>
        <v/>
      </c>
      <c r="D547" s="74">
        <f>(Table16[[#This Row],[Index]]-B535)/B535</f>
        <v/>
      </c>
    </row>
    <row r="548">
      <c r="A548" s="19" t="n">
        <v>42767</v>
      </c>
      <c r="B548" s="61">
        <f>VLOOKUP(Table16[[#This Row],[Date]],database!A:H,4,)</f>
        <v/>
      </c>
      <c r="C548" s="74">
        <f>B548/B547-1</f>
        <v/>
      </c>
      <c r="D548" s="74">
        <f>(Table16[[#This Row],[Index]]-B536)/B536</f>
        <v/>
      </c>
    </row>
    <row r="549">
      <c r="A549" s="19" t="n">
        <v>42795</v>
      </c>
      <c r="B549" s="61">
        <f>VLOOKUP(Table16[[#This Row],[Date]],database!A:H,4,)</f>
        <v/>
      </c>
      <c r="C549" s="74">
        <f>B549/B548-1</f>
        <v/>
      </c>
      <c r="D549" s="74">
        <f>(Table16[[#This Row],[Index]]-B537)/B537</f>
        <v/>
      </c>
    </row>
    <row r="550">
      <c r="A550" s="19" t="n">
        <v>42826</v>
      </c>
      <c r="B550" s="61">
        <f>VLOOKUP(Table16[[#This Row],[Date]],database!A:H,4,)</f>
        <v/>
      </c>
      <c r="C550" s="74">
        <f>B550/B549-1</f>
        <v/>
      </c>
      <c r="D550" s="74">
        <f>(Table16[[#This Row],[Index]]-B538)/B538</f>
        <v/>
      </c>
    </row>
    <row r="551">
      <c r="A551" s="19" t="n">
        <v>42856</v>
      </c>
      <c r="B551" s="61">
        <f>VLOOKUP(Table16[[#This Row],[Date]],database!A:H,4,)</f>
        <v/>
      </c>
      <c r="C551" s="74">
        <f>B551/B550-1</f>
        <v/>
      </c>
      <c r="D551" s="74">
        <f>(Table16[[#This Row],[Index]]-B539)/B539</f>
        <v/>
      </c>
    </row>
    <row r="552">
      <c r="A552" s="19" t="n">
        <v>42887</v>
      </c>
      <c r="B552" s="61">
        <f>VLOOKUP(Table16[[#This Row],[Date]],database!A:H,4,)</f>
        <v/>
      </c>
      <c r="C552" s="74">
        <f>B552/B551-1</f>
        <v/>
      </c>
      <c r="D552" s="74">
        <f>(Table16[[#This Row],[Index]]-B540)/B540</f>
        <v/>
      </c>
    </row>
    <row r="553">
      <c r="A553" s="19" t="n">
        <v>42917</v>
      </c>
      <c r="B553" s="61">
        <f>VLOOKUP(Table16[[#This Row],[Date]],database!A:H,4,)</f>
        <v/>
      </c>
      <c r="C553" s="74">
        <f>B553/B552-1</f>
        <v/>
      </c>
      <c r="D553" s="74">
        <f>(Table16[[#This Row],[Index]]-B541)/B541</f>
        <v/>
      </c>
    </row>
    <row r="554">
      <c r="A554" s="19" t="n">
        <v>42948</v>
      </c>
      <c r="B554" s="61">
        <f>VLOOKUP(Table16[[#This Row],[Date]],database!A:H,4,)</f>
        <v/>
      </c>
      <c r="C554" s="74">
        <f>B554/B553-1</f>
        <v/>
      </c>
      <c r="D554" s="74">
        <f>(Table16[[#This Row],[Index]]-B542)/B542</f>
        <v/>
      </c>
    </row>
    <row r="555">
      <c r="A555" s="19" t="n">
        <v>42979</v>
      </c>
      <c r="B555" s="61">
        <f>VLOOKUP(Table16[[#This Row],[Date]],database!A:H,4,)</f>
        <v/>
      </c>
      <c r="C555" s="74">
        <f>B555/B554-1</f>
        <v/>
      </c>
      <c r="D555" s="74">
        <f>(Table16[[#This Row],[Index]]-B543)/B543</f>
        <v/>
      </c>
    </row>
    <row r="556">
      <c r="A556" s="19" t="n">
        <v>43009</v>
      </c>
      <c r="B556" s="61">
        <f>VLOOKUP(Table16[[#This Row],[Date]],database!A:H,4,)</f>
        <v/>
      </c>
      <c r="C556" s="74">
        <f>B556/B555-1</f>
        <v/>
      </c>
      <c r="D556" s="74">
        <f>(Table16[[#This Row],[Index]]-B544)/B544</f>
        <v/>
      </c>
    </row>
    <row r="557">
      <c r="A557" s="19" t="n">
        <v>43040</v>
      </c>
      <c r="B557" s="61">
        <f>VLOOKUP(Table16[[#This Row],[Date]],database!A:H,4,)</f>
        <v/>
      </c>
      <c r="C557" s="74">
        <f>B557/B556-1</f>
        <v/>
      </c>
      <c r="D557" s="74">
        <f>(Table16[[#This Row],[Index]]-B545)/B545</f>
        <v/>
      </c>
    </row>
    <row r="558">
      <c r="A558" s="19" t="n">
        <v>43070</v>
      </c>
      <c r="B558" s="61">
        <f>VLOOKUP(Table16[[#This Row],[Date]],database!A:H,4,)</f>
        <v/>
      </c>
      <c r="C558" s="74">
        <f>B558/B557-1</f>
        <v/>
      </c>
      <c r="D558" s="74">
        <f>(Table16[[#This Row],[Index]]-B546)/B546</f>
        <v/>
      </c>
    </row>
    <row r="559">
      <c r="A559" s="19" t="n">
        <v>43101</v>
      </c>
      <c r="B559" s="61">
        <f>VLOOKUP(Table16[[#This Row],[Date]],database!A:H,4,)</f>
        <v/>
      </c>
      <c r="C559" s="74">
        <f>B559/B558-1</f>
        <v/>
      </c>
      <c r="D559" s="74">
        <f>(Table16[[#This Row],[Index]]-B547)/B547</f>
        <v/>
      </c>
    </row>
    <row r="560">
      <c r="A560" s="19" t="n">
        <v>43132</v>
      </c>
      <c r="B560" s="61">
        <f>VLOOKUP(Table16[[#This Row],[Date]],database!A:H,4,)</f>
        <v/>
      </c>
      <c r="C560" s="74">
        <f>B560/B559-1</f>
        <v/>
      </c>
      <c r="D560" s="74">
        <f>(Table16[[#This Row],[Index]]-B548)/B548</f>
        <v/>
      </c>
    </row>
    <row r="561">
      <c r="A561" s="19" t="n">
        <v>43160</v>
      </c>
      <c r="B561" s="61">
        <f>VLOOKUP(Table16[[#This Row],[Date]],database!A:H,4,)</f>
        <v/>
      </c>
      <c r="C561" s="74">
        <f>B561/B560-1</f>
        <v/>
      </c>
      <c r="D561" s="74">
        <f>(Table16[[#This Row],[Index]]-B549)/B549</f>
        <v/>
      </c>
    </row>
    <row r="562">
      <c r="A562" s="19" t="n">
        <v>43191</v>
      </c>
      <c r="B562" s="61">
        <f>VLOOKUP(Table16[[#This Row],[Date]],database!A:H,4,)</f>
        <v/>
      </c>
      <c r="C562" s="74">
        <f>B562/B561-1</f>
        <v/>
      </c>
      <c r="D562" s="74">
        <f>(Table16[[#This Row],[Index]]-B550)/B550</f>
        <v/>
      </c>
    </row>
    <row r="563">
      <c r="A563" s="19" t="n">
        <v>43221</v>
      </c>
      <c r="B563" s="61">
        <f>VLOOKUP(Table16[[#This Row],[Date]],database!A:H,4,)</f>
        <v/>
      </c>
      <c r="C563" s="74">
        <f>B563/B562-1</f>
        <v/>
      </c>
      <c r="D563" s="74">
        <f>(Table16[[#This Row],[Index]]-B551)/B551</f>
        <v/>
      </c>
    </row>
    <row r="564">
      <c r="A564" s="19" t="n">
        <v>43252</v>
      </c>
      <c r="B564" s="61">
        <f>VLOOKUP(Table16[[#This Row],[Date]],database!A:H,4,)</f>
        <v/>
      </c>
      <c r="C564" s="74">
        <f>B564/B563-1</f>
        <v/>
      </c>
      <c r="D564" s="74">
        <f>(Table16[[#This Row],[Index]]-B552)/B552</f>
        <v/>
      </c>
    </row>
    <row r="565">
      <c r="A565" s="19" t="n">
        <v>43282</v>
      </c>
      <c r="B565" s="61">
        <f>VLOOKUP(Table16[[#This Row],[Date]],database!A:H,4,)</f>
        <v/>
      </c>
      <c r="C565" s="74">
        <f>B565/B564-1</f>
        <v/>
      </c>
      <c r="D565" s="74">
        <f>(Table16[[#This Row],[Index]]-B553)/B553</f>
        <v/>
      </c>
    </row>
    <row r="566">
      <c r="A566" s="19" t="n">
        <v>43313</v>
      </c>
      <c r="B566" s="61">
        <f>VLOOKUP(Table16[[#This Row],[Date]],database!A:H,4,)</f>
        <v/>
      </c>
      <c r="C566" s="74">
        <f>B566/B565-1</f>
        <v/>
      </c>
      <c r="D566" s="74">
        <f>(Table16[[#This Row],[Index]]-B554)/B554</f>
        <v/>
      </c>
    </row>
    <row r="567">
      <c r="A567" s="19" t="n">
        <v>43344</v>
      </c>
      <c r="B567" s="61">
        <f>VLOOKUP(Table16[[#This Row],[Date]],database!A:H,4,)</f>
        <v/>
      </c>
      <c r="C567" s="74">
        <f>B567/B566-1</f>
        <v/>
      </c>
      <c r="D567" s="74">
        <f>(Table16[[#This Row],[Index]]-B555)/B555</f>
        <v/>
      </c>
    </row>
    <row r="568">
      <c r="A568" s="19" t="n">
        <v>43374</v>
      </c>
      <c r="B568" s="61">
        <f>VLOOKUP(Table16[[#This Row],[Date]],database!A:H,4,)</f>
        <v/>
      </c>
      <c r="C568" s="74">
        <f>B568/B567-1</f>
        <v/>
      </c>
      <c r="D568" s="74">
        <f>(Table16[[#This Row],[Index]]-B556)/B556</f>
        <v/>
      </c>
    </row>
    <row r="569">
      <c r="A569" s="19" t="n">
        <v>43405</v>
      </c>
      <c r="B569" s="61">
        <f>VLOOKUP(Table16[[#This Row],[Date]],database!A:H,4,)</f>
        <v/>
      </c>
      <c r="C569" s="74">
        <f>B569/B568-1</f>
        <v/>
      </c>
      <c r="D569" s="74">
        <f>(Table16[[#This Row],[Index]]-B557)/B557</f>
        <v/>
      </c>
    </row>
    <row r="570">
      <c r="A570" s="19" t="n">
        <v>43435</v>
      </c>
      <c r="B570" s="61">
        <f>VLOOKUP(Table16[[#This Row],[Date]],database!A:H,4,)</f>
        <v/>
      </c>
      <c r="C570" s="74">
        <f>B570/B569-1</f>
        <v/>
      </c>
      <c r="D570" s="74">
        <f>(Table16[[#This Row],[Index]]-B558)/B558</f>
        <v/>
      </c>
    </row>
    <row r="571">
      <c r="A571" s="19" t="n">
        <v>43466</v>
      </c>
      <c r="B571" s="61">
        <f>VLOOKUP(Table16[[#This Row],[Date]],database!A:H,4,)</f>
        <v/>
      </c>
      <c r="C571" s="74">
        <f>B571/B570-1</f>
        <v/>
      </c>
      <c r="D571" s="74">
        <f>(Table16[[#This Row],[Index]]-B559)/B559</f>
        <v/>
      </c>
    </row>
    <row r="572">
      <c r="A572" s="19" t="n">
        <v>43497</v>
      </c>
      <c r="B572" s="61">
        <f>VLOOKUP(Table16[[#This Row],[Date]],database!A:H,4,)</f>
        <v/>
      </c>
      <c r="C572" s="74">
        <f>B572/B571-1</f>
        <v/>
      </c>
      <c r="D572" s="74">
        <f>(Table16[[#This Row],[Index]]-B560)/B560</f>
        <v/>
      </c>
    </row>
    <row r="573">
      <c r="A573" s="19" t="n">
        <v>43525</v>
      </c>
      <c r="B573" s="61">
        <f>VLOOKUP(Table16[[#This Row],[Date]],database!A:H,4,)</f>
        <v/>
      </c>
      <c r="C573" s="74">
        <f>B573/B572-1</f>
        <v/>
      </c>
      <c r="D573" s="74">
        <f>(Table16[[#This Row],[Index]]-B561)/B561</f>
        <v/>
      </c>
    </row>
    <row r="574">
      <c r="A574" s="19" t="n">
        <v>43556</v>
      </c>
      <c r="B574" s="61">
        <f>VLOOKUP(Table16[[#This Row],[Date]],database!A:H,4,)</f>
        <v/>
      </c>
      <c r="C574" s="74">
        <f>B574/B573-1</f>
        <v/>
      </c>
      <c r="D574" s="74">
        <f>(Table16[[#This Row],[Index]]-B562)/B562</f>
        <v/>
      </c>
    </row>
    <row r="575">
      <c r="A575" s="19" t="n">
        <v>43586</v>
      </c>
      <c r="B575" s="61">
        <f>VLOOKUP(Table16[[#This Row],[Date]],database!A:H,4,)</f>
        <v/>
      </c>
      <c r="C575" s="74">
        <f>B575/B574-1</f>
        <v/>
      </c>
      <c r="D575" s="74">
        <f>(Table16[[#This Row],[Index]]-B563)/B563</f>
        <v/>
      </c>
    </row>
    <row r="576">
      <c r="A576" s="19" t="n">
        <v>43617</v>
      </c>
      <c r="B576" s="61">
        <f>VLOOKUP(Table16[[#This Row],[Date]],database!A:H,4,)</f>
        <v/>
      </c>
      <c r="C576" s="74">
        <f>B576/B575-1</f>
        <v/>
      </c>
      <c r="D576" s="74">
        <f>(Table16[[#This Row],[Index]]-B564)/B564</f>
        <v/>
      </c>
    </row>
    <row r="577">
      <c r="A577" s="19" t="n">
        <v>43647</v>
      </c>
      <c r="B577" s="61">
        <f>VLOOKUP(Table16[[#This Row],[Date]],database!A:H,4,)</f>
        <v/>
      </c>
      <c r="C577" s="74">
        <f>B577/B576-1</f>
        <v/>
      </c>
      <c r="D577" s="74">
        <f>(Table16[[#This Row],[Index]]-B565)/B565</f>
        <v/>
      </c>
    </row>
    <row r="578">
      <c r="A578" s="19" t="n">
        <v>43678</v>
      </c>
      <c r="B578" s="61">
        <f>VLOOKUP(Table16[[#This Row],[Date]],database!A:H,4,)</f>
        <v/>
      </c>
      <c r="C578" s="74">
        <f>B578/B577-1</f>
        <v/>
      </c>
      <c r="D578" s="74">
        <f>(Table16[[#This Row],[Index]]-B566)/B566</f>
        <v/>
      </c>
    </row>
    <row r="579">
      <c r="A579" s="19" t="n">
        <v>43709</v>
      </c>
      <c r="B579" s="61">
        <f>VLOOKUP(Table16[[#This Row],[Date]],database!A:H,4,)</f>
        <v/>
      </c>
      <c r="C579" s="74">
        <f>B579/B578-1</f>
        <v/>
      </c>
      <c r="D579" s="74">
        <f>(Table16[[#This Row],[Index]]-B567)/B567</f>
        <v/>
      </c>
    </row>
    <row r="580">
      <c r="A580" s="19" t="n">
        <v>43739</v>
      </c>
      <c r="B580" s="61">
        <f>VLOOKUP(Table16[[#This Row],[Date]],database!A:H,4,)</f>
        <v/>
      </c>
      <c r="C580" s="74">
        <f>B580/B579-1</f>
        <v/>
      </c>
      <c r="D580" s="74">
        <f>(Table16[[#This Row],[Index]]-B568)/B568</f>
        <v/>
      </c>
    </row>
    <row r="581">
      <c r="A581" s="19" t="n">
        <v>43770</v>
      </c>
      <c r="B581" s="61">
        <f>VLOOKUP(Table16[[#This Row],[Date]],database!A:H,4,)</f>
        <v/>
      </c>
      <c r="C581" s="74">
        <f>B581/B580-1</f>
        <v/>
      </c>
      <c r="D581" s="74">
        <f>(Table16[[#This Row],[Index]]-B569)/B569</f>
        <v/>
      </c>
    </row>
    <row r="582">
      <c r="A582" s="19" t="n">
        <v>43800</v>
      </c>
      <c r="B582" s="61">
        <f>VLOOKUP(Table16[[#This Row],[Date]],database!A:H,4,)</f>
        <v/>
      </c>
      <c r="C582" s="74">
        <f>B582/B581-1</f>
        <v/>
      </c>
      <c r="D582" s="74">
        <f>(Table16[[#This Row],[Index]]-B570)/B570</f>
        <v/>
      </c>
    </row>
    <row r="583">
      <c r="A583" s="19" t="n">
        <v>43831</v>
      </c>
      <c r="B583" s="61">
        <f>VLOOKUP(Table16[[#This Row],[Date]],database!A:H,4,)</f>
        <v/>
      </c>
      <c r="C583" s="74">
        <f>B583/B582-1</f>
        <v/>
      </c>
      <c r="D583" s="74">
        <f>(Table16[[#This Row],[Index]]-B571)/B571</f>
        <v/>
      </c>
    </row>
    <row r="584">
      <c r="A584" s="19" t="n">
        <v>43862</v>
      </c>
      <c r="B584" s="61">
        <f>VLOOKUP(Table16[[#This Row],[Date]],database!A:H,4,)</f>
        <v/>
      </c>
      <c r="C584" s="74">
        <f>B584/B583-1</f>
        <v/>
      </c>
      <c r="D584" s="74">
        <f>(Table16[[#This Row],[Index]]-B572)/B572</f>
        <v/>
      </c>
    </row>
    <row r="585">
      <c r="A585" s="19" t="n">
        <v>43891</v>
      </c>
      <c r="B585" s="61">
        <f>VLOOKUP(Table16[[#This Row],[Date]],database!A:H,4,)</f>
        <v/>
      </c>
      <c r="C585" s="74">
        <f>B585/B584-1</f>
        <v/>
      </c>
      <c r="D585" s="74">
        <f>(Table16[[#This Row],[Index]]-B573)/B573</f>
        <v/>
      </c>
    </row>
    <row r="586">
      <c r="A586" s="19" t="n">
        <v>43922</v>
      </c>
      <c r="B586" s="61">
        <f>VLOOKUP(Table16[[#This Row],[Date]],database!A:H,4,)</f>
        <v/>
      </c>
      <c r="C586" s="74">
        <f>B586/B585-1</f>
        <v/>
      </c>
      <c r="D586" s="74">
        <f>(Table16[[#This Row],[Index]]-B574)/B574</f>
        <v/>
      </c>
    </row>
    <row r="587">
      <c r="A587" s="19" t="n">
        <v>43952</v>
      </c>
      <c r="B587" s="61">
        <f>VLOOKUP(Table16[[#This Row],[Date]],database!A:H,4,)</f>
        <v/>
      </c>
      <c r="C587" s="74">
        <f>B587/B586-1</f>
        <v/>
      </c>
      <c r="D587" s="74">
        <f>(Table16[[#This Row],[Index]]-B575)/B575</f>
        <v/>
      </c>
    </row>
    <row r="588">
      <c r="A588" s="19" t="n">
        <v>43983</v>
      </c>
      <c r="B588" s="61">
        <f>VLOOKUP(Table16[[#This Row],[Date]],database!A:H,4,)</f>
        <v/>
      </c>
      <c r="C588" s="74">
        <f>B588/B587-1</f>
        <v/>
      </c>
      <c r="D588" s="74">
        <f>(Table16[[#This Row],[Index]]-B576)/B576</f>
        <v/>
      </c>
    </row>
    <row r="589">
      <c r="A589" s="19" t="n">
        <v>44013</v>
      </c>
      <c r="B589" s="61">
        <f>VLOOKUP(Table16[[#This Row],[Date]],database!A:H,4,)</f>
        <v/>
      </c>
      <c r="C589" s="74">
        <f>B589/B588-1</f>
        <v/>
      </c>
      <c r="D589" s="74">
        <f>(Table16[[#This Row],[Index]]-B577)/B577</f>
        <v/>
      </c>
    </row>
    <row r="590">
      <c r="A590" s="19" t="n">
        <v>44044</v>
      </c>
      <c r="B590" s="61">
        <f>VLOOKUP(Table16[[#This Row],[Date]],database!A:H,4,)</f>
        <v/>
      </c>
      <c r="C590" s="74">
        <f>B590/B589-1</f>
        <v/>
      </c>
      <c r="D590" s="74">
        <f>(Table16[[#This Row],[Index]]-B578)/B578</f>
        <v/>
      </c>
    </row>
    <row r="591">
      <c r="A591" s="19" t="n">
        <v>44075</v>
      </c>
      <c r="B591" s="61">
        <f>VLOOKUP(Table16[[#This Row],[Date]],database!A:H,4,)</f>
        <v/>
      </c>
      <c r="C591" s="74">
        <f>B591/B590-1</f>
        <v/>
      </c>
      <c r="D591" s="74">
        <f>(Table16[[#This Row],[Index]]-B579)/B579</f>
        <v/>
      </c>
    </row>
    <row r="592">
      <c r="A592" s="19" t="n">
        <v>44105</v>
      </c>
      <c r="B592" s="61">
        <f>VLOOKUP(Table16[[#This Row],[Date]],database!A:H,4,)</f>
        <v/>
      </c>
      <c r="C592" s="74">
        <f>B592/B591-1</f>
        <v/>
      </c>
      <c r="D592" s="74">
        <f>(Table16[[#This Row],[Index]]-B580)/B580</f>
        <v/>
      </c>
    </row>
    <row r="593">
      <c r="A593" s="19" t="n">
        <v>44136</v>
      </c>
      <c r="B593" s="61">
        <f>VLOOKUP(Table16[[#This Row],[Date]],database!A:H,4,)</f>
        <v/>
      </c>
      <c r="C593" s="74">
        <f>B593/B592-1</f>
        <v/>
      </c>
      <c r="D593" s="74">
        <f>(Table16[[#This Row],[Index]]-B581)/B581</f>
        <v/>
      </c>
    </row>
    <row r="594">
      <c r="A594" s="19" t="n">
        <v>44166</v>
      </c>
      <c r="B594" s="61">
        <f>VLOOKUP(Table16[[#This Row],[Date]],database!A:H,4,)</f>
        <v/>
      </c>
      <c r="C594" s="74">
        <f>B594/B593-1</f>
        <v/>
      </c>
      <c r="D594" s="74">
        <f>(Table16[[#This Row],[Index]]-B582)/B582</f>
        <v/>
      </c>
    </row>
    <row r="595">
      <c r="A595" s="19" t="n">
        <v>44197</v>
      </c>
      <c r="B595" s="61">
        <f>VLOOKUP(Table16[[#This Row],[Date]],database!A:H,4,)</f>
        <v/>
      </c>
      <c r="C595" s="74">
        <f>B595/B594-1</f>
        <v/>
      </c>
      <c r="D595" s="74">
        <f>(Table16[[#This Row],[Index]]-B583)/B583</f>
        <v/>
      </c>
    </row>
    <row r="596">
      <c r="A596" s="19" t="n">
        <v>44228</v>
      </c>
      <c r="B596" s="61">
        <f>VLOOKUP(Table16[[#This Row],[Date]],database!A:H,4,)</f>
        <v/>
      </c>
      <c r="C596" s="74">
        <f>B596/B595-1</f>
        <v/>
      </c>
      <c r="D596" s="74">
        <f>(Table16[[#This Row],[Index]]-B584)/B584</f>
        <v/>
      </c>
    </row>
    <row r="597">
      <c r="A597" s="19" t="n">
        <v>44256</v>
      </c>
      <c r="B597" s="61">
        <f>VLOOKUP(Table16[[#This Row],[Date]],database!A:H,4,)</f>
        <v/>
      </c>
      <c r="C597" s="74">
        <f>B597/B596-1</f>
        <v/>
      </c>
      <c r="D597" s="74">
        <f>(Table16[[#This Row],[Index]]-B585)/B585</f>
        <v/>
      </c>
    </row>
    <row r="598">
      <c r="A598" s="19" t="n">
        <v>44287</v>
      </c>
      <c r="B598" s="61">
        <f>VLOOKUP(Table16[[#This Row],[Date]],database!A:H,4,)</f>
        <v/>
      </c>
      <c r="C598" s="74">
        <f>B598/B597-1</f>
        <v/>
      </c>
      <c r="D598" s="74">
        <f>(Table16[[#This Row],[Index]]-B586)/B586</f>
        <v/>
      </c>
    </row>
    <row r="599">
      <c r="A599" s="19" t="n">
        <v>44317</v>
      </c>
      <c r="B599" s="61">
        <f>VLOOKUP(Table16[[#This Row],[Date]],database!A:H,4,)</f>
        <v/>
      </c>
      <c r="C599" s="74">
        <f>B599/B598-1</f>
        <v/>
      </c>
      <c r="D599" s="74">
        <f>(Table16[[#This Row],[Index]]-B587)/B587</f>
        <v/>
      </c>
    </row>
    <row r="600">
      <c r="A600" s="19" t="n">
        <v>44348</v>
      </c>
      <c r="B600" s="61">
        <f>VLOOKUP(Table16[[#This Row],[Date]],database!A:H,4,)</f>
        <v/>
      </c>
      <c r="C600" s="74">
        <f>B600/B599-1</f>
        <v/>
      </c>
      <c r="D600" s="74">
        <f>(Table16[[#This Row],[Index]]-B588)/B588</f>
        <v/>
      </c>
    </row>
    <row r="601">
      <c r="A601" s="19" t="n">
        <v>44378</v>
      </c>
      <c r="B601" s="61">
        <f>VLOOKUP(Table16[[#This Row],[Date]],database!A:H,4,)</f>
        <v/>
      </c>
      <c r="C601" s="74">
        <f>B601/B600-1</f>
        <v/>
      </c>
      <c r="D601" s="74">
        <f>(Table16[[#This Row],[Index]]-B589)/B589</f>
        <v/>
      </c>
    </row>
    <row r="602">
      <c r="A602" s="19" t="n">
        <v>44409</v>
      </c>
      <c r="B602" s="61">
        <f>VLOOKUP(Table16[[#This Row],[Date]],database!A:H,4,)</f>
        <v/>
      </c>
      <c r="C602" s="74">
        <f>B602/B601-1</f>
        <v/>
      </c>
      <c r="D602" s="74">
        <f>(Table16[[#This Row],[Index]]-B590)/B590</f>
        <v/>
      </c>
    </row>
    <row r="603">
      <c r="A603" s="19" t="n">
        <v>44440</v>
      </c>
      <c r="B603" s="61">
        <f>VLOOKUP(Table16[[#This Row],[Date]],database!A:H,4,)</f>
        <v/>
      </c>
      <c r="C603" s="74">
        <f>B603/B602-1</f>
        <v/>
      </c>
      <c r="D603" s="74">
        <f>(Table16[[#This Row],[Index]]-B591)/B591</f>
        <v/>
      </c>
    </row>
    <row r="604">
      <c r="A604" s="19" t="n">
        <v>44470</v>
      </c>
      <c r="B604" s="61">
        <f>VLOOKUP(Table16[[#This Row],[Date]],database!A:H,4,)</f>
        <v/>
      </c>
      <c r="C604" s="74">
        <f>B604/B603-1</f>
        <v/>
      </c>
      <c r="D604" s="74">
        <f>(Table16[[#This Row],[Index]]-B592)/B592</f>
        <v/>
      </c>
    </row>
    <row r="605">
      <c r="A605" s="19" t="n">
        <v>44501</v>
      </c>
      <c r="B605" s="61">
        <f>VLOOKUP(Table16[[#This Row],[Date]],database!A:H,4,)</f>
        <v/>
      </c>
      <c r="C605" s="74">
        <f>B605/B604-1</f>
        <v/>
      </c>
      <c r="D605" s="74">
        <f>(Table16[[#This Row],[Index]]-B593)/B593</f>
        <v/>
      </c>
    </row>
    <row r="606">
      <c r="A606" s="19" t="n">
        <v>44531</v>
      </c>
      <c r="B606" s="61">
        <f>VLOOKUP(Table16[[#This Row],[Date]],database!A:H,4,)</f>
        <v/>
      </c>
      <c r="C606" s="74">
        <f>B606/B605-1</f>
        <v/>
      </c>
      <c r="D606" s="74">
        <f>(Table16[[#This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6"/>
  <sheetViews>
    <sheetView topLeftCell="A547" zoomScale="150" zoomScaleNormal="150" workbookViewId="0">
      <selection activeCell="W545" sqref="W545"/>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INDPRO</t>
        </is>
      </c>
      <c r="B1" s="81" t="n"/>
      <c r="C1" s="81" t="n"/>
      <c r="U1" s="81" t="inlineStr">
        <is>
          <t>Industrial Production: Construction supllies</t>
        </is>
      </c>
      <c r="V1" s="81" t="inlineStr">
        <is>
          <t xml:space="preserve"> since 2000 - </t>
        </is>
      </c>
      <c r="W1" s="81">
        <f>U1&amp;V1</f>
        <v/>
      </c>
      <c r="AA1" s="81">
        <f>W2&amp; V1</f>
        <v/>
      </c>
    </row>
    <row r="2">
      <c r="A2" s="18" t="n"/>
      <c r="B2" s="81" t="n"/>
      <c r="C2" s="81" t="n"/>
      <c r="W2" s="81">
        <f>U1&amp;Table110[[#Headers],[ yoy]]</f>
        <v/>
      </c>
    </row>
    <row r="3">
      <c r="A3" s="18" t="n"/>
      <c r="B3" s="58" t="n"/>
      <c r="C3" s="70" t="n"/>
    </row>
    <row r="4">
      <c r="A4" s="18" t="n"/>
      <c r="B4" s="58" t="n"/>
      <c r="C4" s="70" t="n"/>
    </row>
    <row r="5">
      <c r="A5" s="18" t="n"/>
      <c r="B5" s="58" t="n"/>
      <c r="C5" s="70" t="n"/>
    </row>
    <row r="6">
      <c r="A6" s="21" t="inlineStr">
        <is>
          <t>Date</t>
        </is>
      </c>
      <c r="B6" s="62" t="inlineStr">
        <is>
          <t>Index</t>
        </is>
      </c>
      <c r="C6" s="77" t="inlineStr">
        <is>
          <t>mom</t>
        </is>
      </c>
      <c r="D6" s="78" t="inlineStr">
        <is>
          <t xml:space="preserve"> yoy</t>
        </is>
      </c>
    </row>
    <row r="7">
      <c r="A7" s="19" t="n">
        <v>26299</v>
      </c>
      <c r="B7" s="61">
        <f>VLOOKUP(Table110[[#This Row],[Date]],database!A:H,3,)</f>
        <v/>
      </c>
      <c r="C7" s="74" t="n"/>
      <c r="D7" s="74" t="n"/>
    </row>
    <row r="8">
      <c r="A8" s="19" t="n">
        <v>26330</v>
      </c>
      <c r="B8" s="61">
        <f>VLOOKUP(Table110[[#This Row],[Date]],database!A:H,3,)</f>
        <v/>
      </c>
      <c r="C8" s="74">
        <f>B8/B7-1</f>
        <v/>
      </c>
      <c r="D8" s="74" t="n"/>
    </row>
    <row r="9">
      <c r="A9" s="19" t="n">
        <v>26359</v>
      </c>
      <c r="B9" s="61">
        <f>VLOOKUP(Table110[[#This Row],[Date]],database!A:H,3,)</f>
        <v/>
      </c>
      <c r="C9" s="74">
        <f>B9/B8-1</f>
        <v/>
      </c>
      <c r="D9" s="74" t="n"/>
    </row>
    <row r="10">
      <c r="A10" s="19" t="n">
        <v>26390</v>
      </c>
      <c r="B10" s="61">
        <f>VLOOKUP(Table110[[#This Row],[Date]],database!A:H,3,)</f>
        <v/>
      </c>
      <c r="C10" s="74">
        <f>B10/B9-1</f>
        <v/>
      </c>
      <c r="D10" s="74" t="n"/>
    </row>
    <row r="11">
      <c r="A11" s="19" t="n">
        <v>26420</v>
      </c>
      <c r="B11" s="61">
        <f>VLOOKUP(Table110[[#This Row],[Date]],database!A:H,3,)</f>
        <v/>
      </c>
      <c r="C11" s="74">
        <f>B11/B10-1</f>
        <v/>
      </c>
      <c r="D11" s="74" t="n"/>
    </row>
    <row r="12">
      <c r="A12" s="19" t="n">
        <v>26451</v>
      </c>
      <c r="B12" s="61">
        <f>VLOOKUP(Table110[[#This Row],[Date]],database!A:H,3,)</f>
        <v/>
      </c>
      <c r="C12" s="74">
        <f>B12/B11-1</f>
        <v/>
      </c>
      <c r="D12" s="74" t="n"/>
    </row>
    <row r="13">
      <c r="A13" s="19" t="n">
        <v>26481</v>
      </c>
      <c r="B13" s="61">
        <f>VLOOKUP(Table110[[#This Row],[Date]],database!A:H,3,)</f>
        <v/>
      </c>
      <c r="C13" s="74">
        <f>B13/B12-1</f>
        <v/>
      </c>
      <c r="D13" s="74" t="n"/>
    </row>
    <row r="14">
      <c r="A14" s="19" t="n">
        <v>26512</v>
      </c>
      <c r="B14" s="61">
        <f>VLOOKUP(Table110[[#This Row],[Date]],database!A:H,3,)</f>
        <v/>
      </c>
      <c r="C14" s="74">
        <f>B14/B13-1</f>
        <v/>
      </c>
      <c r="D14" s="74" t="n"/>
    </row>
    <row r="15">
      <c r="A15" s="19" t="n">
        <v>26543</v>
      </c>
      <c r="B15" s="61">
        <f>VLOOKUP(Table110[[#This Row],[Date]],database!A:H,3,)</f>
        <v/>
      </c>
      <c r="C15" s="74">
        <f>B15/B14-1</f>
        <v/>
      </c>
      <c r="D15" s="74" t="n"/>
    </row>
    <row r="16">
      <c r="A16" s="19" t="n">
        <v>26573</v>
      </c>
      <c r="B16" s="61">
        <f>VLOOKUP(Table110[[#This Row],[Date]],database!A:H,3,)</f>
        <v/>
      </c>
      <c r="C16" s="74">
        <f>B16/B15-1</f>
        <v/>
      </c>
      <c r="D16" s="74" t="n"/>
    </row>
    <row r="17">
      <c r="A17" s="19" t="n">
        <v>26604</v>
      </c>
      <c r="B17" s="61">
        <f>VLOOKUP(Table110[[#This Row],[Date]],database!A:H,3,)</f>
        <v/>
      </c>
      <c r="C17" s="74">
        <f>B17/B16-1</f>
        <v/>
      </c>
      <c r="D17" s="74" t="n"/>
    </row>
    <row r="18">
      <c r="A18" s="19" t="n">
        <v>26634</v>
      </c>
      <c r="B18" s="61">
        <f>VLOOKUP(Table110[[#This Row],[Date]],database!A:H,3,)</f>
        <v/>
      </c>
      <c r="C18" s="74">
        <f>B18/B17-1</f>
        <v/>
      </c>
      <c r="D18" s="74" t="n"/>
    </row>
    <row r="19">
      <c r="A19" s="19" t="n">
        <v>26665</v>
      </c>
      <c r="B19" s="61">
        <f>VLOOKUP(Table110[[#This Row],[Date]],database!A:H,3,)</f>
        <v/>
      </c>
      <c r="C19" s="74">
        <f>B19/B18-1</f>
        <v/>
      </c>
      <c r="D19" s="74" t="n"/>
    </row>
    <row r="20">
      <c r="A20" s="19" t="n">
        <v>26696</v>
      </c>
      <c r="B20" s="61">
        <f>VLOOKUP(Table110[[#This Row],[Date]],database!A:H,3,)</f>
        <v/>
      </c>
      <c r="C20" s="74">
        <f>B20/B19-1</f>
        <v/>
      </c>
      <c r="D20" s="74">
        <f>(Table110[[#This Row],[Index]]-B8)/B8</f>
        <v/>
      </c>
    </row>
    <row r="21">
      <c r="A21" s="19" t="n">
        <v>26724</v>
      </c>
      <c r="B21" s="61">
        <f>VLOOKUP(Table110[[#This Row],[Date]],database!A:H,3,)</f>
        <v/>
      </c>
      <c r="C21" s="74">
        <f>B21/B20-1</f>
        <v/>
      </c>
      <c r="D21" s="74">
        <f>(Table110[[#This Row],[Index]]-B9)/B9</f>
        <v/>
      </c>
    </row>
    <row r="22">
      <c r="A22" s="19" t="n">
        <v>26755</v>
      </c>
      <c r="B22" s="61">
        <f>VLOOKUP(Table110[[#This Row],[Date]],database!A:H,3,)</f>
        <v/>
      </c>
      <c r="C22" s="74">
        <f>B22/B21-1</f>
        <v/>
      </c>
      <c r="D22" s="74">
        <f>(Table110[[#This Row],[Index]]-B10)/B10</f>
        <v/>
      </c>
    </row>
    <row r="23">
      <c r="A23" s="19" t="n">
        <v>26785</v>
      </c>
      <c r="B23" s="61">
        <f>VLOOKUP(Table110[[#This Row],[Date]],database!A:H,3,)</f>
        <v/>
      </c>
      <c r="C23" s="74">
        <f>B23/B22-1</f>
        <v/>
      </c>
      <c r="D23" s="74">
        <f>(Table110[[#This Row],[Index]]-B11)/B11</f>
        <v/>
      </c>
    </row>
    <row r="24">
      <c r="A24" s="19" t="n">
        <v>26816</v>
      </c>
      <c r="B24" s="61">
        <f>VLOOKUP(Table110[[#This Row],[Date]],database!A:H,3,)</f>
        <v/>
      </c>
      <c r="C24" s="74">
        <f>B24/B23-1</f>
        <v/>
      </c>
      <c r="D24" s="74">
        <f>(Table110[[#This Row],[Index]]-B12)/B12</f>
        <v/>
      </c>
    </row>
    <row r="25">
      <c r="A25" s="19" t="n">
        <v>26846</v>
      </c>
      <c r="B25" s="61">
        <f>VLOOKUP(Table110[[#This Row],[Date]],database!A:H,3,)</f>
        <v/>
      </c>
      <c r="C25" s="74">
        <f>B25/B24-1</f>
        <v/>
      </c>
      <c r="D25" s="74">
        <f>(Table110[[#This Row],[Index]]-B13)/B13</f>
        <v/>
      </c>
    </row>
    <row r="26">
      <c r="A26" s="19" t="n">
        <v>26877</v>
      </c>
      <c r="B26" s="61">
        <f>VLOOKUP(Table110[[#This Row],[Date]],database!A:H,3,)</f>
        <v/>
      </c>
      <c r="C26" s="74">
        <f>B26/B25-1</f>
        <v/>
      </c>
      <c r="D26" s="74">
        <f>(Table110[[#This Row],[Index]]-B14)/B14</f>
        <v/>
      </c>
    </row>
    <row r="27">
      <c r="A27" s="19" t="n">
        <v>26908</v>
      </c>
      <c r="B27" s="61">
        <f>VLOOKUP(Table110[[#This Row],[Date]],database!A:H,3,)</f>
        <v/>
      </c>
      <c r="C27" s="74">
        <f>B27/B26-1</f>
        <v/>
      </c>
      <c r="D27" s="74">
        <f>(Table110[[#This Row],[Index]]-B15)/B15</f>
        <v/>
      </c>
    </row>
    <row r="28">
      <c r="A28" s="19" t="n">
        <v>26938</v>
      </c>
      <c r="B28" s="61">
        <f>VLOOKUP(Table110[[#This Row],[Date]],database!A:H,3,)</f>
        <v/>
      </c>
      <c r="C28" s="74">
        <f>B28/B27-1</f>
        <v/>
      </c>
      <c r="D28" s="74">
        <f>(Table110[[#This Row],[Index]]-B16)/B16</f>
        <v/>
      </c>
    </row>
    <row r="29">
      <c r="A29" s="19" t="n">
        <v>26969</v>
      </c>
      <c r="B29" s="61">
        <f>VLOOKUP(Table110[[#This Row],[Date]],database!A:H,3,)</f>
        <v/>
      </c>
      <c r="C29" s="74">
        <f>B29/B28-1</f>
        <v/>
      </c>
      <c r="D29" s="74">
        <f>(Table110[[#This Row],[Index]]-B17)/B17</f>
        <v/>
      </c>
    </row>
    <row r="30">
      <c r="A30" s="19" t="n">
        <v>26999</v>
      </c>
      <c r="B30" s="61">
        <f>VLOOKUP(Table110[[#This Row],[Date]],database!A:H,3,)</f>
        <v/>
      </c>
      <c r="C30" s="74">
        <f>B30/B29-1</f>
        <v/>
      </c>
      <c r="D30" s="74">
        <f>(Table110[[#This Row],[Index]]-B18)/B18</f>
        <v/>
      </c>
    </row>
    <row r="31">
      <c r="A31" s="19" t="n">
        <v>27030</v>
      </c>
      <c r="B31" s="61">
        <f>VLOOKUP(Table110[[#This Row],[Date]],database!A:H,3,)</f>
        <v/>
      </c>
      <c r="C31" s="74">
        <f>B31/B30-1</f>
        <v/>
      </c>
      <c r="D31" s="74">
        <f>(Table110[[#This Row],[Index]]-B19)/B19</f>
        <v/>
      </c>
    </row>
    <row r="32">
      <c r="A32" s="19" t="n">
        <v>27061</v>
      </c>
      <c r="B32" s="61">
        <f>VLOOKUP(Table110[[#This Row],[Date]],database!A:H,3,)</f>
        <v/>
      </c>
      <c r="C32" s="74">
        <f>B32/B31-1</f>
        <v/>
      </c>
      <c r="D32" s="74">
        <f>(Table110[[#This Row],[Index]]-B20)/B20</f>
        <v/>
      </c>
    </row>
    <row r="33">
      <c r="A33" s="19" t="n">
        <v>27089</v>
      </c>
      <c r="B33" s="61">
        <f>VLOOKUP(Table110[[#This Row],[Date]],database!A:H,3,)</f>
        <v/>
      </c>
      <c r="C33" s="74">
        <f>B33/B32-1</f>
        <v/>
      </c>
      <c r="D33" s="74">
        <f>(Table110[[#This Row],[Index]]-B21)/B21</f>
        <v/>
      </c>
    </row>
    <row r="34">
      <c r="A34" s="19" t="n">
        <v>27120</v>
      </c>
      <c r="B34" s="61">
        <f>VLOOKUP(Table110[[#This Row],[Date]],database!A:H,3,)</f>
        <v/>
      </c>
      <c r="C34" s="74">
        <f>B34/B33-1</f>
        <v/>
      </c>
      <c r="D34" s="74">
        <f>(Table110[[#This Row],[Index]]-B22)/B22</f>
        <v/>
      </c>
    </row>
    <row r="35">
      <c r="A35" s="19" t="n">
        <v>27150</v>
      </c>
      <c r="B35" s="61">
        <f>VLOOKUP(Table110[[#This Row],[Date]],database!A:H,3,)</f>
        <v/>
      </c>
      <c r="C35" s="74">
        <f>B35/B34-1</f>
        <v/>
      </c>
      <c r="D35" s="74">
        <f>(Table110[[#This Row],[Index]]-B23)/B23</f>
        <v/>
      </c>
    </row>
    <row r="36">
      <c r="A36" s="19" t="n">
        <v>27181</v>
      </c>
      <c r="B36" s="61">
        <f>VLOOKUP(Table110[[#This Row],[Date]],database!A:H,3,)</f>
        <v/>
      </c>
      <c r="C36" s="74">
        <f>B36/B35-1</f>
        <v/>
      </c>
      <c r="D36" s="74">
        <f>(Table110[[#This Row],[Index]]-B24)/B24</f>
        <v/>
      </c>
    </row>
    <row r="37">
      <c r="A37" s="19" t="n">
        <v>27211</v>
      </c>
      <c r="B37" s="61">
        <f>VLOOKUP(Table110[[#This Row],[Date]],database!A:H,3,)</f>
        <v/>
      </c>
      <c r="C37" s="74">
        <f>B37/B36-1</f>
        <v/>
      </c>
      <c r="D37" s="74">
        <f>(Table110[[#This Row],[Index]]-B25)/B25</f>
        <v/>
      </c>
    </row>
    <row r="38">
      <c r="A38" s="19" t="n">
        <v>27242</v>
      </c>
      <c r="B38" s="61">
        <f>VLOOKUP(Table110[[#This Row],[Date]],database!A:H,3,)</f>
        <v/>
      </c>
      <c r="C38" s="74">
        <f>B38/B37-1</f>
        <v/>
      </c>
      <c r="D38" s="74">
        <f>(Table110[[#This Row],[Index]]-B26)/B26</f>
        <v/>
      </c>
    </row>
    <row r="39">
      <c r="A39" s="19" t="n">
        <v>27273</v>
      </c>
      <c r="B39" s="61">
        <f>VLOOKUP(Table110[[#This Row],[Date]],database!A:H,3,)</f>
        <v/>
      </c>
      <c r="C39" s="74">
        <f>B39/B38-1</f>
        <v/>
      </c>
      <c r="D39" s="74">
        <f>(Table110[[#This Row],[Index]]-B27)/B27</f>
        <v/>
      </c>
    </row>
    <row r="40">
      <c r="A40" s="19" t="n">
        <v>27303</v>
      </c>
      <c r="B40" s="61">
        <f>VLOOKUP(Table110[[#This Row],[Date]],database!A:H,3,)</f>
        <v/>
      </c>
      <c r="C40" s="74">
        <f>B40/B39-1</f>
        <v/>
      </c>
      <c r="D40" s="74">
        <f>(Table110[[#This Row],[Index]]-B28)/B28</f>
        <v/>
      </c>
    </row>
    <row r="41">
      <c r="A41" s="19" t="n">
        <v>27334</v>
      </c>
      <c r="B41" s="61">
        <f>VLOOKUP(Table110[[#This Row],[Date]],database!A:H,3,)</f>
        <v/>
      </c>
      <c r="C41" s="74">
        <f>B41/B40-1</f>
        <v/>
      </c>
      <c r="D41" s="74">
        <f>(Table110[[#This Row],[Index]]-B29)/B29</f>
        <v/>
      </c>
    </row>
    <row r="42">
      <c r="A42" s="19" t="n">
        <v>27364</v>
      </c>
      <c r="B42" s="61">
        <f>VLOOKUP(Table110[[#This Row],[Date]],database!A:H,3,)</f>
        <v/>
      </c>
      <c r="C42" s="74">
        <f>B42/B41-1</f>
        <v/>
      </c>
      <c r="D42" s="74">
        <f>(Table110[[#This Row],[Index]]-B30)/B30</f>
        <v/>
      </c>
    </row>
    <row r="43">
      <c r="A43" s="19" t="n">
        <v>27395</v>
      </c>
      <c r="B43" s="61">
        <f>VLOOKUP(Table110[[#This Row],[Date]],database!A:H,3,)</f>
        <v/>
      </c>
      <c r="C43" s="74">
        <f>B43/B42-1</f>
        <v/>
      </c>
      <c r="D43" s="74">
        <f>(Table110[[#This Row],[Index]]-B31)/B31</f>
        <v/>
      </c>
    </row>
    <row r="44">
      <c r="A44" s="19" t="n">
        <v>27426</v>
      </c>
      <c r="B44" s="61">
        <f>VLOOKUP(Table110[[#This Row],[Date]],database!A:H,3,)</f>
        <v/>
      </c>
      <c r="C44" s="74">
        <f>B44/B43-1</f>
        <v/>
      </c>
      <c r="D44" s="74">
        <f>(Table110[[#This Row],[Index]]-B32)/B32</f>
        <v/>
      </c>
    </row>
    <row r="45">
      <c r="A45" s="19" t="n">
        <v>27454</v>
      </c>
      <c r="B45" s="61">
        <f>VLOOKUP(Table110[[#This Row],[Date]],database!A:H,3,)</f>
        <v/>
      </c>
      <c r="C45" s="74">
        <f>B45/B44-1</f>
        <v/>
      </c>
      <c r="D45" s="74">
        <f>(Table110[[#This Row],[Index]]-B33)/B33</f>
        <v/>
      </c>
    </row>
    <row r="46">
      <c r="A46" s="19" t="n">
        <v>27485</v>
      </c>
      <c r="B46" s="61">
        <f>VLOOKUP(Table110[[#This Row],[Date]],database!A:H,3,)</f>
        <v/>
      </c>
      <c r="C46" s="74">
        <f>B46/B45-1</f>
        <v/>
      </c>
      <c r="D46" s="74">
        <f>(Table110[[#This Row],[Index]]-B34)/B34</f>
        <v/>
      </c>
    </row>
    <row r="47">
      <c r="A47" s="19" t="n">
        <v>27515</v>
      </c>
      <c r="B47" s="61">
        <f>VLOOKUP(Table110[[#This Row],[Date]],database!A:H,3,)</f>
        <v/>
      </c>
      <c r="C47" s="74">
        <f>B47/B46-1</f>
        <v/>
      </c>
      <c r="D47" s="74">
        <f>(Table110[[#This Row],[Index]]-B35)/B35</f>
        <v/>
      </c>
    </row>
    <row r="48">
      <c r="A48" s="19" t="n">
        <v>27546</v>
      </c>
      <c r="B48" s="61">
        <f>VLOOKUP(Table110[[#This Row],[Date]],database!A:H,3,)</f>
        <v/>
      </c>
      <c r="C48" s="74">
        <f>B48/B47-1</f>
        <v/>
      </c>
      <c r="D48" s="74">
        <f>(Table110[[#This Row],[Index]]-B36)/B36</f>
        <v/>
      </c>
    </row>
    <row r="49">
      <c r="A49" s="19" t="n">
        <v>27576</v>
      </c>
      <c r="B49" s="61">
        <f>VLOOKUP(Table110[[#This Row],[Date]],database!A:H,3,)</f>
        <v/>
      </c>
      <c r="C49" s="74">
        <f>B49/B48-1</f>
        <v/>
      </c>
      <c r="D49" s="74">
        <f>(Table110[[#This Row],[Index]]-B37)/B37</f>
        <v/>
      </c>
    </row>
    <row r="50">
      <c r="A50" s="19" t="n">
        <v>27607</v>
      </c>
      <c r="B50" s="61">
        <f>VLOOKUP(Table110[[#This Row],[Date]],database!A:H,3,)</f>
        <v/>
      </c>
      <c r="C50" s="74">
        <f>B50/B49-1</f>
        <v/>
      </c>
      <c r="D50" s="74">
        <f>(Table110[[#This Row],[Index]]-B38)/B38</f>
        <v/>
      </c>
    </row>
    <row r="51">
      <c r="A51" s="19" t="n">
        <v>27638</v>
      </c>
      <c r="B51" s="61">
        <f>VLOOKUP(Table110[[#This Row],[Date]],database!A:H,3,)</f>
        <v/>
      </c>
      <c r="C51" s="74">
        <f>B51/B50-1</f>
        <v/>
      </c>
      <c r="D51" s="74">
        <f>(Table110[[#This Row],[Index]]-B39)/B39</f>
        <v/>
      </c>
    </row>
    <row r="52">
      <c r="A52" s="19" t="n">
        <v>27668</v>
      </c>
      <c r="B52" s="61">
        <f>VLOOKUP(Table110[[#This Row],[Date]],database!A:H,3,)</f>
        <v/>
      </c>
      <c r="C52" s="74">
        <f>B52/B51-1</f>
        <v/>
      </c>
      <c r="D52" s="74">
        <f>(Table110[[#This Row],[Index]]-B40)/B40</f>
        <v/>
      </c>
    </row>
    <row r="53">
      <c r="A53" s="19" t="n">
        <v>27699</v>
      </c>
      <c r="B53" s="61">
        <f>VLOOKUP(Table110[[#This Row],[Date]],database!A:H,3,)</f>
        <v/>
      </c>
      <c r="C53" s="74">
        <f>B53/B52-1</f>
        <v/>
      </c>
      <c r="D53" s="74">
        <f>(Table110[[#This Row],[Index]]-B41)/B41</f>
        <v/>
      </c>
    </row>
    <row r="54">
      <c r="A54" s="19" t="n">
        <v>27729</v>
      </c>
      <c r="B54" s="61">
        <f>VLOOKUP(Table110[[#This Row],[Date]],database!A:H,3,)</f>
        <v/>
      </c>
      <c r="C54" s="74">
        <f>B54/B53-1</f>
        <v/>
      </c>
      <c r="D54" s="74">
        <f>(Table110[[#This Row],[Index]]-B42)/B42</f>
        <v/>
      </c>
    </row>
    <row r="55">
      <c r="A55" s="19" t="n">
        <v>27760</v>
      </c>
      <c r="B55" s="61">
        <f>VLOOKUP(Table110[[#This Row],[Date]],database!A:H,3,)</f>
        <v/>
      </c>
      <c r="C55" s="74">
        <f>B55/B54-1</f>
        <v/>
      </c>
      <c r="D55" s="74">
        <f>(Table110[[#This Row],[Index]]-B43)/B43</f>
        <v/>
      </c>
    </row>
    <row r="56">
      <c r="A56" s="19" t="n">
        <v>27791</v>
      </c>
      <c r="B56" s="61">
        <f>VLOOKUP(Table110[[#This Row],[Date]],database!A:H,3,)</f>
        <v/>
      </c>
      <c r="C56" s="74">
        <f>B56/B55-1</f>
        <v/>
      </c>
      <c r="D56" s="74">
        <f>(Table110[[#This Row],[Index]]-B44)/B44</f>
        <v/>
      </c>
    </row>
    <row r="57">
      <c r="A57" s="19" t="n">
        <v>27820</v>
      </c>
      <c r="B57" s="61">
        <f>VLOOKUP(Table110[[#This Row],[Date]],database!A:H,3,)</f>
        <v/>
      </c>
      <c r="C57" s="74">
        <f>B57/B56-1</f>
        <v/>
      </c>
      <c r="D57" s="74">
        <f>(Table110[[#This Row],[Index]]-B45)/B45</f>
        <v/>
      </c>
    </row>
    <row r="58">
      <c r="A58" s="19" t="n">
        <v>27851</v>
      </c>
      <c r="B58" s="61">
        <f>VLOOKUP(Table110[[#This Row],[Date]],database!A:H,3,)</f>
        <v/>
      </c>
      <c r="C58" s="74">
        <f>B58/B57-1</f>
        <v/>
      </c>
      <c r="D58" s="74">
        <f>(Table110[[#This Row],[Index]]-B46)/B46</f>
        <v/>
      </c>
    </row>
    <row r="59">
      <c r="A59" s="19" t="n">
        <v>27881</v>
      </c>
      <c r="B59" s="61">
        <f>VLOOKUP(Table110[[#This Row],[Date]],database!A:H,3,)</f>
        <v/>
      </c>
      <c r="C59" s="74">
        <f>B59/B58-1</f>
        <v/>
      </c>
      <c r="D59" s="74">
        <f>(Table110[[#This Row],[Index]]-B47)/B47</f>
        <v/>
      </c>
    </row>
    <row r="60">
      <c r="A60" s="19" t="n">
        <v>27912</v>
      </c>
      <c r="B60" s="61">
        <f>VLOOKUP(Table110[[#This Row],[Date]],database!A:H,3,)</f>
        <v/>
      </c>
      <c r="C60" s="74">
        <f>B60/B59-1</f>
        <v/>
      </c>
      <c r="D60" s="74">
        <f>(Table110[[#This Row],[Index]]-B48)/B48</f>
        <v/>
      </c>
    </row>
    <row r="61">
      <c r="A61" s="19" t="n">
        <v>27942</v>
      </c>
      <c r="B61" s="61">
        <f>VLOOKUP(Table110[[#This Row],[Date]],database!A:H,3,)</f>
        <v/>
      </c>
      <c r="C61" s="74">
        <f>B61/B60-1</f>
        <v/>
      </c>
      <c r="D61" s="74">
        <f>(Table110[[#This Row],[Index]]-B49)/B49</f>
        <v/>
      </c>
    </row>
    <row r="62">
      <c r="A62" s="19" t="n">
        <v>27973</v>
      </c>
      <c r="B62" s="61">
        <f>VLOOKUP(Table110[[#This Row],[Date]],database!A:H,3,)</f>
        <v/>
      </c>
      <c r="C62" s="74">
        <f>B62/B61-1</f>
        <v/>
      </c>
      <c r="D62" s="74">
        <f>(Table110[[#This Row],[Index]]-B50)/B50</f>
        <v/>
      </c>
    </row>
    <row r="63">
      <c r="A63" s="19" t="n">
        <v>28004</v>
      </c>
      <c r="B63" s="61">
        <f>VLOOKUP(Table110[[#This Row],[Date]],database!A:H,3,)</f>
        <v/>
      </c>
      <c r="C63" s="74">
        <f>B63/B62-1</f>
        <v/>
      </c>
      <c r="D63" s="74">
        <f>(Table110[[#This Row],[Index]]-B51)/B51</f>
        <v/>
      </c>
    </row>
    <row r="64">
      <c r="A64" s="19" t="n">
        <v>28034</v>
      </c>
      <c r="B64" s="61">
        <f>VLOOKUP(Table110[[#This Row],[Date]],database!A:H,3,)</f>
        <v/>
      </c>
      <c r="C64" s="74">
        <f>B64/B63-1</f>
        <v/>
      </c>
      <c r="D64" s="74">
        <f>(Table110[[#This Row],[Index]]-B52)/B52</f>
        <v/>
      </c>
    </row>
    <row r="65">
      <c r="A65" s="19" t="n">
        <v>28065</v>
      </c>
      <c r="B65" s="61">
        <f>VLOOKUP(Table110[[#This Row],[Date]],database!A:H,3,)</f>
        <v/>
      </c>
      <c r="C65" s="74">
        <f>B65/B64-1</f>
        <v/>
      </c>
      <c r="D65" s="74">
        <f>(Table110[[#This Row],[Index]]-B53)/B53</f>
        <v/>
      </c>
    </row>
    <row r="66">
      <c r="A66" s="19" t="n">
        <v>28095</v>
      </c>
      <c r="B66" s="61">
        <f>VLOOKUP(Table110[[#This Row],[Date]],database!A:H,3,)</f>
        <v/>
      </c>
      <c r="C66" s="74">
        <f>B66/B65-1</f>
        <v/>
      </c>
      <c r="D66" s="74">
        <f>(Table110[[#This Row],[Index]]-B54)/B54</f>
        <v/>
      </c>
    </row>
    <row r="67">
      <c r="A67" s="19" t="n">
        <v>28126</v>
      </c>
      <c r="B67" s="61">
        <f>VLOOKUP(Table110[[#This Row],[Date]],database!A:H,3,)</f>
        <v/>
      </c>
      <c r="C67" s="74">
        <f>B67/B66-1</f>
        <v/>
      </c>
      <c r="D67" s="74">
        <f>(Table110[[#This Row],[Index]]-B55)/B55</f>
        <v/>
      </c>
    </row>
    <row r="68">
      <c r="A68" s="19" t="n">
        <v>28157</v>
      </c>
      <c r="B68" s="61">
        <f>VLOOKUP(Table110[[#This Row],[Date]],database!A:H,3,)</f>
        <v/>
      </c>
      <c r="C68" s="74">
        <f>B68/B67-1</f>
        <v/>
      </c>
      <c r="D68" s="74">
        <f>(Table110[[#This Row],[Index]]-B56)/B56</f>
        <v/>
      </c>
    </row>
    <row r="69">
      <c r="A69" s="19" t="n">
        <v>28185</v>
      </c>
      <c r="B69" s="61">
        <f>VLOOKUP(Table110[[#This Row],[Date]],database!A:H,3,)</f>
        <v/>
      </c>
      <c r="C69" s="74">
        <f>B69/B68-1</f>
        <v/>
      </c>
      <c r="D69" s="74">
        <f>(Table110[[#This Row],[Index]]-B57)/B57</f>
        <v/>
      </c>
    </row>
    <row r="70">
      <c r="A70" s="19" t="n">
        <v>28216</v>
      </c>
      <c r="B70" s="61">
        <f>VLOOKUP(Table110[[#This Row],[Date]],database!A:H,3,)</f>
        <v/>
      </c>
      <c r="C70" s="74">
        <f>B70/B69-1</f>
        <v/>
      </c>
      <c r="D70" s="74">
        <f>(Table110[[#This Row],[Index]]-B58)/B58</f>
        <v/>
      </c>
    </row>
    <row r="71">
      <c r="A71" s="19" t="n">
        <v>28246</v>
      </c>
      <c r="B71" s="61">
        <f>VLOOKUP(Table110[[#This Row],[Date]],database!A:H,3,)</f>
        <v/>
      </c>
      <c r="C71" s="74">
        <f>B71/B70-1</f>
        <v/>
      </c>
      <c r="D71" s="74">
        <f>(Table110[[#This Row],[Index]]-B59)/B59</f>
        <v/>
      </c>
    </row>
    <row r="72">
      <c r="A72" s="19" t="n">
        <v>28277</v>
      </c>
      <c r="B72" s="61">
        <f>VLOOKUP(Table110[[#This Row],[Date]],database!A:H,3,)</f>
        <v/>
      </c>
      <c r="C72" s="74">
        <f>B72/B71-1</f>
        <v/>
      </c>
      <c r="D72" s="74">
        <f>(Table110[[#This Row],[Index]]-B60)/B60</f>
        <v/>
      </c>
    </row>
    <row r="73">
      <c r="A73" s="19" t="n">
        <v>28307</v>
      </c>
      <c r="B73" s="61">
        <f>VLOOKUP(Table110[[#This Row],[Date]],database!A:H,3,)</f>
        <v/>
      </c>
      <c r="C73" s="74">
        <f>B73/B72-1</f>
        <v/>
      </c>
      <c r="D73" s="74">
        <f>(Table110[[#This Row],[Index]]-B61)/B61</f>
        <v/>
      </c>
    </row>
    <row r="74">
      <c r="A74" s="19" t="n">
        <v>28338</v>
      </c>
      <c r="B74" s="61">
        <f>VLOOKUP(Table110[[#This Row],[Date]],database!A:H,3,)</f>
        <v/>
      </c>
      <c r="C74" s="74">
        <f>B74/B73-1</f>
        <v/>
      </c>
      <c r="D74" s="74">
        <f>(Table110[[#This Row],[Index]]-B62)/B62</f>
        <v/>
      </c>
    </row>
    <row r="75">
      <c r="A75" s="19" t="n">
        <v>28369</v>
      </c>
      <c r="B75" s="61">
        <f>VLOOKUP(Table110[[#This Row],[Date]],database!A:H,3,)</f>
        <v/>
      </c>
      <c r="C75" s="74">
        <f>B75/B74-1</f>
        <v/>
      </c>
      <c r="D75" s="74">
        <f>(Table110[[#This Row],[Index]]-B63)/B63</f>
        <v/>
      </c>
    </row>
    <row r="76">
      <c r="A76" s="19" t="n">
        <v>28399</v>
      </c>
      <c r="B76" s="61">
        <f>VLOOKUP(Table110[[#This Row],[Date]],database!A:H,3,)</f>
        <v/>
      </c>
      <c r="C76" s="74">
        <f>B76/B75-1</f>
        <v/>
      </c>
      <c r="D76" s="74">
        <f>(Table110[[#This Row],[Index]]-B64)/B64</f>
        <v/>
      </c>
    </row>
    <row r="77">
      <c r="A77" s="19" t="n">
        <v>28430</v>
      </c>
      <c r="B77" s="61">
        <f>VLOOKUP(Table110[[#This Row],[Date]],database!A:H,3,)</f>
        <v/>
      </c>
      <c r="C77" s="74">
        <f>B77/B76-1</f>
        <v/>
      </c>
      <c r="D77" s="74">
        <f>(Table110[[#This Row],[Index]]-B65)/B65</f>
        <v/>
      </c>
    </row>
    <row r="78">
      <c r="A78" s="19" t="n">
        <v>28460</v>
      </c>
      <c r="B78" s="61">
        <f>VLOOKUP(Table110[[#This Row],[Date]],database!A:H,3,)</f>
        <v/>
      </c>
      <c r="C78" s="74">
        <f>B78/B77-1</f>
        <v/>
      </c>
      <c r="D78" s="74">
        <f>(Table110[[#This Row],[Index]]-B66)/B66</f>
        <v/>
      </c>
    </row>
    <row r="79">
      <c r="A79" s="19" t="n">
        <v>28491</v>
      </c>
      <c r="B79" s="61">
        <f>VLOOKUP(Table110[[#This Row],[Date]],database!A:H,3,)</f>
        <v/>
      </c>
      <c r="C79" s="74">
        <f>B79/B78-1</f>
        <v/>
      </c>
      <c r="D79" s="74">
        <f>(Table110[[#This Row],[Index]]-B67)/B67</f>
        <v/>
      </c>
    </row>
    <row r="80">
      <c r="A80" s="19" t="n">
        <v>28522</v>
      </c>
      <c r="B80" s="61">
        <f>VLOOKUP(Table110[[#This Row],[Date]],database!A:H,3,)</f>
        <v/>
      </c>
      <c r="C80" s="74">
        <f>B80/B79-1</f>
        <v/>
      </c>
      <c r="D80" s="74">
        <f>(Table110[[#This Row],[Index]]-B68)/B68</f>
        <v/>
      </c>
    </row>
    <row r="81">
      <c r="A81" s="19" t="n">
        <v>28550</v>
      </c>
      <c r="B81" s="61">
        <f>VLOOKUP(Table110[[#This Row],[Date]],database!A:H,3,)</f>
        <v/>
      </c>
      <c r="C81" s="74">
        <f>B81/B80-1</f>
        <v/>
      </c>
      <c r="D81" s="74">
        <f>(Table110[[#This Row],[Index]]-B69)/B69</f>
        <v/>
      </c>
    </row>
    <row r="82">
      <c r="A82" s="19" t="n">
        <v>28581</v>
      </c>
      <c r="B82" s="61">
        <f>VLOOKUP(Table110[[#This Row],[Date]],database!A:H,3,)</f>
        <v/>
      </c>
      <c r="C82" s="74">
        <f>B82/B81-1</f>
        <v/>
      </c>
      <c r="D82" s="74">
        <f>(Table110[[#This Row],[Index]]-B70)/B70</f>
        <v/>
      </c>
    </row>
    <row r="83">
      <c r="A83" s="19" t="n">
        <v>28611</v>
      </c>
      <c r="B83" s="61">
        <f>VLOOKUP(Table110[[#This Row],[Date]],database!A:H,3,)</f>
        <v/>
      </c>
      <c r="C83" s="74">
        <f>B83/B82-1</f>
        <v/>
      </c>
      <c r="D83" s="74">
        <f>(Table110[[#This Row],[Index]]-B71)/B71</f>
        <v/>
      </c>
    </row>
    <row r="84">
      <c r="A84" s="19" t="n">
        <v>28642</v>
      </c>
      <c r="B84" s="61">
        <f>VLOOKUP(Table110[[#This Row],[Date]],database!A:H,3,)</f>
        <v/>
      </c>
      <c r="C84" s="74">
        <f>B84/B83-1</f>
        <v/>
      </c>
      <c r="D84" s="74">
        <f>(Table110[[#This Row],[Index]]-B72)/B72</f>
        <v/>
      </c>
    </row>
    <row r="85">
      <c r="A85" s="19" t="n">
        <v>28672</v>
      </c>
      <c r="B85" s="61">
        <f>VLOOKUP(Table110[[#This Row],[Date]],database!A:H,3,)</f>
        <v/>
      </c>
      <c r="C85" s="74">
        <f>B85/B84-1</f>
        <v/>
      </c>
      <c r="D85" s="74">
        <f>(Table110[[#This Row],[Index]]-B73)/B73</f>
        <v/>
      </c>
    </row>
    <row r="86">
      <c r="A86" s="19" t="n">
        <v>28703</v>
      </c>
      <c r="B86" s="61">
        <f>VLOOKUP(Table110[[#This Row],[Date]],database!A:H,3,)</f>
        <v/>
      </c>
      <c r="C86" s="74">
        <f>B86/B85-1</f>
        <v/>
      </c>
      <c r="D86" s="74">
        <f>(Table110[[#This Row],[Index]]-B74)/B74</f>
        <v/>
      </c>
    </row>
    <row r="87">
      <c r="A87" s="19" t="n">
        <v>28734</v>
      </c>
      <c r="B87" s="61">
        <f>VLOOKUP(Table110[[#This Row],[Date]],database!A:H,3,)</f>
        <v/>
      </c>
      <c r="C87" s="74">
        <f>B87/B86-1</f>
        <v/>
      </c>
      <c r="D87" s="74">
        <f>(Table110[[#This Row],[Index]]-B75)/B75</f>
        <v/>
      </c>
    </row>
    <row r="88">
      <c r="A88" s="19" t="n">
        <v>28764</v>
      </c>
      <c r="B88" s="61">
        <f>VLOOKUP(Table110[[#This Row],[Date]],database!A:H,3,)</f>
        <v/>
      </c>
      <c r="C88" s="74">
        <f>B88/B87-1</f>
        <v/>
      </c>
      <c r="D88" s="74">
        <f>(Table110[[#This Row],[Index]]-B76)/B76</f>
        <v/>
      </c>
    </row>
    <row r="89">
      <c r="A89" s="19" t="n">
        <v>28795</v>
      </c>
      <c r="B89" s="61">
        <f>VLOOKUP(Table110[[#This Row],[Date]],database!A:H,3,)</f>
        <v/>
      </c>
      <c r="C89" s="74">
        <f>B89/B88-1</f>
        <v/>
      </c>
      <c r="D89" s="74">
        <f>(Table110[[#This Row],[Index]]-B77)/B77</f>
        <v/>
      </c>
    </row>
    <row r="90">
      <c r="A90" s="19" t="n">
        <v>28825</v>
      </c>
      <c r="B90" s="61">
        <f>VLOOKUP(Table110[[#This Row],[Date]],database!A:H,3,)</f>
        <v/>
      </c>
      <c r="C90" s="74">
        <f>B90/B89-1</f>
        <v/>
      </c>
      <c r="D90" s="74">
        <f>(Table110[[#This Row],[Index]]-B78)/B78</f>
        <v/>
      </c>
    </row>
    <row r="91">
      <c r="A91" s="19" t="n">
        <v>28856</v>
      </c>
      <c r="B91" s="61">
        <f>VLOOKUP(Table110[[#This Row],[Date]],database!A:H,3,)</f>
        <v/>
      </c>
      <c r="C91" s="74">
        <f>B91/B90-1</f>
        <v/>
      </c>
      <c r="D91" s="74">
        <f>(Table110[[#This Row],[Index]]-B79)/B79</f>
        <v/>
      </c>
    </row>
    <row r="92">
      <c r="A92" s="19" t="n">
        <v>28887</v>
      </c>
      <c r="B92" s="61">
        <f>VLOOKUP(Table110[[#This Row],[Date]],database!A:H,3,)</f>
        <v/>
      </c>
      <c r="C92" s="74">
        <f>B92/B91-1</f>
        <v/>
      </c>
      <c r="D92" s="74">
        <f>(Table110[[#This Row],[Index]]-B80)/B80</f>
        <v/>
      </c>
    </row>
    <row r="93">
      <c r="A93" s="19" t="n">
        <v>28915</v>
      </c>
      <c r="B93" s="61">
        <f>VLOOKUP(Table110[[#This Row],[Date]],database!A:H,3,)</f>
        <v/>
      </c>
      <c r="C93" s="74">
        <f>B93/B92-1</f>
        <v/>
      </c>
      <c r="D93" s="74">
        <f>(Table110[[#This Row],[Index]]-B81)/B81</f>
        <v/>
      </c>
    </row>
    <row r="94">
      <c r="A94" s="19" t="n">
        <v>28946</v>
      </c>
      <c r="B94" s="61">
        <f>VLOOKUP(Table110[[#This Row],[Date]],database!A:H,3,)</f>
        <v/>
      </c>
      <c r="C94" s="74">
        <f>B94/B93-1</f>
        <v/>
      </c>
      <c r="D94" s="74">
        <f>(Table110[[#This Row],[Index]]-B82)/B82</f>
        <v/>
      </c>
    </row>
    <row r="95">
      <c r="A95" s="19" t="n">
        <v>28976</v>
      </c>
      <c r="B95" s="61">
        <f>VLOOKUP(Table110[[#This Row],[Date]],database!A:H,3,)</f>
        <v/>
      </c>
      <c r="C95" s="74">
        <f>B95/B94-1</f>
        <v/>
      </c>
      <c r="D95" s="74">
        <f>(Table110[[#This Row],[Index]]-B83)/B83</f>
        <v/>
      </c>
    </row>
    <row r="96">
      <c r="A96" s="19" t="n">
        <v>29007</v>
      </c>
      <c r="B96" s="61">
        <f>VLOOKUP(Table110[[#This Row],[Date]],database!A:H,3,)</f>
        <v/>
      </c>
      <c r="C96" s="74">
        <f>B96/B95-1</f>
        <v/>
      </c>
      <c r="D96" s="74">
        <f>(Table110[[#This Row],[Index]]-B84)/B84</f>
        <v/>
      </c>
    </row>
    <row r="97">
      <c r="A97" s="19" t="n">
        <v>29037</v>
      </c>
      <c r="B97" s="61">
        <f>VLOOKUP(Table110[[#This Row],[Date]],database!A:H,3,)</f>
        <v/>
      </c>
      <c r="C97" s="74">
        <f>B97/B96-1</f>
        <v/>
      </c>
      <c r="D97" s="74">
        <f>(Table110[[#This Row],[Index]]-B85)/B85</f>
        <v/>
      </c>
    </row>
    <row r="98">
      <c r="A98" s="19" t="n">
        <v>29068</v>
      </c>
      <c r="B98" s="61">
        <f>VLOOKUP(Table110[[#This Row],[Date]],database!A:H,3,)</f>
        <v/>
      </c>
      <c r="C98" s="74">
        <f>B98/B97-1</f>
        <v/>
      </c>
      <c r="D98" s="74">
        <f>(Table110[[#This Row],[Index]]-B86)/B86</f>
        <v/>
      </c>
    </row>
    <row r="99">
      <c r="A99" s="19" t="n">
        <v>29099</v>
      </c>
      <c r="B99" s="61">
        <f>VLOOKUP(Table110[[#This Row],[Date]],database!A:H,3,)</f>
        <v/>
      </c>
      <c r="C99" s="74">
        <f>B99/B98-1</f>
        <v/>
      </c>
      <c r="D99" s="74">
        <f>(Table110[[#This Row],[Index]]-B87)/B87</f>
        <v/>
      </c>
    </row>
    <row r="100">
      <c r="A100" s="19" t="n">
        <v>29129</v>
      </c>
      <c r="B100" s="61">
        <f>VLOOKUP(Table110[[#This Row],[Date]],database!A:H,3,)</f>
        <v/>
      </c>
      <c r="C100" s="74">
        <f>B100/B99-1</f>
        <v/>
      </c>
      <c r="D100" s="74">
        <f>(Table110[[#This Row],[Index]]-B88)/B88</f>
        <v/>
      </c>
    </row>
    <row r="101">
      <c r="A101" s="19" t="n">
        <v>29160</v>
      </c>
      <c r="B101" s="61">
        <f>VLOOKUP(Table110[[#This Row],[Date]],database!A:H,3,)</f>
        <v/>
      </c>
      <c r="C101" s="74">
        <f>B101/B100-1</f>
        <v/>
      </c>
      <c r="D101" s="74">
        <f>(Table110[[#This Row],[Index]]-B89)/B89</f>
        <v/>
      </c>
    </row>
    <row r="102">
      <c r="A102" s="19" t="n">
        <v>29190</v>
      </c>
      <c r="B102" s="61">
        <f>VLOOKUP(Table110[[#This Row],[Date]],database!A:H,3,)</f>
        <v/>
      </c>
      <c r="C102" s="74">
        <f>B102/B101-1</f>
        <v/>
      </c>
      <c r="D102" s="74">
        <f>(Table110[[#This Row],[Index]]-B90)/B90</f>
        <v/>
      </c>
    </row>
    <row r="103">
      <c r="A103" s="19" t="n">
        <v>29221</v>
      </c>
      <c r="B103" s="61">
        <f>VLOOKUP(Table110[[#This Row],[Date]],database!A:H,3,)</f>
        <v/>
      </c>
      <c r="C103" s="74">
        <f>B103/B102-1</f>
        <v/>
      </c>
      <c r="D103" s="74">
        <f>(Table110[[#This Row],[Index]]-B91)/B91</f>
        <v/>
      </c>
    </row>
    <row r="104">
      <c r="A104" s="19" t="n">
        <v>29252</v>
      </c>
      <c r="B104" s="61">
        <f>VLOOKUP(Table110[[#This Row],[Date]],database!A:H,3,)</f>
        <v/>
      </c>
      <c r="C104" s="74">
        <f>B104/B103-1</f>
        <v/>
      </c>
      <c r="D104" s="74">
        <f>(Table110[[#This Row],[Index]]-B92)/B92</f>
        <v/>
      </c>
    </row>
    <row r="105">
      <c r="A105" s="19" t="n">
        <v>29281</v>
      </c>
      <c r="B105" s="61">
        <f>VLOOKUP(Table110[[#This Row],[Date]],database!A:H,3,)</f>
        <v/>
      </c>
      <c r="C105" s="74">
        <f>B105/B104-1</f>
        <v/>
      </c>
      <c r="D105" s="74">
        <f>(Table110[[#This Row],[Index]]-B93)/B93</f>
        <v/>
      </c>
    </row>
    <row r="106">
      <c r="A106" s="19" t="n">
        <v>29312</v>
      </c>
      <c r="B106" s="61">
        <f>VLOOKUP(Table110[[#This Row],[Date]],database!A:H,3,)</f>
        <v/>
      </c>
      <c r="C106" s="74">
        <f>B106/B105-1</f>
        <v/>
      </c>
      <c r="D106" s="74">
        <f>(Table110[[#This Row],[Index]]-B94)/B94</f>
        <v/>
      </c>
    </row>
    <row r="107">
      <c r="A107" s="19" t="n">
        <v>29342</v>
      </c>
      <c r="B107" s="61">
        <f>VLOOKUP(Table110[[#This Row],[Date]],database!A:H,3,)</f>
        <v/>
      </c>
      <c r="C107" s="74">
        <f>B107/B106-1</f>
        <v/>
      </c>
      <c r="D107" s="74">
        <f>(Table110[[#This Row],[Index]]-B95)/B95</f>
        <v/>
      </c>
    </row>
    <row r="108">
      <c r="A108" s="19" t="n">
        <v>29373</v>
      </c>
      <c r="B108" s="61">
        <f>VLOOKUP(Table110[[#This Row],[Date]],database!A:H,3,)</f>
        <v/>
      </c>
      <c r="C108" s="74">
        <f>B108/B107-1</f>
        <v/>
      </c>
      <c r="D108" s="74">
        <f>(Table110[[#This Row],[Index]]-B96)/B96</f>
        <v/>
      </c>
    </row>
    <row r="109">
      <c r="A109" s="19" t="n">
        <v>29403</v>
      </c>
      <c r="B109" s="61">
        <f>VLOOKUP(Table110[[#This Row],[Date]],database!A:H,3,)</f>
        <v/>
      </c>
      <c r="C109" s="74">
        <f>B109/B108-1</f>
        <v/>
      </c>
      <c r="D109" s="74">
        <f>(Table110[[#This Row],[Index]]-B97)/B97</f>
        <v/>
      </c>
    </row>
    <row r="110">
      <c r="A110" s="19" t="n">
        <v>29434</v>
      </c>
      <c r="B110" s="61">
        <f>VLOOKUP(Table110[[#This Row],[Date]],database!A:H,3,)</f>
        <v/>
      </c>
      <c r="C110" s="74">
        <f>B110/B109-1</f>
        <v/>
      </c>
      <c r="D110" s="74">
        <f>(Table110[[#This Row],[Index]]-B98)/B98</f>
        <v/>
      </c>
    </row>
    <row r="111">
      <c r="A111" s="19" t="n">
        <v>29465</v>
      </c>
      <c r="B111" s="61">
        <f>VLOOKUP(Table110[[#This Row],[Date]],database!A:H,3,)</f>
        <v/>
      </c>
      <c r="C111" s="74">
        <f>B111/B110-1</f>
        <v/>
      </c>
      <c r="D111" s="74">
        <f>(Table110[[#This Row],[Index]]-B99)/B99</f>
        <v/>
      </c>
    </row>
    <row r="112">
      <c r="A112" s="19" t="n">
        <v>29495</v>
      </c>
      <c r="B112" s="61">
        <f>VLOOKUP(Table110[[#This Row],[Date]],database!A:H,3,)</f>
        <v/>
      </c>
      <c r="C112" s="74">
        <f>B112/B111-1</f>
        <v/>
      </c>
      <c r="D112" s="74">
        <f>(Table110[[#This Row],[Index]]-B100)/B100</f>
        <v/>
      </c>
    </row>
    <row r="113">
      <c r="A113" s="19" t="n">
        <v>29526</v>
      </c>
      <c r="B113" s="61">
        <f>VLOOKUP(Table110[[#This Row],[Date]],database!A:H,3,)</f>
        <v/>
      </c>
      <c r="C113" s="74">
        <f>B113/B112-1</f>
        <v/>
      </c>
      <c r="D113" s="74">
        <f>(Table110[[#This Row],[Index]]-B101)/B101</f>
        <v/>
      </c>
    </row>
    <row r="114">
      <c r="A114" s="19" t="n">
        <v>29556</v>
      </c>
      <c r="B114" s="61">
        <f>VLOOKUP(Table110[[#This Row],[Date]],database!A:H,3,)</f>
        <v/>
      </c>
      <c r="C114" s="74">
        <f>B114/B113-1</f>
        <v/>
      </c>
      <c r="D114" s="74">
        <f>(Table110[[#This Row],[Index]]-B102)/B102</f>
        <v/>
      </c>
    </row>
    <row r="115">
      <c r="A115" s="19" t="n">
        <v>29587</v>
      </c>
      <c r="B115" s="61">
        <f>VLOOKUP(Table110[[#This Row],[Date]],database!A:H,3,)</f>
        <v/>
      </c>
      <c r="C115" s="74">
        <f>B115/B114-1</f>
        <v/>
      </c>
      <c r="D115" s="74">
        <f>(Table110[[#This Row],[Index]]-B103)/B103</f>
        <v/>
      </c>
    </row>
    <row r="116">
      <c r="A116" s="19" t="n">
        <v>29618</v>
      </c>
      <c r="B116" s="61">
        <f>VLOOKUP(Table110[[#This Row],[Date]],database!A:H,3,)</f>
        <v/>
      </c>
      <c r="C116" s="74">
        <f>B116/B115-1</f>
        <v/>
      </c>
      <c r="D116" s="74">
        <f>(Table110[[#This Row],[Index]]-B104)/B104</f>
        <v/>
      </c>
    </row>
    <row r="117">
      <c r="A117" s="19" t="n">
        <v>29646</v>
      </c>
      <c r="B117" s="61">
        <f>VLOOKUP(Table110[[#This Row],[Date]],database!A:H,3,)</f>
        <v/>
      </c>
      <c r="C117" s="74">
        <f>B117/B116-1</f>
        <v/>
      </c>
      <c r="D117" s="74">
        <f>(Table110[[#This Row],[Index]]-B105)/B105</f>
        <v/>
      </c>
    </row>
    <row r="118">
      <c r="A118" s="19" t="n">
        <v>29677</v>
      </c>
      <c r="B118" s="61">
        <f>VLOOKUP(Table110[[#This Row],[Date]],database!A:H,3,)</f>
        <v/>
      </c>
      <c r="C118" s="74">
        <f>B118/B117-1</f>
        <v/>
      </c>
      <c r="D118" s="74">
        <f>(Table110[[#This Row],[Index]]-B106)/B106</f>
        <v/>
      </c>
    </row>
    <row r="119">
      <c r="A119" s="19" t="n">
        <v>29707</v>
      </c>
      <c r="B119" s="61">
        <f>VLOOKUP(Table110[[#This Row],[Date]],database!A:H,3,)</f>
        <v/>
      </c>
      <c r="C119" s="74">
        <f>B119/B118-1</f>
        <v/>
      </c>
      <c r="D119" s="74">
        <f>(Table110[[#This Row],[Index]]-B107)/B107</f>
        <v/>
      </c>
    </row>
    <row r="120">
      <c r="A120" s="19" t="n">
        <v>29738</v>
      </c>
      <c r="B120" s="61">
        <f>VLOOKUP(Table110[[#This Row],[Date]],database!A:H,3,)</f>
        <v/>
      </c>
      <c r="C120" s="74">
        <f>B120/B119-1</f>
        <v/>
      </c>
      <c r="D120" s="74">
        <f>(Table110[[#This Row],[Index]]-B108)/B108</f>
        <v/>
      </c>
    </row>
    <row r="121">
      <c r="A121" s="19" t="n">
        <v>29768</v>
      </c>
      <c r="B121" s="61">
        <f>VLOOKUP(Table110[[#This Row],[Date]],database!A:H,3,)</f>
        <v/>
      </c>
      <c r="C121" s="74">
        <f>B121/B120-1</f>
        <v/>
      </c>
      <c r="D121" s="74">
        <f>(Table110[[#This Row],[Index]]-B109)/B109</f>
        <v/>
      </c>
    </row>
    <row r="122">
      <c r="A122" s="19" t="n">
        <v>29799</v>
      </c>
      <c r="B122" s="61">
        <f>VLOOKUP(Table110[[#This Row],[Date]],database!A:H,3,)</f>
        <v/>
      </c>
      <c r="C122" s="74">
        <f>B122/B121-1</f>
        <v/>
      </c>
      <c r="D122" s="74">
        <f>(Table110[[#This Row],[Index]]-B110)/B110</f>
        <v/>
      </c>
    </row>
    <row r="123">
      <c r="A123" s="19" t="n">
        <v>29830</v>
      </c>
      <c r="B123" s="61">
        <f>VLOOKUP(Table110[[#This Row],[Date]],database!A:H,3,)</f>
        <v/>
      </c>
      <c r="C123" s="74">
        <f>B123/B122-1</f>
        <v/>
      </c>
      <c r="D123" s="74">
        <f>(Table110[[#This Row],[Index]]-B111)/B111</f>
        <v/>
      </c>
    </row>
    <row r="124">
      <c r="A124" s="19" t="n">
        <v>29860</v>
      </c>
      <c r="B124" s="61">
        <f>VLOOKUP(Table110[[#This Row],[Date]],database!A:H,3,)</f>
        <v/>
      </c>
      <c r="C124" s="74">
        <f>B124/B123-1</f>
        <v/>
      </c>
      <c r="D124" s="74">
        <f>(Table110[[#This Row],[Index]]-B112)/B112</f>
        <v/>
      </c>
    </row>
    <row r="125">
      <c r="A125" s="19" t="n">
        <v>29891</v>
      </c>
      <c r="B125" s="61">
        <f>VLOOKUP(Table110[[#This Row],[Date]],database!A:H,3,)</f>
        <v/>
      </c>
      <c r="C125" s="74">
        <f>B125/B124-1</f>
        <v/>
      </c>
      <c r="D125" s="74">
        <f>(Table110[[#This Row],[Index]]-B113)/B113</f>
        <v/>
      </c>
    </row>
    <row r="126">
      <c r="A126" s="19" t="n">
        <v>29921</v>
      </c>
      <c r="B126" s="61">
        <f>VLOOKUP(Table110[[#This Row],[Date]],database!A:H,3,)</f>
        <v/>
      </c>
      <c r="C126" s="74">
        <f>B126/B125-1</f>
        <v/>
      </c>
      <c r="D126" s="74">
        <f>(Table110[[#This Row],[Index]]-B114)/B114</f>
        <v/>
      </c>
    </row>
    <row r="127">
      <c r="A127" s="19" t="n">
        <v>29952</v>
      </c>
      <c r="B127" s="61">
        <f>VLOOKUP(Table110[[#This Row],[Date]],database!A:H,3,)</f>
        <v/>
      </c>
      <c r="C127" s="74">
        <f>B127/B126-1</f>
        <v/>
      </c>
      <c r="D127" s="74">
        <f>(Table110[[#This Row],[Index]]-B115)/B115</f>
        <v/>
      </c>
    </row>
    <row r="128">
      <c r="A128" s="19" t="n">
        <v>29983</v>
      </c>
      <c r="B128" s="61">
        <f>VLOOKUP(Table110[[#This Row],[Date]],database!A:H,3,)</f>
        <v/>
      </c>
      <c r="C128" s="74">
        <f>B128/B127-1</f>
        <v/>
      </c>
      <c r="D128" s="74">
        <f>(Table110[[#This Row],[Index]]-B116)/B116</f>
        <v/>
      </c>
    </row>
    <row r="129">
      <c r="A129" s="19" t="n">
        <v>30011</v>
      </c>
      <c r="B129" s="61">
        <f>VLOOKUP(Table110[[#This Row],[Date]],database!A:H,3,)</f>
        <v/>
      </c>
      <c r="C129" s="74">
        <f>B129/B128-1</f>
        <v/>
      </c>
      <c r="D129" s="74">
        <f>(Table110[[#This Row],[Index]]-B117)/B117</f>
        <v/>
      </c>
    </row>
    <row r="130">
      <c r="A130" s="19" t="n">
        <v>30042</v>
      </c>
      <c r="B130" s="61">
        <f>VLOOKUP(Table110[[#This Row],[Date]],database!A:H,3,)</f>
        <v/>
      </c>
      <c r="C130" s="74">
        <f>B130/B129-1</f>
        <v/>
      </c>
      <c r="D130" s="74">
        <f>(Table110[[#This Row],[Index]]-B118)/B118</f>
        <v/>
      </c>
    </row>
    <row r="131">
      <c r="A131" s="19" t="n">
        <v>30072</v>
      </c>
      <c r="B131" s="61">
        <f>VLOOKUP(Table110[[#This Row],[Date]],database!A:H,3,)</f>
        <v/>
      </c>
      <c r="C131" s="74">
        <f>B131/B130-1</f>
        <v/>
      </c>
      <c r="D131" s="74">
        <f>(Table110[[#This Row],[Index]]-B119)/B119</f>
        <v/>
      </c>
    </row>
    <row r="132">
      <c r="A132" s="19" t="n">
        <v>30103</v>
      </c>
      <c r="B132" s="61">
        <f>VLOOKUP(Table110[[#This Row],[Date]],database!A:H,3,)</f>
        <v/>
      </c>
      <c r="C132" s="74">
        <f>B132/B131-1</f>
        <v/>
      </c>
      <c r="D132" s="74">
        <f>(Table110[[#This Row],[Index]]-B120)/B120</f>
        <v/>
      </c>
    </row>
    <row r="133">
      <c r="A133" s="19" t="n">
        <v>30133</v>
      </c>
      <c r="B133" s="61">
        <f>VLOOKUP(Table110[[#This Row],[Date]],database!A:H,3,)</f>
        <v/>
      </c>
      <c r="C133" s="74">
        <f>B133/B132-1</f>
        <v/>
      </c>
      <c r="D133" s="74">
        <f>(Table110[[#This Row],[Index]]-B121)/B121</f>
        <v/>
      </c>
    </row>
    <row r="134">
      <c r="A134" s="19" t="n">
        <v>30164</v>
      </c>
      <c r="B134" s="61">
        <f>VLOOKUP(Table110[[#This Row],[Date]],database!A:H,3,)</f>
        <v/>
      </c>
      <c r="C134" s="74">
        <f>B134/B133-1</f>
        <v/>
      </c>
      <c r="D134" s="74">
        <f>(Table110[[#This Row],[Index]]-B122)/B122</f>
        <v/>
      </c>
    </row>
    <row r="135">
      <c r="A135" s="19" t="n">
        <v>30195</v>
      </c>
      <c r="B135" s="61">
        <f>VLOOKUP(Table110[[#This Row],[Date]],database!A:H,3,)</f>
        <v/>
      </c>
      <c r="C135" s="74">
        <f>B135/B134-1</f>
        <v/>
      </c>
      <c r="D135" s="74">
        <f>(Table110[[#This Row],[Index]]-B123)/B123</f>
        <v/>
      </c>
    </row>
    <row r="136">
      <c r="A136" s="19" t="n">
        <v>30225</v>
      </c>
      <c r="B136" s="61">
        <f>VLOOKUP(Table110[[#This Row],[Date]],database!A:H,3,)</f>
        <v/>
      </c>
      <c r="C136" s="74">
        <f>B136/B135-1</f>
        <v/>
      </c>
      <c r="D136" s="74">
        <f>(Table110[[#This Row],[Index]]-B124)/B124</f>
        <v/>
      </c>
    </row>
    <row r="137">
      <c r="A137" s="19" t="n">
        <v>30256</v>
      </c>
      <c r="B137" s="61">
        <f>VLOOKUP(Table110[[#This Row],[Date]],database!A:H,3,)</f>
        <v/>
      </c>
      <c r="C137" s="74">
        <f>B137/B136-1</f>
        <v/>
      </c>
      <c r="D137" s="74">
        <f>(Table110[[#This Row],[Index]]-B125)/B125</f>
        <v/>
      </c>
    </row>
    <row r="138">
      <c r="A138" s="19" t="n">
        <v>30286</v>
      </c>
      <c r="B138" s="61">
        <f>VLOOKUP(Table110[[#This Row],[Date]],database!A:H,3,)</f>
        <v/>
      </c>
      <c r="C138" s="74">
        <f>B138/B137-1</f>
        <v/>
      </c>
      <c r="D138" s="74">
        <f>(Table110[[#This Row],[Index]]-B126)/B126</f>
        <v/>
      </c>
    </row>
    <row r="139">
      <c r="A139" s="19" t="n">
        <v>30317</v>
      </c>
      <c r="B139" s="61">
        <f>VLOOKUP(Table110[[#This Row],[Date]],database!A:H,3,)</f>
        <v/>
      </c>
      <c r="C139" s="74">
        <f>B139/B138-1</f>
        <v/>
      </c>
      <c r="D139" s="74">
        <f>(Table110[[#This Row],[Index]]-B127)/B127</f>
        <v/>
      </c>
    </row>
    <row r="140">
      <c r="A140" s="19" t="n">
        <v>30348</v>
      </c>
      <c r="B140" s="61">
        <f>VLOOKUP(Table110[[#This Row],[Date]],database!A:H,3,)</f>
        <v/>
      </c>
      <c r="C140" s="74">
        <f>B140/B139-1</f>
        <v/>
      </c>
      <c r="D140" s="74">
        <f>(Table110[[#This Row],[Index]]-B128)/B128</f>
        <v/>
      </c>
    </row>
    <row r="141">
      <c r="A141" s="19" t="n">
        <v>30376</v>
      </c>
      <c r="B141" s="61">
        <f>VLOOKUP(Table110[[#This Row],[Date]],database!A:H,3,)</f>
        <v/>
      </c>
      <c r="C141" s="74">
        <f>B141/B140-1</f>
        <v/>
      </c>
      <c r="D141" s="74">
        <f>(Table110[[#This Row],[Index]]-B129)/B129</f>
        <v/>
      </c>
    </row>
    <row r="142">
      <c r="A142" s="19" t="n">
        <v>30407</v>
      </c>
      <c r="B142" s="61">
        <f>VLOOKUP(Table110[[#This Row],[Date]],database!A:H,3,)</f>
        <v/>
      </c>
      <c r="C142" s="74">
        <f>B142/B141-1</f>
        <v/>
      </c>
      <c r="D142" s="74">
        <f>(Table110[[#This Row],[Index]]-B130)/B130</f>
        <v/>
      </c>
    </row>
    <row r="143">
      <c r="A143" s="19" t="n">
        <v>30437</v>
      </c>
      <c r="B143" s="61">
        <f>VLOOKUP(Table110[[#This Row],[Date]],database!A:H,3,)</f>
        <v/>
      </c>
      <c r="C143" s="74">
        <f>B143/B142-1</f>
        <v/>
      </c>
      <c r="D143" s="74">
        <f>(Table110[[#This Row],[Index]]-B131)/B131</f>
        <v/>
      </c>
    </row>
    <row r="144">
      <c r="A144" s="19" t="n">
        <v>30468</v>
      </c>
      <c r="B144" s="61">
        <f>VLOOKUP(Table110[[#This Row],[Date]],database!A:H,3,)</f>
        <v/>
      </c>
      <c r="C144" s="74">
        <f>B144/B143-1</f>
        <v/>
      </c>
      <c r="D144" s="74">
        <f>(Table110[[#This Row],[Index]]-B132)/B132</f>
        <v/>
      </c>
    </row>
    <row r="145">
      <c r="A145" s="19" t="n">
        <v>30498</v>
      </c>
      <c r="B145" s="61">
        <f>VLOOKUP(Table110[[#This Row],[Date]],database!A:H,3,)</f>
        <v/>
      </c>
      <c r="C145" s="74">
        <f>B145/B144-1</f>
        <v/>
      </c>
      <c r="D145" s="74">
        <f>(Table110[[#This Row],[Index]]-B133)/B133</f>
        <v/>
      </c>
    </row>
    <row r="146">
      <c r="A146" s="19" t="n">
        <v>30529</v>
      </c>
      <c r="B146" s="61">
        <f>VLOOKUP(Table110[[#This Row],[Date]],database!A:H,3,)</f>
        <v/>
      </c>
      <c r="C146" s="74">
        <f>B146/B145-1</f>
        <v/>
      </c>
      <c r="D146" s="74">
        <f>(Table110[[#This Row],[Index]]-B134)/B134</f>
        <v/>
      </c>
    </row>
    <row r="147">
      <c r="A147" s="19" t="n">
        <v>30560</v>
      </c>
      <c r="B147" s="61">
        <f>VLOOKUP(Table110[[#This Row],[Date]],database!A:H,3,)</f>
        <v/>
      </c>
      <c r="C147" s="74">
        <f>B147/B146-1</f>
        <v/>
      </c>
      <c r="D147" s="74">
        <f>(Table110[[#This Row],[Index]]-B135)/B135</f>
        <v/>
      </c>
    </row>
    <row r="148">
      <c r="A148" s="19" t="n">
        <v>30590</v>
      </c>
      <c r="B148" s="61">
        <f>VLOOKUP(Table110[[#This Row],[Date]],database!A:H,3,)</f>
        <v/>
      </c>
      <c r="C148" s="74">
        <f>B148/B147-1</f>
        <v/>
      </c>
      <c r="D148" s="74">
        <f>(Table110[[#This Row],[Index]]-B136)/B136</f>
        <v/>
      </c>
    </row>
    <row r="149">
      <c r="A149" s="19" t="n">
        <v>30621</v>
      </c>
      <c r="B149" s="61">
        <f>VLOOKUP(Table110[[#This Row],[Date]],database!A:H,3,)</f>
        <v/>
      </c>
      <c r="C149" s="74">
        <f>B149/B148-1</f>
        <v/>
      </c>
      <c r="D149" s="74">
        <f>(Table110[[#This Row],[Index]]-B137)/B137</f>
        <v/>
      </c>
    </row>
    <row r="150">
      <c r="A150" s="19" t="n">
        <v>30651</v>
      </c>
      <c r="B150" s="61">
        <f>VLOOKUP(Table110[[#This Row],[Date]],database!A:H,3,)</f>
        <v/>
      </c>
      <c r="C150" s="74">
        <f>B150/B149-1</f>
        <v/>
      </c>
      <c r="D150" s="74">
        <f>(Table110[[#This Row],[Index]]-B138)/B138</f>
        <v/>
      </c>
    </row>
    <row r="151">
      <c r="A151" s="19" t="n">
        <v>30682</v>
      </c>
      <c r="B151" s="61">
        <f>VLOOKUP(Table110[[#This Row],[Date]],database!A:H,3,)</f>
        <v/>
      </c>
      <c r="C151" s="74">
        <f>B151/B150-1</f>
        <v/>
      </c>
      <c r="D151" s="74">
        <f>(Table110[[#This Row],[Index]]-B139)/B139</f>
        <v/>
      </c>
    </row>
    <row r="152">
      <c r="A152" s="19" t="n">
        <v>30713</v>
      </c>
      <c r="B152" s="61">
        <f>VLOOKUP(Table110[[#This Row],[Date]],database!A:H,3,)</f>
        <v/>
      </c>
      <c r="C152" s="74">
        <f>B152/B151-1</f>
        <v/>
      </c>
      <c r="D152" s="74">
        <f>(Table110[[#This Row],[Index]]-B140)/B140</f>
        <v/>
      </c>
    </row>
    <row r="153">
      <c r="A153" s="19" t="n">
        <v>30742</v>
      </c>
      <c r="B153" s="61">
        <f>VLOOKUP(Table110[[#This Row],[Date]],database!A:H,3,)</f>
        <v/>
      </c>
      <c r="C153" s="74">
        <f>B153/B152-1</f>
        <v/>
      </c>
      <c r="D153" s="74">
        <f>(Table110[[#This Row],[Index]]-B141)/B141</f>
        <v/>
      </c>
    </row>
    <row r="154">
      <c r="A154" s="19" t="n">
        <v>30773</v>
      </c>
      <c r="B154" s="61">
        <f>VLOOKUP(Table110[[#This Row],[Date]],database!A:H,3,)</f>
        <v/>
      </c>
      <c r="C154" s="74">
        <f>B154/B153-1</f>
        <v/>
      </c>
      <c r="D154" s="74">
        <f>(Table110[[#This Row],[Index]]-B142)/B142</f>
        <v/>
      </c>
    </row>
    <row r="155">
      <c r="A155" s="19" t="n">
        <v>30803</v>
      </c>
      <c r="B155" s="61">
        <f>VLOOKUP(Table110[[#This Row],[Date]],database!A:H,3,)</f>
        <v/>
      </c>
      <c r="C155" s="74">
        <f>B155/B154-1</f>
        <v/>
      </c>
      <c r="D155" s="74">
        <f>(Table110[[#This Row],[Index]]-B143)/B143</f>
        <v/>
      </c>
    </row>
    <row r="156">
      <c r="A156" s="19" t="n">
        <v>30834</v>
      </c>
      <c r="B156" s="61">
        <f>VLOOKUP(Table110[[#This Row],[Date]],database!A:H,3,)</f>
        <v/>
      </c>
      <c r="C156" s="74">
        <f>B156/B155-1</f>
        <v/>
      </c>
      <c r="D156" s="74">
        <f>(Table110[[#This Row],[Index]]-B144)/B144</f>
        <v/>
      </c>
    </row>
    <row r="157">
      <c r="A157" s="19" t="n">
        <v>30864</v>
      </c>
      <c r="B157" s="61">
        <f>VLOOKUP(Table110[[#This Row],[Date]],database!A:H,3,)</f>
        <v/>
      </c>
      <c r="C157" s="74">
        <f>B157/B156-1</f>
        <v/>
      </c>
      <c r="D157" s="74">
        <f>(Table110[[#This Row],[Index]]-B145)/B145</f>
        <v/>
      </c>
    </row>
    <row r="158">
      <c r="A158" s="19" t="n">
        <v>30895</v>
      </c>
      <c r="B158" s="61">
        <f>VLOOKUP(Table110[[#This Row],[Date]],database!A:H,3,)</f>
        <v/>
      </c>
      <c r="C158" s="74">
        <f>B158/B157-1</f>
        <v/>
      </c>
      <c r="D158" s="74">
        <f>(Table110[[#This Row],[Index]]-B146)/B146</f>
        <v/>
      </c>
    </row>
    <row r="159">
      <c r="A159" s="19" t="n">
        <v>30926</v>
      </c>
      <c r="B159" s="61">
        <f>VLOOKUP(Table110[[#This Row],[Date]],database!A:H,3,)</f>
        <v/>
      </c>
      <c r="C159" s="74">
        <f>B159/B158-1</f>
        <v/>
      </c>
      <c r="D159" s="74">
        <f>(Table110[[#This Row],[Index]]-B147)/B147</f>
        <v/>
      </c>
    </row>
    <row r="160">
      <c r="A160" s="19" t="n">
        <v>30956</v>
      </c>
      <c r="B160" s="61">
        <f>VLOOKUP(Table110[[#This Row],[Date]],database!A:H,3,)</f>
        <v/>
      </c>
      <c r="C160" s="74">
        <f>B160/B159-1</f>
        <v/>
      </c>
      <c r="D160" s="74">
        <f>(Table110[[#This Row],[Index]]-B148)/B148</f>
        <v/>
      </c>
    </row>
    <row r="161">
      <c r="A161" s="19" t="n">
        <v>30987</v>
      </c>
      <c r="B161" s="61">
        <f>VLOOKUP(Table110[[#This Row],[Date]],database!A:H,3,)</f>
        <v/>
      </c>
      <c r="C161" s="74">
        <f>B161/B160-1</f>
        <v/>
      </c>
      <c r="D161" s="74">
        <f>(Table110[[#This Row],[Index]]-B149)/B149</f>
        <v/>
      </c>
    </row>
    <row r="162">
      <c r="A162" s="19" t="n">
        <v>31017</v>
      </c>
      <c r="B162" s="61">
        <f>VLOOKUP(Table110[[#This Row],[Date]],database!A:H,3,)</f>
        <v/>
      </c>
      <c r="C162" s="74">
        <f>B162/B161-1</f>
        <v/>
      </c>
      <c r="D162" s="74">
        <f>(Table110[[#This Row],[Index]]-B150)/B150</f>
        <v/>
      </c>
    </row>
    <row r="163">
      <c r="A163" s="19" t="n">
        <v>31048</v>
      </c>
      <c r="B163" s="61">
        <f>VLOOKUP(Table110[[#This Row],[Date]],database!A:H,3,)</f>
        <v/>
      </c>
      <c r="C163" s="74">
        <f>B163/B162-1</f>
        <v/>
      </c>
      <c r="D163" s="74">
        <f>(Table110[[#This Row],[Index]]-B151)/B151</f>
        <v/>
      </c>
    </row>
    <row r="164">
      <c r="A164" s="19" t="n">
        <v>31079</v>
      </c>
      <c r="B164" s="61">
        <f>VLOOKUP(Table110[[#This Row],[Date]],database!A:H,3,)</f>
        <v/>
      </c>
      <c r="C164" s="74">
        <f>B164/B163-1</f>
        <v/>
      </c>
      <c r="D164" s="74">
        <f>(Table110[[#This Row],[Index]]-B152)/B152</f>
        <v/>
      </c>
    </row>
    <row r="165">
      <c r="A165" s="19" t="n">
        <v>31107</v>
      </c>
      <c r="B165" s="61">
        <f>VLOOKUP(Table110[[#This Row],[Date]],database!A:H,3,)</f>
        <v/>
      </c>
      <c r="C165" s="74">
        <f>B165/B164-1</f>
        <v/>
      </c>
      <c r="D165" s="74">
        <f>(Table110[[#This Row],[Index]]-B153)/B153</f>
        <v/>
      </c>
    </row>
    <row r="166">
      <c r="A166" s="19" t="n">
        <v>31138</v>
      </c>
      <c r="B166" s="61">
        <f>VLOOKUP(Table110[[#This Row],[Date]],database!A:H,3,)</f>
        <v/>
      </c>
      <c r="C166" s="74">
        <f>B166/B165-1</f>
        <v/>
      </c>
      <c r="D166" s="74">
        <f>(Table110[[#This Row],[Index]]-B154)/B154</f>
        <v/>
      </c>
    </row>
    <row r="167">
      <c r="A167" s="19" t="n">
        <v>31168</v>
      </c>
      <c r="B167" s="61">
        <f>VLOOKUP(Table110[[#This Row],[Date]],database!A:H,3,)</f>
        <v/>
      </c>
      <c r="C167" s="74">
        <f>B167/B166-1</f>
        <v/>
      </c>
      <c r="D167" s="74">
        <f>(Table110[[#This Row],[Index]]-B155)/B155</f>
        <v/>
      </c>
    </row>
    <row r="168">
      <c r="A168" s="19" t="n">
        <v>31199</v>
      </c>
      <c r="B168" s="61">
        <f>VLOOKUP(Table110[[#This Row],[Date]],database!A:H,3,)</f>
        <v/>
      </c>
      <c r="C168" s="74">
        <f>B168/B167-1</f>
        <v/>
      </c>
      <c r="D168" s="74">
        <f>(Table110[[#This Row],[Index]]-B156)/B156</f>
        <v/>
      </c>
    </row>
    <row r="169">
      <c r="A169" s="19" t="n">
        <v>31229</v>
      </c>
      <c r="B169" s="61">
        <f>VLOOKUP(Table110[[#This Row],[Date]],database!A:H,3,)</f>
        <v/>
      </c>
      <c r="C169" s="74">
        <f>B169/B168-1</f>
        <v/>
      </c>
      <c r="D169" s="74">
        <f>(Table110[[#This Row],[Index]]-B157)/B157</f>
        <v/>
      </c>
    </row>
    <row r="170">
      <c r="A170" s="19" t="n">
        <v>31260</v>
      </c>
      <c r="B170" s="61">
        <f>VLOOKUP(Table110[[#This Row],[Date]],database!A:H,3,)</f>
        <v/>
      </c>
      <c r="C170" s="74">
        <f>B170/B169-1</f>
        <v/>
      </c>
      <c r="D170" s="74">
        <f>(Table110[[#This Row],[Index]]-B158)/B158</f>
        <v/>
      </c>
    </row>
    <row r="171">
      <c r="A171" s="19" t="n">
        <v>31291</v>
      </c>
      <c r="B171" s="61">
        <f>VLOOKUP(Table110[[#This Row],[Date]],database!A:H,3,)</f>
        <v/>
      </c>
      <c r="C171" s="74">
        <f>B171/B170-1</f>
        <v/>
      </c>
      <c r="D171" s="74">
        <f>(Table110[[#This Row],[Index]]-B159)/B159</f>
        <v/>
      </c>
    </row>
    <row r="172">
      <c r="A172" s="19" t="n">
        <v>31321</v>
      </c>
      <c r="B172" s="61">
        <f>VLOOKUP(Table110[[#This Row],[Date]],database!A:H,3,)</f>
        <v/>
      </c>
      <c r="C172" s="74">
        <f>B172/B171-1</f>
        <v/>
      </c>
      <c r="D172" s="74">
        <f>(Table110[[#This Row],[Index]]-B160)/B160</f>
        <v/>
      </c>
    </row>
    <row r="173">
      <c r="A173" s="19" t="n">
        <v>31352</v>
      </c>
      <c r="B173" s="61">
        <f>VLOOKUP(Table110[[#This Row],[Date]],database!A:H,3,)</f>
        <v/>
      </c>
      <c r="C173" s="74">
        <f>B173/B172-1</f>
        <v/>
      </c>
      <c r="D173" s="74">
        <f>(Table110[[#This Row],[Index]]-B161)/B161</f>
        <v/>
      </c>
    </row>
    <row r="174">
      <c r="A174" s="19" t="n">
        <v>31382</v>
      </c>
      <c r="B174" s="61">
        <f>VLOOKUP(Table110[[#This Row],[Date]],database!A:H,3,)</f>
        <v/>
      </c>
      <c r="C174" s="74">
        <f>B174/B173-1</f>
        <v/>
      </c>
      <c r="D174" s="74">
        <f>(Table110[[#This Row],[Index]]-B162)/B162</f>
        <v/>
      </c>
    </row>
    <row r="175">
      <c r="A175" s="19" t="n">
        <v>31413</v>
      </c>
      <c r="B175" s="61">
        <f>VLOOKUP(Table110[[#This Row],[Date]],database!A:H,3,)</f>
        <v/>
      </c>
      <c r="C175" s="74">
        <f>B175/B174-1</f>
        <v/>
      </c>
      <c r="D175" s="74">
        <f>(Table110[[#This Row],[Index]]-B163)/B163</f>
        <v/>
      </c>
    </row>
    <row r="176">
      <c r="A176" s="19" t="n">
        <v>31444</v>
      </c>
      <c r="B176" s="61">
        <f>VLOOKUP(Table110[[#This Row],[Date]],database!A:H,3,)</f>
        <v/>
      </c>
      <c r="C176" s="74">
        <f>B176/B175-1</f>
        <v/>
      </c>
      <c r="D176" s="74">
        <f>(Table110[[#This Row],[Index]]-B164)/B164</f>
        <v/>
      </c>
    </row>
    <row r="177">
      <c r="A177" s="19" t="n">
        <v>31472</v>
      </c>
      <c r="B177" s="61">
        <f>VLOOKUP(Table110[[#This Row],[Date]],database!A:H,3,)</f>
        <v/>
      </c>
      <c r="C177" s="74">
        <f>B177/B176-1</f>
        <v/>
      </c>
      <c r="D177" s="74">
        <f>(Table110[[#This Row],[Index]]-B165)/B165</f>
        <v/>
      </c>
    </row>
    <row r="178">
      <c r="A178" s="19" t="n">
        <v>31503</v>
      </c>
      <c r="B178" s="61">
        <f>VLOOKUP(Table110[[#This Row],[Date]],database!A:H,3,)</f>
        <v/>
      </c>
      <c r="C178" s="74">
        <f>B178/B177-1</f>
        <v/>
      </c>
      <c r="D178" s="74">
        <f>(Table110[[#This Row],[Index]]-B166)/B166</f>
        <v/>
      </c>
    </row>
    <row r="179">
      <c r="A179" s="19" t="n">
        <v>31533</v>
      </c>
      <c r="B179" s="61">
        <f>VLOOKUP(Table110[[#This Row],[Date]],database!A:H,3,)</f>
        <v/>
      </c>
      <c r="C179" s="74">
        <f>B179/B178-1</f>
        <v/>
      </c>
      <c r="D179" s="74">
        <f>(Table110[[#This Row],[Index]]-B167)/B167</f>
        <v/>
      </c>
    </row>
    <row r="180">
      <c r="A180" s="19" t="n">
        <v>31564</v>
      </c>
      <c r="B180" s="61">
        <f>VLOOKUP(Table110[[#This Row],[Date]],database!A:H,3,)</f>
        <v/>
      </c>
      <c r="C180" s="74">
        <f>B180/B179-1</f>
        <v/>
      </c>
      <c r="D180" s="74">
        <f>(Table110[[#This Row],[Index]]-B168)/B168</f>
        <v/>
      </c>
    </row>
    <row r="181">
      <c r="A181" s="19" t="n">
        <v>31594</v>
      </c>
      <c r="B181" s="61">
        <f>VLOOKUP(Table110[[#This Row],[Date]],database!A:H,3,)</f>
        <v/>
      </c>
      <c r="C181" s="74">
        <f>B181/B180-1</f>
        <v/>
      </c>
      <c r="D181" s="74">
        <f>(Table110[[#This Row],[Index]]-B169)/B169</f>
        <v/>
      </c>
    </row>
    <row r="182">
      <c r="A182" s="19" t="n">
        <v>31625</v>
      </c>
      <c r="B182" s="61">
        <f>VLOOKUP(Table110[[#This Row],[Date]],database!A:H,3,)</f>
        <v/>
      </c>
      <c r="C182" s="74">
        <f>B182/B181-1</f>
        <v/>
      </c>
      <c r="D182" s="74">
        <f>(Table110[[#This Row],[Index]]-B170)/B170</f>
        <v/>
      </c>
    </row>
    <row r="183">
      <c r="A183" s="19" t="n">
        <v>31656</v>
      </c>
      <c r="B183" s="61">
        <f>VLOOKUP(Table110[[#This Row],[Date]],database!A:H,3,)</f>
        <v/>
      </c>
      <c r="C183" s="74">
        <f>B183/B182-1</f>
        <v/>
      </c>
      <c r="D183" s="74">
        <f>(Table110[[#This Row],[Index]]-B171)/B171</f>
        <v/>
      </c>
    </row>
    <row r="184">
      <c r="A184" s="19" t="n">
        <v>31686</v>
      </c>
      <c r="B184" s="61">
        <f>VLOOKUP(Table110[[#This Row],[Date]],database!A:H,3,)</f>
        <v/>
      </c>
      <c r="C184" s="74">
        <f>B184/B183-1</f>
        <v/>
      </c>
      <c r="D184" s="74">
        <f>(Table110[[#This Row],[Index]]-B172)/B172</f>
        <v/>
      </c>
    </row>
    <row r="185">
      <c r="A185" s="19" t="n">
        <v>31717</v>
      </c>
      <c r="B185" s="61">
        <f>VLOOKUP(Table110[[#This Row],[Date]],database!A:H,3,)</f>
        <v/>
      </c>
      <c r="C185" s="74">
        <f>B185/B184-1</f>
        <v/>
      </c>
      <c r="D185" s="74">
        <f>(Table110[[#This Row],[Index]]-B173)/B173</f>
        <v/>
      </c>
    </row>
    <row r="186">
      <c r="A186" s="19" t="n">
        <v>31747</v>
      </c>
      <c r="B186" s="61">
        <f>VLOOKUP(Table110[[#This Row],[Date]],database!A:H,3,)</f>
        <v/>
      </c>
      <c r="C186" s="74">
        <f>B186/B185-1</f>
        <v/>
      </c>
      <c r="D186" s="74">
        <f>(Table110[[#This Row],[Index]]-B174)/B174</f>
        <v/>
      </c>
    </row>
    <row r="187">
      <c r="A187" s="19" t="n">
        <v>31778</v>
      </c>
      <c r="B187" s="61">
        <f>VLOOKUP(Table110[[#This Row],[Date]],database!A:H,3,)</f>
        <v/>
      </c>
      <c r="C187" s="74">
        <f>B187/B186-1</f>
        <v/>
      </c>
      <c r="D187" s="74">
        <f>(Table110[[#This Row],[Index]]-B175)/B175</f>
        <v/>
      </c>
    </row>
    <row r="188">
      <c r="A188" s="19" t="n">
        <v>31809</v>
      </c>
      <c r="B188" s="61">
        <f>VLOOKUP(Table110[[#This Row],[Date]],database!A:H,3,)</f>
        <v/>
      </c>
      <c r="C188" s="74">
        <f>B188/B187-1</f>
        <v/>
      </c>
      <c r="D188" s="74">
        <f>(Table110[[#This Row],[Index]]-B176)/B176</f>
        <v/>
      </c>
    </row>
    <row r="189">
      <c r="A189" s="19" t="n">
        <v>31837</v>
      </c>
      <c r="B189" s="61">
        <f>VLOOKUP(Table110[[#This Row],[Date]],database!A:H,3,)</f>
        <v/>
      </c>
      <c r="C189" s="74">
        <f>B189/B188-1</f>
        <v/>
      </c>
      <c r="D189" s="74">
        <f>(Table110[[#This Row],[Index]]-B177)/B177</f>
        <v/>
      </c>
    </row>
    <row r="190">
      <c r="A190" s="19" t="n">
        <v>31868</v>
      </c>
      <c r="B190" s="61">
        <f>VLOOKUP(Table110[[#This Row],[Date]],database!A:H,3,)</f>
        <v/>
      </c>
      <c r="C190" s="74">
        <f>B190/B189-1</f>
        <v/>
      </c>
      <c r="D190" s="74">
        <f>(Table110[[#This Row],[Index]]-B178)/B178</f>
        <v/>
      </c>
    </row>
    <row r="191">
      <c r="A191" s="19" t="n">
        <v>31898</v>
      </c>
      <c r="B191" s="61">
        <f>VLOOKUP(Table110[[#This Row],[Date]],database!A:H,3,)</f>
        <v/>
      </c>
      <c r="C191" s="74">
        <f>B191/B190-1</f>
        <v/>
      </c>
      <c r="D191" s="74">
        <f>(Table110[[#This Row],[Index]]-B179)/B179</f>
        <v/>
      </c>
    </row>
    <row r="192">
      <c r="A192" s="19" t="n">
        <v>31929</v>
      </c>
      <c r="B192" s="61">
        <f>VLOOKUP(Table110[[#This Row],[Date]],database!A:H,3,)</f>
        <v/>
      </c>
      <c r="C192" s="74">
        <f>B192/B191-1</f>
        <v/>
      </c>
      <c r="D192" s="74">
        <f>(Table110[[#This Row],[Index]]-B180)/B180</f>
        <v/>
      </c>
    </row>
    <row r="193">
      <c r="A193" s="19" t="n">
        <v>31959</v>
      </c>
      <c r="B193" s="61">
        <f>VLOOKUP(Table110[[#This Row],[Date]],database!A:H,3,)</f>
        <v/>
      </c>
      <c r="C193" s="74">
        <f>B193/B192-1</f>
        <v/>
      </c>
      <c r="D193" s="74">
        <f>(Table110[[#This Row],[Index]]-B181)/B181</f>
        <v/>
      </c>
    </row>
    <row r="194">
      <c r="A194" s="19" t="n">
        <v>31990</v>
      </c>
      <c r="B194" s="61">
        <f>VLOOKUP(Table110[[#This Row],[Date]],database!A:H,3,)</f>
        <v/>
      </c>
      <c r="C194" s="74">
        <f>B194/B193-1</f>
        <v/>
      </c>
      <c r="D194" s="74">
        <f>(Table110[[#This Row],[Index]]-B182)/B182</f>
        <v/>
      </c>
    </row>
    <row r="195">
      <c r="A195" s="19" t="n">
        <v>32021</v>
      </c>
      <c r="B195" s="61">
        <f>VLOOKUP(Table110[[#This Row],[Date]],database!A:H,3,)</f>
        <v/>
      </c>
      <c r="C195" s="74">
        <f>B195/B194-1</f>
        <v/>
      </c>
      <c r="D195" s="74">
        <f>(Table110[[#This Row],[Index]]-B183)/B183</f>
        <v/>
      </c>
    </row>
    <row r="196">
      <c r="A196" s="19" t="n">
        <v>32051</v>
      </c>
      <c r="B196" s="61">
        <f>VLOOKUP(Table110[[#This Row],[Date]],database!A:H,3,)</f>
        <v/>
      </c>
      <c r="C196" s="74">
        <f>B196/B195-1</f>
        <v/>
      </c>
      <c r="D196" s="74">
        <f>(Table110[[#This Row],[Index]]-B184)/B184</f>
        <v/>
      </c>
    </row>
    <row r="197">
      <c r="A197" s="19" t="n">
        <v>32082</v>
      </c>
      <c r="B197" s="61">
        <f>VLOOKUP(Table110[[#This Row],[Date]],database!A:H,3,)</f>
        <v/>
      </c>
      <c r="C197" s="74">
        <f>B197/B196-1</f>
        <v/>
      </c>
      <c r="D197" s="74">
        <f>(Table110[[#This Row],[Index]]-B185)/B185</f>
        <v/>
      </c>
    </row>
    <row r="198">
      <c r="A198" s="19" t="n">
        <v>32112</v>
      </c>
      <c r="B198" s="61">
        <f>VLOOKUP(Table110[[#This Row],[Date]],database!A:H,3,)</f>
        <v/>
      </c>
      <c r="C198" s="74">
        <f>B198/B197-1</f>
        <v/>
      </c>
      <c r="D198" s="74">
        <f>(Table110[[#This Row],[Index]]-B186)/B186</f>
        <v/>
      </c>
    </row>
    <row r="199">
      <c r="A199" s="19" t="n">
        <v>32143</v>
      </c>
      <c r="B199" s="61">
        <f>VLOOKUP(Table110[[#This Row],[Date]],database!A:H,3,)</f>
        <v/>
      </c>
      <c r="C199" s="74">
        <f>B199/B198-1</f>
        <v/>
      </c>
      <c r="D199" s="74">
        <f>(Table110[[#This Row],[Index]]-B187)/B187</f>
        <v/>
      </c>
    </row>
    <row r="200">
      <c r="A200" s="19" t="n">
        <v>32174</v>
      </c>
      <c r="B200" s="61">
        <f>VLOOKUP(Table110[[#This Row],[Date]],database!A:H,3,)</f>
        <v/>
      </c>
      <c r="C200" s="74">
        <f>B200/B199-1</f>
        <v/>
      </c>
      <c r="D200" s="74">
        <f>(Table110[[#This Row],[Index]]-B188)/B188</f>
        <v/>
      </c>
    </row>
    <row r="201">
      <c r="A201" s="19" t="n">
        <v>32203</v>
      </c>
      <c r="B201" s="61">
        <f>VLOOKUP(Table110[[#This Row],[Date]],database!A:H,3,)</f>
        <v/>
      </c>
      <c r="C201" s="74">
        <f>B201/B200-1</f>
        <v/>
      </c>
      <c r="D201" s="74">
        <f>(Table110[[#This Row],[Index]]-B189)/B189</f>
        <v/>
      </c>
    </row>
    <row r="202">
      <c r="A202" s="19" t="n">
        <v>32234</v>
      </c>
      <c r="B202" s="61">
        <f>VLOOKUP(Table110[[#This Row],[Date]],database!A:H,3,)</f>
        <v/>
      </c>
      <c r="C202" s="74">
        <f>B202/B201-1</f>
        <v/>
      </c>
      <c r="D202" s="74">
        <f>(Table110[[#This Row],[Index]]-B190)/B190</f>
        <v/>
      </c>
    </row>
    <row r="203">
      <c r="A203" s="19" t="n">
        <v>32264</v>
      </c>
      <c r="B203" s="61">
        <f>VLOOKUP(Table110[[#This Row],[Date]],database!A:H,3,)</f>
        <v/>
      </c>
      <c r="C203" s="74">
        <f>B203/B202-1</f>
        <v/>
      </c>
      <c r="D203" s="74">
        <f>(Table110[[#This Row],[Index]]-B191)/B191</f>
        <v/>
      </c>
    </row>
    <row r="204">
      <c r="A204" s="19" t="n">
        <v>32295</v>
      </c>
      <c r="B204" s="61">
        <f>VLOOKUP(Table110[[#This Row],[Date]],database!A:H,3,)</f>
        <v/>
      </c>
      <c r="C204" s="74">
        <f>B204/B203-1</f>
        <v/>
      </c>
      <c r="D204" s="74">
        <f>(Table110[[#This Row],[Index]]-B192)/B192</f>
        <v/>
      </c>
    </row>
    <row r="205">
      <c r="A205" s="19" t="n">
        <v>32325</v>
      </c>
      <c r="B205" s="61">
        <f>VLOOKUP(Table110[[#This Row],[Date]],database!A:H,3,)</f>
        <v/>
      </c>
      <c r="C205" s="74">
        <f>B205/B204-1</f>
        <v/>
      </c>
      <c r="D205" s="74">
        <f>(Table110[[#This Row],[Index]]-B193)/B193</f>
        <v/>
      </c>
    </row>
    <row r="206">
      <c r="A206" s="19" t="n">
        <v>32356</v>
      </c>
      <c r="B206" s="61">
        <f>VLOOKUP(Table110[[#This Row],[Date]],database!A:H,3,)</f>
        <v/>
      </c>
      <c r="C206" s="74">
        <f>B206/B205-1</f>
        <v/>
      </c>
      <c r="D206" s="74">
        <f>(Table110[[#This Row],[Index]]-B194)/B194</f>
        <v/>
      </c>
    </row>
    <row r="207">
      <c r="A207" s="19" t="n">
        <v>32387</v>
      </c>
      <c r="B207" s="61">
        <f>VLOOKUP(Table110[[#This Row],[Date]],database!A:H,3,)</f>
        <v/>
      </c>
      <c r="C207" s="74">
        <f>B207/B206-1</f>
        <v/>
      </c>
      <c r="D207" s="74">
        <f>(Table110[[#This Row],[Index]]-B195)/B195</f>
        <v/>
      </c>
    </row>
    <row r="208">
      <c r="A208" s="19" t="n">
        <v>32417</v>
      </c>
      <c r="B208" s="61">
        <f>VLOOKUP(Table110[[#This Row],[Date]],database!A:H,3,)</f>
        <v/>
      </c>
      <c r="C208" s="74">
        <f>B208/B207-1</f>
        <v/>
      </c>
      <c r="D208" s="74">
        <f>(Table110[[#This Row],[Index]]-B196)/B196</f>
        <v/>
      </c>
    </row>
    <row r="209">
      <c r="A209" s="19" t="n">
        <v>32448</v>
      </c>
      <c r="B209" s="61">
        <f>VLOOKUP(Table110[[#This Row],[Date]],database!A:H,3,)</f>
        <v/>
      </c>
      <c r="C209" s="74">
        <f>B209/B208-1</f>
        <v/>
      </c>
      <c r="D209" s="74">
        <f>(Table110[[#This Row],[Index]]-B197)/B197</f>
        <v/>
      </c>
    </row>
    <row r="210">
      <c r="A210" s="19" t="n">
        <v>32478</v>
      </c>
      <c r="B210" s="61">
        <f>VLOOKUP(Table110[[#This Row],[Date]],database!A:H,3,)</f>
        <v/>
      </c>
      <c r="C210" s="74">
        <f>B210/B209-1</f>
        <v/>
      </c>
      <c r="D210" s="74">
        <f>(Table110[[#This Row],[Index]]-B198)/B198</f>
        <v/>
      </c>
    </row>
    <row r="211">
      <c r="A211" s="19" t="n">
        <v>32509</v>
      </c>
      <c r="B211" s="61">
        <f>VLOOKUP(Table110[[#This Row],[Date]],database!A:H,3,)</f>
        <v/>
      </c>
      <c r="C211" s="74">
        <f>B211/B210-1</f>
        <v/>
      </c>
      <c r="D211" s="74">
        <f>(Table110[[#This Row],[Index]]-B199)/B199</f>
        <v/>
      </c>
    </row>
    <row r="212">
      <c r="A212" s="19" t="n">
        <v>32540</v>
      </c>
      <c r="B212" s="61">
        <f>VLOOKUP(Table110[[#This Row],[Date]],database!A:H,3,)</f>
        <v/>
      </c>
      <c r="C212" s="74">
        <f>B212/B211-1</f>
        <v/>
      </c>
      <c r="D212" s="74">
        <f>(Table110[[#This Row],[Index]]-B200)/B200</f>
        <v/>
      </c>
    </row>
    <row r="213">
      <c r="A213" s="19" t="n">
        <v>32568</v>
      </c>
      <c r="B213" s="61">
        <f>VLOOKUP(Table110[[#This Row],[Date]],database!A:H,3,)</f>
        <v/>
      </c>
      <c r="C213" s="74">
        <f>B213/B212-1</f>
        <v/>
      </c>
      <c r="D213" s="74">
        <f>(Table110[[#This Row],[Index]]-B201)/B201</f>
        <v/>
      </c>
    </row>
    <row r="214">
      <c r="A214" s="19" t="n">
        <v>32599</v>
      </c>
      <c r="B214" s="61">
        <f>VLOOKUP(Table110[[#This Row],[Date]],database!A:H,3,)</f>
        <v/>
      </c>
      <c r="C214" s="74">
        <f>B214/B213-1</f>
        <v/>
      </c>
      <c r="D214" s="74">
        <f>(Table110[[#This Row],[Index]]-B202)/B202</f>
        <v/>
      </c>
    </row>
    <row r="215">
      <c r="A215" s="19" t="n">
        <v>32629</v>
      </c>
      <c r="B215" s="61">
        <f>VLOOKUP(Table110[[#This Row],[Date]],database!A:H,3,)</f>
        <v/>
      </c>
      <c r="C215" s="74">
        <f>B215/B214-1</f>
        <v/>
      </c>
      <c r="D215" s="74">
        <f>(Table110[[#This Row],[Index]]-B203)/B203</f>
        <v/>
      </c>
    </row>
    <row r="216">
      <c r="A216" s="19" t="n">
        <v>32660</v>
      </c>
      <c r="B216" s="61">
        <f>VLOOKUP(Table110[[#This Row],[Date]],database!A:H,3,)</f>
        <v/>
      </c>
      <c r="C216" s="74">
        <f>B216/B215-1</f>
        <v/>
      </c>
      <c r="D216" s="74">
        <f>(Table110[[#This Row],[Index]]-B204)/B204</f>
        <v/>
      </c>
    </row>
    <row r="217">
      <c r="A217" s="19" t="n">
        <v>32690</v>
      </c>
      <c r="B217" s="61">
        <f>VLOOKUP(Table110[[#This Row],[Date]],database!A:H,3,)</f>
        <v/>
      </c>
      <c r="C217" s="74">
        <f>B217/B216-1</f>
        <v/>
      </c>
      <c r="D217" s="74">
        <f>(Table110[[#This Row],[Index]]-B205)/B205</f>
        <v/>
      </c>
    </row>
    <row r="218">
      <c r="A218" s="19" t="n">
        <v>32721</v>
      </c>
      <c r="B218" s="61">
        <f>VLOOKUP(Table110[[#This Row],[Date]],database!A:H,3,)</f>
        <v/>
      </c>
      <c r="C218" s="74">
        <f>B218/B217-1</f>
        <v/>
      </c>
      <c r="D218" s="74">
        <f>(Table110[[#This Row],[Index]]-B206)/B206</f>
        <v/>
      </c>
    </row>
    <row r="219">
      <c r="A219" s="19" t="n">
        <v>32752</v>
      </c>
      <c r="B219" s="61">
        <f>VLOOKUP(Table110[[#This Row],[Date]],database!A:H,3,)</f>
        <v/>
      </c>
      <c r="C219" s="74">
        <f>B219/B218-1</f>
        <v/>
      </c>
      <c r="D219" s="74">
        <f>(Table110[[#This Row],[Index]]-B207)/B207</f>
        <v/>
      </c>
    </row>
    <row r="220">
      <c r="A220" s="19" t="n">
        <v>32782</v>
      </c>
      <c r="B220" s="61">
        <f>VLOOKUP(Table110[[#This Row],[Date]],database!A:H,3,)</f>
        <v/>
      </c>
      <c r="C220" s="74">
        <f>B220/B219-1</f>
        <v/>
      </c>
      <c r="D220" s="74">
        <f>(Table110[[#This Row],[Index]]-B208)/B208</f>
        <v/>
      </c>
    </row>
    <row r="221">
      <c r="A221" s="19" t="n">
        <v>32813</v>
      </c>
      <c r="B221" s="61">
        <f>VLOOKUP(Table110[[#This Row],[Date]],database!A:H,3,)</f>
        <v/>
      </c>
      <c r="C221" s="74">
        <f>B221/B220-1</f>
        <v/>
      </c>
      <c r="D221" s="74">
        <f>(Table110[[#This Row],[Index]]-B209)/B209</f>
        <v/>
      </c>
    </row>
    <row r="222">
      <c r="A222" s="19" t="n">
        <v>32843</v>
      </c>
      <c r="B222" s="61">
        <f>VLOOKUP(Table110[[#This Row],[Date]],database!A:H,3,)</f>
        <v/>
      </c>
      <c r="C222" s="74">
        <f>B222/B221-1</f>
        <v/>
      </c>
      <c r="D222" s="74">
        <f>(Table110[[#This Row],[Index]]-B210)/B210</f>
        <v/>
      </c>
    </row>
    <row r="223">
      <c r="A223" s="19" t="n">
        <v>32874</v>
      </c>
      <c r="B223" s="61">
        <f>VLOOKUP(Table110[[#This Row],[Date]],database!A:H,3,)</f>
        <v/>
      </c>
      <c r="C223" s="74">
        <f>B223/B222-1</f>
        <v/>
      </c>
      <c r="D223" s="74">
        <f>(Table110[[#This Row],[Index]]-B211)/B211</f>
        <v/>
      </c>
    </row>
    <row r="224">
      <c r="A224" s="19" t="n">
        <v>32905</v>
      </c>
      <c r="B224" s="61">
        <f>VLOOKUP(Table110[[#This Row],[Date]],database!A:H,3,)</f>
        <v/>
      </c>
      <c r="C224" s="74">
        <f>B224/B223-1</f>
        <v/>
      </c>
      <c r="D224" s="74">
        <f>(Table110[[#This Row],[Index]]-B212)/B212</f>
        <v/>
      </c>
    </row>
    <row r="225">
      <c r="A225" s="19" t="n">
        <v>32933</v>
      </c>
      <c r="B225" s="61">
        <f>VLOOKUP(Table110[[#This Row],[Date]],database!A:H,3,)</f>
        <v/>
      </c>
      <c r="C225" s="74">
        <f>B225/B224-1</f>
        <v/>
      </c>
      <c r="D225" s="74">
        <f>(Table110[[#This Row],[Index]]-B213)/B213</f>
        <v/>
      </c>
    </row>
    <row r="226">
      <c r="A226" s="19" t="n">
        <v>32964</v>
      </c>
      <c r="B226" s="61">
        <f>VLOOKUP(Table110[[#This Row],[Date]],database!A:H,3,)</f>
        <v/>
      </c>
      <c r="C226" s="74">
        <f>B226/B225-1</f>
        <v/>
      </c>
      <c r="D226" s="74">
        <f>(Table110[[#This Row],[Index]]-B214)/B214</f>
        <v/>
      </c>
    </row>
    <row r="227">
      <c r="A227" s="19" t="n">
        <v>32994</v>
      </c>
      <c r="B227" s="61">
        <f>VLOOKUP(Table110[[#This Row],[Date]],database!A:H,3,)</f>
        <v/>
      </c>
      <c r="C227" s="74">
        <f>B227/B226-1</f>
        <v/>
      </c>
      <c r="D227" s="74">
        <f>(Table110[[#This Row],[Index]]-B215)/B215</f>
        <v/>
      </c>
    </row>
    <row r="228">
      <c r="A228" s="19" t="n">
        <v>33025</v>
      </c>
      <c r="B228" s="61">
        <f>VLOOKUP(Table110[[#This Row],[Date]],database!A:H,3,)</f>
        <v/>
      </c>
      <c r="C228" s="74">
        <f>B228/B227-1</f>
        <v/>
      </c>
      <c r="D228" s="74">
        <f>(Table110[[#This Row],[Index]]-B216)/B216</f>
        <v/>
      </c>
    </row>
    <row r="229">
      <c r="A229" s="19" t="n">
        <v>33055</v>
      </c>
      <c r="B229" s="61">
        <f>VLOOKUP(Table110[[#This Row],[Date]],database!A:H,3,)</f>
        <v/>
      </c>
      <c r="C229" s="74">
        <f>B229/B228-1</f>
        <v/>
      </c>
      <c r="D229" s="74">
        <f>(Table110[[#This Row],[Index]]-B217)/B217</f>
        <v/>
      </c>
    </row>
    <row r="230">
      <c r="A230" s="19" t="n">
        <v>33086</v>
      </c>
      <c r="B230" s="61">
        <f>VLOOKUP(Table110[[#This Row],[Date]],database!A:H,3,)</f>
        <v/>
      </c>
      <c r="C230" s="74">
        <f>B230/B229-1</f>
        <v/>
      </c>
      <c r="D230" s="74">
        <f>(Table110[[#This Row],[Index]]-B218)/B218</f>
        <v/>
      </c>
    </row>
    <row r="231">
      <c r="A231" s="19" t="n">
        <v>33117</v>
      </c>
      <c r="B231" s="61">
        <f>VLOOKUP(Table110[[#This Row],[Date]],database!A:H,3,)</f>
        <v/>
      </c>
      <c r="C231" s="74">
        <f>B231/B230-1</f>
        <v/>
      </c>
      <c r="D231" s="74">
        <f>(Table110[[#This Row],[Index]]-B219)/B219</f>
        <v/>
      </c>
    </row>
    <row r="232">
      <c r="A232" s="19" t="n">
        <v>33147</v>
      </c>
      <c r="B232" s="61">
        <f>VLOOKUP(Table110[[#This Row],[Date]],database!A:H,3,)</f>
        <v/>
      </c>
      <c r="C232" s="74">
        <f>B232/B231-1</f>
        <v/>
      </c>
      <c r="D232" s="74">
        <f>(Table110[[#This Row],[Index]]-B220)/B220</f>
        <v/>
      </c>
    </row>
    <row r="233">
      <c r="A233" s="19" t="n">
        <v>33178</v>
      </c>
      <c r="B233" s="61">
        <f>VLOOKUP(Table110[[#This Row],[Date]],database!A:H,3,)</f>
        <v/>
      </c>
      <c r="C233" s="74">
        <f>B233/B232-1</f>
        <v/>
      </c>
      <c r="D233" s="74">
        <f>(Table110[[#This Row],[Index]]-B221)/B221</f>
        <v/>
      </c>
    </row>
    <row r="234">
      <c r="A234" s="19" t="n">
        <v>33208</v>
      </c>
      <c r="B234" s="61">
        <f>VLOOKUP(Table110[[#This Row],[Date]],database!A:H,3,)</f>
        <v/>
      </c>
      <c r="C234" s="74">
        <f>B234/B233-1</f>
        <v/>
      </c>
      <c r="D234" s="74">
        <f>(Table110[[#This Row],[Index]]-B222)/B222</f>
        <v/>
      </c>
    </row>
    <row r="235">
      <c r="A235" s="19" t="n">
        <v>33239</v>
      </c>
      <c r="B235" s="61">
        <f>VLOOKUP(Table110[[#This Row],[Date]],database!A:H,3,)</f>
        <v/>
      </c>
      <c r="C235" s="74">
        <f>B235/B234-1</f>
        <v/>
      </c>
      <c r="D235" s="74">
        <f>(Table110[[#This Row],[Index]]-B223)/B223</f>
        <v/>
      </c>
    </row>
    <row r="236">
      <c r="A236" s="19" t="n">
        <v>33270</v>
      </c>
      <c r="B236" s="61">
        <f>VLOOKUP(Table110[[#This Row],[Date]],database!A:H,3,)</f>
        <v/>
      </c>
      <c r="C236" s="74">
        <f>B236/B235-1</f>
        <v/>
      </c>
      <c r="D236" s="74">
        <f>(Table110[[#This Row],[Index]]-B224)/B224</f>
        <v/>
      </c>
    </row>
    <row r="237">
      <c r="A237" s="19" t="n">
        <v>33298</v>
      </c>
      <c r="B237" s="61">
        <f>VLOOKUP(Table110[[#This Row],[Date]],database!A:H,3,)</f>
        <v/>
      </c>
      <c r="C237" s="74">
        <f>B237/B236-1</f>
        <v/>
      </c>
      <c r="D237" s="74">
        <f>(Table110[[#This Row],[Index]]-B225)/B225</f>
        <v/>
      </c>
    </row>
    <row r="238">
      <c r="A238" s="19" t="n">
        <v>33329</v>
      </c>
      <c r="B238" s="61">
        <f>VLOOKUP(Table110[[#This Row],[Date]],database!A:H,3,)</f>
        <v/>
      </c>
      <c r="C238" s="74">
        <f>B238/B237-1</f>
        <v/>
      </c>
      <c r="D238" s="74">
        <f>(Table110[[#This Row],[Index]]-B226)/B226</f>
        <v/>
      </c>
    </row>
    <row r="239">
      <c r="A239" s="19" t="n">
        <v>33359</v>
      </c>
      <c r="B239" s="61">
        <f>VLOOKUP(Table110[[#This Row],[Date]],database!A:H,3,)</f>
        <v/>
      </c>
      <c r="C239" s="74">
        <f>B239/B238-1</f>
        <v/>
      </c>
      <c r="D239" s="74">
        <f>(Table110[[#This Row],[Index]]-B227)/B227</f>
        <v/>
      </c>
    </row>
    <row r="240">
      <c r="A240" s="19" t="n">
        <v>33390</v>
      </c>
      <c r="B240" s="61">
        <f>VLOOKUP(Table110[[#This Row],[Date]],database!A:H,3,)</f>
        <v/>
      </c>
      <c r="C240" s="74">
        <f>B240/B239-1</f>
        <v/>
      </c>
      <c r="D240" s="74">
        <f>(Table110[[#This Row],[Index]]-B228)/B228</f>
        <v/>
      </c>
    </row>
    <row r="241">
      <c r="A241" s="19" t="n">
        <v>33420</v>
      </c>
      <c r="B241" s="61">
        <f>VLOOKUP(Table110[[#This Row],[Date]],database!A:H,3,)</f>
        <v/>
      </c>
      <c r="C241" s="74">
        <f>B241/B240-1</f>
        <v/>
      </c>
      <c r="D241" s="74">
        <f>(Table110[[#This Row],[Index]]-B229)/B229</f>
        <v/>
      </c>
    </row>
    <row r="242">
      <c r="A242" s="19" t="n">
        <v>33451</v>
      </c>
      <c r="B242" s="61">
        <f>VLOOKUP(Table110[[#This Row],[Date]],database!A:H,3,)</f>
        <v/>
      </c>
      <c r="C242" s="74">
        <f>B242/B241-1</f>
        <v/>
      </c>
      <c r="D242" s="74">
        <f>(Table110[[#This Row],[Index]]-B230)/B230</f>
        <v/>
      </c>
    </row>
    <row r="243">
      <c r="A243" s="19" t="n">
        <v>33482</v>
      </c>
      <c r="B243" s="61">
        <f>VLOOKUP(Table110[[#This Row],[Date]],database!A:H,3,)</f>
        <v/>
      </c>
      <c r="C243" s="74">
        <f>B243/B242-1</f>
        <v/>
      </c>
      <c r="D243" s="74">
        <f>(Table110[[#This Row],[Index]]-B231)/B231</f>
        <v/>
      </c>
    </row>
    <row r="244">
      <c r="A244" s="19" t="n">
        <v>33512</v>
      </c>
      <c r="B244" s="61">
        <f>VLOOKUP(Table110[[#This Row],[Date]],database!A:H,3,)</f>
        <v/>
      </c>
      <c r="C244" s="74">
        <f>B244/B243-1</f>
        <v/>
      </c>
      <c r="D244" s="74">
        <f>(Table110[[#This Row],[Index]]-B232)/B232</f>
        <v/>
      </c>
    </row>
    <row r="245">
      <c r="A245" s="19" t="n">
        <v>33543</v>
      </c>
      <c r="B245" s="61">
        <f>VLOOKUP(Table110[[#This Row],[Date]],database!A:H,3,)</f>
        <v/>
      </c>
      <c r="C245" s="74">
        <f>B245/B244-1</f>
        <v/>
      </c>
      <c r="D245" s="74">
        <f>(Table110[[#This Row],[Index]]-B233)/B233</f>
        <v/>
      </c>
    </row>
    <row r="246">
      <c r="A246" s="19" t="n">
        <v>33573</v>
      </c>
      <c r="B246" s="61">
        <f>VLOOKUP(Table110[[#This Row],[Date]],database!A:H,3,)</f>
        <v/>
      </c>
      <c r="C246" s="74">
        <f>B246/B245-1</f>
        <v/>
      </c>
      <c r="D246" s="74">
        <f>(Table110[[#This Row],[Index]]-B234)/B234</f>
        <v/>
      </c>
    </row>
    <row r="247">
      <c r="A247" s="19" t="n">
        <v>33604</v>
      </c>
      <c r="B247" s="61">
        <f>VLOOKUP(Table110[[#This Row],[Date]],database!A:H,3,)</f>
        <v/>
      </c>
      <c r="C247" s="74">
        <f>B247/B246-1</f>
        <v/>
      </c>
      <c r="D247" s="74">
        <f>(Table110[[#This Row],[Index]]-B235)/B235</f>
        <v/>
      </c>
    </row>
    <row r="248">
      <c r="A248" s="19" t="n">
        <v>33635</v>
      </c>
      <c r="B248" s="61">
        <f>VLOOKUP(Table110[[#This Row],[Date]],database!A:H,3,)</f>
        <v/>
      </c>
      <c r="C248" s="74">
        <f>B248/B247-1</f>
        <v/>
      </c>
      <c r="D248" s="74">
        <f>(Table110[[#This Row],[Index]]-B236)/B236</f>
        <v/>
      </c>
    </row>
    <row r="249">
      <c r="A249" s="19" t="n">
        <v>33664</v>
      </c>
      <c r="B249" s="61">
        <f>VLOOKUP(Table110[[#This Row],[Date]],database!A:H,3,)</f>
        <v/>
      </c>
      <c r="C249" s="74">
        <f>B249/B248-1</f>
        <v/>
      </c>
      <c r="D249" s="74">
        <f>(Table110[[#This Row],[Index]]-B237)/B237</f>
        <v/>
      </c>
    </row>
    <row r="250">
      <c r="A250" s="19" t="n">
        <v>33695</v>
      </c>
      <c r="B250" s="61">
        <f>VLOOKUP(Table110[[#This Row],[Date]],database!A:H,3,)</f>
        <v/>
      </c>
      <c r="C250" s="74">
        <f>B250/B249-1</f>
        <v/>
      </c>
      <c r="D250" s="74">
        <f>(Table110[[#This Row],[Index]]-B238)/B238</f>
        <v/>
      </c>
    </row>
    <row r="251">
      <c r="A251" s="19" t="n">
        <v>33725</v>
      </c>
      <c r="B251" s="61">
        <f>VLOOKUP(Table110[[#This Row],[Date]],database!A:H,3,)</f>
        <v/>
      </c>
      <c r="C251" s="74">
        <f>B251/B250-1</f>
        <v/>
      </c>
      <c r="D251" s="74">
        <f>(Table110[[#This Row],[Index]]-B239)/B239</f>
        <v/>
      </c>
    </row>
    <row r="252">
      <c r="A252" s="19" t="n">
        <v>33756</v>
      </c>
      <c r="B252" s="61">
        <f>VLOOKUP(Table110[[#This Row],[Date]],database!A:H,3,)</f>
        <v/>
      </c>
      <c r="C252" s="74">
        <f>B252/B251-1</f>
        <v/>
      </c>
      <c r="D252" s="74">
        <f>(Table110[[#This Row],[Index]]-B240)/B240</f>
        <v/>
      </c>
    </row>
    <row r="253">
      <c r="A253" s="19" t="n">
        <v>33786</v>
      </c>
      <c r="B253" s="61">
        <f>VLOOKUP(Table110[[#This Row],[Date]],database!A:H,3,)</f>
        <v/>
      </c>
      <c r="C253" s="74">
        <f>B253/B252-1</f>
        <v/>
      </c>
      <c r="D253" s="74">
        <f>(Table110[[#This Row],[Index]]-B241)/B241</f>
        <v/>
      </c>
    </row>
    <row r="254">
      <c r="A254" s="19" t="n">
        <v>33817</v>
      </c>
      <c r="B254" s="61">
        <f>VLOOKUP(Table110[[#This Row],[Date]],database!A:H,3,)</f>
        <v/>
      </c>
      <c r="C254" s="74">
        <f>B254/B253-1</f>
        <v/>
      </c>
      <c r="D254" s="74">
        <f>(Table110[[#This Row],[Index]]-B242)/B242</f>
        <v/>
      </c>
    </row>
    <row r="255">
      <c r="A255" s="19" t="n">
        <v>33848</v>
      </c>
      <c r="B255" s="61">
        <f>VLOOKUP(Table110[[#This Row],[Date]],database!A:H,3,)</f>
        <v/>
      </c>
      <c r="C255" s="74">
        <f>B255/B254-1</f>
        <v/>
      </c>
      <c r="D255" s="74">
        <f>(Table110[[#This Row],[Index]]-B243)/B243</f>
        <v/>
      </c>
    </row>
    <row r="256">
      <c r="A256" s="19" t="n">
        <v>33878</v>
      </c>
      <c r="B256" s="61">
        <f>VLOOKUP(Table110[[#This Row],[Date]],database!A:H,3,)</f>
        <v/>
      </c>
      <c r="C256" s="74">
        <f>B256/B255-1</f>
        <v/>
      </c>
      <c r="D256" s="74">
        <f>(Table110[[#This Row],[Index]]-B244)/B244</f>
        <v/>
      </c>
    </row>
    <row r="257">
      <c r="A257" s="19" t="n">
        <v>33909</v>
      </c>
      <c r="B257" s="61">
        <f>VLOOKUP(Table110[[#This Row],[Date]],database!A:H,3,)</f>
        <v/>
      </c>
      <c r="C257" s="74">
        <f>B257/B256-1</f>
        <v/>
      </c>
      <c r="D257" s="74">
        <f>(Table110[[#This Row],[Index]]-B245)/B245</f>
        <v/>
      </c>
    </row>
    <row r="258">
      <c r="A258" s="19" t="n">
        <v>33939</v>
      </c>
      <c r="B258" s="61">
        <f>VLOOKUP(Table110[[#This Row],[Date]],database!A:H,3,)</f>
        <v/>
      </c>
      <c r="C258" s="74">
        <f>B258/B257-1</f>
        <v/>
      </c>
      <c r="D258" s="74">
        <f>(Table110[[#This Row],[Index]]-B246)/B246</f>
        <v/>
      </c>
    </row>
    <row r="259">
      <c r="A259" s="19" t="n">
        <v>33970</v>
      </c>
      <c r="B259" s="61">
        <f>VLOOKUP(Table110[[#This Row],[Date]],database!A:H,3,)</f>
        <v/>
      </c>
      <c r="C259" s="74">
        <f>B259/B258-1</f>
        <v/>
      </c>
      <c r="D259" s="74">
        <f>(Table110[[#This Row],[Index]]-B247)/B247</f>
        <v/>
      </c>
    </row>
    <row r="260">
      <c r="A260" s="19" t="n">
        <v>34001</v>
      </c>
      <c r="B260" s="61">
        <f>VLOOKUP(Table110[[#This Row],[Date]],database!A:H,3,)</f>
        <v/>
      </c>
      <c r="C260" s="74">
        <f>B260/B259-1</f>
        <v/>
      </c>
      <c r="D260" s="74">
        <f>(Table110[[#This Row],[Index]]-B248)/B248</f>
        <v/>
      </c>
    </row>
    <row r="261">
      <c r="A261" s="19" t="n">
        <v>34029</v>
      </c>
      <c r="B261" s="61">
        <f>VLOOKUP(Table110[[#This Row],[Date]],database!A:H,3,)</f>
        <v/>
      </c>
      <c r="C261" s="74">
        <f>B261/B260-1</f>
        <v/>
      </c>
      <c r="D261" s="74">
        <f>(Table110[[#This Row],[Index]]-B249)/B249</f>
        <v/>
      </c>
    </row>
    <row r="262">
      <c r="A262" s="19" t="n">
        <v>34060</v>
      </c>
      <c r="B262" s="61">
        <f>VLOOKUP(Table110[[#This Row],[Date]],database!A:H,3,)</f>
        <v/>
      </c>
      <c r="C262" s="74">
        <f>B262/B261-1</f>
        <v/>
      </c>
      <c r="D262" s="74">
        <f>(Table110[[#This Row],[Index]]-B250)/B250</f>
        <v/>
      </c>
    </row>
    <row r="263">
      <c r="A263" s="19" t="n">
        <v>34090</v>
      </c>
      <c r="B263" s="61">
        <f>VLOOKUP(Table110[[#This Row],[Date]],database!A:H,3,)</f>
        <v/>
      </c>
      <c r="C263" s="74">
        <f>B263/B262-1</f>
        <v/>
      </c>
      <c r="D263" s="74">
        <f>(Table110[[#This Row],[Index]]-B251)/B251</f>
        <v/>
      </c>
    </row>
    <row r="264">
      <c r="A264" s="19" t="n">
        <v>34121</v>
      </c>
      <c r="B264" s="61">
        <f>VLOOKUP(Table110[[#This Row],[Date]],database!A:H,3,)</f>
        <v/>
      </c>
      <c r="C264" s="74">
        <f>B264/B263-1</f>
        <v/>
      </c>
      <c r="D264" s="74">
        <f>(Table110[[#This Row],[Index]]-B252)/B252</f>
        <v/>
      </c>
    </row>
    <row r="265">
      <c r="A265" s="19" t="n">
        <v>34151</v>
      </c>
      <c r="B265" s="61">
        <f>VLOOKUP(Table110[[#This Row],[Date]],database!A:H,3,)</f>
        <v/>
      </c>
      <c r="C265" s="74">
        <f>B265/B264-1</f>
        <v/>
      </c>
      <c r="D265" s="74">
        <f>(Table110[[#This Row],[Index]]-B253)/B253</f>
        <v/>
      </c>
    </row>
    <row r="266">
      <c r="A266" s="19" t="n">
        <v>34182</v>
      </c>
      <c r="B266" s="61">
        <f>VLOOKUP(Table110[[#This Row],[Date]],database!A:H,3,)</f>
        <v/>
      </c>
      <c r="C266" s="74">
        <f>B266/B265-1</f>
        <v/>
      </c>
      <c r="D266" s="74">
        <f>(Table110[[#This Row],[Index]]-B254)/B254</f>
        <v/>
      </c>
    </row>
    <row r="267">
      <c r="A267" s="19" t="n">
        <v>34213</v>
      </c>
      <c r="B267" s="61">
        <f>VLOOKUP(Table110[[#This Row],[Date]],database!A:H,3,)</f>
        <v/>
      </c>
      <c r="C267" s="74">
        <f>B267/B266-1</f>
        <v/>
      </c>
      <c r="D267" s="74">
        <f>(Table110[[#This Row],[Index]]-B255)/B255</f>
        <v/>
      </c>
    </row>
    <row r="268">
      <c r="A268" s="19" t="n">
        <v>34243</v>
      </c>
      <c r="B268" s="61">
        <f>VLOOKUP(Table110[[#This Row],[Date]],database!A:H,3,)</f>
        <v/>
      </c>
      <c r="C268" s="74">
        <f>B268/B267-1</f>
        <v/>
      </c>
      <c r="D268" s="74">
        <f>(Table110[[#This Row],[Index]]-B256)/B256</f>
        <v/>
      </c>
    </row>
    <row r="269">
      <c r="A269" s="19" t="n">
        <v>34274</v>
      </c>
      <c r="B269" s="61">
        <f>VLOOKUP(Table110[[#This Row],[Date]],database!A:H,3,)</f>
        <v/>
      </c>
      <c r="C269" s="74">
        <f>B269/B268-1</f>
        <v/>
      </c>
      <c r="D269" s="74">
        <f>(Table110[[#This Row],[Index]]-B257)/B257</f>
        <v/>
      </c>
    </row>
    <row r="270">
      <c r="A270" s="19" t="n">
        <v>34304</v>
      </c>
      <c r="B270" s="61">
        <f>VLOOKUP(Table110[[#This Row],[Date]],database!A:H,3,)</f>
        <v/>
      </c>
      <c r="C270" s="74">
        <f>B270/B269-1</f>
        <v/>
      </c>
      <c r="D270" s="74">
        <f>(Table110[[#This Row],[Index]]-B258)/B258</f>
        <v/>
      </c>
    </row>
    <row r="271">
      <c r="A271" s="19" t="n">
        <v>34335</v>
      </c>
      <c r="B271" s="61">
        <f>VLOOKUP(Table110[[#This Row],[Date]],database!A:H,3,)</f>
        <v/>
      </c>
      <c r="C271" s="74">
        <f>B271/B270-1</f>
        <v/>
      </c>
      <c r="D271" s="74">
        <f>(Table110[[#This Row],[Index]]-B259)/B259</f>
        <v/>
      </c>
    </row>
    <row r="272">
      <c r="A272" s="19" t="n">
        <v>34366</v>
      </c>
      <c r="B272" s="61">
        <f>VLOOKUP(Table110[[#This Row],[Date]],database!A:H,3,)</f>
        <v/>
      </c>
      <c r="C272" s="74">
        <f>B272/B271-1</f>
        <v/>
      </c>
      <c r="D272" s="74">
        <f>(Table110[[#This Row],[Index]]-B260)/B260</f>
        <v/>
      </c>
    </row>
    <row r="273">
      <c r="A273" s="19" t="n">
        <v>34394</v>
      </c>
      <c r="B273" s="61">
        <f>VLOOKUP(Table110[[#This Row],[Date]],database!A:H,3,)</f>
        <v/>
      </c>
      <c r="C273" s="74">
        <f>B273/B272-1</f>
        <v/>
      </c>
      <c r="D273" s="74">
        <f>(Table110[[#This Row],[Index]]-B261)/B261</f>
        <v/>
      </c>
    </row>
    <row r="274">
      <c r="A274" s="19" t="n">
        <v>34425</v>
      </c>
      <c r="B274" s="61">
        <f>VLOOKUP(Table110[[#This Row],[Date]],database!A:H,3,)</f>
        <v/>
      </c>
      <c r="C274" s="74">
        <f>B274/B273-1</f>
        <v/>
      </c>
      <c r="D274" s="74">
        <f>(Table110[[#This Row],[Index]]-B262)/B262</f>
        <v/>
      </c>
    </row>
    <row r="275">
      <c r="A275" s="19" t="n">
        <v>34455</v>
      </c>
      <c r="B275" s="61">
        <f>VLOOKUP(Table110[[#This Row],[Date]],database!A:H,3,)</f>
        <v/>
      </c>
      <c r="C275" s="74">
        <f>B275/B274-1</f>
        <v/>
      </c>
      <c r="D275" s="74">
        <f>(Table110[[#This Row],[Index]]-B263)/B263</f>
        <v/>
      </c>
    </row>
    <row r="276">
      <c r="A276" s="19" t="n">
        <v>34486</v>
      </c>
      <c r="B276" s="61">
        <f>VLOOKUP(Table110[[#This Row],[Date]],database!A:H,3,)</f>
        <v/>
      </c>
      <c r="C276" s="74">
        <f>B276/B275-1</f>
        <v/>
      </c>
      <c r="D276" s="74">
        <f>(Table110[[#This Row],[Index]]-B264)/B264</f>
        <v/>
      </c>
    </row>
    <row r="277">
      <c r="A277" s="19" t="n">
        <v>34516</v>
      </c>
      <c r="B277" s="61">
        <f>VLOOKUP(Table110[[#This Row],[Date]],database!A:H,3,)</f>
        <v/>
      </c>
      <c r="C277" s="74">
        <f>B277/B276-1</f>
        <v/>
      </c>
      <c r="D277" s="74">
        <f>(Table110[[#This Row],[Index]]-B265)/B265</f>
        <v/>
      </c>
    </row>
    <row r="278">
      <c r="A278" s="19" t="n">
        <v>34547</v>
      </c>
      <c r="B278" s="61">
        <f>VLOOKUP(Table110[[#This Row],[Date]],database!A:H,3,)</f>
        <v/>
      </c>
      <c r="C278" s="74">
        <f>B278/B277-1</f>
        <v/>
      </c>
      <c r="D278" s="74">
        <f>(Table110[[#This Row],[Index]]-B266)/B266</f>
        <v/>
      </c>
    </row>
    <row r="279">
      <c r="A279" s="19" t="n">
        <v>34578</v>
      </c>
      <c r="B279" s="61">
        <f>VLOOKUP(Table110[[#This Row],[Date]],database!A:H,3,)</f>
        <v/>
      </c>
      <c r="C279" s="74">
        <f>B279/B278-1</f>
        <v/>
      </c>
      <c r="D279" s="74">
        <f>(Table110[[#This Row],[Index]]-B267)/B267</f>
        <v/>
      </c>
    </row>
    <row r="280">
      <c r="A280" s="19" t="n">
        <v>34608</v>
      </c>
      <c r="B280" s="61">
        <f>VLOOKUP(Table110[[#This Row],[Date]],database!A:H,3,)</f>
        <v/>
      </c>
      <c r="C280" s="74">
        <f>B280/B279-1</f>
        <v/>
      </c>
      <c r="D280" s="74">
        <f>(Table110[[#This Row],[Index]]-B268)/B268</f>
        <v/>
      </c>
    </row>
    <row r="281">
      <c r="A281" s="19" t="n">
        <v>34639</v>
      </c>
      <c r="B281" s="61">
        <f>VLOOKUP(Table110[[#This Row],[Date]],database!A:H,3,)</f>
        <v/>
      </c>
      <c r="C281" s="74">
        <f>B281/B280-1</f>
        <v/>
      </c>
      <c r="D281" s="74">
        <f>(Table110[[#This Row],[Index]]-B269)/B269</f>
        <v/>
      </c>
    </row>
    <row r="282">
      <c r="A282" s="19" t="n">
        <v>34669</v>
      </c>
      <c r="B282" s="61">
        <f>VLOOKUP(Table110[[#This Row],[Date]],database!A:H,3,)</f>
        <v/>
      </c>
      <c r="C282" s="74">
        <f>B282/B281-1</f>
        <v/>
      </c>
      <c r="D282" s="74">
        <f>(Table110[[#This Row],[Index]]-B270)/B270</f>
        <v/>
      </c>
    </row>
    <row r="283">
      <c r="A283" s="19" t="n">
        <v>34700</v>
      </c>
      <c r="B283" s="61">
        <f>VLOOKUP(Table110[[#This Row],[Date]],database!A:H,3,)</f>
        <v/>
      </c>
      <c r="C283" s="74">
        <f>B283/B282-1</f>
        <v/>
      </c>
      <c r="D283" s="74">
        <f>(Table110[[#This Row],[Index]]-B271)/B271</f>
        <v/>
      </c>
    </row>
    <row r="284">
      <c r="A284" s="19" t="n">
        <v>34731</v>
      </c>
      <c r="B284" s="61">
        <f>VLOOKUP(Table110[[#This Row],[Date]],database!A:H,3,)</f>
        <v/>
      </c>
      <c r="C284" s="74">
        <f>B284/B283-1</f>
        <v/>
      </c>
      <c r="D284" s="74">
        <f>(Table110[[#This Row],[Index]]-B272)/B272</f>
        <v/>
      </c>
    </row>
    <row r="285">
      <c r="A285" s="19" t="n">
        <v>34759</v>
      </c>
      <c r="B285" s="61">
        <f>VLOOKUP(Table110[[#This Row],[Date]],database!A:H,3,)</f>
        <v/>
      </c>
      <c r="C285" s="74">
        <f>B285/B284-1</f>
        <v/>
      </c>
      <c r="D285" s="74">
        <f>(Table110[[#This Row],[Index]]-B273)/B273</f>
        <v/>
      </c>
    </row>
    <row r="286">
      <c r="A286" s="19" t="n">
        <v>34790</v>
      </c>
      <c r="B286" s="61">
        <f>VLOOKUP(Table110[[#This Row],[Date]],database!A:H,3,)</f>
        <v/>
      </c>
      <c r="C286" s="74">
        <f>B286/B285-1</f>
        <v/>
      </c>
      <c r="D286" s="74">
        <f>(Table110[[#This Row],[Index]]-B274)/B274</f>
        <v/>
      </c>
    </row>
    <row r="287">
      <c r="A287" s="19" t="n">
        <v>34820</v>
      </c>
      <c r="B287" s="61">
        <f>VLOOKUP(Table110[[#This Row],[Date]],database!A:H,3,)</f>
        <v/>
      </c>
      <c r="C287" s="74">
        <f>B287/B286-1</f>
        <v/>
      </c>
      <c r="D287" s="74">
        <f>(Table110[[#This Row],[Index]]-B275)/B275</f>
        <v/>
      </c>
    </row>
    <row r="288">
      <c r="A288" s="19" t="n">
        <v>34851</v>
      </c>
      <c r="B288" s="61">
        <f>VLOOKUP(Table110[[#This Row],[Date]],database!A:H,3,)</f>
        <v/>
      </c>
      <c r="C288" s="74">
        <f>B288/B287-1</f>
        <v/>
      </c>
      <c r="D288" s="74">
        <f>(Table110[[#This Row],[Index]]-B276)/B276</f>
        <v/>
      </c>
    </row>
    <row r="289">
      <c r="A289" s="19" t="n">
        <v>34881</v>
      </c>
      <c r="B289" s="61">
        <f>VLOOKUP(Table110[[#This Row],[Date]],database!A:H,3,)</f>
        <v/>
      </c>
      <c r="C289" s="74">
        <f>B289/B288-1</f>
        <v/>
      </c>
      <c r="D289" s="74">
        <f>(Table110[[#This Row],[Index]]-B277)/B277</f>
        <v/>
      </c>
    </row>
    <row r="290">
      <c r="A290" s="19" t="n">
        <v>34912</v>
      </c>
      <c r="B290" s="61">
        <f>VLOOKUP(Table110[[#This Row],[Date]],database!A:H,3,)</f>
        <v/>
      </c>
      <c r="C290" s="74">
        <f>B290/B289-1</f>
        <v/>
      </c>
      <c r="D290" s="74">
        <f>(Table110[[#This Row],[Index]]-B278)/B278</f>
        <v/>
      </c>
    </row>
    <row r="291">
      <c r="A291" s="19" t="n">
        <v>34943</v>
      </c>
      <c r="B291" s="61">
        <f>VLOOKUP(Table110[[#This Row],[Date]],database!A:H,3,)</f>
        <v/>
      </c>
      <c r="C291" s="74">
        <f>B291/B290-1</f>
        <v/>
      </c>
      <c r="D291" s="74">
        <f>(Table110[[#This Row],[Index]]-B279)/B279</f>
        <v/>
      </c>
    </row>
    <row r="292">
      <c r="A292" s="19" t="n">
        <v>34973</v>
      </c>
      <c r="B292" s="61">
        <f>VLOOKUP(Table110[[#This Row],[Date]],database!A:H,3,)</f>
        <v/>
      </c>
      <c r="C292" s="74">
        <f>B292/B291-1</f>
        <v/>
      </c>
      <c r="D292" s="74">
        <f>(Table110[[#This Row],[Index]]-B280)/B280</f>
        <v/>
      </c>
    </row>
    <row r="293">
      <c r="A293" s="19" t="n">
        <v>35004</v>
      </c>
      <c r="B293" s="61">
        <f>VLOOKUP(Table110[[#This Row],[Date]],database!A:H,3,)</f>
        <v/>
      </c>
      <c r="C293" s="74">
        <f>B293/B292-1</f>
        <v/>
      </c>
      <c r="D293" s="74">
        <f>(Table110[[#This Row],[Index]]-B281)/B281</f>
        <v/>
      </c>
    </row>
    <row r="294">
      <c r="A294" s="19" t="n">
        <v>35034</v>
      </c>
      <c r="B294" s="61">
        <f>VLOOKUP(Table110[[#This Row],[Date]],database!A:H,3,)</f>
        <v/>
      </c>
      <c r="C294" s="74">
        <f>B294/B293-1</f>
        <v/>
      </c>
      <c r="D294" s="74">
        <f>(Table110[[#This Row],[Index]]-B282)/B282</f>
        <v/>
      </c>
    </row>
    <row r="295">
      <c r="A295" s="19" t="n">
        <v>35065</v>
      </c>
      <c r="B295" s="61">
        <f>VLOOKUP(Table110[[#This Row],[Date]],database!A:H,3,)</f>
        <v/>
      </c>
      <c r="C295" s="74">
        <f>B295/B294-1</f>
        <v/>
      </c>
      <c r="D295" s="74">
        <f>(Table110[[#This Row],[Index]]-B283)/B283</f>
        <v/>
      </c>
    </row>
    <row r="296">
      <c r="A296" s="19" t="n">
        <v>35096</v>
      </c>
      <c r="B296" s="61">
        <f>VLOOKUP(Table110[[#This Row],[Date]],database!A:H,3,)</f>
        <v/>
      </c>
      <c r="C296" s="74">
        <f>B296/B295-1</f>
        <v/>
      </c>
      <c r="D296" s="74">
        <f>(Table110[[#This Row],[Index]]-B284)/B284</f>
        <v/>
      </c>
    </row>
    <row r="297">
      <c r="A297" s="19" t="n">
        <v>35125</v>
      </c>
      <c r="B297" s="61">
        <f>VLOOKUP(Table110[[#This Row],[Date]],database!A:H,3,)</f>
        <v/>
      </c>
      <c r="C297" s="74">
        <f>B297/B296-1</f>
        <v/>
      </c>
      <c r="D297" s="74">
        <f>(Table110[[#This Row],[Index]]-B285)/B285</f>
        <v/>
      </c>
    </row>
    <row r="298">
      <c r="A298" s="19" t="n">
        <v>35156</v>
      </c>
      <c r="B298" s="61">
        <f>VLOOKUP(Table110[[#This Row],[Date]],database!A:H,3,)</f>
        <v/>
      </c>
      <c r="C298" s="74">
        <f>B298/B297-1</f>
        <v/>
      </c>
      <c r="D298" s="74">
        <f>(Table110[[#This Row],[Index]]-B286)/B286</f>
        <v/>
      </c>
    </row>
    <row r="299">
      <c r="A299" s="19" t="n">
        <v>35186</v>
      </c>
      <c r="B299" s="61">
        <f>VLOOKUP(Table110[[#This Row],[Date]],database!A:H,3,)</f>
        <v/>
      </c>
      <c r="C299" s="74">
        <f>B299/B298-1</f>
        <v/>
      </c>
      <c r="D299" s="74">
        <f>(Table110[[#This Row],[Index]]-B287)/B287</f>
        <v/>
      </c>
    </row>
    <row r="300">
      <c r="A300" s="19" t="n">
        <v>35217</v>
      </c>
      <c r="B300" s="61">
        <f>VLOOKUP(Table110[[#This Row],[Date]],database!A:H,3,)</f>
        <v/>
      </c>
      <c r="C300" s="74">
        <f>B300/B299-1</f>
        <v/>
      </c>
      <c r="D300" s="74">
        <f>(Table110[[#This Row],[Index]]-B288)/B288</f>
        <v/>
      </c>
    </row>
    <row r="301">
      <c r="A301" s="19" t="n">
        <v>35247</v>
      </c>
      <c r="B301" s="61">
        <f>VLOOKUP(Table110[[#This Row],[Date]],database!A:H,3,)</f>
        <v/>
      </c>
      <c r="C301" s="74">
        <f>B301/B300-1</f>
        <v/>
      </c>
      <c r="D301" s="74">
        <f>(Table110[[#This Row],[Index]]-B289)/B289</f>
        <v/>
      </c>
    </row>
    <row r="302">
      <c r="A302" s="19" t="n">
        <v>35278</v>
      </c>
      <c r="B302" s="61">
        <f>VLOOKUP(Table110[[#This Row],[Date]],database!A:H,3,)</f>
        <v/>
      </c>
      <c r="C302" s="74">
        <f>B302/B301-1</f>
        <v/>
      </c>
      <c r="D302" s="74">
        <f>(Table110[[#This Row],[Index]]-B290)/B290</f>
        <v/>
      </c>
    </row>
    <row r="303">
      <c r="A303" s="19" t="n">
        <v>35309</v>
      </c>
      <c r="B303" s="61">
        <f>VLOOKUP(Table110[[#This Row],[Date]],database!A:H,3,)</f>
        <v/>
      </c>
      <c r="C303" s="74">
        <f>B303/B302-1</f>
        <v/>
      </c>
      <c r="D303" s="74">
        <f>(Table110[[#This Row],[Index]]-B291)/B291</f>
        <v/>
      </c>
    </row>
    <row r="304">
      <c r="A304" s="19" t="n">
        <v>35339</v>
      </c>
      <c r="B304" s="61">
        <f>VLOOKUP(Table110[[#This Row],[Date]],database!A:H,3,)</f>
        <v/>
      </c>
      <c r="C304" s="74">
        <f>B304/B303-1</f>
        <v/>
      </c>
      <c r="D304" s="74">
        <f>(Table110[[#This Row],[Index]]-B292)/B292</f>
        <v/>
      </c>
    </row>
    <row r="305">
      <c r="A305" s="19" t="n">
        <v>35370</v>
      </c>
      <c r="B305" s="61">
        <f>VLOOKUP(Table110[[#This Row],[Date]],database!A:H,3,)</f>
        <v/>
      </c>
      <c r="C305" s="74">
        <f>B305/B304-1</f>
        <v/>
      </c>
      <c r="D305" s="74">
        <f>(Table110[[#This Row],[Index]]-B293)/B293</f>
        <v/>
      </c>
    </row>
    <row r="306">
      <c r="A306" s="19" t="n">
        <v>35400</v>
      </c>
      <c r="B306" s="61">
        <f>VLOOKUP(Table110[[#This Row],[Date]],database!A:H,3,)</f>
        <v/>
      </c>
      <c r="C306" s="74">
        <f>B306/B305-1</f>
        <v/>
      </c>
      <c r="D306" s="74">
        <f>(Table110[[#This Row],[Index]]-B294)/B294</f>
        <v/>
      </c>
    </row>
    <row r="307">
      <c r="A307" s="19" t="n">
        <v>35431</v>
      </c>
      <c r="B307" s="61">
        <f>VLOOKUP(Table110[[#This Row],[Date]],database!A:H,3,)</f>
        <v/>
      </c>
      <c r="C307" s="74">
        <f>B307/B306-1</f>
        <v/>
      </c>
      <c r="D307" s="74">
        <f>(Table110[[#This Row],[Index]]-B295)/B295</f>
        <v/>
      </c>
    </row>
    <row r="308">
      <c r="A308" s="19" t="n">
        <v>35462</v>
      </c>
      <c r="B308" s="61">
        <f>VLOOKUP(Table110[[#This Row],[Date]],database!A:H,3,)</f>
        <v/>
      </c>
      <c r="C308" s="74">
        <f>B308/B307-1</f>
        <v/>
      </c>
      <c r="D308" s="74">
        <f>(Table110[[#This Row],[Index]]-B296)/B296</f>
        <v/>
      </c>
    </row>
    <row r="309">
      <c r="A309" s="19" t="n">
        <v>35490</v>
      </c>
      <c r="B309" s="61">
        <f>VLOOKUP(Table110[[#This Row],[Date]],database!A:H,3,)</f>
        <v/>
      </c>
      <c r="C309" s="74">
        <f>B309/B308-1</f>
        <v/>
      </c>
      <c r="D309" s="74">
        <f>(Table110[[#This Row],[Index]]-B297)/B297</f>
        <v/>
      </c>
    </row>
    <row r="310">
      <c r="A310" s="19" t="n">
        <v>35521</v>
      </c>
      <c r="B310" s="61">
        <f>VLOOKUP(Table110[[#This Row],[Date]],database!A:H,3,)</f>
        <v/>
      </c>
      <c r="C310" s="74">
        <f>B310/B309-1</f>
        <v/>
      </c>
      <c r="D310" s="74">
        <f>(Table110[[#This Row],[Index]]-B298)/B298</f>
        <v/>
      </c>
    </row>
    <row r="311">
      <c r="A311" s="19" t="n">
        <v>35551</v>
      </c>
      <c r="B311" s="61">
        <f>VLOOKUP(Table110[[#This Row],[Date]],database!A:H,3,)</f>
        <v/>
      </c>
      <c r="C311" s="74">
        <f>B311/B310-1</f>
        <v/>
      </c>
      <c r="D311" s="74">
        <f>(Table110[[#This Row],[Index]]-B299)/B299</f>
        <v/>
      </c>
    </row>
    <row r="312">
      <c r="A312" s="19" t="n">
        <v>35582</v>
      </c>
      <c r="B312" s="61">
        <f>VLOOKUP(Table110[[#This Row],[Date]],database!A:H,3,)</f>
        <v/>
      </c>
      <c r="C312" s="74">
        <f>B312/B311-1</f>
        <v/>
      </c>
      <c r="D312" s="74">
        <f>(Table110[[#This Row],[Index]]-B300)/B300</f>
        <v/>
      </c>
    </row>
    <row r="313">
      <c r="A313" s="19" t="n">
        <v>35612</v>
      </c>
      <c r="B313" s="61">
        <f>VLOOKUP(Table110[[#This Row],[Date]],database!A:H,3,)</f>
        <v/>
      </c>
      <c r="C313" s="74">
        <f>B313/B312-1</f>
        <v/>
      </c>
      <c r="D313" s="74">
        <f>(Table110[[#This Row],[Index]]-B301)/B301</f>
        <v/>
      </c>
    </row>
    <row r="314">
      <c r="A314" s="19" t="n">
        <v>35643</v>
      </c>
      <c r="B314" s="61">
        <f>VLOOKUP(Table110[[#This Row],[Date]],database!A:H,3,)</f>
        <v/>
      </c>
      <c r="C314" s="74">
        <f>B314/B313-1</f>
        <v/>
      </c>
      <c r="D314" s="74">
        <f>(Table110[[#This Row],[Index]]-B302)/B302</f>
        <v/>
      </c>
    </row>
    <row r="315">
      <c r="A315" s="19" t="n">
        <v>35674</v>
      </c>
      <c r="B315" s="61">
        <f>VLOOKUP(Table110[[#This Row],[Date]],database!A:H,3,)</f>
        <v/>
      </c>
      <c r="C315" s="74">
        <f>B315/B314-1</f>
        <v/>
      </c>
      <c r="D315" s="74">
        <f>(Table110[[#This Row],[Index]]-B303)/B303</f>
        <v/>
      </c>
    </row>
    <row r="316">
      <c r="A316" s="19" t="n">
        <v>35704</v>
      </c>
      <c r="B316" s="61">
        <f>VLOOKUP(Table110[[#This Row],[Date]],database!A:H,3,)</f>
        <v/>
      </c>
      <c r="C316" s="74">
        <f>B316/B315-1</f>
        <v/>
      </c>
      <c r="D316" s="74">
        <f>(Table110[[#This Row],[Index]]-B304)/B304</f>
        <v/>
      </c>
    </row>
    <row r="317">
      <c r="A317" s="19" t="n">
        <v>35735</v>
      </c>
      <c r="B317" s="61">
        <f>VLOOKUP(Table110[[#This Row],[Date]],database!A:H,3,)</f>
        <v/>
      </c>
      <c r="C317" s="74">
        <f>B317/B316-1</f>
        <v/>
      </c>
      <c r="D317" s="74">
        <f>(Table110[[#This Row],[Index]]-B305)/B305</f>
        <v/>
      </c>
    </row>
    <row r="318">
      <c r="A318" s="19" t="n">
        <v>35765</v>
      </c>
      <c r="B318" s="61">
        <f>VLOOKUP(Table110[[#This Row],[Date]],database!A:H,3,)</f>
        <v/>
      </c>
      <c r="C318" s="74">
        <f>B318/B317-1</f>
        <v/>
      </c>
      <c r="D318" s="74">
        <f>(Table110[[#This Row],[Index]]-B306)/B306</f>
        <v/>
      </c>
    </row>
    <row r="319">
      <c r="A319" s="19" t="n">
        <v>35796</v>
      </c>
      <c r="B319" s="61">
        <f>VLOOKUP(Table110[[#This Row],[Date]],database!A:H,3,)</f>
        <v/>
      </c>
      <c r="C319" s="74">
        <f>B319/B318-1</f>
        <v/>
      </c>
      <c r="D319" s="74">
        <f>(Table110[[#This Row],[Index]]-B307)/B307</f>
        <v/>
      </c>
    </row>
    <row r="320">
      <c r="A320" s="19" t="n">
        <v>35827</v>
      </c>
      <c r="B320" s="61">
        <f>VLOOKUP(Table110[[#This Row],[Date]],database!A:H,3,)</f>
        <v/>
      </c>
      <c r="C320" s="74">
        <f>B320/B319-1</f>
        <v/>
      </c>
      <c r="D320" s="74">
        <f>(Table110[[#This Row],[Index]]-B308)/B308</f>
        <v/>
      </c>
    </row>
    <row r="321">
      <c r="A321" s="19" t="n">
        <v>35855</v>
      </c>
      <c r="B321" s="61">
        <f>VLOOKUP(Table110[[#This Row],[Date]],database!A:H,3,)</f>
        <v/>
      </c>
      <c r="C321" s="74">
        <f>B321/B320-1</f>
        <v/>
      </c>
      <c r="D321" s="74">
        <f>(Table110[[#This Row],[Index]]-B309)/B309</f>
        <v/>
      </c>
    </row>
    <row r="322">
      <c r="A322" s="19" t="n">
        <v>35886</v>
      </c>
      <c r="B322" s="61">
        <f>VLOOKUP(Table110[[#This Row],[Date]],database!A:H,3,)</f>
        <v/>
      </c>
      <c r="C322" s="74">
        <f>B322/B321-1</f>
        <v/>
      </c>
      <c r="D322" s="74">
        <f>(Table110[[#This Row],[Index]]-B310)/B310</f>
        <v/>
      </c>
    </row>
    <row r="323">
      <c r="A323" s="19" t="n">
        <v>35916</v>
      </c>
      <c r="B323" s="61">
        <f>VLOOKUP(Table110[[#This Row],[Date]],database!A:H,3,)</f>
        <v/>
      </c>
      <c r="C323" s="74">
        <f>B323/B322-1</f>
        <v/>
      </c>
      <c r="D323" s="74">
        <f>(Table110[[#This Row],[Index]]-B311)/B311</f>
        <v/>
      </c>
    </row>
    <row r="324">
      <c r="A324" s="19" t="n">
        <v>35947</v>
      </c>
      <c r="B324" s="61">
        <f>VLOOKUP(Table110[[#This Row],[Date]],database!A:H,3,)</f>
        <v/>
      </c>
      <c r="C324" s="74">
        <f>B324/B323-1</f>
        <v/>
      </c>
      <c r="D324" s="74">
        <f>(Table110[[#This Row],[Index]]-B312)/B312</f>
        <v/>
      </c>
    </row>
    <row r="325">
      <c r="A325" s="19" t="n">
        <v>35977</v>
      </c>
      <c r="B325" s="61">
        <f>VLOOKUP(Table110[[#This Row],[Date]],database!A:H,3,)</f>
        <v/>
      </c>
      <c r="C325" s="74">
        <f>B325/B324-1</f>
        <v/>
      </c>
      <c r="D325" s="74">
        <f>(Table110[[#This Row],[Index]]-B313)/B313</f>
        <v/>
      </c>
    </row>
    <row r="326">
      <c r="A326" s="19" t="n">
        <v>36008</v>
      </c>
      <c r="B326" s="61">
        <f>VLOOKUP(Table110[[#This Row],[Date]],database!A:H,3,)</f>
        <v/>
      </c>
      <c r="C326" s="74">
        <f>B326/B325-1</f>
        <v/>
      </c>
      <c r="D326" s="74">
        <f>(Table110[[#This Row],[Index]]-B314)/B314</f>
        <v/>
      </c>
    </row>
    <row r="327">
      <c r="A327" s="19" t="n">
        <v>36039</v>
      </c>
      <c r="B327" s="61">
        <f>VLOOKUP(Table110[[#This Row],[Date]],database!A:H,3,)</f>
        <v/>
      </c>
      <c r="C327" s="74">
        <f>B327/B326-1</f>
        <v/>
      </c>
      <c r="D327" s="74">
        <f>(Table110[[#This Row],[Index]]-B315)/B315</f>
        <v/>
      </c>
    </row>
    <row r="328">
      <c r="A328" s="19" t="n">
        <v>36069</v>
      </c>
      <c r="B328" s="61">
        <f>VLOOKUP(Table110[[#This Row],[Date]],database!A:H,3,)</f>
        <v/>
      </c>
      <c r="C328" s="74">
        <f>B328/B327-1</f>
        <v/>
      </c>
      <c r="D328" s="74">
        <f>(Table110[[#This Row],[Index]]-B316)/B316</f>
        <v/>
      </c>
    </row>
    <row r="329">
      <c r="A329" s="19" t="n">
        <v>36100</v>
      </c>
      <c r="B329" s="61">
        <f>VLOOKUP(Table110[[#This Row],[Date]],database!A:H,3,)</f>
        <v/>
      </c>
      <c r="C329" s="74">
        <f>B329/B328-1</f>
        <v/>
      </c>
      <c r="D329" s="74">
        <f>(Table110[[#This Row],[Index]]-B317)/B317</f>
        <v/>
      </c>
    </row>
    <row r="330">
      <c r="A330" s="19" t="n">
        <v>36130</v>
      </c>
      <c r="B330" s="61">
        <f>VLOOKUP(Table110[[#This Row],[Date]],database!A:H,3,)</f>
        <v/>
      </c>
      <c r="C330" s="74">
        <f>B330/B329-1</f>
        <v/>
      </c>
      <c r="D330" s="74">
        <f>(Table110[[#This Row],[Index]]-B318)/B318</f>
        <v/>
      </c>
    </row>
    <row r="331">
      <c r="A331" s="19" t="n">
        <v>36161</v>
      </c>
      <c r="B331" s="61">
        <f>VLOOKUP(Table110[[#This Row],[Date]],database!A:H,3,)</f>
        <v/>
      </c>
      <c r="C331" s="74">
        <f>B331/B330-1</f>
        <v/>
      </c>
      <c r="D331" s="74">
        <f>(Table110[[#This Row],[Index]]-B319)/B319</f>
        <v/>
      </c>
    </row>
    <row r="332">
      <c r="A332" s="19" t="n">
        <v>36192</v>
      </c>
      <c r="B332" s="61">
        <f>VLOOKUP(Table110[[#This Row],[Date]],database!A:H,3,)</f>
        <v/>
      </c>
      <c r="C332" s="74">
        <f>B332/B331-1</f>
        <v/>
      </c>
      <c r="D332" s="74">
        <f>(Table110[[#This Row],[Index]]-B320)/B320</f>
        <v/>
      </c>
    </row>
    <row r="333">
      <c r="A333" s="19" t="n">
        <v>36220</v>
      </c>
      <c r="B333" s="61">
        <f>VLOOKUP(Table110[[#This Row],[Date]],database!A:H,3,)</f>
        <v/>
      </c>
      <c r="C333" s="74">
        <f>B333/B332-1</f>
        <v/>
      </c>
      <c r="D333" s="74">
        <f>(Table110[[#This Row],[Index]]-B321)/B321</f>
        <v/>
      </c>
    </row>
    <row r="334">
      <c r="A334" s="19" t="n">
        <v>36251</v>
      </c>
      <c r="B334" s="61">
        <f>VLOOKUP(Table110[[#This Row],[Date]],database!A:H,3,)</f>
        <v/>
      </c>
      <c r="C334" s="74">
        <f>B334/B333-1</f>
        <v/>
      </c>
      <c r="D334" s="74">
        <f>(Table110[[#This Row],[Index]]-B322)/B322</f>
        <v/>
      </c>
    </row>
    <row r="335">
      <c r="A335" s="19" t="n">
        <v>36281</v>
      </c>
      <c r="B335" s="61">
        <f>VLOOKUP(Table110[[#This Row],[Date]],database!A:H,3,)</f>
        <v/>
      </c>
      <c r="C335" s="74">
        <f>B335/B334-1</f>
        <v/>
      </c>
      <c r="D335" s="74">
        <f>(Table110[[#This Row],[Index]]-B323)/B323</f>
        <v/>
      </c>
    </row>
    <row r="336">
      <c r="A336" s="19" t="n">
        <v>36312</v>
      </c>
      <c r="B336" s="61">
        <f>VLOOKUP(Table110[[#This Row],[Date]],database!A:H,3,)</f>
        <v/>
      </c>
      <c r="C336" s="74">
        <f>B336/B335-1</f>
        <v/>
      </c>
      <c r="D336" s="74">
        <f>(Table110[[#This Row],[Index]]-B324)/B324</f>
        <v/>
      </c>
    </row>
    <row r="337">
      <c r="A337" s="19" t="n">
        <v>36342</v>
      </c>
      <c r="B337" s="61">
        <f>VLOOKUP(Table110[[#This Row],[Date]],database!A:H,3,)</f>
        <v/>
      </c>
      <c r="C337" s="74">
        <f>B337/B336-1</f>
        <v/>
      </c>
      <c r="D337" s="74">
        <f>(Table110[[#This Row],[Index]]-B325)/B325</f>
        <v/>
      </c>
    </row>
    <row r="338">
      <c r="A338" s="19" t="n">
        <v>36373</v>
      </c>
      <c r="B338" s="61">
        <f>VLOOKUP(Table110[[#This Row],[Date]],database!A:H,3,)</f>
        <v/>
      </c>
      <c r="C338" s="74">
        <f>B338/B337-1</f>
        <v/>
      </c>
      <c r="D338" s="74">
        <f>(Table110[[#This Row],[Index]]-B326)/B326</f>
        <v/>
      </c>
    </row>
    <row r="339">
      <c r="A339" s="19" t="n">
        <v>36404</v>
      </c>
      <c r="B339" s="61">
        <f>VLOOKUP(Table110[[#This Row],[Date]],database!A:H,3,)</f>
        <v/>
      </c>
      <c r="C339" s="74">
        <f>B339/B338-1</f>
        <v/>
      </c>
      <c r="D339" s="74">
        <f>(Table110[[#This Row],[Index]]-B327)/B327</f>
        <v/>
      </c>
    </row>
    <row r="340">
      <c r="A340" s="19" t="n">
        <v>36434</v>
      </c>
      <c r="B340" s="61">
        <f>VLOOKUP(Table110[[#This Row],[Date]],database!A:H,3,)</f>
        <v/>
      </c>
      <c r="C340" s="74">
        <f>B340/B339-1</f>
        <v/>
      </c>
      <c r="D340" s="74">
        <f>(Table110[[#This Row],[Index]]-B328)/B328</f>
        <v/>
      </c>
    </row>
    <row r="341">
      <c r="A341" s="19" t="n">
        <v>36465</v>
      </c>
      <c r="B341" s="61">
        <f>VLOOKUP(Table110[[#This Row],[Date]],database!A:H,3,)</f>
        <v/>
      </c>
      <c r="C341" s="74">
        <f>B341/B340-1</f>
        <v/>
      </c>
      <c r="D341" s="74">
        <f>(Table110[[#This Row],[Index]]-B329)/B329</f>
        <v/>
      </c>
    </row>
    <row r="342">
      <c r="A342" s="19" t="n">
        <v>36495</v>
      </c>
      <c r="B342" s="61">
        <f>VLOOKUP(Table110[[#This Row],[Date]],database!A:H,3,)</f>
        <v/>
      </c>
      <c r="C342" s="74">
        <f>B342/B341-1</f>
        <v/>
      </c>
      <c r="D342" s="74">
        <f>(Table110[[#This Row],[Index]]-B330)/B330</f>
        <v/>
      </c>
    </row>
    <row r="343">
      <c r="A343" s="19" t="n">
        <v>36526</v>
      </c>
      <c r="B343" s="61">
        <f>VLOOKUP(Table110[[#This Row],[Date]],database!A:H,3,)</f>
        <v/>
      </c>
      <c r="C343" s="74">
        <f>B343/B342-1</f>
        <v/>
      </c>
      <c r="D343" s="74">
        <f>(Table110[[#This Row],[Index]]-B331)/B331</f>
        <v/>
      </c>
    </row>
    <row r="344">
      <c r="A344" s="19" t="n">
        <v>36557</v>
      </c>
      <c r="B344" s="61">
        <f>VLOOKUP(Table110[[#This Row],[Date]],database!A:H,3,)</f>
        <v/>
      </c>
      <c r="C344" s="74">
        <f>B344/B343-1</f>
        <v/>
      </c>
      <c r="D344" s="74">
        <f>(Table110[[#This Row],[Index]]-B332)/B332</f>
        <v/>
      </c>
    </row>
    <row r="345">
      <c r="A345" s="19" t="n">
        <v>36586</v>
      </c>
      <c r="B345" s="61">
        <f>VLOOKUP(Table110[[#This Row],[Date]],database!A:H,3,)</f>
        <v/>
      </c>
      <c r="C345" s="74">
        <f>B345/B344-1</f>
        <v/>
      </c>
      <c r="D345" s="74">
        <f>(Table110[[#This Row],[Index]]-B333)/B333</f>
        <v/>
      </c>
    </row>
    <row r="346">
      <c r="A346" s="19" t="n">
        <v>36617</v>
      </c>
      <c r="B346" s="61">
        <f>VLOOKUP(Table110[[#This Row],[Date]],database!A:H,3,)</f>
        <v/>
      </c>
      <c r="C346" s="74">
        <f>B346/B345-1</f>
        <v/>
      </c>
      <c r="D346" s="74">
        <f>(Table110[[#This Row],[Index]]-B334)/B334</f>
        <v/>
      </c>
    </row>
    <row r="347">
      <c r="A347" s="19" t="n">
        <v>36647</v>
      </c>
      <c r="B347" s="61">
        <f>VLOOKUP(Table110[[#This Row],[Date]],database!A:H,3,)</f>
        <v/>
      </c>
      <c r="C347" s="74">
        <f>B347/B346-1</f>
        <v/>
      </c>
      <c r="D347" s="74">
        <f>(Table110[[#This Row],[Index]]-B335)/B335</f>
        <v/>
      </c>
    </row>
    <row r="348">
      <c r="A348" s="19" t="n">
        <v>36678</v>
      </c>
      <c r="B348" s="61">
        <f>VLOOKUP(Table110[[#This Row],[Date]],database!A:H,3,)</f>
        <v/>
      </c>
      <c r="C348" s="74">
        <f>B348/B347-1</f>
        <v/>
      </c>
      <c r="D348" s="74">
        <f>(Table110[[#This Row],[Index]]-B336)/B336</f>
        <v/>
      </c>
    </row>
    <row r="349">
      <c r="A349" s="19" t="n">
        <v>36708</v>
      </c>
      <c r="B349" s="61">
        <f>VLOOKUP(Table110[[#This Row],[Date]],database!A:H,3,)</f>
        <v/>
      </c>
      <c r="C349" s="74">
        <f>B349/B348-1</f>
        <v/>
      </c>
      <c r="D349" s="74">
        <f>(Table110[[#This Row],[Index]]-B337)/B337</f>
        <v/>
      </c>
    </row>
    <row r="350">
      <c r="A350" s="19" t="n">
        <v>36739</v>
      </c>
      <c r="B350" s="61">
        <f>VLOOKUP(Table110[[#This Row],[Date]],database!A:H,3,)</f>
        <v/>
      </c>
      <c r="C350" s="74">
        <f>B350/B349-1</f>
        <v/>
      </c>
      <c r="D350" s="74">
        <f>(Table110[[#This Row],[Index]]-B338)/B338</f>
        <v/>
      </c>
    </row>
    <row r="351">
      <c r="A351" s="19" t="n">
        <v>36770</v>
      </c>
      <c r="B351" s="61">
        <f>VLOOKUP(Table110[[#This Row],[Date]],database!A:H,3,)</f>
        <v/>
      </c>
      <c r="C351" s="74">
        <f>B351/B350-1</f>
        <v/>
      </c>
      <c r="D351" s="74">
        <f>(Table110[[#This Row],[Index]]-B339)/B339</f>
        <v/>
      </c>
    </row>
    <row r="352">
      <c r="A352" s="19" t="n">
        <v>36800</v>
      </c>
      <c r="B352" s="61">
        <f>VLOOKUP(Table110[[#This Row],[Date]],database!A:H,3,)</f>
        <v/>
      </c>
      <c r="C352" s="74">
        <f>B352/B351-1</f>
        <v/>
      </c>
      <c r="D352" s="74">
        <f>(Table110[[#This Row],[Index]]-B340)/B340</f>
        <v/>
      </c>
    </row>
    <row r="353">
      <c r="A353" s="19" t="n">
        <v>36831</v>
      </c>
      <c r="B353" s="61">
        <f>VLOOKUP(Table110[[#This Row],[Date]],database!A:H,3,)</f>
        <v/>
      </c>
      <c r="C353" s="74">
        <f>B353/B352-1</f>
        <v/>
      </c>
      <c r="D353" s="74">
        <f>(Table110[[#This Row],[Index]]-B341)/B341</f>
        <v/>
      </c>
    </row>
    <row r="354">
      <c r="A354" s="19" t="n">
        <v>36861</v>
      </c>
      <c r="B354" s="61">
        <f>VLOOKUP(Table110[[#This Row],[Date]],database!A:H,3,)</f>
        <v/>
      </c>
      <c r="C354" s="74">
        <f>B354/B353-1</f>
        <v/>
      </c>
      <c r="D354" s="74">
        <f>(Table110[[#This Row],[Index]]-B342)/B342</f>
        <v/>
      </c>
    </row>
    <row r="355">
      <c r="A355" s="19" t="n">
        <v>36892</v>
      </c>
      <c r="B355" s="61">
        <f>VLOOKUP(Table110[[#This Row],[Date]],database!A:H,3,)</f>
        <v/>
      </c>
      <c r="C355" s="74">
        <f>B355/B354-1</f>
        <v/>
      </c>
      <c r="D355" s="74">
        <f>(Table110[[#This Row],[Index]]-B343)/B343</f>
        <v/>
      </c>
    </row>
    <row r="356">
      <c r="A356" s="19" t="n">
        <v>36923</v>
      </c>
      <c r="B356" s="61">
        <f>VLOOKUP(Table110[[#This Row],[Date]],database!A:H,3,)</f>
        <v/>
      </c>
      <c r="C356" s="74">
        <f>B356/B355-1</f>
        <v/>
      </c>
      <c r="D356" s="74">
        <f>(Table110[[#This Row],[Index]]-B344)/B344</f>
        <v/>
      </c>
    </row>
    <row r="357">
      <c r="A357" s="19" t="n">
        <v>36951</v>
      </c>
      <c r="B357" s="61">
        <f>VLOOKUP(Table110[[#This Row],[Date]],database!A:H,3,)</f>
        <v/>
      </c>
      <c r="C357" s="74">
        <f>B357/B356-1</f>
        <v/>
      </c>
      <c r="D357" s="74">
        <f>(Table110[[#This Row],[Index]]-B345)/B345</f>
        <v/>
      </c>
    </row>
    <row r="358">
      <c r="A358" s="19" t="n">
        <v>36982</v>
      </c>
      <c r="B358" s="61">
        <f>VLOOKUP(Table110[[#This Row],[Date]],database!A:H,3,)</f>
        <v/>
      </c>
      <c r="C358" s="74">
        <f>B358/B357-1</f>
        <v/>
      </c>
      <c r="D358" s="74">
        <f>(Table110[[#This Row],[Index]]-B346)/B346</f>
        <v/>
      </c>
    </row>
    <row r="359">
      <c r="A359" s="19" t="n">
        <v>37012</v>
      </c>
      <c r="B359" s="61">
        <f>VLOOKUP(Table110[[#This Row],[Date]],database!A:H,3,)</f>
        <v/>
      </c>
      <c r="C359" s="74">
        <f>B359/B358-1</f>
        <v/>
      </c>
      <c r="D359" s="74">
        <f>(Table110[[#This Row],[Index]]-B347)/B347</f>
        <v/>
      </c>
    </row>
    <row r="360">
      <c r="A360" s="19" t="n">
        <v>37043</v>
      </c>
      <c r="B360" s="61">
        <f>VLOOKUP(Table110[[#This Row],[Date]],database!A:H,3,)</f>
        <v/>
      </c>
      <c r="C360" s="74">
        <f>B360/B359-1</f>
        <v/>
      </c>
      <c r="D360" s="74">
        <f>(Table110[[#This Row],[Index]]-B348)/B348</f>
        <v/>
      </c>
    </row>
    <row r="361">
      <c r="A361" s="19" t="n">
        <v>37073</v>
      </c>
      <c r="B361" s="61">
        <f>VLOOKUP(Table110[[#This Row],[Date]],database!A:H,3,)</f>
        <v/>
      </c>
      <c r="C361" s="74">
        <f>B361/B360-1</f>
        <v/>
      </c>
      <c r="D361" s="74">
        <f>(Table110[[#This Row],[Index]]-B349)/B349</f>
        <v/>
      </c>
    </row>
    <row r="362">
      <c r="A362" s="19" t="n">
        <v>37104</v>
      </c>
      <c r="B362" s="61">
        <f>VLOOKUP(Table110[[#This Row],[Date]],database!A:H,3,)</f>
        <v/>
      </c>
      <c r="C362" s="74">
        <f>B362/B361-1</f>
        <v/>
      </c>
      <c r="D362" s="74">
        <f>(Table110[[#This Row],[Index]]-B350)/B350</f>
        <v/>
      </c>
    </row>
    <row r="363">
      <c r="A363" s="19" t="n">
        <v>37135</v>
      </c>
      <c r="B363" s="61">
        <f>VLOOKUP(Table110[[#This Row],[Date]],database!A:H,3,)</f>
        <v/>
      </c>
      <c r="C363" s="74">
        <f>B363/B362-1</f>
        <v/>
      </c>
      <c r="D363" s="74">
        <f>(Table110[[#This Row],[Index]]-B351)/B351</f>
        <v/>
      </c>
    </row>
    <row r="364">
      <c r="A364" s="19" t="n">
        <v>37165</v>
      </c>
      <c r="B364" s="61">
        <f>VLOOKUP(Table110[[#This Row],[Date]],database!A:H,3,)</f>
        <v/>
      </c>
      <c r="C364" s="74">
        <f>B364/B363-1</f>
        <v/>
      </c>
      <c r="D364" s="74">
        <f>(Table110[[#This Row],[Index]]-B352)/B352</f>
        <v/>
      </c>
    </row>
    <row r="365">
      <c r="A365" s="19" t="n">
        <v>37196</v>
      </c>
      <c r="B365" s="61">
        <f>VLOOKUP(Table110[[#This Row],[Date]],database!A:H,3,)</f>
        <v/>
      </c>
      <c r="C365" s="74">
        <f>B365/B364-1</f>
        <v/>
      </c>
      <c r="D365" s="74">
        <f>(Table110[[#This Row],[Index]]-B353)/B353</f>
        <v/>
      </c>
    </row>
    <row r="366">
      <c r="A366" s="19" t="n">
        <v>37226</v>
      </c>
      <c r="B366" s="61">
        <f>VLOOKUP(Table110[[#This Row],[Date]],database!A:H,3,)</f>
        <v/>
      </c>
      <c r="C366" s="74">
        <f>B366/B365-1</f>
        <v/>
      </c>
      <c r="D366" s="74">
        <f>(Table110[[#This Row],[Index]]-B354)/B354</f>
        <v/>
      </c>
    </row>
    <row r="367">
      <c r="A367" s="19" t="n">
        <v>37257</v>
      </c>
      <c r="B367" s="61">
        <f>VLOOKUP(Table110[[#This Row],[Date]],database!A:H,3,)</f>
        <v/>
      </c>
      <c r="C367" s="74">
        <f>B367/B366-1</f>
        <v/>
      </c>
      <c r="D367" s="74">
        <f>(Table110[[#This Row],[Index]]-B355)/B355</f>
        <v/>
      </c>
    </row>
    <row r="368">
      <c r="A368" s="19" t="n">
        <v>37288</v>
      </c>
      <c r="B368" s="61">
        <f>VLOOKUP(Table110[[#This Row],[Date]],database!A:H,3,)</f>
        <v/>
      </c>
      <c r="C368" s="74">
        <f>B368/B367-1</f>
        <v/>
      </c>
      <c r="D368" s="74">
        <f>(Table110[[#This Row],[Index]]-B356)/B356</f>
        <v/>
      </c>
    </row>
    <row r="369">
      <c r="A369" s="19" t="n">
        <v>37316</v>
      </c>
      <c r="B369" s="61">
        <f>VLOOKUP(Table110[[#This Row],[Date]],database!A:H,3,)</f>
        <v/>
      </c>
      <c r="C369" s="74">
        <f>B369/B368-1</f>
        <v/>
      </c>
      <c r="D369" s="74">
        <f>(Table110[[#This Row],[Index]]-B357)/B357</f>
        <v/>
      </c>
    </row>
    <row r="370">
      <c r="A370" s="19" t="n">
        <v>37347</v>
      </c>
      <c r="B370" s="61">
        <f>VLOOKUP(Table110[[#This Row],[Date]],database!A:H,3,)</f>
        <v/>
      </c>
      <c r="C370" s="74">
        <f>B370/B369-1</f>
        <v/>
      </c>
      <c r="D370" s="74">
        <f>(Table110[[#This Row],[Index]]-B358)/B358</f>
        <v/>
      </c>
    </row>
    <row r="371">
      <c r="A371" s="19" t="n">
        <v>37377</v>
      </c>
      <c r="B371" s="61">
        <f>VLOOKUP(Table110[[#This Row],[Date]],database!A:H,3,)</f>
        <v/>
      </c>
      <c r="C371" s="74">
        <f>B371/B370-1</f>
        <v/>
      </c>
      <c r="D371" s="74">
        <f>(Table110[[#This Row],[Index]]-B359)/B359</f>
        <v/>
      </c>
    </row>
    <row r="372">
      <c r="A372" s="19" t="n">
        <v>37408</v>
      </c>
      <c r="B372" s="61">
        <f>VLOOKUP(Table110[[#This Row],[Date]],database!A:H,3,)</f>
        <v/>
      </c>
      <c r="C372" s="74">
        <f>B372/B371-1</f>
        <v/>
      </c>
      <c r="D372" s="74">
        <f>(Table110[[#This Row],[Index]]-B360)/B360</f>
        <v/>
      </c>
    </row>
    <row r="373">
      <c r="A373" s="19" t="n">
        <v>37438</v>
      </c>
      <c r="B373" s="61">
        <f>VLOOKUP(Table110[[#This Row],[Date]],database!A:H,3,)</f>
        <v/>
      </c>
      <c r="C373" s="74">
        <f>B373/B372-1</f>
        <v/>
      </c>
      <c r="D373" s="74">
        <f>(Table110[[#This Row],[Index]]-B361)/B361</f>
        <v/>
      </c>
    </row>
    <row r="374">
      <c r="A374" s="19" t="n">
        <v>37469</v>
      </c>
      <c r="B374" s="61">
        <f>VLOOKUP(Table110[[#This Row],[Date]],database!A:H,3,)</f>
        <v/>
      </c>
      <c r="C374" s="74">
        <f>B374/B373-1</f>
        <v/>
      </c>
      <c r="D374" s="74">
        <f>(Table110[[#This Row],[Index]]-B362)/B362</f>
        <v/>
      </c>
    </row>
    <row r="375">
      <c r="A375" s="19" t="n">
        <v>37500</v>
      </c>
      <c r="B375" s="61">
        <f>VLOOKUP(Table110[[#This Row],[Date]],database!A:H,3,)</f>
        <v/>
      </c>
      <c r="C375" s="74">
        <f>B375/B374-1</f>
        <v/>
      </c>
      <c r="D375" s="74">
        <f>(Table110[[#This Row],[Index]]-B363)/B363</f>
        <v/>
      </c>
    </row>
    <row r="376">
      <c r="A376" s="19" t="n">
        <v>37530</v>
      </c>
      <c r="B376" s="61">
        <f>VLOOKUP(Table110[[#This Row],[Date]],database!A:H,3,)</f>
        <v/>
      </c>
      <c r="C376" s="74">
        <f>B376/B375-1</f>
        <v/>
      </c>
      <c r="D376" s="74">
        <f>(Table110[[#This Row],[Index]]-B364)/B364</f>
        <v/>
      </c>
    </row>
    <row r="377">
      <c r="A377" s="19" t="n">
        <v>37561</v>
      </c>
      <c r="B377" s="61">
        <f>VLOOKUP(Table110[[#This Row],[Date]],database!A:H,3,)</f>
        <v/>
      </c>
      <c r="C377" s="74">
        <f>B377/B376-1</f>
        <v/>
      </c>
      <c r="D377" s="74">
        <f>(Table110[[#This Row],[Index]]-B365)/B365</f>
        <v/>
      </c>
    </row>
    <row r="378">
      <c r="A378" s="19" t="n">
        <v>37591</v>
      </c>
      <c r="B378" s="61">
        <f>VLOOKUP(Table110[[#This Row],[Date]],database!A:H,3,)</f>
        <v/>
      </c>
      <c r="C378" s="74">
        <f>B378/B377-1</f>
        <v/>
      </c>
      <c r="D378" s="74">
        <f>(Table110[[#This Row],[Index]]-B366)/B366</f>
        <v/>
      </c>
    </row>
    <row r="379">
      <c r="A379" s="19" t="n">
        <v>37622</v>
      </c>
      <c r="B379" s="61">
        <f>VLOOKUP(Table110[[#This Row],[Date]],database!A:H,3,)</f>
        <v/>
      </c>
      <c r="C379" s="74">
        <f>B379/B378-1</f>
        <v/>
      </c>
      <c r="D379" s="74">
        <f>(Table110[[#This Row],[Index]]-B367)/B367</f>
        <v/>
      </c>
    </row>
    <row r="380">
      <c r="A380" s="19" t="n">
        <v>37653</v>
      </c>
      <c r="B380" s="61">
        <f>VLOOKUP(Table110[[#This Row],[Date]],database!A:H,3,)</f>
        <v/>
      </c>
      <c r="C380" s="74">
        <f>B380/B379-1</f>
        <v/>
      </c>
      <c r="D380" s="74">
        <f>(Table110[[#This Row],[Index]]-B368)/B368</f>
        <v/>
      </c>
    </row>
    <row r="381">
      <c r="A381" s="19" t="n">
        <v>37681</v>
      </c>
      <c r="B381" s="61">
        <f>VLOOKUP(Table110[[#This Row],[Date]],database!A:H,3,)</f>
        <v/>
      </c>
      <c r="C381" s="74">
        <f>B381/B380-1</f>
        <v/>
      </c>
      <c r="D381" s="74">
        <f>(Table110[[#This Row],[Index]]-B369)/B369</f>
        <v/>
      </c>
    </row>
    <row r="382">
      <c r="A382" s="19" t="n">
        <v>37712</v>
      </c>
      <c r="B382" s="61">
        <f>VLOOKUP(Table110[[#This Row],[Date]],database!A:H,3,)</f>
        <v/>
      </c>
      <c r="C382" s="74">
        <f>B382/B381-1</f>
        <v/>
      </c>
      <c r="D382" s="74">
        <f>(Table110[[#This Row],[Index]]-B370)/B370</f>
        <v/>
      </c>
    </row>
    <row r="383">
      <c r="A383" s="19" t="n">
        <v>37742</v>
      </c>
      <c r="B383" s="61">
        <f>VLOOKUP(Table110[[#This Row],[Date]],database!A:H,3,)</f>
        <v/>
      </c>
      <c r="C383" s="74">
        <f>B383/B382-1</f>
        <v/>
      </c>
      <c r="D383" s="74">
        <f>(Table110[[#This Row],[Index]]-B371)/B371</f>
        <v/>
      </c>
    </row>
    <row r="384">
      <c r="A384" s="19" t="n">
        <v>37773</v>
      </c>
      <c r="B384" s="61">
        <f>VLOOKUP(Table110[[#This Row],[Date]],database!A:H,3,)</f>
        <v/>
      </c>
      <c r="C384" s="74">
        <f>B384/B383-1</f>
        <v/>
      </c>
      <c r="D384" s="74">
        <f>(Table110[[#This Row],[Index]]-B372)/B372</f>
        <v/>
      </c>
    </row>
    <row r="385">
      <c r="A385" s="19" t="n">
        <v>37803</v>
      </c>
      <c r="B385" s="61">
        <f>VLOOKUP(Table110[[#This Row],[Date]],database!A:H,3,)</f>
        <v/>
      </c>
      <c r="C385" s="74">
        <f>B385/B384-1</f>
        <v/>
      </c>
      <c r="D385" s="74">
        <f>(Table110[[#This Row],[Index]]-B373)/B373</f>
        <v/>
      </c>
    </row>
    <row r="386">
      <c r="A386" s="19" t="n">
        <v>37834</v>
      </c>
      <c r="B386" s="61">
        <f>VLOOKUP(Table110[[#This Row],[Date]],database!A:H,3,)</f>
        <v/>
      </c>
      <c r="C386" s="74">
        <f>B386/B385-1</f>
        <v/>
      </c>
      <c r="D386" s="74">
        <f>(Table110[[#This Row],[Index]]-B374)/B374</f>
        <v/>
      </c>
    </row>
    <row r="387">
      <c r="A387" s="19" t="n">
        <v>37865</v>
      </c>
      <c r="B387" s="61">
        <f>VLOOKUP(Table110[[#This Row],[Date]],database!A:H,3,)</f>
        <v/>
      </c>
      <c r="C387" s="74">
        <f>B387/B386-1</f>
        <v/>
      </c>
      <c r="D387" s="74">
        <f>(Table110[[#This Row],[Index]]-B375)/B375</f>
        <v/>
      </c>
    </row>
    <row r="388">
      <c r="A388" s="19" t="n">
        <v>37895</v>
      </c>
      <c r="B388" s="61">
        <f>VLOOKUP(Table110[[#This Row],[Date]],database!A:H,3,)</f>
        <v/>
      </c>
      <c r="C388" s="74">
        <f>B388/B387-1</f>
        <v/>
      </c>
      <c r="D388" s="74">
        <f>(Table110[[#This Row],[Index]]-B376)/B376</f>
        <v/>
      </c>
    </row>
    <row r="389">
      <c r="A389" s="19" t="n">
        <v>37926</v>
      </c>
      <c r="B389" s="61">
        <f>VLOOKUP(Table110[[#This Row],[Date]],database!A:H,3,)</f>
        <v/>
      </c>
      <c r="C389" s="74">
        <f>B389/B388-1</f>
        <v/>
      </c>
      <c r="D389" s="74">
        <f>(Table110[[#This Row],[Index]]-B377)/B377</f>
        <v/>
      </c>
    </row>
    <row r="390">
      <c r="A390" s="19" t="n">
        <v>37956</v>
      </c>
      <c r="B390" s="61">
        <f>VLOOKUP(Table110[[#This Row],[Date]],database!A:H,3,)</f>
        <v/>
      </c>
      <c r="C390" s="74">
        <f>B390/B389-1</f>
        <v/>
      </c>
      <c r="D390" s="74">
        <f>(Table110[[#This Row],[Index]]-B378)/B378</f>
        <v/>
      </c>
    </row>
    <row r="391">
      <c r="A391" s="19" t="n">
        <v>37987</v>
      </c>
      <c r="B391" s="61">
        <f>VLOOKUP(Table110[[#This Row],[Date]],database!A:H,3,)</f>
        <v/>
      </c>
      <c r="C391" s="74">
        <f>B391/B390-1</f>
        <v/>
      </c>
      <c r="D391" s="74">
        <f>(Table110[[#This Row],[Index]]-B379)/B379</f>
        <v/>
      </c>
    </row>
    <row r="392">
      <c r="A392" s="19" t="n">
        <v>38018</v>
      </c>
      <c r="B392" s="61">
        <f>VLOOKUP(Table110[[#This Row],[Date]],database!A:H,3,)</f>
        <v/>
      </c>
      <c r="C392" s="74">
        <f>B392/B391-1</f>
        <v/>
      </c>
      <c r="D392" s="74">
        <f>(Table110[[#This Row],[Index]]-B380)/B380</f>
        <v/>
      </c>
    </row>
    <row r="393">
      <c r="A393" s="19" t="n">
        <v>38047</v>
      </c>
      <c r="B393" s="61">
        <f>VLOOKUP(Table110[[#This Row],[Date]],database!A:H,3,)</f>
        <v/>
      </c>
      <c r="C393" s="74">
        <f>B393/B392-1</f>
        <v/>
      </c>
      <c r="D393" s="74">
        <f>(Table110[[#This Row],[Index]]-B381)/B381</f>
        <v/>
      </c>
    </row>
    <row r="394">
      <c r="A394" s="19" t="n">
        <v>38078</v>
      </c>
      <c r="B394" s="61">
        <f>VLOOKUP(Table110[[#This Row],[Date]],database!A:H,3,)</f>
        <v/>
      </c>
      <c r="C394" s="74">
        <f>B394/B393-1</f>
        <v/>
      </c>
      <c r="D394" s="74">
        <f>(Table110[[#This Row],[Index]]-B382)/B382</f>
        <v/>
      </c>
    </row>
    <row r="395">
      <c r="A395" s="19" t="n">
        <v>38108</v>
      </c>
      <c r="B395" s="61">
        <f>VLOOKUP(Table110[[#This Row],[Date]],database!A:H,3,)</f>
        <v/>
      </c>
      <c r="C395" s="74">
        <f>B395/B394-1</f>
        <v/>
      </c>
      <c r="D395" s="74">
        <f>(Table110[[#This Row],[Index]]-B383)/B383</f>
        <v/>
      </c>
    </row>
    <row r="396">
      <c r="A396" s="19" t="n">
        <v>38139</v>
      </c>
      <c r="B396" s="61">
        <f>VLOOKUP(Table110[[#This Row],[Date]],database!A:H,3,)</f>
        <v/>
      </c>
      <c r="C396" s="74">
        <f>B396/B395-1</f>
        <v/>
      </c>
      <c r="D396" s="74">
        <f>(Table110[[#This Row],[Index]]-B384)/B384</f>
        <v/>
      </c>
    </row>
    <row r="397">
      <c r="A397" s="19" t="n">
        <v>38169</v>
      </c>
      <c r="B397" s="61">
        <f>VLOOKUP(Table110[[#This Row],[Date]],database!A:H,3,)</f>
        <v/>
      </c>
      <c r="C397" s="74">
        <f>B397/B396-1</f>
        <v/>
      </c>
      <c r="D397" s="74">
        <f>(Table110[[#This Row],[Index]]-B385)/B385</f>
        <v/>
      </c>
    </row>
    <row r="398">
      <c r="A398" s="19" t="n">
        <v>38200</v>
      </c>
      <c r="B398" s="61">
        <f>VLOOKUP(Table110[[#This Row],[Date]],database!A:H,3,)</f>
        <v/>
      </c>
      <c r="C398" s="74">
        <f>B398/B397-1</f>
        <v/>
      </c>
      <c r="D398" s="74">
        <f>(Table110[[#This Row],[Index]]-B386)/B386</f>
        <v/>
      </c>
    </row>
    <row r="399">
      <c r="A399" s="19" t="n">
        <v>38231</v>
      </c>
      <c r="B399" s="61">
        <f>VLOOKUP(Table110[[#This Row],[Date]],database!A:H,3,)</f>
        <v/>
      </c>
      <c r="C399" s="74">
        <f>B399/B398-1</f>
        <v/>
      </c>
      <c r="D399" s="74">
        <f>(Table110[[#This Row],[Index]]-B387)/B387</f>
        <v/>
      </c>
    </row>
    <row r="400">
      <c r="A400" s="19" t="n">
        <v>38261</v>
      </c>
      <c r="B400" s="61">
        <f>VLOOKUP(Table110[[#This Row],[Date]],database!A:H,3,)</f>
        <v/>
      </c>
      <c r="C400" s="74">
        <f>B400/B399-1</f>
        <v/>
      </c>
      <c r="D400" s="74">
        <f>(Table110[[#This Row],[Index]]-B388)/B388</f>
        <v/>
      </c>
    </row>
    <row r="401">
      <c r="A401" s="19" t="n">
        <v>38292</v>
      </c>
      <c r="B401" s="61">
        <f>VLOOKUP(Table110[[#This Row],[Date]],database!A:H,3,)</f>
        <v/>
      </c>
      <c r="C401" s="74">
        <f>B401/B400-1</f>
        <v/>
      </c>
      <c r="D401" s="74">
        <f>(Table110[[#This Row],[Index]]-B389)/B389</f>
        <v/>
      </c>
    </row>
    <row r="402">
      <c r="A402" s="19" t="n">
        <v>38322</v>
      </c>
      <c r="B402" s="61">
        <f>VLOOKUP(Table110[[#This Row],[Date]],database!A:H,3,)</f>
        <v/>
      </c>
      <c r="C402" s="74">
        <f>B402/B401-1</f>
        <v/>
      </c>
      <c r="D402" s="74">
        <f>(Table110[[#This Row],[Index]]-B390)/B390</f>
        <v/>
      </c>
    </row>
    <row r="403">
      <c r="A403" s="19" t="n">
        <v>38353</v>
      </c>
      <c r="B403" s="61">
        <f>VLOOKUP(Table110[[#This Row],[Date]],database!A:H,3,)</f>
        <v/>
      </c>
      <c r="C403" s="74">
        <f>B403/B402-1</f>
        <v/>
      </c>
      <c r="D403" s="74">
        <f>(Table110[[#This Row],[Index]]-B391)/B391</f>
        <v/>
      </c>
    </row>
    <row r="404">
      <c r="A404" s="19" t="n">
        <v>38384</v>
      </c>
      <c r="B404" s="61">
        <f>VLOOKUP(Table110[[#This Row],[Date]],database!A:H,3,)</f>
        <v/>
      </c>
      <c r="C404" s="74">
        <f>B404/B403-1</f>
        <v/>
      </c>
      <c r="D404" s="74">
        <f>(Table110[[#This Row],[Index]]-B392)/B392</f>
        <v/>
      </c>
    </row>
    <row r="405">
      <c r="A405" s="19" t="n">
        <v>38412</v>
      </c>
      <c r="B405" s="61">
        <f>VLOOKUP(Table110[[#This Row],[Date]],database!A:H,3,)</f>
        <v/>
      </c>
      <c r="C405" s="74">
        <f>B405/B404-1</f>
        <v/>
      </c>
      <c r="D405" s="74">
        <f>(Table110[[#This Row],[Index]]-B393)/B393</f>
        <v/>
      </c>
    </row>
    <row r="406">
      <c r="A406" s="19" t="n">
        <v>38443</v>
      </c>
      <c r="B406" s="61">
        <f>VLOOKUP(Table110[[#This Row],[Date]],database!A:H,3,)</f>
        <v/>
      </c>
      <c r="C406" s="74">
        <f>B406/B405-1</f>
        <v/>
      </c>
      <c r="D406" s="74">
        <f>(Table110[[#This Row],[Index]]-B394)/B394</f>
        <v/>
      </c>
    </row>
    <row r="407">
      <c r="A407" s="19" t="n">
        <v>38473</v>
      </c>
      <c r="B407" s="61">
        <f>VLOOKUP(Table110[[#This Row],[Date]],database!A:H,3,)</f>
        <v/>
      </c>
      <c r="C407" s="74">
        <f>B407/B406-1</f>
        <v/>
      </c>
      <c r="D407" s="74">
        <f>(Table110[[#This Row],[Index]]-B395)/B395</f>
        <v/>
      </c>
    </row>
    <row r="408">
      <c r="A408" s="19" t="n">
        <v>38504</v>
      </c>
      <c r="B408" s="61">
        <f>VLOOKUP(Table110[[#This Row],[Date]],database!A:H,3,)</f>
        <v/>
      </c>
      <c r="C408" s="74">
        <f>B408/B407-1</f>
        <v/>
      </c>
      <c r="D408" s="74">
        <f>(Table110[[#This Row],[Index]]-B396)/B396</f>
        <v/>
      </c>
    </row>
    <row r="409">
      <c r="A409" s="19" t="n">
        <v>38534</v>
      </c>
      <c r="B409" s="61">
        <f>VLOOKUP(Table110[[#This Row],[Date]],database!A:H,3,)</f>
        <v/>
      </c>
      <c r="C409" s="74">
        <f>B409/B408-1</f>
        <v/>
      </c>
      <c r="D409" s="74">
        <f>(Table110[[#This Row],[Index]]-B397)/B397</f>
        <v/>
      </c>
    </row>
    <row r="410">
      <c r="A410" s="19" t="n">
        <v>38565</v>
      </c>
      <c r="B410" s="61">
        <f>VLOOKUP(Table110[[#This Row],[Date]],database!A:H,3,)</f>
        <v/>
      </c>
      <c r="C410" s="74">
        <f>B410/B409-1</f>
        <v/>
      </c>
      <c r="D410" s="74">
        <f>(Table110[[#This Row],[Index]]-B398)/B398</f>
        <v/>
      </c>
    </row>
    <row r="411">
      <c r="A411" s="19" t="n">
        <v>38596</v>
      </c>
      <c r="B411" s="61">
        <f>VLOOKUP(Table110[[#This Row],[Date]],database!A:H,3,)</f>
        <v/>
      </c>
      <c r="C411" s="74">
        <f>B411/B410-1</f>
        <v/>
      </c>
      <c r="D411" s="74">
        <f>(Table110[[#This Row],[Index]]-B399)/B399</f>
        <v/>
      </c>
    </row>
    <row r="412">
      <c r="A412" s="19" t="n">
        <v>38626</v>
      </c>
      <c r="B412" s="61">
        <f>VLOOKUP(Table110[[#This Row],[Date]],database!A:H,3,)</f>
        <v/>
      </c>
      <c r="C412" s="74">
        <f>B412/B411-1</f>
        <v/>
      </c>
      <c r="D412" s="74">
        <f>(Table110[[#This Row],[Index]]-B400)/B400</f>
        <v/>
      </c>
    </row>
    <row r="413">
      <c r="A413" s="19" t="n">
        <v>38657</v>
      </c>
      <c r="B413" s="61">
        <f>VLOOKUP(Table110[[#This Row],[Date]],database!A:H,3,)</f>
        <v/>
      </c>
      <c r="C413" s="74">
        <f>B413/B412-1</f>
        <v/>
      </c>
      <c r="D413" s="74">
        <f>(Table110[[#This Row],[Index]]-B401)/B401</f>
        <v/>
      </c>
    </row>
    <row r="414">
      <c r="A414" s="19" t="n">
        <v>38687</v>
      </c>
      <c r="B414" s="61">
        <f>VLOOKUP(Table110[[#This Row],[Date]],database!A:H,3,)</f>
        <v/>
      </c>
      <c r="C414" s="74">
        <f>B414/B413-1</f>
        <v/>
      </c>
      <c r="D414" s="74">
        <f>(Table110[[#This Row],[Index]]-B402)/B402</f>
        <v/>
      </c>
    </row>
    <row r="415">
      <c r="A415" s="19" t="n">
        <v>38718</v>
      </c>
      <c r="B415" s="61">
        <f>VLOOKUP(Table110[[#This Row],[Date]],database!A:H,3,)</f>
        <v/>
      </c>
      <c r="C415" s="74">
        <f>B415/B414-1</f>
        <v/>
      </c>
      <c r="D415" s="74">
        <f>(Table110[[#This Row],[Index]]-B403)/B403</f>
        <v/>
      </c>
    </row>
    <row r="416">
      <c r="A416" s="19" t="n">
        <v>38749</v>
      </c>
      <c r="B416" s="61">
        <f>VLOOKUP(Table110[[#This Row],[Date]],database!A:H,3,)</f>
        <v/>
      </c>
      <c r="C416" s="74">
        <f>B416/B415-1</f>
        <v/>
      </c>
      <c r="D416" s="74">
        <f>(Table110[[#This Row],[Index]]-B404)/B404</f>
        <v/>
      </c>
    </row>
    <row r="417">
      <c r="A417" s="19" t="n">
        <v>38777</v>
      </c>
      <c r="B417" s="61">
        <f>VLOOKUP(Table110[[#This Row],[Date]],database!A:H,3,)</f>
        <v/>
      </c>
      <c r="C417" s="74">
        <f>B417/B416-1</f>
        <v/>
      </c>
      <c r="D417" s="74">
        <f>(Table110[[#This Row],[Index]]-B405)/B405</f>
        <v/>
      </c>
    </row>
    <row r="418">
      <c r="A418" s="19" t="n">
        <v>38808</v>
      </c>
      <c r="B418" s="61">
        <f>VLOOKUP(Table110[[#This Row],[Date]],database!A:H,3,)</f>
        <v/>
      </c>
      <c r="C418" s="74">
        <f>B418/B417-1</f>
        <v/>
      </c>
      <c r="D418" s="74">
        <f>(Table110[[#This Row],[Index]]-B406)/B406</f>
        <v/>
      </c>
    </row>
    <row r="419">
      <c r="A419" s="19" t="n">
        <v>38838</v>
      </c>
      <c r="B419" s="61">
        <f>VLOOKUP(Table110[[#This Row],[Date]],database!A:H,3,)</f>
        <v/>
      </c>
      <c r="C419" s="74">
        <f>B419/B418-1</f>
        <v/>
      </c>
      <c r="D419" s="74">
        <f>(Table110[[#This Row],[Index]]-B407)/B407</f>
        <v/>
      </c>
    </row>
    <row r="420">
      <c r="A420" s="19" t="n">
        <v>38869</v>
      </c>
      <c r="B420" s="61">
        <f>VLOOKUP(Table110[[#This Row],[Date]],database!A:H,3,)</f>
        <v/>
      </c>
      <c r="C420" s="74">
        <f>B420/B419-1</f>
        <v/>
      </c>
      <c r="D420" s="74">
        <f>(Table110[[#This Row],[Index]]-B408)/B408</f>
        <v/>
      </c>
    </row>
    <row r="421">
      <c r="A421" s="19" t="n">
        <v>38899</v>
      </c>
      <c r="B421" s="61">
        <f>VLOOKUP(Table110[[#This Row],[Date]],database!A:H,3,)</f>
        <v/>
      </c>
      <c r="C421" s="74">
        <f>B421/B420-1</f>
        <v/>
      </c>
      <c r="D421" s="74">
        <f>(Table110[[#This Row],[Index]]-B409)/B409</f>
        <v/>
      </c>
    </row>
    <row r="422">
      <c r="A422" s="19" t="n">
        <v>38930</v>
      </c>
      <c r="B422" s="61">
        <f>VLOOKUP(Table110[[#This Row],[Date]],database!A:H,3,)</f>
        <v/>
      </c>
      <c r="C422" s="74">
        <f>B422/B421-1</f>
        <v/>
      </c>
      <c r="D422" s="74">
        <f>(Table110[[#This Row],[Index]]-B410)/B410</f>
        <v/>
      </c>
    </row>
    <row r="423">
      <c r="A423" s="19" t="n">
        <v>38961</v>
      </c>
      <c r="B423" s="61">
        <f>VLOOKUP(Table110[[#This Row],[Date]],database!A:H,3,)</f>
        <v/>
      </c>
      <c r="C423" s="74">
        <f>B423/B422-1</f>
        <v/>
      </c>
      <c r="D423" s="74">
        <f>(Table110[[#This Row],[Index]]-B411)/B411</f>
        <v/>
      </c>
    </row>
    <row r="424">
      <c r="A424" s="19" t="n">
        <v>38991</v>
      </c>
      <c r="B424" s="61">
        <f>VLOOKUP(Table110[[#This Row],[Date]],database!A:H,3,)</f>
        <v/>
      </c>
      <c r="C424" s="74">
        <f>B424/B423-1</f>
        <v/>
      </c>
      <c r="D424" s="74">
        <f>(Table110[[#This Row],[Index]]-B412)/B412</f>
        <v/>
      </c>
    </row>
    <row r="425">
      <c r="A425" s="19" t="n">
        <v>39022</v>
      </c>
      <c r="B425" s="61">
        <f>VLOOKUP(Table110[[#This Row],[Date]],database!A:H,3,)</f>
        <v/>
      </c>
      <c r="C425" s="74">
        <f>B425/B424-1</f>
        <v/>
      </c>
      <c r="D425" s="74">
        <f>(Table110[[#This Row],[Index]]-B413)/B413</f>
        <v/>
      </c>
    </row>
    <row r="426">
      <c r="A426" s="19" t="n">
        <v>39052</v>
      </c>
      <c r="B426" s="61">
        <f>VLOOKUP(Table110[[#This Row],[Date]],database!A:H,3,)</f>
        <v/>
      </c>
      <c r="C426" s="74">
        <f>B426/B425-1</f>
        <v/>
      </c>
      <c r="D426" s="74">
        <f>(Table110[[#This Row],[Index]]-B414)/B414</f>
        <v/>
      </c>
    </row>
    <row r="427">
      <c r="A427" s="19" t="n">
        <v>39083</v>
      </c>
      <c r="B427" s="61">
        <f>VLOOKUP(Table110[[#This Row],[Date]],database!A:H,3,)</f>
        <v/>
      </c>
      <c r="C427" s="74">
        <f>B427/B426-1</f>
        <v/>
      </c>
      <c r="D427" s="74">
        <f>(Table110[[#This Row],[Index]]-B415)/B415</f>
        <v/>
      </c>
    </row>
    <row r="428">
      <c r="A428" s="19" t="n">
        <v>39114</v>
      </c>
      <c r="B428" s="61">
        <f>VLOOKUP(Table110[[#This Row],[Date]],database!A:H,3,)</f>
        <v/>
      </c>
      <c r="C428" s="74">
        <f>B428/B427-1</f>
        <v/>
      </c>
      <c r="D428" s="74">
        <f>(Table110[[#This Row],[Index]]-B416)/B416</f>
        <v/>
      </c>
    </row>
    <row r="429">
      <c r="A429" s="19" t="n">
        <v>39142</v>
      </c>
      <c r="B429" s="61">
        <f>VLOOKUP(Table110[[#This Row],[Date]],database!A:H,3,)</f>
        <v/>
      </c>
      <c r="C429" s="74">
        <f>B429/B428-1</f>
        <v/>
      </c>
      <c r="D429" s="74">
        <f>(Table110[[#This Row],[Index]]-B417)/B417</f>
        <v/>
      </c>
    </row>
    <row r="430">
      <c r="A430" s="19" t="n">
        <v>39173</v>
      </c>
      <c r="B430" s="61">
        <f>VLOOKUP(Table110[[#This Row],[Date]],database!A:H,3,)</f>
        <v/>
      </c>
      <c r="C430" s="74">
        <f>B430/B429-1</f>
        <v/>
      </c>
      <c r="D430" s="74">
        <f>(Table110[[#This Row],[Index]]-B418)/B418</f>
        <v/>
      </c>
    </row>
    <row r="431">
      <c r="A431" s="19" t="n">
        <v>39203</v>
      </c>
      <c r="B431" s="61">
        <f>VLOOKUP(Table110[[#This Row],[Date]],database!A:H,3,)</f>
        <v/>
      </c>
      <c r="C431" s="74">
        <f>B431/B430-1</f>
        <v/>
      </c>
      <c r="D431" s="74">
        <f>(Table110[[#This Row],[Index]]-B419)/B419</f>
        <v/>
      </c>
    </row>
    <row r="432">
      <c r="A432" s="19" t="n">
        <v>39234</v>
      </c>
      <c r="B432" s="61">
        <f>VLOOKUP(Table110[[#This Row],[Date]],database!A:H,3,)</f>
        <v/>
      </c>
      <c r="C432" s="74">
        <f>B432/B431-1</f>
        <v/>
      </c>
      <c r="D432" s="74">
        <f>(Table110[[#This Row],[Index]]-B420)/B420</f>
        <v/>
      </c>
    </row>
    <row r="433">
      <c r="A433" s="19" t="n">
        <v>39264</v>
      </c>
      <c r="B433" s="61">
        <f>VLOOKUP(Table110[[#This Row],[Date]],database!A:H,3,)</f>
        <v/>
      </c>
      <c r="C433" s="74">
        <f>B433/B432-1</f>
        <v/>
      </c>
      <c r="D433" s="74">
        <f>(Table110[[#This Row],[Index]]-B421)/B421</f>
        <v/>
      </c>
    </row>
    <row r="434">
      <c r="A434" s="19" t="n">
        <v>39295</v>
      </c>
      <c r="B434" s="61">
        <f>VLOOKUP(Table110[[#This Row],[Date]],database!A:H,3,)</f>
        <v/>
      </c>
      <c r="C434" s="74">
        <f>B434/B433-1</f>
        <v/>
      </c>
      <c r="D434" s="74">
        <f>(Table110[[#This Row],[Index]]-B422)/B422</f>
        <v/>
      </c>
    </row>
    <row r="435">
      <c r="A435" s="19" t="n">
        <v>39326</v>
      </c>
      <c r="B435" s="61">
        <f>VLOOKUP(Table110[[#This Row],[Date]],database!A:H,3,)</f>
        <v/>
      </c>
      <c r="C435" s="74">
        <f>B435/B434-1</f>
        <v/>
      </c>
      <c r="D435" s="74">
        <f>(Table110[[#This Row],[Index]]-B423)/B423</f>
        <v/>
      </c>
    </row>
    <row r="436">
      <c r="A436" s="19" t="n">
        <v>39356</v>
      </c>
      <c r="B436" s="61">
        <f>VLOOKUP(Table110[[#This Row],[Date]],database!A:H,3,)</f>
        <v/>
      </c>
      <c r="C436" s="74">
        <f>B436/B435-1</f>
        <v/>
      </c>
      <c r="D436" s="74">
        <f>(Table110[[#This Row],[Index]]-B424)/B424</f>
        <v/>
      </c>
    </row>
    <row r="437">
      <c r="A437" s="19" t="n">
        <v>39387</v>
      </c>
      <c r="B437" s="61">
        <f>VLOOKUP(Table110[[#This Row],[Date]],database!A:H,3,)</f>
        <v/>
      </c>
      <c r="C437" s="74">
        <f>B437/B436-1</f>
        <v/>
      </c>
      <c r="D437" s="74">
        <f>(Table110[[#This Row],[Index]]-B425)/B425</f>
        <v/>
      </c>
    </row>
    <row r="438">
      <c r="A438" s="19" t="n">
        <v>39417</v>
      </c>
      <c r="B438" s="61">
        <f>VLOOKUP(Table110[[#This Row],[Date]],database!A:H,3,)</f>
        <v/>
      </c>
      <c r="C438" s="74">
        <f>B438/B437-1</f>
        <v/>
      </c>
      <c r="D438" s="74">
        <f>(Table110[[#This Row],[Index]]-B426)/B426</f>
        <v/>
      </c>
    </row>
    <row r="439">
      <c r="A439" s="19" t="n">
        <v>39448</v>
      </c>
      <c r="B439" s="61">
        <f>VLOOKUP(Table110[[#This Row],[Date]],database!A:H,3,)</f>
        <v/>
      </c>
      <c r="C439" s="74">
        <f>B439/B438-1</f>
        <v/>
      </c>
      <c r="D439" s="74">
        <f>(Table110[[#This Row],[Index]]-B427)/B427</f>
        <v/>
      </c>
    </row>
    <row r="440">
      <c r="A440" s="19" t="n">
        <v>39479</v>
      </c>
      <c r="B440" s="61">
        <f>VLOOKUP(Table110[[#This Row],[Date]],database!A:H,3,)</f>
        <v/>
      </c>
      <c r="C440" s="74">
        <f>B440/B439-1</f>
        <v/>
      </c>
      <c r="D440" s="74">
        <f>(Table110[[#This Row],[Index]]-B428)/B428</f>
        <v/>
      </c>
    </row>
    <row r="441">
      <c r="A441" s="19" t="n">
        <v>39508</v>
      </c>
      <c r="B441" s="61">
        <f>VLOOKUP(Table110[[#This Row],[Date]],database!A:H,3,)</f>
        <v/>
      </c>
      <c r="C441" s="74">
        <f>B441/B440-1</f>
        <v/>
      </c>
      <c r="D441" s="74">
        <f>(Table110[[#This Row],[Index]]-B429)/B429</f>
        <v/>
      </c>
    </row>
    <row r="442">
      <c r="A442" s="19" t="n">
        <v>39539</v>
      </c>
      <c r="B442" s="61">
        <f>VLOOKUP(Table110[[#This Row],[Date]],database!A:H,3,)</f>
        <v/>
      </c>
      <c r="C442" s="74">
        <f>B442/B441-1</f>
        <v/>
      </c>
      <c r="D442" s="74">
        <f>(Table110[[#This Row],[Index]]-B430)/B430</f>
        <v/>
      </c>
    </row>
    <row r="443">
      <c r="A443" s="19" t="n">
        <v>39569</v>
      </c>
      <c r="B443" s="61">
        <f>VLOOKUP(Table110[[#This Row],[Date]],database!A:H,3,)</f>
        <v/>
      </c>
      <c r="C443" s="74">
        <f>B443/B442-1</f>
        <v/>
      </c>
      <c r="D443" s="74">
        <f>(Table110[[#This Row],[Index]]-B431)/B431</f>
        <v/>
      </c>
    </row>
    <row r="444">
      <c r="A444" s="19" t="n">
        <v>39600</v>
      </c>
      <c r="B444" s="61">
        <f>VLOOKUP(Table110[[#This Row],[Date]],database!A:H,3,)</f>
        <v/>
      </c>
      <c r="C444" s="74">
        <f>B444/B443-1</f>
        <v/>
      </c>
      <c r="D444" s="74">
        <f>(Table110[[#This Row],[Index]]-B432)/B432</f>
        <v/>
      </c>
    </row>
    <row r="445">
      <c r="A445" s="19" t="n">
        <v>39630</v>
      </c>
      <c r="B445" s="61">
        <f>VLOOKUP(Table110[[#This Row],[Date]],database!A:H,3,)</f>
        <v/>
      </c>
      <c r="C445" s="74">
        <f>B445/B444-1</f>
        <v/>
      </c>
      <c r="D445" s="74">
        <f>(Table110[[#This Row],[Index]]-B433)/B433</f>
        <v/>
      </c>
    </row>
    <row r="446">
      <c r="A446" s="19" t="n">
        <v>39661</v>
      </c>
      <c r="B446" s="61">
        <f>VLOOKUP(Table110[[#This Row],[Date]],database!A:H,3,)</f>
        <v/>
      </c>
      <c r="C446" s="74">
        <f>B446/B445-1</f>
        <v/>
      </c>
      <c r="D446" s="74">
        <f>(Table110[[#This Row],[Index]]-B434)/B434</f>
        <v/>
      </c>
    </row>
    <row r="447">
      <c r="A447" s="19" t="n">
        <v>39692</v>
      </c>
      <c r="B447" s="61">
        <f>VLOOKUP(Table110[[#This Row],[Date]],database!A:H,3,)</f>
        <v/>
      </c>
      <c r="C447" s="74">
        <f>B447/B446-1</f>
        <v/>
      </c>
      <c r="D447" s="74">
        <f>(Table110[[#This Row],[Index]]-B435)/B435</f>
        <v/>
      </c>
    </row>
    <row r="448">
      <c r="A448" s="19" t="n">
        <v>39722</v>
      </c>
      <c r="B448" s="61">
        <f>VLOOKUP(Table110[[#This Row],[Date]],database!A:H,3,)</f>
        <v/>
      </c>
      <c r="C448" s="74">
        <f>B448/B447-1</f>
        <v/>
      </c>
      <c r="D448" s="74">
        <f>(Table110[[#This Row],[Index]]-B436)/B436</f>
        <v/>
      </c>
    </row>
    <row r="449">
      <c r="A449" s="19" t="n">
        <v>39753</v>
      </c>
      <c r="B449" s="61">
        <f>VLOOKUP(Table110[[#This Row],[Date]],database!A:H,3,)</f>
        <v/>
      </c>
      <c r="C449" s="74">
        <f>B449/B448-1</f>
        <v/>
      </c>
      <c r="D449" s="74">
        <f>(Table110[[#This Row],[Index]]-B437)/B437</f>
        <v/>
      </c>
    </row>
    <row r="450">
      <c r="A450" s="19" t="n">
        <v>39783</v>
      </c>
      <c r="B450" s="61">
        <f>VLOOKUP(Table110[[#This Row],[Date]],database!A:H,3,)</f>
        <v/>
      </c>
      <c r="C450" s="74">
        <f>B450/B449-1</f>
        <v/>
      </c>
      <c r="D450" s="74">
        <f>(Table110[[#This Row],[Index]]-B438)/B438</f>
        <v/>
      </c>
    </row>
    <row r="451">
      <c r="A451" s="19" t="n">
        <v>39814</v>
      </c>
      <c r="B451" s="61">
        <f>VLOOKUP(Table110[[#This Row],[Date]],database!A:H,3,)</f>
        <v/>
      </c>
      <c r="C451" s="74">
        <f>B451/B450-1</f>
        <v/>
      </c>
      <c r="D451" s="74">
        <f>(Table110[[#This Row],[Index]]-B439)/B439</f>
        <v/>
      </c>
    </row>
    <row r="452">
      <c r="A452" s="19" t="n">
        <v>39845</v>
      </c>
      <c r="B452" s="61">
        <f>VLOOKUP(Table110[[#This Row],[Date]],database!A:H,3,)</f>
        <v/>
      </c>
      <c r="C452" s="74">
        <f>B452/B451-1</f>
        <v/>
      </c>
      <c r="D452" s="74">
        <f>(Table110[[#This Row],[Index]]-B440)/B440</f>
        <v/>
      </c>
    </row>
    <row r="453">
      <c r="A453" s="19" t="n">
        <v>39873</v>
      </c>
      <c r="B453" s="61">
        <f>VLOOKUP(Table110[[#This Row],[Date]],database!A:H,3,)</f>
        <v/>
      </c>
      <c r="C453" s="74">
        <f>B453/B452-1</f>
        <v/>
      </c>
      <c r="D453" s="74">
        <f>(Table110[[#This Row],[Index]]-B441)/B441</f>
        <v/>
      </c>
    </row>
    <row r="454">
      <c r="A454" s="19" t="n">
        <v>39904</v>
      </c>
      <c r="B454" s="61">
        <f>VLOOKUP(Table110[[#This Row],[Date]],database!A:H,3,)</f>
        <v/>
      </c>
      <c r="C454" s="74">
        <f>B454/B453-1</f>
        <v/>
      </c>
      <c r="D454" s="74">
        <f>(Table110[[#This Row],[Index]]-B442)/B442</f>
        <v/>
      </c>
    </row>
    <row r="455">
      <c r="A455" s="19" t="n">
        <v>39934</v>
      </c>
      <c r="B455" s="61">
        <f>VLOOKUP(Table110[[#This Row],[Date]],database!A:H,3,)</f>
        <v/>
      </c>
      <c r="C455" s="74">
        <f>B455/B454-1</f>
        <v/>
      </c>
      <c r="D455" s="74">
        <f>(Table110[[#This Row],[Index]]-B443)/B443</f>
        <v/>
      </c>
    </row>
    <row r="456">
      <c r="A456" s="19" t="n">
        <v>39965</v>
      </c>
      <c r="B456" s="61">
        <f>VLOOKUP(Table110[[#This Row],[Date]],database!A:H,3,)</f>
        <v/>
      </c>
      <c r="C456" s="74">
        <f>B456/B455-1</f>
        <v/>
      </c>
      <c r="D456" s="74">
        <f>(Table110[[#This Row],[Index]]-B444)/B444</f>
        <v/>
      </c>
    </row>
    <row r="457">
      <c r="A457" s="19" t="n">
        <v>39995</v>
      </c>
      <c r="B457" s="61">
        <f>VLOOKUP(Table110[[#This Row],[Date]],database!A:H,3,)</f>
        <v/>
      </c>
      <c r="C457" s="74">
        <f>B457/B456-1</f>
        <v/>
      </c>
      <c r="D457" s="74">
        <f>(Table110[[#This Row],[Index]]-B445)/B445</f>
        <v/>
      </c>
    </row>
    <row r="458">
      <c r="A458" s="19" t="n">
        <v>40026</v>
      </c>
      <c r="B458" s="61">
        <f>VLOOKUP(Table110[[#This Row],[Date]],database!A:H,3,)</f>
        <v/>
      </c>
      <c r="C458" s="74">
        <f>B458/B457-1</f>
        <v/>
      </c>
      <c r="D458" s="74">
        <f>(Table110[[#This Row],[Index]]-B446)/B446</f>
        <v/>
      </c>
    </row>
    <row r="459">
      <c r="A459" s="19" t="n">
        <v>40057</v>
      </c>
      <c r="B459" s="61">
        <f>VLOOKUP(Table110[[#This Row],[Date]],database!A:H,3,)</f>
        <v/>
      </c>
      <c r="C459" s="74">
        <f>B459/B458-1</f>
        <v/>
      </c>
      <c r="D459" s="74">
        <f>(Table110[[#This Row],[Index]]-B447)/B447</f>
        <v/>
      </c>
    </row>
    <row r="460">
      <c r="A460" s="19" t="n">
        <v>40087</v>
      </c>
      <c r="B460" s="61">
        <f>VLOOKUP(Table110[[#This Row],[Date]],database!A:H,3,)</f>
        <v/>
      </c>
      <c r="C460" s="74">
        <f>B460/B459-1</f>
        <v/>
      </c>
      <c r="D460" s="74">
        <f>(Table110[[#This Row],[Index]]-B448)/B448</f>
        <v/>
      </c>
    </row>
    <row r="461">
      <c r="A461" s="19" t="n">
        <v>40118</v>
      </c>
      <c r="B461" s="61">
        <f>VLOOKUP(Table110[[#This Row],[Date]],database!A:H,3,)</f>
        <v/>
      </c>
      <c r="C461" s="74">
        <f>B461/B460-1</f>
        <v/>
      </c>
      <c r="D461" s="74">
        <f>(Table110[[#This Row],[Index]]-B449)/B449</f>
        <v/>
      </c>
    </row>
    <row r="462">
      <c r="A462" s="19" t="n">
        <v>40148</v>
      </c>
      <c r="B462" s="61">
        <f>VLOOKUP(Table110[[#This Row],[Date]],database!A:H,3,)</f>
        <v/>
      </c>
      <c r="C462" s="74">
        <f>B462/B461-1</f>
        <v/>
      </c>
      <c r="D462" s="74">
        <f>(Table110[[#This Row],[Index]]-B450)/B450</f>
        <v/>
      </c>
    </row>
    <row r="463">
      <c r="A463" s="19" t="n">
        <v>40179</v>
      </c>
      <c r="B463" s="61">
        <f>VLOOKUP(Table110[[#This Row],[Date]],database!A:H,3,)</f>
        <v/>
      </c>
      <c r="C463" s="74">
        <f>B463/B462-1</f>
        <v/>
      </c>
      <c r="D463" s="74">
        <f>(Table110[[#This Row],[Index]]-B451)/B451</f>
        <v/>
      </c>
    </row>
    <row r="464">
      <c r="A464" s="19" t="n">
        <v>40210</v>
      </c>
      <c r="B464" s="61">
        <f>VLOOKUP(Table110[[#This Row],[Date]],database!A:H,3,)</f>
        <v/>
      </c>
      <c r="C464" s="74">
        <f>B464/B463-1</f>
        <v/>
      </c>
      <c r="D464" s="74">
        <f>(Table110[[#This Row],[Index]]-B452)/B452</f>
        <v/>
      </c>
    </row>
    <row r="465">
      <c r="A465" s="19" t="n">
        <v>40238</v>
      </c>
      <c r="B465" s="61">
        <f>VLOOKUP(Table110[[#This Row],[Date]],database!A:H,3,)</f>
        <v/>
      </c>
      <c r="C465" s="74">
        <f>B465/B464-1</f>
        <v/>
      </c>
      <c r="D465" s="74">
        <f>(Table110[[#This Row],[Index]]-B453)/B453</f>
        <v/>
      </c>
    </row>
    <row r="466">
      <c r="A466" s="19" t="n">
        <v>40269</v>
      </c>
      <c r="B466" s="61">
        <f>VLOOKUP(Table110[[#This Row],[Date]],database!A:H,3,)</f>
        <v/>
      </c>
      <c r="C466" s="74">
        <f>B466/B465-1</f>
        <v/>
      </c>
      <c r="D466" s="74">
        <f>(Table110[[#This Row],[Index]]-B454)/B454</f>
        <v/>
      </c>
    </row>
    <row r="467">
      <c r="A467" s="19" t="n">
        <v>40299</v>
      </c>
      <c r="B467" s="61">
        <f>VLOOKUP(Table110[[#This Row],[Date]],database!A:H,3,)</f>
        <v/>
      </c>
      <c r="C467" s="74">
        <f>B467/B466-1</f>
        <v/>
      </c>
      <c r="D467" s="74">
        <f>(Table110[[#This Row],[Index]]-B455)/B455</f>
        <v/>
      </c>
    </row>
    <row r="468">
      <c r="A468" s="19" t="n">
        <v>40330</v>
      </c>
      <c r="B468" s="61">
        <f>VLOOKUP(Table110[[#This Row],[Date]],database!A:H,3,)</f>
        <v/>
      </c>
      <c r="C468" s="74">
        <f>B468/B467-1</f>
        <v/>
      </c>
      <c r="D468" s="74">
        <f>(Table110[[#This Row],[Index]]-B456)/B456</f>
        <v/>
      </c>
    </row>
    <row r="469">
      <c r="A469" s="19" t="n">
        <v>40360</v>
      </c>
      <c r="B469" s="61">
        <f>VLOOKUP(Table110[[#This Row],[Date]],database!A:H,3,)</f>
        <v/>
      </c>
      <c r="C469" s="74">
        <f>B469/B468-1</f>
        <v/>
      </c>
      <c r="D469" s="74">
        <f>(Table110[[#This Row],[Index]]-B457)/B457</f>
        <v/>
      </c>
    </row>
    <row r="470">
      <c r="A470" s="19" t="n">
        <v>40391</v>
      </c>
      <c r="B470" s="61">
        <f>VLOOKUP(Table110[[#This Row],[Date]],database!A:H,3,)</f>
        <v/>
      </c>
      <c r="C470" s="74">
        <f>B470/B469-1</f>
        <v/>
      </c>
      <c r="D470" s="74">
        <f>(Table110[[#This Row],[Index]]-B458)/B458</f>
        <v/>
      </c>
    </row>
    <row r="471">
      <c r="A471" s="19" t="n">
        <v>40422</v>
      </c>
      <c r="B471" s="61">
        <f>VLOOKUP(Table110[[#This Row],[Date]],database!A:H,3,)</f>
        <v/>
      </c>
      <c r="C471" s="74">
        <f>B471/B470-1</f>
        <v/>
      </c>
      <c r="D471" s="74">
        <f>(Table110[[#This Row],[Index]]-B459)/B459</f>
        <v/>
      </c>
    </row>
    <row r="472">
      <c r="A472" s="19" t="n">
        <v>40452</v>
      </c>
      <c r="B472" s="61">
        <f>VLOOKUP(Table110[[#This Row],[Date]],database!A:H,3,)</f>
        <v/>
      </c>
      <c r="C472" s="74">
        <f>B472/B471-1</f>
        <v/>
      </c>
      <c r="D472" s="74">
        <f>(Table110[[#This Row],[Index]]-B460)/B460</f>
        <v/>
      </c>
    </row>
    <row r="473">
      <c r="A473" s="19" t="n">
        <v>40483</v>
      </c>
      <c r="B473" s="61">
        <f>VLOOKUP(Table110[[#This Row],[Date]],database!A:H,3,)</f>
        <v/>
      </c>
      <c r="C473" s="74">
        <f>B473/B472-1</f>
        <v/>
      </c>
      <c r="D473" s="74">
        <f>(Table110[[#This Row],[Index]]-B461)/B461</f>
        <v/>
      </c>
    </row>
    <row r="474">
      <c r="A474" s="19" t="n">
        <v>40513</v>
      </c>
      <c r="B474" s="61">
        <f>VLOOKUP(Table110[[#This Row],[Date]],database!A:H,3,)</f>
        <v/>
      </c>
      <c r="C474" s="74">
        <f>B474/B473-1</f>
        <v/>
      </c>
      <c r="D474" s="74">
        <f>(Table110[[#This Row],[Index]]-B462)/B462</f>
        <v/>
      </c>
    </row>
    <row r="475">
      <c r="A475" s="19" t="n">
        <v>40544</v>
      </c>
      <c r="B475" s="61">
        <f>VLOOKUP(Table110[[#This Row],[Date]],database!A:H,3,)</f>
        <v/>
      </c>
      <c r="C475" s="74">
        <f>B475/B474-1</f>
        <v/>
      </c>
      <c r="D475" s="74">
        <f>(Table110[[#This Row],[Index]]-B463)/B463</f>
        <v/>
      </c>
    </row>
    <row r="476">
      <c r="A476" s="19" t="n">
        <v>40575</v>
      </c>
      <c r="B476" s="61">
        <f>VLOOKUP(Table110[[#This Row],[Date]],database!A:H,3,)</f>
        <v/>
      </c>
      <c r="C476" s="74">
        <f>B476/B475-1</f>
        <v/>
      </c>
      <c r="D476" s="74">
        <f>(Table110[[#This Row],[Index]]-B464)/B464</f>
        <v/>
      </c>
    </row>
    <row r="477">
      <c r="A477" s="19" t="n">
        <v>40603</v>
      </c>
      <c r="B477" s="61">
        <f>VLOOKUP(Table110[[#This Row],[Date]],database!A:H,3,)</f>
        <v/>
      </c>
      <c r="C477" s="74">
        <f>B477/B476-1</f>
        <v/>
      </c>
      <c r="D477" s="74">
        <f>(Table110[[#This Row],[Index]]-B465)/B465</f>
        <v/>
      </c>
    </row>
    <row r="478">
      <c r="A478" s="19" t="n">
        <v>40634</v>
      </c>
      <c r="B478" s="61">
        <f>VLOOKUP(Table110[[#This Row],[Date]],database!A:H,3,)</f>
        <v/>
      </c>
      <c r="C478" s="75">
        <f>B478/B477-1</f>
        <v/>
      </c>
      <c r="D478" s="74">
        <f>(Table110[[#This Row],[Index]]-B466)/B466</f>
        <v/>
      </c>
    </row>
    <row r="479">
      <c r="A479" s="19" t="n">
        <v>40664</v>
      </c>
      <c r="B479" s="61">
        <f>VLOOKUP(Table110[[#This Row],[Date]],database!A:H,3,)</f>
        <v/>
      </c>
      <c r="C479" s="74">
        <f>B479/B478-1</f>
        <v/>
      </c>
      <c r="D479" s="74">
        <f>(Table110[[#This Row],[Index]]-B467)/B467</f>
        <v/>
      </c>
    </row>
    <row r="480">
      <c r="A480" s="19" t="n">
        <v>40695</v>
      </c>
      <c r="B480" s="61">
        <f>VLOOKUP(Table110[[#This Row],[Date]],database!A:H,3,)</f>
        <v/>
      </c>
      <c r="C480" s="74">
        <f>B480/B479-1</f>
        <v/>
      </c>
      <c r="D480" s="74">
        <f>(Table110[[#This Row],[Index]]-B468)/B468</f>
        <v/>
      </c>
    </row>
    <row r="481">
      <c r="A481" s="19" t="n">
        <v>40725</v>
      </c>
      <c r="B481" s="61">
        <f>VLOOKUP(Table110[[#This Row],[Date]],database!A:H,3,)</f>
        <v/>
      </c>
      <c r="C481" s="74">
        <f>B481/B480-1</f>
        <v/>
      </c>
      <c r="D481" s="74">
        <f>(Table110[[#This Row],[Index]]-B469)/B469</f>
        <v/>
      </c>
    </row>
    <row r="482">
      <c r="A482" s="19" t="n">
        <v>40756</v>
      </c>
      <c r="B482" s="61">
        <f>VLOOKUP(Table110[[#This Row],[Date]],database!A:H,3,)</f>
        <v/>
      </c>
      <c r="C482" s="74">
        <f>B482/B481-1</f>
        <v/>
      </c>
      <c r="D482" s="74">
        <f>(Table110[[#This Row],[Index]]-B470)/B470</f>
        <v/>
      </c>
    </row>
    <row r="483">
      <c r="A483" s="19" t="n">
        <v>40787</v>
      </c>
      <c r="B483" s="61">
        <f>VLOOKUP(Table110[[#This Row],[Date]],database!A:H,3,)</f>
        <v/>
      </c>
      <c r="C483" s="74">
        <f>B483/B482-1</f>
        <v/>
      </c>
      <c r="D483" s="74">
        <f>(Table110[[#This Row],[Index]]-B471)/B471</f>
        <v/>
      </c>
    </row>
    <row r="484">
      <c r="A484" s="19" t="n">
        <v>40817</v>
      </c>
      <c r="B484" s="61">
        <f>VLOOKUP(Table110[[#This Row],[Date]],database!A:H,3,)</f>
        <v/>
      </c>
      <c r="C484" s="74">
        <f>B484/B483-1</f>
        <v/>
      </c>
      <c r="D484" s="74">
        <f>(Table110[[#This Row],[Index]]-B472)/B472</f>
        <v/>
      </c>
    </row>
    <row r="485">
      <c r="A485" s="19" t="n">
        <v>40848</v>
      </c>
      <c r="B485" s="61">
        <f>VLOOKUP(Table110[[#This Row],[Date]],database!A:H,3,)</f>
        <v/>
      </c>
      <c r="C485" s="74">
        <f>B485/B484-1</f>
        <v/>
      </c>
      <c r="D485" s="74">
        <f>(Table110[[#This Row],[Index]]-B473)/B473</f>
        <v/>
      </c>
    </row>
    <row r="486">
      <c r="A486" s="19" t="n">
        <v>40878</v>
      </c>
      <c r="B486" s="61">
        <f>VLOOKUP(Table110[[#This Row],[Date]],database!A:H,3,)</f>
        <v/>
      </c>
      <c r="C486" s="74">
        <f>B486/B485-1</f>
        <v/>
      </c>
      <c r="D486" s="74">
        <f>(Table110[[#This Row],[Index]]-B474)/B474</f>
        <v/>
      </c>
    </row>
    <row r="487">
      <c r="A487" s="19" t="n">
        <v>40909</v>
      </c>
      <c r="B487" s="61">
        <f>VLOOKUP(Table110[[#This Row],[Date]],database!A:H,3,)</f>
        <v/>
      </c>
      <c r="C487" s="74">
        <f>B487/B486-1</f>
        <v/>
      </c>
      <c r="D487" s="74">
        <f>(Table110[[#This Row],[Index]]-B475)/B475</f>
        <v/>
      </c>
    </row>
    <row r="488">
      <c r="A488" s="19" t="n">
        <v>40940</v>
      </c>
      <c r="B488" s="61">
        <f>VLOOKUP(Table110[[#This Row],[Date]],database!A:H,3,)</f>
        <v/>
      </c>
      <c r="C488" s="74">
        <f>B488/B487-1</f>
        <v/>
      </c>
      <c r="D488" s="74">
        <f>(Table110[[#This Row],[Index]]-B476)/B476</f>
        <v/>
      </c>
    </row>
    <row r="489">
      <c r="A489" s="19" t="n">
        <v>40969</v>
      </c>
      <c r="B489" s="61">
        <f>VLOOKUP(Table110[[#This Row],[Date]],database!A:H,3,)</f>
        <v/>
      </c>
      <c r="C489" s="74">
        <f>B489/B488-1</f>
        <v/>
      </c>
      <c r="D489" s="74">
        <f>(Table110[[#This Row],[Index]]-B477)/B477</f>
        <v/>
      </c>
    </row>
    <row r="490">
      <c r="A490" s="19" t="n">
        <v>41000</v>
      </c>
      <c r="B490" s="61">
        <f>VLOOKUP(Table110[[#This Row],[Date]],database!A:H,3,)</f>
        <v/>
      </c>
      <c r="C490" s="74">
        <f>B490/B489-1</f>
        <v/>
      </c>
      <c r="D490" s="74">
        <f>(Table110[[#This Row],[Index]]-B478)/B478</f>
        <v/>
      </c>
    </row>
    <row r="491">
      <c r="A491" s="19" t="n">
        <v>41030</v>
      </c>
      <c r="B491" s="61">
        <f>VLOOKUP(Table110[[#This Row],[Date]],database!A:H,3,)</f>
        <v/>
      </c>
      <c r="C491" s="74">
        <f>B491/B490-1</f>
        <v/>
      </c>
      <c r="D491" s="74">
        <f>(Table110[[#This Row],[Index]]-B479)/B479</f>
        <v/>
      </c>
    </row>
    <row r="492">
      <c r="A492" s="19" t="n">
        <v>41061</v>
      </c>
      <c r="B492" s="61">
        <f>VLOOKUP(Table110[[#This Row],[Date]],database!A:H,3,)</f>
        <v/>
      </c>
      <c r="C492" s="74">
        <f>B492/B491-1</f>
        <v/>
      </c>
      <c r="D492" s="74">
        <f>(Table110[[#This Row],[Index]]-B480)/B480</f>
        <v/>
      </c>
    </row>
    <row r="493">
      <c r="A493" s="19" t="n">
        <v>41091</v>
      </c>
      <c r="B493" s="61">
        <f>VLOOKUP(Table110[[#This Row],[Date]],database!A:H,3,)</f>
        <v/>
      </c>
      <c r="C493" s="74">
        <f>B493/B492-1</f>
        <v/>
      </c>
      <c r="D493" s="74">
        <f>(Table110[[#This Row],[Index]]-B481)/B481</f>
        <v/>
      </c>
    </row>
    <row r="494">
      <c r="A494" s="19" t="n">
        <v>41122</v>
      </c>
      <c r="B494" s="61">
        <f>VLOOKUP(Table110[[#This Row],[Date]],database!A:H,3,)</f>
        <v/>
      </c>
      <c r="C494" s="74">
        <f>B494/B493-1</f>
        <v/>
      </c>
      <c r="D494" s="74">
        <f>(Table110[[#This Row],[Index]]-B482)/B482</f>
        <v/>
      </c>
    </row>
    <row r="495">
      <c r="A495" s="19" t="n">
        <v>41153</v>
      </c>
      <c r="B495" s="61">
        <f>VLOOKUP(Table110[[#This Row],[Date]],database!A:H,3,)</f>
        <v/>
      </c>
      <c r="C495" s="74">
        <f>B495/B494-1</f>
        <v/>
      </c>
      <c r="D495" s="74">
        <f>(Table110[[#This Row],[Index]]-B483)/B483</f>
        <v/>
      </c>
    </row>
    <row r="496">
      <c r="A496" s="19" t="n">
        <v>41183</v>
      </c>
      <c r="B496" s="61">
        <f>VLOOKUP(Table110[[#This Row],[Date]],database!A:H,3,)</f>
        <v/>
      </c>
      <c r="C496" s="74">
        <f>B496/B495-1</f>
        <v/>
      </c>
      <c r="D496" s="74">
        <f>(Table110[[#This Row],[Index]]-B484)/B484</f>
        <v/>
      </c>
    </row>
    <row r="497">
      <c r="A497" s="19" t="n">
        <v>41214</v>
      </c>
      <c r="B497" s="61">
        <f>VLOOKUP(Table110[[#This Row],[Date]],database!A:H,3,)</f>
        <v/>
      </c>
      <c r="C497" s="74">
        <f>B497/B496-1</f>
        <v/>
      </c>
      <c r="D497" s="74">
        <f>(Table110[[#This Row],[Index]]-B485)/B485</f>
        <v/>
      </c>
    </row>
    <row r="498">
      <c r="A498" s="19" t="n">
        <v>41244</v>
      </c>
      <c r="B498" s="61">
        <f>VLOOKUP(Table110[[#This Row],[Date]],database!A:H,3,)</f>
        <v/>
      </c>
      <c r="C498" s="74">
        <f>B498/B497-1</f>
        <v/>
      </c>
      <c r="D498" s="74">
        <f>(Table110[[#This Row],[Index]]-B486)/B486</f>
        <v/>
      </c>
    </row>
    <row r="499">
      <c r="A499" s="19" t="n">
        <v>41275</v>
      </c>
      <c r="B499" s="61">
        <f>VLOOKUP(Table110[[#This Row],[Date]],database!A:H,3,)</f>
        <v/>
      </c>
      <c r="C499" s="74">
        <f>B499/B498-1</f>
        <v/>
      </c>
      <c r="D499" s="74">
        <f>(Table110[[#This Row],[Index]]-B487)/B487</f>
        <v/>
      </c>
    </row>
    <row r="500">
      <c r="A500" s="19" t="n">
        <v>41306</v>
      </c>
      <c r="B500" s="61">
        <f>VLOOKUP(Table110[[#This Row],[Date]],database!A:H,3,)</f>
        <v/>
      </c>
      <c r="C500" s="74">
        <f>B500/B499-1</f>
        <v/>
      </c>
      <c r="D500" s="74">
        <f>(Table110[[#This Row],[Index]]-B488)/B488</f>
        <v/>
      </c>
    </row>
    <row r="501">
      <c r="A501" s="19" t="n">
        <v>41334</v>
      </c>
      <c r="B501" s="61">
        <f>VLOOKUP(Table110[[#This Row],[Date]],database!A:H,3,)</f>
        <v/>
      </c>
      <c r="C501" s="74">
        <f>B501/B500-1</f>
        <v/>
      </c>
      <c r="D501" s="74">
        <f>(Table110[[#This Row],[Index]]-B489)/B489</f>
        <v/>
      </c>
    </row>
    <row r="502">
      <c r="A502" s="19" t="n">
        <v>41365</v>
      </c>
      <c r="B502" s="61">
        <f>VLOOKUP(Table110[[#This Row],[Date]],database!A:H,3,)</f>
        <v/>
      </c>
      <c r="C502" s="74">
        <f>B502/B501-1</f>
        <v/>
      </c>
      <c r="D502" s="74">
        <f>(Table110[[#This Row],[Index]]-B490)/B490</f>
        <v/>
      </c>
    </row>
    <row r="503">
      <c r="A503" s="19" t="n">
        <v>41395</v>
      </c>
      <c r="B503" s="61">
        <f>VLOOKUP(Table110[[#This Row],[Date]],database!A:H,3,)</f>
        <v/>
      </c>
      <c r="C503" s="74">
        <f>B503/B502-1</f>
        <v/>
      </c>
      <c r="D503" s="74">
        <f>(Table110[[#This Row],[Index]]-B491)/B491</f>
        <v/>
      </c>
    </row>
    <row r="504">
      <c r="A504" s="19" t="n">
        <v>41426</v>
      </c>
      <c r="B504" s="61">
        <f>VLOOKUP(Table110[[#This Row],[Date]],database!A:H,3,)</f>
        <v/>
      </c>
      <c r="C504" s="74">
        <f>B504/B503-1</f>
        <v/>
      </c>
      <c r="D504" s="74">
        <f>(Table110[[#This Row],[Index]]-B492)/B492</f>
        <v/>
      </c>
    </row>
    <row r="505">
      <c r="A505" s="19" t="n">
        <v>41456</v>
      </c>
      <c r="B505" s="61">
        <f>VLOOKUP(Table110[[#This Row],[Date]],database!A:H,3,)</f>
        <v/>
      </c>
      <c r="C505" s="74">
        <f>B505/B504-1</f>
        <v/>
      </c>
      <c r="D505" s="74">
        <f>(Table110[[#This Row],[Index]]-B493)/B493</f>
        <v/>
      </c>
    </row>
    <row r="506">
      <c r="A506" s="19" t="n">
        <v>41487</v>
      </c>
      <c r="B506" s="61">
        <f>VLOOKUP(Table110[[#This Row],[Date]],database!A:H,3,)</f>
        <v/>
      </c>
      <c r="C506" s="74">
        <f>B506/B505-1</f>
        <v/>
      </c>
      <c r="D506" s="74">
        <f>(Table110[[#This Row],[Index]]-B494)/B494</f>
        <v/>
      </c>
    </row>
    <row r="507">
      <c r="A507" s="19" t="n">
        <v>41518</v>
      </c>
      <c r="B507" s="61">
        <f>VLOOKUP(Table110[[#This Row],[Date]],database!A:H,3,)</f>
        <v/>
      </c>
      <c r="C507" s="74">
        <f>B507/B506-1</f>
        <v/>
      </c>
      <c r="D507" s="74">
        <f>(Table110[[#This Row],[Index]]-B495)/B495</f>
        <v/>
      </c>
    </row>
    <row r="508">
      <c r="A508" s="19" t="n">
        <v>41548</v>
      </c>
      <c r="B508" s="61">
        <f>VLOOKUP(Table110[[#This Row],[Date]],database!A:H,3,)</f>
        <v/>
      </c>
      <c r="C508" s="74">
        <f>B508/B507-1</f>
        <v/>
      </c>
      <c r="D508" s="74">
        <f>(Table110[[#This Row],[Index]]-B496)/B496</f>
        <v/>
      </c>
    </row>
    <row r="509">
      <c r="A509" s="19" t="n">
        <v>41579</v>
      </c>
      <c r="B509" s="61">
        <f>VLOOKUP(Table110[[#This Row],[Date]],database!A:H,3,)</f>
        <v/>
      </c>
      <c r="C509" s="74">
        <f>B509/B508-1</f>
        <v/>
      </c>
      <c r="D509" s="74">
        <f>(Table110[[#This Row],[Index]]-B497)/B497</f>
        <v/>
      </c>
    </row>
    <row r="510">
      <c r="A510" s="19" t="n">
        <v>41609</v>
      </c>
      <c r="B510" s="61">
        <f>VLOOKUP(Table110[[#This Row],[Date]],database!A:H,3,)</f>
        <v/>
      </c>
      <c r="C510" s="74">
        <f>B510/B509-1</f>
        <v/>
      </c>
      <c r="D510" s="74">
        <f>(Table110[[#This Row],[Index]]-B498)/B498</f>
        <v/>
      </c>
    </row>
    <row r="511">
      <c r="A511" s="19" t="n">
        <v>41640</v>
      </c>
      <c r="B511" s="61">
        <f>VLOOKUP(Table110[[#This Row],[Date]],database!A:H,3,)</f>
        <v/>
      </c>
      <c r="C511" s="74">
        <f>B511/B510-1</f>
        <v/>
      </c>
      <c r="D511" s="74">
        <f>(Table110[[#This Row],[Index]]-B499)/B499</f>
        <v/>
      </c>
    </row>
    <row r="512">
      <c r="A512" s="19" t="n">
        <v>41671</v>
      </c>
      <c r="B512" s="61">
        <f>VLOOKUP(Table110[[#This Row],[Date]],database!A:H,3,)</f>
        <v/>
      </c>
      <c r="C512" s="74">
        <f>B512/B511-1</f>
        <v/>
      </c>
      <c r="D512" s="74">
        <f>(Table110[[#This Row],[Index]]-B500)/B500</f>
        <v/>
      </c>
    </row>
    <row r="513">
      <c r="A513" s="19" t="n">
        <v>41699</v>
      </c>
      <c r="B513" s="61">
        <f>VLOOKUP(Table110[[#This Row],[Date]],database!A:H,3,)</f>
        <v/>
      </c>
      <c r="C513" s="74">
        <f>B513/B512-1</f>
        <v/>
      </c>
      <c r="D513" s="74">
        <f>(Table110[[#This Row],[Index]]-B501)/B501</f>
        <v/>
      </c>
    </row>
    <row r="514">
      <c r="A514" s="19" t="n">
        <v>41730</v>
      </c>
      <c r="B514" s="61">
        <f>VLOOKUP(Table110[[#This Row],[Date]],database!A:H,3,)</f>
        <v/>
      </c>
      <c r="C514" s="74">
        <f>B514/B513-1</f>
        <v/>
      </c>
      <c r="D514" s="74">
        <f>(Table110[[#This Row],[Index]]-B502)/B502</f>
        <v/>
      </c>
    </row>
    <row r="515">
      <c r="A515" s="19" t="n">
        <v>41760</v>
      </c>
      <c r="B515" s="61">
        <f>VLOOKUP(Table110[[#This Row],[Date]],database!A:H,3,)</f>
        <v/>
      </c>
      <c r="C515" s="74">
        <f>B515/B514-1</f>
        <v/>
      </c>
      <c r="D515" s="74">
        <f>(Table110[[#This Row],[Index]]-B503)/B503</f>
        <v/>
      </c>
    </row>
    <row r="516">
      <c r="A516" s="19" t="n">
        <v>41791</v>
      </c>
      <c r="B516" s="61">
        <f>VLOOKUP(Table110[[#This Row],[Date]],database!A:H,3,)</f>
        <v/>
      </c>
      <c r="C516" s="74">
        <f>B516/B515-1</f>
        <v/>
      </c>
      <c r="D516" s="74">
        <f>(Table110[[#This Row],[Index]]-B504)/B504</f>
        <v/>
      </c>
    </row>
    <row r="517">
      <c r="A517" s="19" t="n">
        <v>41821</v>
      </c>
      <c r="B517" s="61">
        <f>VLOOKUP(Table110[[#This Row],[Date]],database!A:H,3,)</f>
        <v/>
      </c>
      <c r="C517" s="74">
        <f>B517/B516-1</f>
        <v/>
      </c>
      <c r="D517" s="74">
        <f>(Table110[[#This Row],[Index]]-B505)/B505</f>
        <v/>
      </c>
    </row>
    <row r="518">
      <c r="A518" s="19" t="n">
        <v>41852</v>
      </c>
      <c r="B518" s="61">
        <f>VLOOKUP(Table110[[#This Row],[Date]],database!A:H,3,)</f>
        <v/>
      </c>
      <c r="C518" s="74">
        <f>B518/B517-1</f>
        <v/>
      </c>
      <c r="D518" s="74">
        <f>(Table110[[#This Row],[Index]]-B506)/B506</f>
        <v/>
      </c>
    </row>
    <row r="519">
      <c r="A519" s="19" t="n">
        <v>41883</v>
      </c>
      <c r="B519" s="61">
        <f>VLOOKUP(Table110[[#This Row],[Date]],database!A:H,3,)</f>
        <v/>
      </c>
      <c r="C519" s="74">
        <f>B519/B518-1</f>
        <v/>
      </c>
      <c r="D519" s="74">
        <f>(Table110[[#This Row],[Index]]-B507)/B507</f>
        <v/>
      </c>
    </row>
    <row r="520">
      <c r="A520" s="19" t="n">
        <v>41913</v>
      </c>
      <c r="B520" s="61">
        <f>VLOOKUP(Table110[[#This Row],[Date]],database!A:H,3,)</f>
        <v/>
      </c>
      <c r="C520" s="74">
        <f>B520/B519-1</f>
        <v/>
      </c>
      <c r="D520" s="74">
        <f>(Table110[[#This Row],[Index]]-B508)/B508</f>
        <v/>
      </c>
    </row>
    <row r="521">
      <c r="A521" s="19" t="n">
        <v>41944</v>
      </c>
      <c r="B521" s="61">
        <f>VLOOKUP(Table110[[#This Row],[Date]],database!A:H,3,)</f>
        <v/>
      </c>
      <c r="C521" s="75">
        <f>B521/B520-1</f>
        <v/>
      </c>
      <c r="D521" s="74">
        <f>(Table110[[#This Row],[Index]]-B509)/B509</f>
        <v/>
      </c>
    </row>
    <row r="522">
      <c r="A522" s="19" t="n">
        <v>41974</v>
      </c>
      <c r="B522" s="61">
        <f>VLOOKUP(Table110[[#This Row],[Date]],database!A:H,3,)</f>
        <v/>
      </c>
      <c r="C522" s="74">
        <f>B522/B521-1</f>
        <v/>
      </c>
      <c r="D522" s="74">
        <f>(Table110[[#This Row],[Index]]-B510)/B510</f>
        <v/>
      </c>
    </row>
    <row r="523">
      <c r="A523" s="19" t="n">
        <v>42005</v>
      </c>
      <c r="B523" s="61">
        <f>VLOOKUP(Table110[[#This Row],[Date]],database!A:H,3,)</f>
        <v/>
      </c>
      <c r="C523" s="75">
        <f>B523/B522-1</f>
        <v/>
      </c>
      <c r="D523" s="74">
        <f>(Table110[[#This Row],[Index]]-B511)/B511</f>
        <v/>
      </c>
    </row>
    <row r="524">
      <c r="A524" s="19" t="n">
        <v>42036</v>
      </c>
      <c r="B524" s="61">
        <f>VLOOKUP(Table110[[#This Row],[Date]],database!A:H,3,)</f>
        <v/>
      </c>
      <c r="C524" s="74">
        <f>B524/B523-1</f>
        <v/>
      </c>
      <c r="D524" s="74">
        <f>(Table110[[#This Row],[Index]]-B512)/B512</f>
        <v/>
      </c>
    </row>
    <row r="525">
      <c r="A525" s="19" t="n">
        <v>42064</v>
      </c>
      <c r="B525" s="61">
        <f>VLOOKUP(Table110[[#This Row],[Date]],database!A:H,3,)</f>
        <v/>
      </c>
      <c r="C525" s="75">
        <f>B525/B524-1</f>
        <v/>
      </c>
      <c r="D525" s="74">
        <f>(Table110[[#This Row],[Index]]-B513)/B513</f>
        <v/>
      </c>
    </row>
    <row r="526">
      <c r="A526" s="19" t="n">
        <v>42095</v>
      </c>
      <c r="B526" s="61">
        <f>VLOOKUP(Table110[[#This Row],[Date]],database!A:H,3,)</f>
        <v/>
      </c>
      <c r="C526" s="74">
        <f>B526/B525-1</f>
        <v/>
      </c>
      <c r="D526" s="74">
        <f>(Table110[[#This Row],[Index]]-B514)/B514</f>
        <v/>
      </c>
    </row>
    <row r="527">
      <c r="A527" s="19" t="n">
        <v>42125</v>
      </c>
      <c r="B527" s="61">
        <f>VLOOKUP(Table110[[#This Row],[Date]],database!A:H,3,)</f>
        <v/>
      </c>
      <c r="C527" s="74">
        <f>B527/B526-1</f>
        <v/>
      </c>
      <c r="D527" s="74">
        <f>(Table110[[#This Row],[Index]]-B515)/B515</f>
        <v/>
      </c>
    </row>
    <row r="528">
      <c r="A528" s="19" t="n">
        <v>42156</v>
      </c>
      <c r="B528" s="61">
        <f>VLOOKUP(Table110[[#This Row],[Date]],database!A:H,3,)</f>
        <v/>
      </c>
      <c r="C528" s="74">
        <f>B528/B527-1</f>
        <v/>
      </c>
      <c r="D528" s="74">
        <f>(Table110[[#This Row],[Index]]-B516)/B516</f>
        <v/>
      </c>
    </row>
    <row r="529">
      <c r="A529" s="19" t="n">
        <v>42186</v>
      </c>
      <c r="B529" s="61">
        <f>VLOOKUP(Table110[[#This Row],[Date]],database!A:H,3,)</f>
        <v/>
      </c>
      <c r="C529" s="74">
        <f>B529/B528-1</f>
        <v/>
      </c>
      <c r="D529" s="74">
        <f>(Table110[[#This Row],[Index]]-B517)/B517</f>
        <v/>
      </c>
    </row>
    <row r="530">
      <c r="A530" s="19" t="n">
        <v>42217</v>
      </c>
      <c r="B530" s="61">
        <f>VLOOKUP(Table110[[#This Row],[Date]],database!A:H,3,)</f>
        <v/>
      </c>
      <c r="C530" s="74">
        <f>B530/B529-1</f>
        <v/>
      </c>
      <c r="D530" s="74">
        <f>(Table110[[#This Row],[Index]]-B518)/B518</f>
        <v/>
      </c>
    </row>
    <row r="531">
      <c r="A531" s="19" t="n">
        <v>42248</v>
      </c>
      <c r="B531" s="61">
        <f>VLOOKUP(Table110[[#This Row],[Date]],database!A:H,3,)</f>
        <v/>
      </c>
      <c r="C531" s="74">
        <f>B531/B530-1</f>
        <v/>
      </c>
      <c r="D531" s="74">
        <f>(Table110[[#This Row],[Index]]-B519)/B519</f>
        <v/>
      </c>
    </row>
    <row r="532">
      <c r="A532" s="19" t="n">
        <v>42278</v>
      </c>
      <c r="B532" s="61">
        <f>VLOOKUP(Table110[[#This Row],[Date]],database!A:H,3,)</f>
        <v/>
      </c>
      <c r="C532" s="74">
        <f>B532/B531-1</f>
        <v/>
      </c>
      <c r="D532" s="74">
        <f>(Table110[[#This Row],[Index]]-B520)/B520</f>
        <v/>
      </c>
    </row>
    <row r="533">
      <c r="A533" s="19" t="n">
        <v>42309</v>
      </c>
      <c r="B533" s="61">
        <f>VLOOKUP(Table110[[#This Row],[Date]],database!A:H,3,)</f>
        <v/>
      </c>
      <c r="C533" s="74">
        <f>B533/B532-1</f>
        <v/>
      </c>
      <c r="D533" s="74">
        <f>(Table110[[#This Row],[Index]]-B521)/B521</f>
        <v/>
      </c>
    </row>
    <row r="534">
      <c r="A534" s="19" t="n">
        <v>42339</v>
      </c>
      <c r="B534" s="61">
        <f>VLOOKUP(Table110[[#This Row],[Date]],database!A:H,3,)</f>
        <v/>
      </c>
      <c r="C534" s="74">
        <f>B534/B533-1</f>
        <v/>
      </c>
      <c r="D534" s="74">
        <f>(Table110[[#This Row],[Index]]-B522)/B522</f>
        <v/>
      </c>
    </row>
    <row r="535">
      <c r="A535" s="19" t="n">
        <v>42370</v>
      </c>
      <c r="B535" s="61">
        <f>VLOOKUP(Table110[[#This Row],[Date]],database!A:H,3,)</f>
        <v/>
      </c>
      <c r="C535" s="74">
        <f>B535/B534-1</f>
        <v/>
      </c>
      <c r="D535" s="74">
        <f>(Table110[[#This Row],[Index]]-B523)/B523</f>
        <v/>
      </c>
    </row>
    <row r="536">
      <c r="A536" s="19" t="n">
        <v>42401</v>
      </c>
      <c r="B536" s="61">
        <f>VLOOKUP(Table110[[#This Row],[Date]],database!A:H,3,)</f>
        <v/>
      </c>
      <c r="C536" s="74">
        <f>B536/B535-1</f>
        <v/>
      </c>
      <c r="D536" s="74">
        <f>(Table110[[#This Row],[Index]]-B524)/B524</f>
        <v/>
      </c>
    </row>
    <row r="537">
      <c r="A537" s="19" t="n">
        <v>42430</v>
      </c>
      <c r="B537" s="61">
        <f>VLOOKUP(Table110[[#This Row],[Date]],database!A:H,3,)</f>
        <v/>
      </c>
      <c r="C537" s="74">
        <f>B537/B536-1</f>
        <v/>
      </c>
      <c r="D537" s="74">
        <f>(Table110[[#This Row],[Index]]-B525)/B525</f>
        <v/>
      </c>
    </row>
    <row r="538">
      <c r="A538" s="19" t="n">
        <v>42461</v>
      </c>
      <c r="B538" s="61">
        <f>VLOOKUP(Table110[[#This Row],[Date]],database!A:H,3,)</f>
        <v/>
      </c>
      <c r="C538" s="74">
        <f>B538/B537-1</f>
        <v/>
      </c>
      <c r="D538" s="74">
        <f>(Table110[[#This Row],[Index]]-B526)/B526</f>
        <v/>
      </c>
    </row>
    <row r="539">
      <c r="A539" s="19" t="n">
        <v>42491</v>
      </c>
      <c r="B539" s="61">
        <f>VLOOKUP(Table110[[#This Row],[Date]],database!A:H,3,)</f>
        <v/>
      </c>
      <c r="C539" s="74">
        <f>B539/B538-1</f>
        <v/>
      </c>
      <c r="D539" s="74">
        <f>(Table110[[#This Row],[Index]]-B527)/B527</f>
        <v/>
      </c>
    </row>
    <row r="540">
      <c r="A540" s="19" t="n">
        <v>42522</v>
      </c>
      <c r="B540" s="61">
        <f>VLOOKUP(Table110[[#This Row],[Date]],database!A:H,3,)</f>
        <v/>
      </c>
      <c r="C540" s="74">
        <f>B540/B539-1</f>
        <v/>
      </c>
      <c r="D540" s="74">
        <f>(Table110[[#This Row],[Index]]-B528)/B528</f>
        <v/>
      </c>
    </row>
    <row r="541">
      <c r="A541" s="19" t="n">
        <v>42552</v>
      </c>
      <c r="B541" s="61">
        <f>VLOOKUP(Table110[[#This Row],[Date]],database!A:H,3,)</f>
        <v/>
      </c>
      <c r="C541" s="74">
        <f>B541/B540-1</f>
        <v/>
      </c>
      <c r="D541" s="74">
        <f>(Table110[[#This Row],[Index]]-B529)/B529</f>
        <v/>
      </c>
    </row>
    <row r="542">
      <c r="A542" s="19" t="n">
        <v>42583</v>
      </c>
      <c r="B542" s="61">
        <f>VLOOKUP(Table110[[#This Row],[Date]],database!A:H,3,)</f>
        <v/>
      </c>
      <c r="C542" s="74">
        <f>B542/B541-1</f>
        <v/>
      </c>
      <c r="D542" s="74">
        <f>(Table110[[#This Row],[Index]]-B530)/B530</f>
        <v/>
      </c>
    </row>
    <row r="543">
      <c r="A543" s="19" t="n">
        <v>42614</v>
      </c>
      <c r="B543" s="61">
        <f>VLOOKUP(Table110[[#This Row],[Date]],database!A:H,3,)</f>
        <v/>
      </c>
      <c r="C543" s="74">
        <f>B543/B542-1</f>
        <v/>
      </c>
      <c r="D543" s="74">
        <f>(Table110[[#This Row],[Index]]-B531)/B531</f>
        <v/>
      </c>
    </row>
    <row r="544">
      <c r="A544" s="19" t="n">
        <v>42644</v>
      </c>
      <c r="B544" s="61">
        <f>VLOOKUP(Table110[[#This Row],[Date]],database!A:H,3,)</f>
        <v/>
      </c>
      <c r="C544" s="74">
        <f>B544/B543-1</f>
        <v/>
      </c>
      <c r="D544" s="74">
        <f>(Table110[[#This Row],[Index]]-B532)/B532</f>
        <v/>
      </c>
    </row>
    <row r="545">
      <c r="A545" s="19" t="n">
        <v>42675</v>
      </c>
      <c r="B545" s="61">
        <f>VLOOKUP(Table110[[#This Row],[Date]],database!A:H,3,)</f>
        <v/>
      </c>
      <c r="C545" s="74">
        <f>B545/B544-1</f>
        <v/>
      </c>
      <c r="D545" s="74">
        <f>(Table110[[#This Row],[Index]]-B533)/B533</f>
        <v/>
      </c>
    </row>
    <row r="546">
      <c r="A546" s="19" t="n">
        <v>42705</v>
      </c>
      <c r="B546" s="61">
        <f>VLOOKUP(Table110[[#This Row],[Date]],database!A:H,3,)</f>
        <v/>
      </c>
      <c r="C546" s="74">
        <f>B546/B545-1</f>
        <v/>
      </c>
      <c r="D546" s="74">
        <f>(Table110[[#This Row],[Index]]-B534)/B534</f>
        <v/>
      </c>
    </row>
    <row r="547">
      <c r="A547" s="19" t="n">
        <v>42736</v>
      </c>
      <c r="B547" s="61">
        <f>VLOOKUP(Table110[[#This Row],[Date]],database!A:H,3,)</f>
        <v/>
      </c>
      <c r="C547" s="74">
        <f>B547/B546-1</f>
        <v/>
      </c>
      <c r="D547" s="74">
        <f>(Table110[[#This Row],[Index]]-B535)/B535</f>
        <v/>
      </c>
    </row>
    <row r="548">
      <c r="A548" s="19" t="n">
        <v>42767</v>
      </c>
      <c r="B548" s="61">
        <f>VLOOKUP(Table110[[#This Row],[Date]],database!A:H,3,)</f>
        <v/>
      </c>
      <c r="C548" s="74">
        <f>B548/B547-1</f>
        <v/>
      </c>
      <c r="D548" s="74">
        <f>(Table110[[#This Row],[Index]]-B536)/B536</f>
        <v/>
      </c>
    </row>
    <row r="549">
      <c r="A549" s="19" t="n">
        <v>42795</v>
      </c>
      <c r="B549" s="61">
        <f>VLOOKUP(Table110[[#This Row],[Date]],database!A:H,3,)</f>
        <v/>
      </c>
      <c r="C549" s="74">
        <f>B549/B548-1</f>
        <v/>
      </c>
      <c r="D549" s="74">
        <f>(Table110[[#This Row],[Index]]-B537)/B537</f>
        <v/>
      </c>
    </row>
    <row r="550">
      <c r="A550" s="19" t="n">
        <v>42826</v>
      </c>
      <c r="B550" s="61">
        <f>VLOOKUP(Table110[[#This Row],[Date]],database!A:H,3,)</f>
        <v/>
      </c>
      <c r="C550" s="74">
        <f>B550/B549-1</f>
        <v/>
      </c>
      <c r="D550" s="74">
        <f>(Table110[[#This Row],[Index]]-B538)/B538</f>
        <v/>
      </c>
    </row>
    <row r="551">
      <c r="A551" s="19" t="n">
        <v>42856</v>
      </c>
      <c r="B551" s="61">
        <f>VLOOKUP(Table110[[#This Row],[Date]],database!A:H,3,)</f>
        <v/>
      </c>
      <c r="C551" s="74">
        <f>B551/B550-1</f>
        <v/>
      </c>
      <c r="D551" s="74">
        <f>(Table110[[#This Row],[Index]]-B539)/B539</f>
        <v/>
      </c>
    </row>
    <row r="552">
      <c r="A552" s="19" t="n">
        <v>42887</v>
      </c>
      <c r="B552" s="61">
        <f>VLOOKUP(Table110[[#This Row],[Date]],database!A:H,3,)</f>
        <v/>
      </c>
      <c r="C552" s="74">
        <f>B552/B551-1</f>
        <v/>
      </c>
      <c r="D552" s="74">
        <f>(Table110[[#This Row],[Index]]-B540)/B540</f>
        <v/>
      </c>
    </row>
    <row r="553">
      <c r="A553" s="19" t="n">
        <v>42917</v>
      </c>
      <c r="B553" s="61">
        <f>VLOOKUP(Table110[[#This Row],[Date]],database!A:H,3,)</f>
        <v/>
      </c>
      <c r="C553" s="74">
        <f>B553/B552-1</f>
        <v/>
      </c>
      <c r="D553" s="74">
        <f>(Table110[[#This Row],[Index]]-B541)/B541</f>
        <v/>
      </c>
    </row>
    <row r="554">
      <c r="A554" s="19" t="n">
        <v>42948</v>
      </c>
      <c r="B554" s="61">
        <f>VLOOKUP(Table110[[#This Row],[Date]],database!A:H,3,)</f>
        <v/>
      </c>
      <c r="C554" s="74">
        <f>B554/B553-1</f>
        <v/>
      </c>
      <c r="D554" s="74">
        <f>(Table110[[#This Row],[Index]]-B542)/B542</f>
        <v/>
      </c>
    </row>
    <row r="555">
      <c r="A555" s="19" t="n">
        <v>42979</v>
      </c>
      <c r="B555" s="61">
        <f>VLOOKUP(Table110[[#This Row],[Date]],database!A:H,3,)</f>
        <v/>
      </c>
      <c r="C555" s="74">
        <f>B555/B554-1</f>
        <v/>
      </c>
      <c r="D555" s="74">
        <f>(Table110[[#This Row],[Index]]-B543)/B543</f>
        <v/>
      </c>
    </row>
    <row r="556">
      <c r="A556" s="19" t="n">
        <v>43009</v>
      </c>
      <c r="B556" s="61">
        <f>VLOOKUP(Table110[[#This Row],[Date]],database!A:H,3,)</f>
        <v/>
      </c>
      <c r="C556" s="74">
        <f>B556/B555-1</f>
        <v/>
      </c>
      <c r="D556" s="74">
        <f>(Table110[[#This Row],[Index]]-B544)/B544</f>
        <v/>
      </c>
    </row>
    <row r="557">
      <c r="A557" s="19" t="n">
        <v>43040</v>
      </c>
      <c r="B557" s="61">
        <f>VLOOKUP(Table110[[#This Row],[Date]],database!A:H,3,)</f>
        <v/>
      </c>
      <c r="C557" s="74">
        <f>B557/B556-1</f>
        <v/>
      </c>
      <c r="D557" s="74">
        <f>(Table110[[#This Row],[Index]]-B545)/B545</f>
        <v/>
      </c>
    </row>
    <row r="558">
      <c r="A558" s="19" t="n">
        <v>43070</v>
      </c>
      <c r="B558" s="61">
        <f>VLOOKUP(Table110[[#This Row],[Date]],database!A:H,3,)</f>
        <v/>
      </c>
      <c r="C558" s="74">
        <f>B558/B557-1</f>
        <v/>
      </c>
      <c r="D558" s="74">
        <f>(Table110[[#This Row],[Index]]-B546)/B546</f>
        <v/>
      </c>
    </row>
    <row r="559">
      <c r="A559" s="19" t="n">
        <v>43101</v>
      </c>
      <c r="B559" s="61">
        <f>VLOOKUP(Table110[[#This Row],[Date]],database!A:H,3,)</f>
        <v/>
      </c>
      <c r="C559" s="74">
        <f>B559/B558-1</f>
        <v/>
      </c>
      <c r="D559" s="74">
        <f>(Table110[[#This Row],[Index]]-B547)/B547</f>
        <v/>
      </c>
    </row>
    <row r="560">
      <c r="A560" s="19" t="n">
        <v>43132</v>
      </c>
      <c r="B560" s="61">
        <f>VLOOKUP(Table110[[#This Row],[Date]],database!A:H,3,)</f>
        <v/>
      </c>
      <c r="C560" s="74">
        <f>B560/B559-1</f>
        <v/>
      </c>
      <c r="D560" s="74">
        <f>(Table110[[#This Row],[Index]]-B548)/B548</f>
        <v/>
      </c>
    </row>
    <row r="561">
      <c r="A561" s="19" t="n">
        <v>43160</v>
      </c>
      <c r="B561" s="61">
        <f>VLOOKUP(Table110[[#This Row],[Date]],database!A:H,3,)</f>
        <v/>
      </c>
      <c r="C561" s="74">
        <f>B561/B560-1</f>
        <v/>
      </c>
      <c r="D561" s="74">
        <f>(Table110[[#This Row],[Index]]-B549)/B549</f>
        <v/>
      </c>
    </row>
    <row r="562">
      <c r="A562" s="19" t="n">
        <v>43191</v>
      </c>
      <c r="B562" s="61">
        <f>VLOOKUP(Table110[[#This Row],[Date]],database!A:H,3,)</f>
        <v/>
      </c>
      <c r="C562" s="74">
        <f>B562/B561-1</f>
        <v/>
      </c>
      <c r="D562" s="74">
        <f>(Table110[[#This Row],[Index]]-B550)/B550</f>
        <v/>
      </c>
    </row>
    <row r="563">
      <c r="A563" s="19" t="n">
        <v>43221</v>
      </c>
      <c r="B563" s="61">
        <f>VLOOKUP(Table110[[#This Row],[Date]],database!A:H,3,)</f>
        <v/>
      </c>
      <c r="C563" s="74">
        <f>B563/B562-1</f>
        <v/>
      </c>
      <c r="D563" s="74">
        <f>(Table110[[#This Row],[Index]]-B551)/B551</f>
        <v/>
      </c>
    </row>
    <row r="564">
      <c r="A564" s="19" t="n">
        <v>43252</v>
      </c>
      <c r="B564" s="61">
        <f>VLOOKUP(Table110[[#This Row],[Date]],database!A:H,3,)</f>
        <v/>
      </c>
      <c r="C564" s="74">
        <f>B564/B563-1</f>
        <v/>
      </c>
      <c r="D564" s="74">
        <f>(Table110[[#This Row],[Index]]-B552)/B552</f>
        <v/>
      </c>
    </row>
    <row r="565">
      <c r="A565" s="19" t="n">
        <v>43282</v>
      </c>
      <c r="B565" s="61">
        <f>VLOOKUP(Table110[[#This Row],[Date]],database!A:H,3,)</f>
        <v/>
      </c>
      <c r="C565" s="74">
        <f>B565/B564-1</f>
        <v/>
      </c>
      <c r="D565" s="74">
        <f>(Table110[[#This Row],[Index]]-B553)/B553</f>
        <v/>
      </c>
    </row>
    <row r="566">
      <c r="A566" s="19" t="n">
        <v>43313</v>
      </c>
      <c r="B566" s="61">
        <f>VLOOKUP(Table110[[#This Row],[Date]],database!A:H,3,)</f>
        <v/>
      </c>
      <c r="C566" s="74">
        <f>B566/B565-1</f>
        <v/>
      </c>
      <c r="D566" s="74">
        <f>(Table110[[#This Row],[Index]]-B554)/B554</f>
        <v/>
      </c>
    </row>
    <row r="567">
      <c r="A567" s="19" t="n">
        <v>43344</v>
      </c>
      <c r="B567" s="61">
        <f>VLOOKUP(Table110[[#This Row],[Date]],database!A:H,3,)</f>
        <v/>
      </c>
      <c r="C567" s="74">
        <f>B567/B566-1</f>
        <v/>
      </c>
      <c r="D567" s="74">
        <f>(Table110[[#This Row],[Index]]-B555)/B555</f>
        <v/>
      </c>
    </row>
    <row r="568">
      <c r="A568" s="19" t="n">
        <v>43374</v>
      </c>
      <c r="B568" s="61">
        <f>VLOOKUP(Table110[[#This Row],[Date]],database!A:H,3,)</f>
        <v/>
      </c>
      <c r="C568" s="74">
        <f>B568/B567-1</f>
        <v/>
      </c>
      <c r="D568" s="74">
        <f>(Table110[[#This Row],[Index]]-B556)/B556</f>
        <v/>
      </c>
    </row>
    <row r="569">
      <c r="A569" s="19" t="n">
        <v>43405</v>
      </c>
      <c r="B569" s="61">
        <f>VLOOKUP(Table110[[#This Row],[Date]],database!A:H,3,)</f>
        <v/>
      </c>
      <c r="C569" s="74">
        <f>B569/B568-1</f>
        <v/>
      </c>
      <c r="D569" s="74">
        <f>(Table110[[#This Row],[Index]]-B557)/B557</f>
        <v/>
      </c>
    </row>
    <row r="570">
      <c r="A570" s="19" t="n">
        <v>43435</v>
      </c>
      <c r="B570" s="61">
        <f>VLOOKUP(Table110[[#This Row],[Date]],database!A:H,3,)</f>
        <v/>
      </c>
      <c r="C570" s="74">
        <f>B570/B569-1</f>
        <v/>
      </c>
      <c r="D570" s="74">
        <f>(Table110[[#This Row],[Index]]-B558)/B558</f>
        <v/>
      </c>
    </row>
    <row r="571">
      <c r="A571" s="19" t="n">
        <v>43466</v>
      </c>
      <c r="B571" s="61">
        <f>VLOOKUP(Table110[[#This Row],[Date]],database!A:H,3,)</f>
        <v/>
      </c>
      <c r="C571" s="74">
        <f>B571/B570-1</f>
        <v/>
      </c>
      <c r="D571" s="74">
        <f>(Table110[[#This Row],[Index]]-B559)/B559</f>
        <v/>
      </c>
    </row>
    <row r="572">
      <c r="A572" s="19" t="n">
        <v>43497</v>
      </c>
      <c r="B572" s="61">
        <f>VLOOKUP(Table110[[#This Row],[Date]],database!A:H,3,)</f>
        <v/>
      </c>
      <c r="C572" s="74">
        <f>B572/B571-1</f>
        <v/>
      </c>
      <c r="D572" s="74">
        <f>(Table110[[#This Row],[Index]]-B560)/B560</f>
        <v/>
      </c>
    </row>
    <row r="573">
      <c r="A573" s="19" t="n">
        <v>43525</v>
      </c>
      <c r="B573" s="61">
        <f>VLOOKUP(Table110[[#This Row],[Date]],database!A:H,3,)</f>
        <v/>
      </c>
      <c r="C573" s="74">
        <f>B573/B572-1</f>
        <v/>
      </c>
      <c r="D573" s="74">
        <f>(Table110[[#This Row],[Index]]-B561)/B561</f>
        <v/>
      </c>
    </row>
    <row r="574">
      <c r="A574" s="19" t="n">
        <v>43556</v>
      </c>
      <c r="B574" s="61">
        <f>VLOOKUP(Table110[[#This Row],[Date]],database!A:H,3,)</f>
        <v/>
      </c>
      <c r="C574" s="74">
        <f>B574/B573-1</f>
        <v/>
      </c>
      <c r="D574" s="74">
        <f>(Table110[[#This Row],[Index]]-B562)/B562</f>
        <v/>
      </c>
    </row>
    <row r="575">
      <c r="A575" s="19" t="n">
        <v>43586</v>
      </c>
      <c r="B575" s="61">
        <f>VLOOKUP(Table110[[#This Row],[Date]],database!A:H,3,)</f>
        <v/>
      </c>
      <c r="C575" s="74">
        <f>B575/B574-1</f>
        <v/>
      </c>
      <c r="D575" s="74">
        <f>(Table110[[#This Row],[Index]]-B563)/B563</f>
        <v/>
      </c>
    </row>
    <row r="576">
      <c r="A576" s="19" t="n">
        <v>43617</v>
      </c>
      <c r="B576" s="61">
        <f>VLOOKUP(Table110[[#This Row],[Date]],database!A:H,3,)</f>
        <v/>
      </c>
      <c r="C576" s="74">
        <f>B576/B575-1</f>
        <v/>
      </c>
      <c r="D576" s="74">
        <f>(Table110[[#This Row],[Index]]-B564)/B564</f>
        <v/>
      </c>
    </row>
    <row r="577">
      <c r="A577" s="19" t="n">
        <v>43647</v>
      </c>
      <c r="B577" s="61">
        <f>VLOOKUP(Table110[[#This Row],[Date]],database!A:H,3,)</f>
        <v/>
      </c>
      <c r="C577" s="74">
        <f>B577/B576-1</f>
        <v/>
      </c>
      <c r="D577" s="74">
        <f>(Table110[[#This Row],[Index]]-B565)/B565</f>
        <v/>
      </c>
    </row>
    <row r="578">
      <c r="A578" s="19" t="n">
        <v>43678</v>
      </c>
      <c r="B578" s="61">
        <f>VLOOKUP(Table110[[#This Row],[Date]],database!A:H,3,)</f>
        <v/>
      </c>
      <c r="C578" s="74">
        <f>B578/B577-1</f>
        <v/>
      </c>
      <c r="D578" s="74">
        <f>(Table110[[#This Row],[Index]]-B566)/B566</f>
        <v/>
      </c>
    </row>
    <row r="579">
      <c r="A579" s="19" t="n">
        <v>43709</v>
      </c>
      <c r="B579" s="61">
        <f>VLOOKUP(Table110[[#This Row],[Date]],database!A:H,3,)</f>
        <v/>
      </c>
      <c r="C579" s="74">
        <f>B579/B578-1</f>
        <v/>
      </c>
      <c r="D579" s="74">
        <f>(Table110[[#This Row],[Index]]-B567)/B567</f>
        <v/>
      </c>
    </row>
    <row r="580">
      <c r="A580" s="19" t="n">
        <v>43739</v>
      </c>
      <c r="B580" s="61">
        <f>VLOOKUP(Table110[[#This Row],[Date]],database!A:H,3,)</f>
        <v/>
      </c>
      <c r="C580" s="74">
        <f>B580/B579-1</f>
        <v/>
      </c>
      <c r="D580" s="74">
        <f>(Table110[[#This Row],[Index]]-B568)/B568</f>
        <v/>
      </c>
    </row>
    <row r="581">
      <c r="A581" s="19" t="n">
        <v>43770</v>
      </c>
      <c r="B581" s="61">
        <f>VLOOKUP(Table110[[#This Row],[Date]],database!A:H,3,)</f>
        <v/>
      </c>
      <c r="C581" s="74">
        <f>B581/B580-1</f>
        <v/>
      </c>
      <c r="D581" s="74">
        <f>(Table110[[#This Row],[Index]]-B569)/B569</f>
        <v/>
      </c>
    </row>
    <row r="582">
      <c r="A582" s="19" t="n">
        <v>43800</v>
      </c>
      <c r="B582" s="61">
        <f>VLOOKUP(Table110[[#This Row],[Date]],database!A:H,3,)</f>
        <v/>
      </c>
      <c r="C582" s="74">
        <f>B582/B581-1</f>
        <v/>
      </c>
      <c r="D582" s="74">
        <f>(Table110[[#This Row],[Index]]-B570)/B570</f>
        <v/>
      </c>
    </row>
    <row r="583">
      <c r="A583" s="19" t="n">
        <v>43831</v>
      </c>
      <c r="B583" s="61">
        <f>VLOOKUP(Table110[[#This Row],[Date]],database!A:H,3,)</f>
        <v/>
      </c>
      <c r="C583" s="74">
        <f>B583/B582-1</f>
        <v/>
      </c>
      <c r="D583" s="74">
        <f>(Table110[[#This Row],[Index]]-B571)/B571</f>
        <v/>
      </c>
    </row>
    <row r="584">
      <c r="A584" s="19" t="n">
        <v>43862</v>
      </c>
      <c r="B584" s="61">
        <f>VLOOKUP(Table110[[#This Row],[Date]],database!A:H,3,)</f>
        <v/>
      </c>
      <c r="C584" s="74">
        <f>B584/B583-1</f>
        <v/>
      </c>
      <c r="D584" s="74">
        <f>(Table110[[#This Row],[Index]]-B572)/B572</f>
        <v/>
      </c>
    </row>
    <row r="585">
      <c r="A585" s="19" t="n">
        <v>43891</v>
      </c>
      <c r="B585" s="61">
        <f>VLOOKUP(Table110[[#This Row],[Date]],database!A:H,3,)</f>
        <v/>
      </c>
      <c r="C585" s="74">
        <f>B585/B584-1</f>
        <v/>
      </c>
      <c r="D585" s="74">
        <f>(Table110[[#This Row],[Index]]-B573)/B573</f>
        <v/>
      </c>
    </row>
    <row r="586">
      <c r="A586" s="19" t="n">
        <v>43922</v>
      </c>
      <c r="B586" s="61">
        <f>VLOOKUP(Table110[[#This Row],[Date]],database!A:H,3,)</f>
        <v/>
      </c>
      <c r="C586" s="74">
        <f>B586/B585-1</f>
        <v/>
      </c>
      <c r="D586" s="74">
        <f>(Table110[[#This Row],[Index]]-B574)/B574</f>
        <v/>
      </c>
    </row>
    <row r="587">
      <c r="A587" s="19" t="n">
        <v>43952</v>
      </c>
      <c r="B587" s="61">
        <f>VLOOKUP(Table110[[#This Row],[Date]],database!A:H,3,)</f>
        <v/>
      </c>
      <c r="C587" s="74">
        <f>B587/B586-1</f>
        <v/>
      </c>
      <c r="D587" s="74">
        <f>(Table110[[#This Row],[Index]]-B575)/B575</f>
        <v/>
      </c>
    </row>
    <row r="588">
      <c r="A588" s="19" t="n">
        <v>43983</v>
      </c>
      <c r="B588" s="61">
        <f>VLOOKUP(Table110[[#This Row],[Date]],database!A:H,3,)</f>
        <v/>
      </c>
      <c r="C588" s="74">
        <f>B588/B587-1</f>
        <v/>
      </c>
      <c r="D588" s="74">
        <f>(Table110[[#This Row],[Index]]-B576)/B576</f>
        <v/>
      </c>
    </row>
    <row r="589">
      <c r="A589" s="19" t="n">
        <v>44013</v>
      </c>
      <c r="B589" s="61">
        <f>VLOOKUP(Table110[[#This Row],[Date]],database!A:H,3,)</f>
        <v/>
      </c>
      <c r="C589" s="74">
        <f>B589/B588-1</f>
        <v/>
      </c>
      <c r="D589" s="74">
        <f>(Table110[[#This Row],[Index]]-B577)/B577</f>
        <v/>
      </c>
    </row>
    <row r="590">
      <c r="A590" s="19" t="n">
        <v>44044</v>
      </c>
      <c r="B590" s="61">
        <f>VLOOKUP(Table110[[#This Row],[Date]],database!A:H,3,)</f>
        <v/>
      </c>
      <c r="C590" s="74">
        <f>B590/B589-1</f>
        <v/>
      </c>
      <c r="D590" s="74">
        <f>(Table110[[#This Row],[Index]]-B578)/B578</f>
        <v/>
      </c>
    </row>
    <row r="591">
      <c r="A591" s="19" t="n">
        <v>44075</v>
      </c>
      <c r="B591" s="61">
        <f>VLOOKUP(Table110[[#This Row],[Date]],database!A:H,3,)</f>
        <v/>
      </c>
      <c r="C591" s="74">
        <f>B591/B590-1</f>
        <v/>
      </c>
      <c r="D591" s="74">
        <f>(Table110[[#This Row],[Index]]-B579)/B579</f>
        <v/>
      </c>
    </row>
    <row r="592">
      <c r="A592" s="19" t="n">
        <v>44105</v>
      </c>
      <c r="B592" s="61">
        <f>VLOOKUP(Table110[[#This Row],[Date]],database!A:H,3,)</f>
        <v/>
      </c>
      <c r="C592" s="74">
        <f>B592/B591-1</f>
        <v/>
      </c>
      <c r="D592" s="74">
        <f>(Table110[[#This Row],[Index]]-B580)/B580</f>
        <v/>
      </c>
    </row>
    <row r="593">
      <c r="A593" s="19" t="n">
        <v>44136</v>
      </c>
      <c r="B593" s="61">
        <f>VLOOKUP(Table110[[#This Row],[Date]],database!A:H,3,)</f>
        <v/>
      </c>
      <c r="C593" s="74">
        <f>B593/B592-1</f>
        <v/>
      </c>
      <c r="D593" s="74">
        <f>(Table110[[#This Row],[Index]]-B581)/B581</f>
        <v/>
      </c>
    </row>
    <row r="594">
      <c r="A594" s="19" t="n">
        <v>44166</v>
      </c>
      <c r="B594" s="61">
        <f>VLOOKUP(Table110[[#This Row],[Date]],database!A:H,3,)</f>
        <v/>
      </c>
      <c r="C594" s="74">
        <f>B594/B593-1</f>
        <v/>
      </c>
      <c r="D594" s="74">
        <f>(Table110[[#This Row],[Index]]-B582)/B582</f>
        <v/>
      </c>
    </row>
    <row r="595">
      <c r="A595" s="19" t="n">
        <v>44197</v>
      </c>
      <c r="B595" s="61">
        <f>VLOOKUP(Table110[[#This Row],[Date]],database!A:H,3,)</f>
        <v/>
      </c>
      <c r="C595" s="74">
        <f>B595/B594-1</f>
        <v/>
      </c>
      <c r="D595" s="74">
        <f>(Table110[[#This Row],[Index]]-B583)/B583</f>
        <v/>
      </c>
    </row>
    <row r="596">
      <c r="A596" s="19" t="n">
        <v>44228</v>
      </c>
      <c r="B596" s="61">
        <f>VLOOKUP(Table110[[#This Row],[Date]],database!A:H,3,)</f>
        <v/>
      </c>
      <c r="C596" s="74">
        <f>B596/B595-1</f>
        <v/>
      </c>
      <c r="D596" s="74">
        <f>(Table110[[#This Row],[Index]]-B584)/B584</f>
        <v/>
      </c>
    </row>
    <row r="597">
      <c r="A597" s="19" t="n">
        <v>44256</v>
      </c>
      <c r="B597" s="61">
        <f>VLOOKUP(Table110[[#This Row],[Date]],database!A:H,3,)</f>
        <v/>
      </c>
      <c r="C597" s="74">
        <f>B597/B596-1</f>
        <v/>
      </c>
      <c r="D597" s="74">
        <f>(Table110[[#This Row],[Index]]-B585)/B585</f>
        <v/>
      </c>
    </row>
    <row r="598">
      <c r="A598" s="19" t="n">
        <v>44287</v>
      </c>
      <c r="B598" s="61">
        <f>VLOOKUP(Table110[[#This Row],[Date]],database!A:H,3,)</f>
        <v/>
      </c>
      <c r="C598" s="74">
        <f>B598/B597-1</f>
        <v/>
      </c>
      <c r="D598" s="74">
        <f>(Table110[[#This Row],[Index]]-B586)/B586</f>
        <v/>
      </c>
    </row>
    <row r="599">
      <c r="A599" s="19" t="n">
        <v>44317</v>
      </c>
      <c r="B599" s="61">
        <f>VLOOKUP(Table110[[#This Row],[Date]],database!A:H,3,)</f>
        <v/>
      </c>
      <c r="C599" s="74">
        <f>B599/B598-1</f>
        <v/>
      </c>
      <c r="D599" s="74">
        <f>(Table110[[#This Row],[Index]]-B587)/B587</f>
        <v/>
      </c>
    </row>
    <row r="600">
      <c r="A600" s="19" t="n">
        <v>44348</v>
      </c>
      <c r="B600" s="61">
        <f>VLOOKUP(Table110[[#This Row],[Date]],database!A:H,3,)</f>
        <v/>
      </c>
      <c r="C600" s="74">
        <f>B600/B599-1</f>
        <v/>
      </c>
      <c r="D600" s="74">
        <f>(Table110[[#This Row],[Index]]-B588)/B588</f>
        <v/>
      </c>
    </row>
    <row r="601">
      <c r="A601" s="19" t="n">
        <v>44378</v>
      </c>
      <c r="B601" s="61">
        <f>VLOOKUP(Table110[[#This Row],[Date]],database!A:H,3,)</f>
        <v/>
      </c>
      <c r="C601" s="74">
        <f>B601/B600-1</f>
        <v/>
      </c>
      <c r="D601" s="74">
        <f>(Table110[[#This Row],[Index]]-B589)/B589</f>
        <v/>
      </c>
    </row>
    <row r="602">
      <c r="A602" s="19" t="n">
        <v>44409</v>
      </c>
      <c r="B602" s="61">
        <f>VLOOKUP(Table110[[#This Row],[Date]],database!A:H,3,)</f>
        <v/>
      </c>
      <c r="C602" s="74">
        <f>B602/B601-1</f>
        <v/>
      </c>
      <c r="D602" s="74">
        <f>(Table110[[#This Row],[Index]]-B590)/B590</f>
        <v/>
      </c>
    </row>
    <row r="603">
      <c r="A603" s="19" t="n">
        <v>44440</v>
      </c>
      <c r="B603" s="61">
        <f>VLOOKUP(Table110[[#This Row],[Date]],database!A:H,3,)</f>
        <v/>
      </c>
      <c r="C603" s="74">
        <f>B603/B602-1</f>
        <v/>
      </c>
      <c r="D603" s="74">
        <f>(Table110[[#This Row],[Index]]-B591)/B591</f>
        <v/>
      </c>
    </row>
    <row r="604">
      <c r="A604" s="19" t="n">
        <v>44470</v>
      </c>
      <c r="B604" s="61">
        <f>VLOOKUP(Table110[[#This Row],[Date]],database!A:H,3,)</f>
        <v/>
      </c>
      <c r="C604" s="74">
        <f>B604/B603-1</f>
        <v/>
      </c>
      <c r="D604" s="74">
        <f>(Table110[[#This Row],[Index]]-B592)/B592</f>
        <v/>
      </c>
    </row>
    <row r="605">
      <c r="A605" s="19" t="n">
        <v>44501</v>
      </c>
      <c r="B605" s="61">
        <f>VLOOKUP(Table110[[#This Row],[Date]],database!A:H,3,)</f>
        <v/>
      </c>
      <c r="C605" s="74">
        <f>B605/B604-1</f>
        <v/>
      </c>
      <c r="D605" s="74">
        <f>(Table110[[#This Row],[Index]]-B593)/B593</f>
        <v/>
      </c>
    </row>
    <row r="606">
      <c r="A606" s="19" t="n">
        <v>44531</v>
      </c>
      <c r="B606" s="61">
        <f>VLOOKUP(Table110[[#This Row],[Date]],database!A:H,3,)</f>
        <v/>
      </c>
      <c r="C606" s="74">
        <f>B606/B605-1</f>
        <v/>
      </c>
      <c r="D606" s="74">
        <f>(Table110[[#This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6"/>
  <sheetViews>
    <sheetView zoomScale="160" zoomScaleNormal="160" workbookViewId="0">
      <pane ySplit="6" topLeftCell="A569" activePane="bottomLeft" state="frozen"/>
      <selection activeCell="J582" sqref="J582"/>
      <selection pane="bottomLeft" activeCell="X590" sqref="X590"/>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IPMAN</t>
        </is>
      </c>
      <c r="B1" s="81" t="n"/>
      <c r="C1" s="81" t="n"/>
      <c r="S1" s="81" t="inlineStr">
        <is>
          <t>Industrial Production: Manufacturing (NAICS)</t>
        </is>
      </c>
      <c r="T1" s="81" t="inlineStr">
        <is>
          <t xml:space="preserve"> since 2000 - </t>
        </is>
      </c>
      <c r="U1" s="81">
        <f>S1&amp;T1</f>
        <v/>
      </c>
      <c r="Y1" s="81">
        <f>U2&amp; T1</f>
        <v/>
      </c>
    </row>
    <row r="2">
      <c r="A2" s="18" t="n"/>
      <c r="B2" s="81" t="n"/>
      <c r="C2" s="81" t="n"/>
      <c r="U2" s="81">
        <f>S1&amp;Table13[[#Headers],[ yoy]]</f>
        <v/>
      </c>
    </row>
    <row r="3">
      <c r="A3" s="18" t="n"/>
      <c r="B3" s="58" t="n"/>
      <c r="C3" s="70" t="n"/>
    </row>
    <row r="4">
      <c r="A4" s="18" t="n"/>
      <c r="B4" s="58" t="n"/>
      <c r="C4" s="70" t="n"/>
    </row>
    <row r="5">
      <c r="A5" s="18" t="n"/>
      <c r="B5" s="58" t="n"/>
      <c r="C5" s="70" t="n"/>
    </row>
    <row r="6">
      <c r="A6" s="21" t="inlineStr">
        <is>
          <t>Date</t>
        </is>
      </c>
      <c r="B6" s="62" t="inlineStr">
        <is>
          <t>Index</t>
        </is>
      </c>
      <c r="C6" s="77" t="inlineStr">
        <is>
          <t>mom</t>
        </is>
      </c>
      <c r="D6" s="78" t="inlineStr">
        <is>
          <t xml:space="preserve"> yoy</t>
        </is>
      </c>
    </row>
    <row r="7">
      <c r="A7" s="19" t="n">
        <v>26299</v>
      </c>
      <c r="B7" s="61">
        <f>VLOOKUP(Table13[[#This Row],[Date]],database!A:F,6,)</f>
        <v/>
      </c>
      <c r="C7" s="74" t="n"/>
      <c r="D7" s="74" t="n"/>
    </row>
    <row r="8">
      <c r="A8" s="19" t="n">
        <v>26330</v>
      </c>
      <c r="B8" s="61">
        <f>VLOOKUP(Table13[[#This Row],[Date]],database!A:F,6,)</f>
        <v/>
      </c>
      <c r="C8" s="74">
        <f>B8/B7-1</f>
        <v/>
      </c>
      <c r="D8" s="74" t="n"/>
    </row>
    <row r="9">
      <c r="A9" s="19" t="n">
        <v>26359</v>
      </c>
      <c r="B9" s="61">
        <f>VLOOKUP(Table13[[#This Row],[Date]],database!A:F,6,)</f>
        <v/>
      </c>
      <c r="C9" s="74">
        <f>B9/B8-1</f>
        <v/>
      </c>
      <c r="D9" s="74" t="n"/>
    </row>
    <row r="10">
      <c r="A10" s="19" t="n">
        <v>26390</v>
      </c>
      <c r="B10" s="61">
        <f>VLOOKUP(Table13[[#This Row],[Date]],database!A:F,6,)</f>
        <v/>
      </c>
      <c r="C10" s="74">
        <f>B10/B9-1</f>
        <v/>
      </c>
      <c r="D10" s="74" t="n"/>
    </row>
    <row r="11">
      <c r="A11" s="19" t="n">
        <v>26420</v>
      </c>
      <c r="B11" s="61">
        <f>VLOOKUP(Table13[[#This Row],[Date]],database!A:F,6,)</f>
        <v/>
      </c>
      <c r="C11" s="74">
        <f>B11/B10-1</f>
        <v/>
      </c>
      <c r="D11" s="74" t="n"/>
    </row>
    <row r="12">
      <c r="A12" s="19" t="n">
        <v>26451</v>
      </c>
      <c r="B12" s="61">
        <f>VLOOKUP(Table13[[#This Row],[Date]],database!A:F,6,)</f>
        <v/>
      </c>
      <c r="C12" s="74">
        <f>B12/B11-1</f>
        <v/>
      </c>
      <c r="D12" s="74" t="n"/>
    </row>
    <row r="13">
      <c r="A13" s="19" t="n">
        <v>26481</v>
      </c>
      <c r="B13" s="61">
        <f>VLOOKUP(Table13[[#This Row],[Date]],database!A:F,6,)</f>
        <v/>
      </c>
      <c r="C13" s="74">
        <f>B13/B12-1</f>
        <v/>
      </c>
      <c r="D13" s="74" t="n"/>
    </row>
    <row r="14">
      <c r="A14" s="19" t="n">
        <v>26512</v>
      </c>
      <c r="B14" s="61">
        <f>VLOOKUP(Table13[[#This Row],[Date]],database!A:F,6,)</f>
        <v/>
      </c>
      <c r="C14" s="74">
        <f>B14/B13-1</f>
        <v/>
      </c>
      <c r="D14" s="74" t="n"/>
    </row>
    <row r="15">
      <c r="A15" s="19" t="n">
        <v>26543</v>
      </c>
      <c r="B15" s="61">
        <f>VLOOKUP(Table13[[#This Row],[Date]],database!A:F,6,)</f>
        <v/>
      </c>
      <c r="C15" s="74">
        <f>B15/B14-1</f>
        <v/>
      </c>
      <c r="D15" s="74" t="n"/>
    </row>
    <row r="16">
      <c r="A16" s="19" t="n">
        <v>26573</v>
      </c>
      <c r="B16" s="61">
        <f>VLOOKUP(Table13[[#This Row],[Date]],database!A:F,6,)</f>
        <v/>
      </c>
      <c r="C16" s="74">
        <f>B16/B15-1</f>
        <v/>
      </c>
      <c r="D16" s="74" t="n"/>
    </row>
    <row r="17">
      <c r="A17" s="19" t="n">
        <v>26604</v>
      </c>
      <c r="B17" s="61">
        <f>VLOOKUP(Table13[[#This Row],[Date]],database!A:F,6,)</f>
        <v/>
      </c>
      <c r="C17" s="74">
        <f>B17/B16-1</f>
        <v/>
      </c>
      <c r="D17" s="74" t="n"/>
    </row>
    <row r="18">
      <c r="A18" s="19" t="n">
        <v>26634</v>
      </c>
      <c r="B18" s="61">
        <f>VLOOKUP(Table13[[#This Row],[Date]],database!A:F,6,)</f>
        <v/>
      </c>
      <c r="C18" s="74">
        <f>B18/B17-1</f>
        <v/>
      </c>
      <c r="D18" s="74" t="n"/>
    </row>
    <row r="19">
      <c r="A19" s="19" t="n">
        <v>26665</v>
      </c>
      <c r="B19" s="61">
        <f>VLOOKUP(Table13[[#This Row],[Date]],database!A:F,6,)</f>
        <v/>
      </c>
      <c r="C19" s="74">
        <f>B19/B18-1</f>
        <v/>
      </c>
      <c r="D19" s="74" t="n"/>
    </row>
    <row r="20">
      <c r="A20" s="19" t="n">
        <v>26696</v>
      </c>
      <c r="B20" s="61">
        <f>VLOOKUP(Table13[[#This Row],[Date]],database!A:F,6,)</f>
        <v/>
      </c>
      <c r="C20" s="74">
        <f>B20/B19-1</f>
        <v/>
      </c>
      <c r="D20" s="74">
        <f>(Table13[[#This Row],[Index]]-B8)/B8</f>
        <v/>
      </c>
    </row>
    <row r="21">
      <c r="A21" s="19" t="n">
        <v>26724</v>
      </c>
      <c r="B21" s="61">
        <f>VLOOKUP(Table13[[#This Row],[Date]],database!A:F,6,)</f>
        <v/>
      </c>
      <c r="C21" s="74">
        <f>B21/B20-1</f>
        <v/>
      </c>
      <c r="D21" s="74">
        <f>(Table13[[#This Row],[Index]]-B9)/B9</f>
        <v/>
      </c>
    </row>
    <row r="22">
      <c r="A22" s="19" t="n">
        <v>26755</v>
      </c>
      <c r="B22" s="61">
        <f>VLOOKUP(Table13[[#This Row],[Date]],database!A:F,6,)</f>
        <v/>
      </c>
      <c r="C22" s="74">
        <f>B22/B21-1</f>
        <v/>
      </c>
      <c r="D22" s="74">
        <f>(Table13[[#This Row],[Index]]-B10)/B10</f>
        <v/>
      </c>
    </row>
    <row r="23">
      <c r="A23" s="19" t="n">
        <v>26785</v>
      </c>
      <c r="B23" s="61">
        <f>VLOOKUP(Table13[[#This Row],[Date]],database!A:F,6,)</f>
        <v/>
      </c>
      <c r="C23" s="74">
        <f>B23/B22-1</f>
        <v/>
      </c>
      <c r="D23" s="74">
        <f>(Table13[[#This Row],[Index]]-B11)/B11</f>
        <v/>
      </c>
    </row>
    <row r="24">
      <c r="A24" s="19" t="n">
        <v>26816</v>
      </c>
      <c r="B24" s="61">
        <f>VLOOKUP(Table13[[#This Row],[Date]],database!A:F,6,)</f>
        <v/>
      </c>
      <c r="C24" s="74">
        <f>B24/B23-1</f>
        <v/>
      </c>
      <c r="D24" s="74">
        <f>(Table13[[#This Row],[Index]]-B12)/B12</f>
        <v/>
      </c>
    </row>
    <row r="25">
      <c r="A25" s="19" t="n">
        <v>26846</v>
      </c>
      <c r="B25" s="61">
        <f>VLOOKUP(Table13[[#This Row],[Date]],database!A:F,6,)</f>
        <v/>
      </c>
      <c r="C25" s="74">
        <f>B25/B24-1</f>
        <v/>
      </c>
      <c r="D25" s="74">
        <f>(Table13[[#This Row],[Index]]-B13)/B13</f>
        <v/>
      </c>
    </row>
    <row r="26">
      <c r="A26" s="19" t="n">
        <v>26877</v>
      </c>
      <c r="B26" s="61">
        <f>VLOOKUP(Table13[[#This Row],[Date]],database!A:F,6,)</f>
        <v/>
      </c>
      <c r="C26" s="74">
        <f>B26/B25-1</f>
        <v/>
      </c>
      <c r="D26" s="74">
        <f>(Table13[[#This Row],[Index]]-B14)/B14</f>
        <v/>
      </c>
    </row>
    <row r="27">
      <c r="A27" s="19" t="n">
        <v>26908</v>
      </c>
      <c r="B27" s="61">
        <f>VLOOKUP(Table13[[#This Row],[Date]],database!A:F,6,)</f>
        <v/>
      </c>
      <c r="C27" s="74">
        <f>B27/B26-1</f>
        <v/>
      </c>
      <c r="D27" s="74">
        <f>(Table13[[#This Row],[Index]]-B15)/B15</f>
        <v/>
      </c>
    </row>
    <row r="28">
      <c r="A28" s="19" t="n">
        <v>26938</v>
      </c>
      <c r="B28" s="61">
        <f>VLOOKUP(Table13[[#This Row],[Date]],database!A:F,6,)</f>
        <v/>
      </c>
      <c r="C28" s="74">
        <f>B28/B27-1</f>
        <v/>
      </c>
      <c r="D28" s="74">
        <f>(Table13[[#This Row],[Index]]-B16)/B16</f>
        <v/>
      </c>
    </row>
    <row r="29">
      <c r="A29" s="19" t="n">
        <v>26969</v>
      </c>
      <c r="B29" s="61">
        <f>VLOOKUP(Table13[[#This Row],[Date]],database!A:F,6,)</f>
        <v/>
      </c>
      <c r="C29" s="74">
        <f>B29/B28-1</f>
        <v/>
      </c>
      <c r="D29" s="74">
        <f>(Table13[[#This Row],[Index]]-B17)/B17</f>
        <v/>
      </c>
    </row>
    <row r="30">
      <c r="A30" s="19" t="n">
        <v>26999</v>
      </c>
      <c r="B30" s="61">
        <f>VLOOKUP(Table13[[#This Row],[Date]],database!A:F,6,)</f>
        <v/>
      </c>
      <c r="C30" s="74">
        <f>B30/B29-1</f>
        <v/>
      </c>
      <c r="D30" s="74">
        <f>(Table13[[#This Row],[Index]]-B18)/B18</f>
        <v/>
      </c>
    </row>
    <row r="31">
      <c r="A31" s="19" t="n">
        <v>27030</v>
      </c>
      <c r="B31" s="61">
        <f>VLOOKUP(Table13[[#This Row],[Date]],database!A:F,6,)</f>
        <v/>
      </c>
      <c r="C31" s="74">
        <f>B31/B30-1</f>
        <v/>
      </c>
      <c r="D31" s="74">
        <f>(Table13[[#This Row],[Index]]-B19)/B19</f>
        <v/>
      </c>
    </row>
    <row r="32">
      <c r="A32" s="19" t="n">
        <v>27061</v>
      </c>
      <c r="B32" s="61">
        <f>VLOOKUP(Table13[[#This Row],[Date]],database!A:F,6,)</f>
        <v/>
      </c>
      <c r="C32" s="74">
        <f>B32/B31-1</f>
        <v/>
      </c>
      <c r="D32" s="74">
        <f>(Table13[[#This Row],[Index]]-B20)/B20</f>
        <v/>
      </c>
    </row>
    <row r="33">
      <c r="A33" s="19" t="n">
        <v>27089</v>
      </c>
      <c r="B33" s="61">
        <f>VLOOKUP(Table13[[#This Row],[Date]],database!A:F,6,)</f>
        <v/>
      </c>
      <c r="C33" s="74">
        <f>B33/B32-1</f>
        <v/>
      </c>
      <c r="D33" s="74">
        <f>(Table13[[#This Row],[Index]]-B21)/B21</f>
        <v/>
      </c>
    </row>
    <row r="34">
      <c r="A34" s="19" t="n">
        <v>27120</v>
      </c>
      <c r="B34" s="61">
        <f>VLOOKUP(Table13[[#This Row],[Date]],database!A:F,6,)</f>
        <v/>
      </c>
      <c r="C34" s="74">
        <f>B34/B33-1</f>
        <v/>
      </c>
      <c r="D34" s="74">
        <f>(Table13[[#This Row],[Index]]-B22)/B22</f>
        <v/>
      </c>
    </row>
    <row r="35">
      <c r="A35" s="19" t="n">
        <v>27150</v>
      </c>
      <c r="B35" s="61">
        <f>VLOOKUP(Table13[[#This Row],[Date]],database!A:F,6,)</f>
        <v/>
      </c>
      <c r="C35" s="74">
        <f>B35/B34-1</f>
        <v/>
      </c>
      <c r="D35" s="74">
        <f>(Table13[[#This Row],[Index]]-B23)/B23</f>
        <v/>
      </c>
    </row>
    <row r="36">
      <c r="A36" s="19" t="n">
        <v>27181</v>
      </c>
      <c r="B36" s="61">
        <f>VLOOKUP(Table13[[#This Row],[Date]],database!A:F,6,)</f>
        <v/>
      </c>
      <c r="C36" s="74">
        <f>B36/B35-1</f>
        <v/>
      </c>
      <c r="D36" s="74">
        <f>(Table13[[#This Row],[Index]]-B24)/B24</f>
        <v/>
      </c>
    </row>
    <row r="37">
      <c r="A37" s="19" t="n">
        <v>27211</v>
      </c>
      <c r="B37" s="61">
        <f>VLOOKUP(Table13[[#This Row],[Date]],database!A:F,6,)</f>
        <v/>
      </c>
      <c r="C37" s="74">
        <f>B37/B36-1</f>
        <v/>
      </c>
      <c r="D37" s="74">
        <f>(Table13[[#This Row],[Index]]-B25)/B25</f>
        <v/>
      </c>
    </row>
    <row r="38">
      <c r="A38" s="19" t="n">
        <v>27242</v>
      </c>
      <c r="B38" s="61">
        <f>VLOOKUP(Table13[[#This Row],[Date]],database!A:F,6,)</f>
        <v/>
      </c>
      <c r="C38" s="74">
        <f>B38/B37-1</f>
        <v/>
      </c>
      <c r="D38" s="74">
        <f>(Table13[[#This Row],[Index]]-B26)/B26</f>
        <v/>
      </c>
    </row>
    <row r="39">
      <c r="A39" s="19" t="n">
        <v>27273</v>
      </c>
      <c r="B39" s="61">
        <f>VLOOKUP(Table13[[#This Row],[Date]],database!A:F,6,)</f>
        <v/>
      </c>
      <c r="C39" s="74">
        <f>B39/B38-1</f>
        <v/>
      </c>
      <c r="D39" s="74">
        <f>(Table13[[#This Row],[Index]]-B27)/B27</f>
        <v/>
      </c>
    </row>
    <row r="40">
      <c r="A40" s="19" t="n">
        <v>27303</v>
      </c>
      <c r="B40" s="61">
        <f>VLOOKUP(Table13[[#This Row],[Date]],database!A:F,6,)</f>
        <v/>
      </c>
      <c r="C40" s="74">
        <f>B40/B39-1</f>
        <v/>
      </c>
      <c r="D40" s="74">
        <f>(Table13[[#This Row],[Index]]-B28)/B28</f>
        <v/>
      </c>
    </row>
    <row r="41">
      <c r="A41" s="19" t="n">
        <v>27334</v>
      </c>
      <c r="B41" s="61">
        <f>VLOOKUP(Table13[[#This Row],[Date]],database!A:F,6,)</f>
        <v/>
      </c>
      <c r="C41" s="74">
        <f>B41/B40-1</f>
        <v/>
      </c>
      <c r="D41" s="74">
        <f>(Table13[[#This Row],[Index]]-B29)/B29</f>
        <v/>
      </c>
    </row>
    <row r="42">
      <c r="A42" s="19" t="n">
        <v>27364</v>
      </c>
      <c r="B42" s="61">
        <f>VLOOKUP(Table13[[#This Row],[Date]],database!A:F,6,)</f>
        <v/>
      </c>
      <c r="C42" s="74">
        <f>B42/B41-1</f>
        <v/>
      </c>
      <c r="D42" s="74">
        <f>(Table13[[#This Row],[Index]]-B30)/B30</f>
        <v/>
      </c>
    </row>
    <row r="43">
      <c r="A43" s="19" t="n">
        <v>27395</v>
      </c>
      <c r="B43" s="61">
        <f>VLOOKUP(Table13[[#This Row],[Date]],database!A:F,6,)</f>
        <v/>
      </c>
      <c r="C43" s="74">
        <f>B43/B42-1</f>
        <v/>
      </c>
      <c r="D43" s="74">
        <f>(Table13[[#This Row],[Index]]-B31)/B31</f>
        <v/>
      </c>
    </row>
    <row r="44">
      <c r="A44" s="19" t="n">
        <v>27426</v>
      </c>
      <c r="B44" s="61">
        <f>VLOOKUP(Table13[[#This Row],[Date]],database!A:F,6,)</f>
        <v/>
      </c>
      <c r="C44" s="74">
        <f>B44/B43-1</f>
        <v/>
      </c>
      <c r="D44" s="74">
        <f>(Table13[[#This Row],[Index]]-B32)/B32</f>
        <v/>
      </c>
    </row>
    <row r="45">
      <c r="A45" s="19" t="n">
        <v>27454</v>
      </c>
      <c r="B45" s="61">
        <f>VLOOKUP(Table13[[#This Row],[Date]],database!A:F,6,)</f>
        <v/>
      </c>
      <c r="C45" s="74">
        <f>B45/B44-1</f>
        <v/>
      </c>
      <c r="D45" s="74">
        <f>(Table13[[#This Row],[Index]]-B33)/B33</f>
        <v/>
      </c>
    </row>
    <row r="46">
      <c r="A46" s="19" t="n">
        <v>27485</v>
      </c>
      <c r="B46" s="61">
        <f>VLOOKUP(Table13[[#This Row],[Date]],database!A:F,6,)</f>
        <v/>
      </c>
      <c r="C46" s="74">
        <f>B46/B45-1</f>
        <v/>
      </c>
      <c r="D46" s="74">
        <f>(Table13[[#This Row],[Index]]-B34)/B34</f>
        <v/>
      </c>
    </row>
    <row r="47">
      <c r="A47" s="19" t="n">
        <v>27515</v>
      </c>
      <c r="B47" s="61">
        <f>VLOOKUP(Table13[[#This Row],[Date]],database!A:F,6,)</f>
        <v/>
      </c>
      <c r="C47" s="74">
        <f>B47/B46-1</f>
        <v/>
      </c>
      <c r="D47" s="74">
        <f>(Table13[[#This Row],[Index]]-B35)/B35</f>
        <v/>
      </c>
    </row>
    <row r="48">
      <c r="A48" s="19" t="n">
        <v>27546</v>
      </c>
      <c r="B48" s="61">
        <f>VLOOKUP(Table13[[#This Row],[Date]],database!A:F,6,)</f>
        <v/>
      </c>
      <c r="C48" s="74">
        <f>B48/B47-1</f>
        <v/>
      </c>
      <c r="D48" s="74">
        <f>(Table13[[#This Row],[Index]]-B36)/B36</f>
        <v/>
      </c>
    </row>
    <row r="49">
      <c r="A49" s="19" t="n">
        <v>27576</v>
      </c>
      <c r="B49" s="61">
        <f>VLOOKUP(Table13[[#This Row],[Date]],database!A:F,6,)</f>
        <v/>
      </c>
      <c r="C49" s="74">
        <f>B49/B48-1</f>
        <v/>
      </c>
      <c r="D49" s="74">
        <f>(Table13[[#This Row],[Index]]-B37)/B37</f>
        <v/>
      </c>
    </row>
    <row r="50">
      <c r="A50" s="19" t="n">
        <v>27607</v>
      </c>
      <c r="B50" s="61">
        <f>VLOOKUP(Table13[[#This Row],[Date]],database!A:F,6,)</f>
        <v/>
      </c>
      <c r="C50" s="74">
        <f>B50/B49-1</f>
        <v/>
      </c>
      <c r="D50" s="74">
        <f>(Table13[[#This Row],[Index]]-B38)/B38</f>
        <v/>
      </c>
    </row>
    <row r="51">
      <c r="A51" s="19" t="n">
        <v>27638</v>
      </c>
      <c r="B51" s="61">
        <f>VLOOKUP(Table13[[#This Row],[Date]],database!A:F,6,)</f>
        <v/>
      </c>
      <c r="C51" s="74">
        <f>B51/B50-1</f>
        <v/>
      </c>
      <c r="D51" s="74">
        <f>(Table13[[#This Row],[Index]]-B39)/B39</f>
        <v/>
      </c>
    </row>
    <row r="52">
      <c r="A52" s="19" t="n">
        <v>27668</v>
      </c>
      <c r="B52" s="61">
        <f>VLOOKUP(Table13[[#This Row],[Date]],database!A:F,6,)</f>
        <v/>
      </c>
      <c r="C52" s="74">
        <f>B52/B51-1</f>
        <v/>
      </c>
      <c r="D52" s="74">
        <f>(Table13[[#This Row],[Index]]-B40)/B40</f>
        <v/>
      </c>
    </row>
    <row r="53">
      <c r="A53" s="19" t="n">
        <v>27699</v>
      </c>
      <c r="B53" s="61">
        <f>VLOOKUP(Table13[[#This Row],[Date]],database!A:F,6,)</f>
        <v/>
      </c>
      <c r="C53" s="74">
        <f>B53/B52-1</f>
        <v/>
      </c>
      <c r="D53" s="74">
        <f>(Table13[[#This Row],[Index]]-B41)/B41</f>
        <v/>
      </c>
    </row>
    <row r="54">
      <c r="A54" s="19" t="n">
        <v>27729</v>
      </c>
      <c r="B54" s="61">
        <f>VLOOKUP(Table13[[#This Row],[Date]],database!A:F,6,)</f>
        <v/>
      </c>
      <c r="C54" s="74">
        <f>B54/B53-1</f>
        <v/>
      </c>
      <c r="D54" s="74">
        <f>(Table13[[#This Row],[Index]]-B42)/B42</f>
        <v/>
      </c>
    </row>
    <row r="55">
      <c r="A55" s="19" t="n">
        <v>27760</v>
      </c>
      <c r="B55" s="61">
        <f>VLOOKUP(Table13[[#This Row],[Date]],database!A:F,6,)</f>
        <v/>
      </c>
      <c r="C55" s="74">
        <f>B55/B54-1</f>
        <v/>
      </c>
      <c r="D55" s="74">
        <f>(Table13[[#This Row],[Index]]-B43)/B43</f>
        <v/>
      </c>
    </row>
    <row r="56">
      <c r="A56" s="19" t="n">
        <v>27791</v>
      </c>
      <c r="B56" s="61">
        <f>VLOOKUP(Table13[[#This Row],[Date]],database!A:F,6,)</f>
        <v/>
      </c>
      <c r="C56" s="74">
        <f>B56/B55-1</f>
        <v/>
      </c>
      <c r="D56" s="74">
        <f>(Table13[[#This Row],[Index]]-B44)/B44</f>
        <v/>
      </c>
    </row>
    <row r="57">
      <c r="A57" s="19" t="n">
        <v>27820</v>
      </c>
      <c r="B57" s="61">
        <f>VLOOKUP(Table13[[#This Row],[Date]],database!A:F,6,)</f>
        <v/>
      </c>
      <c r="C57" s="74">
        <f>B57/B56-1</f>
        <v/>
      </c>
      <c r="D57" s="74">
        <f>(Table13[[#This Row],[Index]]-B45)/B45</f>
        <v/>
      </c>
    </row>
    <row r="58">
      <c r="A58" s="19" t="n">
        <v>27851</v>
      </c>
      <c r="B58" s="61">
        <f>VLOOKUP(Table13[[#This Row],[Date]],database!A:F,6,)</f>
        <v/>
      </c>
      <c r="C58" s="74">
        <f>B58/B57-1</f>
        <v/>
      </c>
      <c r="D58" s="74">
        <f>(Table13[[#This Row],[Index]]-B46)/B46</f>
        <v/>
      </c>
    </row>
    <row r="59">
      <c r="A59" s="19" t="n">
        <v>27881</v>
      </c>
      <c r="B59" s="61">
        <f>VLOOKUP(Table13[[#This Row],[Date]],database!A:F,6,)</f>
        <v/>
      </c>
      <c r="C59" s="74">
        <f>B59/B58-1</f>
        <v/>
      </c>
      <c r="D59" s="74">
        <f>(Table13[[#This Row],[Index]]-B47)/B47</f>
        <v/>
      </c>
    </row>
    <row r="60">
      <c r="A60" s="19" t="n">
        <v>27912</v>
      </c>
      <c r="B60" s="61">
        <f>VLOOKUP(Table13[[#This Row],[Date]],database!A:F,6,)</f>
        <v/>
      </c>
      <c r="C60" s="74">
        <f>B60/B59-1</f>
        <v/>
      </c>
      <c r="D60" s="74">
        <f>(Table13[[#This Row],[Index]]-B48)/B48</f>
        <v/>
      </c>
    </row>
    <row r="61">
      <c r="A61" s="19" t="n">
        <v>27942</v>
      </c>
      <c r="B61" s="61">
        <f>VLOOKUP(Table13[[#This Row],[Date]],database!A:F,6,)</f>
        <v/>
      </c>
      <c r="C61" s="74">
        <f>B61/B60-1</f>
        <v/>
      </c>
      <c r="D61" s="74">
        <f>(Table13[[#This Row],[Index]]-B49)/B49</f>
        <v/>
      </c>
    </row>
    <row r="62">
      <c r="A62" s="19" t="n">
        <v>27973</v>
      </c>
      <c r="B62" s="61">
        <f>VLOOKUP(Table13[[#This Row],[Date]],database!A:F,6,)</f>
        <v/>
      </c>
      <c r="C62" s="74">
        <f>B62/B61-1</f>
        <v/>
      </c>
      <c r="D62" s="74">
        <f>(Table13[[#This Row],[Index]]-B50)/B50</f>
        <v/>
      </c>
    </row>
    <row r="63">
      <c r="A63" s="19" t="n">
        <v>28004</v>
      </c>
      <c r="B63" s="61">
        <f>VLOOKUP(Table13[[#This Row],[Date]],database!A:F,6,)</f>
        <v/>
      </c>
      <c r="C63" s="74">
        <f>B63/B62-1</f>
        <v/>
      </c>
      <c r="D63" s="74">
        <f>(Table13[[#This Row],[Index]]-B51)/B51</f>
        <v/>
      </c>
    </row>
    <row r="64">
      <c r="A64" s="19" t="n">
        <v>28034</v>
      </c>
      <c r="B64" s="61">
        <f>VLOOKUP(Table13[[#This Row],[Date]],database!A:F,6,)</f>
        <v/>
      </c>
      <c r="C64" s="74">
        <f>B64/B63-1</f>
        <v/>
      </c>
      <c r="D64" s="74">
        <f>(Table13[[#This Row],[Index]]-B52)/B52</f>
        <v/>
      </c>
    </row>
    <row r="65">
      <c r="A65" s="19" t="n">
        <v>28065</v>
      </c>
      <c r="B65" s="61">
        <f>VLOOKUP(Table13[[#This Row],[Date]],database!A:F,6,)</f>
        <v/>
      </c>
      <c r="C65" s="74">
        <f>B65/B64-1</f>
        <v/>
      </c>
      <c r="D65" s="74">
        <f>(Table13[[#This Row],[Index]]-B53)/B53</f>
        <v/>
      </c>
    </row>
    <row r="66">
      <c r="A66" s="19" t="n">
        <v>28095</v>
      </c>
      <c r="B66" s="61">
        <f>VLOOKUP(Table13[[#This Row],[Date]],database!A:F,6,)</f>
        <v/>
      </c>
      <c r="C66" s="74">
        <f>B66/B65-1</f>
        <v/>
      </c>
      <c r="D66" s="74">
        <f>(Table13[[#This Row],[Index]]-B54)/B54</f>
        <v/>
      </c>
    </row>
    <row r="67">
      <c r="A67" s="19" t="n">
        <v>28126</v>
      </c>
      <c r="B67" s="61">
        <f>VLOOKUP(Table13[[#This Row],[Date]],database!A:F,6,)</f>
        <v/>
      </c>
      <c r="C67" s="74">
        <f>B67/B66-1</f>
        <v/>
      </c>
      <c r="D67" s="74">
        <f>(Table13[[#This Row],[Index]]-B55)/B55</f>
        <v/>
      </c>
    </row>
    <row r="68">
      <c r="A68" s="19" t="n">
        <v>28157</v>
      </c>
      <c r="B68" s="61">
        <f>VLOOKUP(Table13[[#This Row],[Date]],database!A:F,6,)</f>
        <v/>
      </c>
      <c r="C68" s="74">
        <f>B68/B67-1</f>
        <v/>
      </c>
      <c r="D68" s="74">
        <f>(Table13[[#This Row],[Index]]-B56)/B56</f>
        <v/>
      </c>
    </row>
    <row r="69">
      <c r="A69" s="19" t="n">
        <v>28185</v>
      </c>
      <c r="B69" s="61">
        <f>VLOOKUP(Table13[[#This Row],[Date]],database!A:F,6,)</f>
        <v/>
      </c>
      <c r="C69" s="74">
        <f>B69/B68-1</f>
        <v/>
      </c>
      <c r="D69" s="74">
        <f>(Table13[[#This Row],[Index]]-B57)/B57</f>
        <v/>
      </c>
    </row>
    <row r="70">
      <c r="A70" s="19" t="n">
        <v>28216</v>
      </c>
      <c r="B70" s="61">
        <f>VLOOKUP(Table13[[#This Row],[Date]],database!A:F,6,)</f>
        <v/>
      </c>
      <c r="C70" s="74">
        <f>B70/B69-1</f>
        <v/>
      </c>
      <c r="D70" s="74">
        <f>(Table13[[#This Row],[Index]]-B58)/B58</f>
        <v/>
      </c>
    </row>
    <row r="71">
      <c r="A71" s="19" t="n">
        <v>28246</v>
      </c>
      <c r="B71" s="61">
        <f>VLOOKUP(Table13[[#This Row],[Date]],database!A:F,6,)</f>
        <v/>
      </c>
      <c r="C71" s="74">
        <f>B71/B70-1</f>
        <v/>
      </c>
      <c r="D71" s="74">
        <f>(Table13[[#This Row],[Index]]-B59)/B59</f>
        <v/>
      </c>
    </row>
    <row r="72">
      <c r="A72" s="19" t="n">
        <v>28277</v>
      </c>
      <c r="B72" s="61">
        <f>VLOOKUP(Table13[[#This Row],[Date]],database!A:F,6,)</f>
        <v/>
      </c>
      <c r="C72" s="74">
        <f>B72/B71-1</f>
        <v/>
      </c>
      <c r="D72" s="74">
        <f>(Table13[[#This Row],[Index]]-B60)/B60</f>
        <v/>
      </c>
    </row>
    <row r="73">
      <c r="A73" s="19" t="n">
        <v>28307</v>
      </c>
      <c r="B73" s="61">
        <f>VLOOKUP(Table13[[#This Row],[Date]],database!A:F,6,)</f>
        <v/>
      </c>
      <c r="C73" s="74">
        <f>B73/B72-1</f>
        <v/>
      </c>
      <c r="D73" s="74">
        <f>(Table13[[#This Row],[Index]]-B61)/B61</f>
        <v/>
      </c>
    </row>
    <row r="74">
      <c r="A74" s="19" t="n">
        <v>28338</v>
      </c>
      <c r="B74" s="61">
        <f>VLOOKUP(Table13[[#This Row],[Date]],database!A:F,6,)</f>
        <v/>
      </c>
      <c r="C74" s="74">
        <f>B74/B73-1</f>
        <v/>
      </c>
      <c r="D74" s="74">
        <f>(Table13[[#This Row],[Index]]-B62)/B62</f>
        <v/>
      </c>
    </row>
    <row r="75">
      <c r="A75" s="19" t="n">
        <v>28369</v>
      </c>
      <c r="B75" s="61">
        <f>VLOOKUP(Table13[[#This Row],[Date]],database!A:F,6,)</f>
        <v/>
      </c>
      <c r="C75" s="74">
        <f>B75/B74-1</f>
        <v/>
      </c>
      <c r="D75" s="74">
        <f>(Table13[[#This Row],[Index]]-B63)/B63</f>
        <v/>
      </c>
    </row>
    <row r="76">
      <c r="A76" s="19" t="n">
        <v>28399</v>
      </c>
      <c r="B76" s="61">
        <f>VLOOKUP(Table13[[#This Row],[Date]],database!A:F,6,)</f>
        <v/>
      </c>
      <c r="C76" s="74">
        <f>B76/B75-1</f>
        <v/>
      </c>
      <c r="D76" s="74">
        <f>(Table13[[#This Row],[Index]]-B64)/B64</f>
        <v/>
      </c>
    </row>
    <row r="77">
      <c r="A77" s="19" t="n">
        <v>28430</v>
      </c>
      <c r="B77" s="61">
        <f>VLOOKUP(Table13[[#This Row],[Date]],database!A:F,6,)</f>
        <v/>
      </c>
      <c r="C77" s="74">
        <f>B77/B76-1</f>
        <v/>
      </c>
      <c r="D77" s="74">
        <f>(Table13[[#This Row],[Index]]-B65)/B65</f>
        <v/>
      </c>
    </row>
    <row r="78">
      <c r="A78" s="19" t="n">
        <v>28460</v>
      </c>
      <c r="B78" s="61">
        <f>VLOOKUP(Table13[[#This Row],[Date]],database!A:F,6,)</f>
        <v/>
      </c>
      <c r="C78" s="74">
        <f>B78/B77-1</f>
        <v/>
      </c>
      <c r="D78" s="74">
        <f>(Table13[[#This Row],[Index]]-B66)/B66</f>
        <v/>
      </c>
    </row>
    <row r="79">
      <c r="A79" s="19" t="n">
        <v>28491</v>
      </c>
      <c r="B79" s="61">
        <f>VLOOKUP(Table13[[#This Row],[Date]],database!A:F,6,)</f>
        <v/>
      </c>
      <c r="C79" s="74">
        <f>B79/B78-1</f>
        <v/>
      </c>
      <c r="D79" s="74">
        <f>(Table13[[#This Row],[Index]]-B67)/B67</f>
        <v/>
      </c>
    </row>
    <row r="80">
      <c r="A80" s="19" t="n">
        <v>28522</v>
      </c>
      <c r="B80" s="61">
        <f>VLOOKUP(Table13[[#This Row],[Date]],database!A:F,6,)</f>
        <v/>
      </c>
      <c r="C80" s="74">
        <f>B80/B79-1</f>
        <v/>
      </c>
      <c r="D80" s="74">
        <f>(Table13[[#This Row],[Index]]-B68)/B68</f>
        <v/>
      </c>
    </row>
    <row r="81">
      <c r="A81" s="19" t="n">
        <v>28550</v>
      </c>
      <c r="B81" s="61">
        <f>VLOOKUP(Table13[[#This Row],[Date]],database!A:F,6,)</f>
        <v/>
      </c>
      <c r="C81" s="74">
        <f>B81/B80-1</f>
        <v/>
      </c>
      <c r="D81" s="74">
        <f>(Table13[[#This Row],[Index]]-B69)/B69</f>
        <v/>
      </c>
    </row>
    <row r="82">
      <c r="A82" s="19" t="n">
        <v>28581</v>
      </c>
      <c r="B82" s="61">
        <f>VLOOKUP(Table13[[#This Row],[Date]],database!A:F,6,)</f>
        <v/>
      </c>
      <c r="C82" s="74">
        <f>B82/B81-1</f>
        <v/>
      </c>
      <c r="D82" s="74">
        <f>(Table13[[#This Row],[Index]]-B70)/B70</f>
        <v/>
      </c>
    </row>
    <row r="83">
      <c r="A83" s="19" t="n">
        <v>28611</v>
      </c>
      <c r="B83" s="61">
        <f>VLOOKUP(Table13[[#This Row],[Date]],database!A:F,6,)</f>
        <v/>
      </c>
      <c r="C83" s="74">
        <f>B83/B82-1</f>
        <v/>
      </c>
      <c r="D83" s="74">
        <f>(Table13[[#This Row],[Index]]-B71)/B71</f>
        <v/>
      </c>
    </row>
    <row r="84">
      <c r="A84" s="19" t="n">
        <v>28642</v>
      </c>
      <c r="B84" s="61">
        <f>VLOOKUP(Table13[[#This Row],[Date]],database!A:F,6,)</f>
        <v/>
      </c>
      <c r="C84" s="74">
        <f>B84/B83-1</f>
        <v/>
      </c>
      <c r="D84" s="74">
        <f>(Table13[[#This Row],[Index]]-B72)/B72</f>
        <v/>
      </c>
    </row>
    <row r="85">
      <c r="A85" s="19" t="n">
        <v>28672</v>
      </c>
      <c r="B85" s="61">
        <f>VLOOKUP(Table13[[#This Row],[Date]],database!A:F,6,)</f>
        <v/>
      </c>
      <c r="C85" s="74">
        <f>B85/B84-1</f>
        <v/>
      </c>
      <c r="D85" s="74">
        <f>(Table13[[#This Row],[Index]]-B73)/B73</f>
        <v/>
      </c>
    </row>
    <row r="86">
      <c r="A86" s="19" t="n">
        <v>28703</v>
      </c>
      <c r="B86" s="61">
        <f>VLOOKUP(Table13[[#This Row],[Date]],database!A:F,6,)</f>
        <v/>
      </c>
      <c r="C86" s="74">
        <f>B86/B85-1</f>
        <v/>
      </c>
      <c r="D86" s="74">
        <f>(Table13[[#This Row],[Index]]-B74)/B74</f>
        <v/>
      </c>
    </row>
    <row r="87">
      <c r="A87" s="19" t="n">
        <v>28734</v>
      </c>
      <c r="B87" s="61">
        <f>VLOOKUP(Table13[[#This Row],[Date]],database!A:F,6,)</f>
        <v/>
      </c>
      <c r="C87" s="74">
        <f>B87/B86-1</f>
        <v/>
      </c>
      <c r="D87" s="74">
        <f>(Table13[[#This Row],[Index]]-B75)/B75</f>
        <v/>
      </c>
    </row>
    <row r="88">
      <c r="A88" s="19" t="n">
        <v>28764</v>
      </c>
      <c r="B88" s="61">
        <f>VLOOKUP(Table13[[#This Row],[Date]],database!A:F,6,)</f>
        <v/>
      </c>
      <c r="C88" s="74">
        <f>B88/B87-1</f>
        <v/>
      </c>
      <c r="D88" s="74">
        <f>(Table13[[#This Row],[Index]]-B76)/B76</f>
        <v/>
      </c>
    </row>
    <row r="89">
      <c r="A89" s="19" t="n">
        <v>28795</v>
      </c>
      <c r="B89" s="61">
        <f>VLOOKUP(Table13[[#This Row],[Date]],database!A:F,6,)</f>
        <v/>
      </c>
      <c r="C89" s="74">
        <f>B89/B88-1</f>
        <v/>
      </c>
      <c r="D89" s="74">
        <f>(Table13[[#This Row],[Index]]-B77)/B77</f>
        <v/>
      </c>
    </row>
    <row r="90">
      <c r="A90" s="19" t="n">
        <v>28825</v>
      </c>
      <c r="B90" s="61">
        <f>VLOOKUP(Table13[[#This Row],[Date]],database!A:F,6,)</f>
        <v/>
      </c>
      <c r="C90" s="74">
        <f>B90/B89-1</f>
        <v/>
      </c>
      <c r="D90" s="74">
        <f>(Table13[[#This Row],[Index]]-B78)/B78</f>
        <v/>
      </c>
    </row>
    <row r="91">
      <c r="A91" s="19" t="n">
        <v>28856</v>
      </c>
      <c r="B91" s="61">
        <f>VLOOKUP(Table13[[#This Row],[Date]],database!A:F,6,)</f>
        <v/>
      </c>
      <c r="C91" s="74">
        <f>B91/B90-1</f>
        <v/>
      </c>
      <c r="D91" s="74">
        <f>(Table13[[#This Row],[Index]]-B79)/B79</f>
        <v/>
      </c>
    </row>
    <row r="92">
      <c r="A92" s="19" t="n">
        <v>28887</v>
      </c>
      <c r="B92" s="61">
        <f>VLOOKUP(Table13[[#This Row],[Date]],database!A:F,6,)</f>
        <v/>
      </c>
      <c r="C92" s="74">
        <f>B92/B91-1</f>
        <v/>
      </c>
      <c r="D92" s="74">
        <f>(Table13[[#This Row],[Index]]-B80)/B80</f>
        <v/>
      </c>
    </row>
    <row r="93">
      <c r="A93" s="19" t="n">
        <v>28915</v>
      </c>
      <c r="B93" s="61">
        <f>VLOOKUP(Table13[[#This Row],[Date]],database!A:F,6,)</f>
        <v/>
      </c>
      <c r="C93" s="74">
        <f>B93/B92-1</f>
        <v/>
      </c>
      <c r="D93" s="74">
        <f>(Table13[[#This Row],[Index]]-B81)/B81</f>
        <v/>
      </c>
    </row>
    <row r="94">
      <c r="A94" s="19" t="n">
        <v>28946</v>
      </c>
      <c r="B94" s="61">
        <f>VLOOKUP(Table13[[#This Row],[Date]],database!A:F,6,)</f>
        <v/>
      </c>
      <c r="C94" s="74">
        <f>B94/B93-1</f>
        <v/>
      </c>
      <c r="D94" s="74">
        <f>(Table13[[#This Row],[Index]]-B82)/B82</f>
        <v/>
      </c>
    </row>
    <row r="95">
      <c r="A95" s="19" t="n">
        <v>28976</v>
      </c>
      <c r="B95" s="61">
        <f>VLOOKUP(Table13[[#This Row],[Date]],database!A:F,6,)</f>
        <v/>
      </c>
      <c r="C95" s="74">
        <f>B95/B94-1</f>
        <v/>
      </c>
      <c r="D95" s="74">
        <f>(Table13[[#This Row],[Index]]-B83)/B83</f>
        <v/>
      </c>
    </row>
    <row r="96">
      <c r="A96" s="19" t="n">
        <v>29007</v>
      </c>
      <c r="B96" s="61">
        <f>VLOOKUP(Table13[[#This Row],[Date]],database!A:F,6,)</f>
        <v/>
      </c>
      <c r="C96" s="74">
        <f>B96/B95-1</f>
        <v/>
      </c>
      <c r="D96" s="74">
        <f>(Table13[[#This Row],[Index]]-B84)/B84</f>
        <v/>
      </c>
    </row>
    <row r="97">
      <c r="A97" s="19" t="n">
        <v>29037</v>
      </c>
      <c r="B97" s="61">
        <f>VLOOKUP(Table13[[#This Row],[Date]],database!A:F,6,)</f>
        <v/>
      </c>
      <c r="C97" s="74">
        <f>B97/B96-1</f>
        <v/>
      </c>
      <c r="D97" s="74">
        <f>(Table13[[#This Row],[Index]]-B85)/B85</f>
        <v/>
      </c>
    </row>
    <row r="98">
      <c r="A98" s="19" t="n">
        <v>29068</v>
      </c>
      <c r="B98" s="61">
        <f>VLOOKUP(Table13[[#This Row],[Date]],database!A:F,6,)</f>
        <v/>
      </c>
      <c r="C98" s="74">
        <f>B98/B97-1</f>
        <v/>
      </c>
      <c r="D98" s="74">
        <f>(Table13[[#This Row],[Index]]-B86)/B86</f>
        <v/>
      </c>
    </row>
    <row r="99">
      <c r="A99" s="19" t="n">
        <v>29099</v>
      </c>
      <c r="B99" s="61">
        <f>VLOOKUP(Table13[[#This Row],[Date]],database!A:F,6,)</f>
        <v/>
      </c>
      <c r="C99" s="74">
        <f>B99/B98-1</f>
        <v/>
      </c>
      <c r="D99" s="74">
        <f>(Table13[[#This Row],[Index]]-B87)/B87</f>
        <v/>
      </c>
    </row>
    <row r="100">
      <c r="A100" s="19" t="n">
        <v>29129</v>
      </c>
      <c r="B100" s="61">
        <f>VLOOKUP(Table13[[#This Row],[Date]],database!A:F,6,)</f>
        <v/>
      </c>
      <c r="C100" s="74">
        <f>B100/B99-1</f>
        <v/>
      </c>
      <c r="D100" s="74">
        <f>(Table13[[#This Row],[Index]]-B88)/B88</f>
        <v/>
      </c>
    </row>
    <row r="101">
      <c r="A101" s="19" t="n">
        <v>29160</v>
      </c>
      <c r="B101" s="61">
        <f>VLOOKUP(Table13[[#This Row],[Date]],database!A:F,6,)</f>
        <v/>
      </c>
      <c r="C101" s="74">
        <f>B101/B100-1</f>
        <v/>
      </c>
      <c r="D101" s="74">
        <f>(Table13[[#This Row],[Index]]-B89)/B89</f>
        <v/>
      </c>
    </row>
    <row r="102">
      <c r="A102" s="19" t="n">
        <v>29190</v>
      </c>
      <c r="B102" s="61">
        <f>VLOOKUP(Table13[[#This Row],[Date]],database!A:F,6,)</f>
        <v/>
      </c>
      <c r="C102" s="74">
        <f>B102/B101-1</f>
        <v/>
      </c>
      <c r="D102" s="74">
        <f>(Table13[[#This Row],[Index]]-B90)/B90</f>
        <v/>
      </c>
    </row>
    <row r="103">
      <c r="A103" s="19" t="n">
        <v>29221</v>
      </c>
      <c r="B103" s="61">
        <f>VLOOKUP(Table13[[#This Row],[Date]],database!A:F,6,)</f>
        <v/>
      </c>
      <c r="C103" s="74">
        <f>B103/B102-1</f>
        <v/>
      </c>
      <c r="D103" s="74">
        <f>(Table13[[#This Row],[Index]]-B91)/B91</f>
        <v/>
      </c>
    </row>
    <row r="104">
      <c r="A104" s="19" t="n">
        <v>29252</v>
      </c>
      <c r="B104" s="61">
        <f>VLOOKUP(Table13[[#This Row],[Date]],database!A:F,6,)</f>
        <v/>
      </c>
      <c r="C104" s="74">
        <f>B104/B103-1</f>
        <v/>
      </c>
      <c r="D104" s="74">
        <f>(Table13[[#This Row],[Index]]-B92)/B92</f>
        <v/>
      </c>
    </row>
    <row r="105">
      <c r="A105" s="19" t="n">
        <v>29281</v>
      </c>
      <c r="B105" s="61">
        <f>VLOOKUP(Table13[[#This Row],[Date]],database!A:F,6,)</f>
        <v/>
      </c>
      <c r="C105" s="74">
        <f>B105/B104-1</f>
        <v/>
      </c>
      <c r="D105" s="74">
        <f>(Table13[[#This Row],[Index]]-B93)/B93</f>
        <v/>
      </c>
    </row>
    <row r="106">
      <c r="A106" s="19" t="n">
        <v>29312</v>
      </c>
      <c r="B106" s="61">
        <f>VLOOKUP(Table13[[#This Row],[Date]],database!A:F,6,)</f>
        <v/>
      </c>
      <c r="C106" s="74">
        <f>B106/B105-1</f>
        <v/>
      </c>
      <c r="D106" s="74">
        <f>(Table13[[#This Row],[Index]]-B94)/B94</f>
        <v/>
      </c>
    </row>
    <row r="107">
      <c r="A107" s="19" t="n">
        <v>29342</v>
      </c>
      <c r="B107" s="61">
        <f>VLOOKUP(Table13[[#This Row],[Date]],database!A:F,6,)</f>
        <v/>
      </c>
      <c r="C107" s="74">
        <f>B107/B106-1</f>
        <v/>
      </c>
      <c r="D107" s="74">
        <f>(Table13[[#This Row],[Index]]-B95)/B95</f>
        <v/>
      </c>
    </row>
    <row r="108">
      <c r="A108" s="19" t="n">
        <v>29373</v>
      </c>
      <c r="B108" s="61">
        <f>VLOOKUP(Table13[[#This Row],[Date]],database!A:F,6,)</f>
        <v/>
      </c>
      <c r="C108" s="74">
        <f>B108/B107-1</f>
        <v/>
      </c>
      <c r="D108" s="74">
        <f>(Table13[[#This Row],[Index]]-B96)/B96</f>
        <v/>
      </c>
    </row>
    <row r="109">
      <c r="A109" s="19" t="n">
        <v>29403</v>
      </c>
      <c r="B109" s="61">
        <f>VLOOKUP(Table13[[#This Row],[Date]],database!A:F,6,)</f>
        <v/>
      </c>
      <c r="C109" s="74">
        <f>B109/B108-1</f>
        <v/>
      </c>
      <c r="D109" s="74">
        <f>(Table13[[#This Row],[Index]]-B97)/B97</f>
        <v/>
      </c>
    </row>
    <row r="110">
      <c r="A110" s="19" t="n">
        <v>29434</v>
      </c>
      <c r="B110" s="61">
        <f>VLOOKUP(Table13[[#This Row],[Date]],database!A:F,6,)</f>
        <v/>
      </c>
      <c r="C110" s="74">
        <f>B110/B109-1</f>
        <v/>
      </c>
      <c r="D110" s="74">
        <f>(Table13[[#This Row],[Index]]-B98)/B98</f>
        <v/>
      </c>
    </row>
    <row r="111">
      <c r="A111" s="19" t="n">
        <v>29465</v>
      </c>
      <c r="B111" s="61">
        <f>VLOOKUP(Table13[[#This Row],[Date]],database!A:F,6,)</f>
        <v/>
      </c>
      <c r="C111" s="74">
        <f>B111/B110-1</f>
        <v/>
      </c>
      <c r="D111" s="74">
        <f>(Table13[[#This Row],[Index]]-B99)/B99</f>
        <v/>
      </c>
    </row>
    <row r="112">
      <c r="A112" s="19" t="n">
        <v>29495</v>
      </c>
      <c r="B112" s="61">
        <f>VLOOKUP(Table13[[#This Row],[Date]],database!A:F,6,)</f>
        <v/>
      </c>
      <c r="C112" s="74">
        <f>B112/B111-1</f>
        <v/>
      </c>
      <c r="D112" s="74">
        <f>(Table13[[#This Row],[Index]]-B100)/B100</f>
        <v/>
      </c>
    </row>
    <row r="113">
      <c r="A113" s="19" t="n">
        <v>29526</v>
      </c>
      <c r="B113" s="61">
        <f>VLOOKUP(Table13[[#This Row],[Date]],database!A:F,6,)</f>
        <v/>
      </c>
      <c r="C113" s="74">
        <f>B113/B112-1</f>
        <v/>
      </c>
      <c r="D113" s="74">
        <f>(Table13[[#This Row],[Index]]-B101)/B101</f>
        <v/>
      </c>
    </row>
    <row r="114">
      <c r="A114" s="19" t="n">
        <v>29556</v>
      </c>
      <c r="B114" s="61">
        <f>VLOOKUP(Table13[[#This Row],[Date]],database!A:F,6,)</f>
        <v/>
      </c>
      <c r="C114" s="74">
        <f>B114/B113-1</f>
        <v/>
      </c>
      <c r="D114" s="74">
        <f>(Table13[[#This Row],[Index]]-B102)/B102</f>
        <v/>
      </c>
    </row>
    <row r="115">
      <c r="A115" s="19" t="n">
        <v>29587</v>
      </c>
      <c r="B115" s="61">
        <f>VLOOKUP(Table13[[#This Row],[Date]],database!A:F,6,)</f>
        <v/>
      </c>
      <c r="C115" s="74">
        <f>B115/B114-1</f>
        <v/>
      </c>
      <c r="D115" s="74">
        <f>(Table13[[#This Row],[Index]]-B103)/B103</f>
        <v/>
      </c>
    </row>
    <row r="116">
      <c r="A116" s="19" t="n">
        <v>29618</v>
      </c>
      <c r="B116" s="61">
        <f>VLOOKUP(Table13[[#This Row],[Date]],database!A:F,6,)</f>
        <v/>
      </c>
      <c r="C116" s="74">
        <f>B116/B115-1</f>
        <v/>
      </c>
      <c r="D116" s="74">
        <f>(Table13[[#This Row],[Index]]-B104)/B104</f>
        <v/>
      </c>
    </row>
    <row r="117">
      <c r="A117" s="19" t="n">
        <v>29646</v>
      </c>
      <c r="B117" s="61">
        <f>VLOOKUP(Table13[[#This Row],[Date]],database!A:F,6,)</f>
        <v/>
      </c>
      <c r="C117" s="74">
        <f>B117/B116-1</f>
        <v/>
      </c>
      <c r="D117" s="74">
        <f>(Table13[[#This Row],[Index]]-B105)/B105</f>
        <v/>
      </c>
    </row>
    <row r="118">
      <c r="A118" s="19" t="n">
        <v>29677</v>
      </c>
      <c r="B118" s="61">
        <f>VLOOKUP(Table13[[#This Row],[Date]],database!A:F,6,)</f>
        <v/>
      </c>
      <c r="C118" s="74">
        <f>B118/B117-1</f>
        <v/>
      </c>
      <c r="D118" s="74">
        <f>(Table13[[#This Row],[Index]]-B106)/B106</f>
        <v/>
      </c>
    </row>
    <row r="119">
      <c r="A119" s="19" t="n">
        <v>29707</v>
      </c>
      <c r="B119" s="61">
        <f>VLOOKUP(Table13[[#This Row],[Date]],database!A:F,6,)</f>
        <v/>
      </c>
      <c r="C119" s="74">
        <f>B119/B118-1</f>
        <v/>
      </c>
      <c r="D119" s="74">
        <f>(Table13[[#This Row],[Index]]-B107)/B107</f>
        <v/>
      </c>
    </row>
    <row r="120">
      <c r="A120" s="19" t="n">
        <v>29738</v>
      </c>
      <c r="B120" s="61">
        <f>VLOOKUP(Table13[[#This Row],[Date]],database!A:F,6,)</f>
        <v/>
      </c>
      <c r="C120" s="74">
        <f>B120/B119-1</f>
        <v/>
      </c>
      <c r="D120" s="74">
        <f>(Table13[[#This Row],[Index]]-B108)/B108</f>
        <v/>
      </c>
    </row>
    <row r="121">
      <c r="A121" s="19" t="n">
        <v>29768</v>
      </c>
      <c r="B121" s="61">
        <f>VLOOKUP(Table13[[#This Row],[Date]],database!A:F,6,)</f>
        <v/>
      </c>
      <c r="C121" s="74">
        <f>B121/B120-1</f>
        <v/>
      </c>
      <c r="D121" s="74">
        <f>(Table13[[#This Row],[Index]]-B109)/B109</f>
        <v/>
      </c>
    </row>
    <row r="122">
      <c r="A122" s="19" t="n">
        <v>29799</v>
      </c>
      <c r="B122" s="61">
        <f>VLOOKUP(Table13[[#This Row],[Date]],database!A:F,6,)</f>
        <v/>
      </c>
      <c r="C122" s="74">
        <f>B122/B121-1</f>
        <v/>
      </c>
      <c r="D122" s="74">
        <f>(Table13[[#This Row],[Index]]-B110)/B110</f>
        <v/>
      </c>
    </row>
    <row r="123">
      <c r="A123" s="19" t="n">
        <v>29830</v>
      </c>
      <c r="B123" s="61">
        <f>VLOOKUP(Table13[[#This Row],[Date]],database!A:F,6,)</f>
        <v/>
      </c>
      <c r="C123" s="74">
        <f>B123/B122-1</f>
        <v/>
      </c>
      <c r="D123" s="74">
        <f>(Table13[[#This Row],[Index]]-B111)/B111</f>
        <v/>
      </c>
    </row>
    <row r="124">
      <c r="A124" s="19" t="n">
        <v>29860</v>
      </c>
      <c r="B124" s="61">
        <f>VLOOKUP(Table13[[#This Row],[Date]],database!A:F,6,)</f>
        <v/>
      </c>
      <c r="C124" s="74">
        <f>B124/B123-1</f>
        <v/>
      </c>
      <c r="D124" s="74">
        <f>(Table13[[#This Row],[Index]]-B112)/B112</f>
        <v/>
      </c>
    </row>
    <row r="125">
      <c r="A125" s="19" t="n">
        <v>29891</v>
      </c>
      <c r="B125" s="61">
        <f>VLOOKUP(Table13[[#This Row],[Date]],database!A:F,6,)</f>
        <v/>
      </c>
      <c r="C125" s="74">
        <f>B125/B124-1</f>
        <v/>
      </c>
      <c r="D125" s="74">
        <f>(Table13[[#This Row],[Index]]-B113)/B113</f>
        <v/>
      </c>
    </row>
    <row r="126">
      <c r="A126" s="19" t="n">
        <v>29921</v>
      </c>
      <c r="B126" s="61">
        <f>VLOOKUP(Table13[[#This Row],[Date]],database!A:F,6,)</f>
        <v/>
      </c>
      <c r="C126" s="74">
        <f>B126/B125-1</f>
        <v/>
      </c>
      <c r="D126" s="74">
        <f>(Table13[[#This Row],[Index]]-B114)/B114</f>
        <v/>
      </c>
    </row>
    <row r="127">
      <c r="A127" s="19" t="n">
        <v>29952</v>
      </c>
      <c r="B127" s="61">
        <f>VLOOKUP(Table13[[#This Row],[Date]],database!A:F,6,)</f>
        <v/>
      </c>
      <c r="C127" s="74">
        <f>B127/B126-1</f>
        <v/>
      </c>
      <c r="D127" s="74">
        <f>(Table13[[#This Row],[Index]]-B115)/B115</f>
        <v/>
      </c>
    </row>
    <row r="128">
      <c r="A128" s="19" t="n">
        <v>29983</v>
      </c>
      <c r="B128" s="61">
        <f>VLOOKUP(Table13[[#This Row],[Date]],database!A:F,6,)</f>
        <v/>
      </c>
      <c r="C128" s="74">
        <f>B128/B127-1</f>
        <v/>
      </c>
      <c r="D128" s="74">
        <f>(Table13[[#This Row],[Index]]-B116)/B116</f>
        <v/>
      </c>
    </row>
    <row r="129">
      <c r="A129" s="19" t="n">
        <v>30011</v>
      </c>
      <c r="B129" s="61">
        <f>VLOOKUP(Table13[[#This Row],[Date]],database!A:F,6,)</f>
        <v/>
      </c>
      <c r="C129" s="74">
        <f>B129/B128-1</f>
        <v/>
      </c>
      <c r="D129" s="74">
        <f>(Table13[[#This Row],[Index]]-B117)/B117</f>
        <v/>
      </c>
    </row>
    <row r="130">
      <c r="A130" s="19" t="n">
        <v>30042</v>
      </c>
      <c r="B130" s="61">
        <f>VLOOKUP(Table13[[#This Row],[Date]],database!A:F,6,)</f>
        <v/>
      </c>
      <c r="C130" s="74">
        <f>B130/B129-1</f>
        <v/>
      </c>
      <c r="D130" s="74">
        <f>(Table13[[#This Row],[Index]]-B118)/B118</f>
        <v/>
      </c>
    </row>
    <row r="131">
      <c r="A131" s="19" t="n">
        <v>30072</v>
      </c>
      <c r="B131" s="61">
        <f>VLOOKUP(Table13[[#This Row],[Date]],database!A:F,6,)</f>
        <v/>
      </c>
      <c r="C131" s="74">
        <f>B131/B130-1</f>
        <v/>
      </c>
      <c r="D131" s="74">
        <f>(Table13[[#This Row],[Index]]-B119)/B119</f>
        <v/>
      </c>
    </row>
    <row r="132">
      <c r="A132" s="19" t="n">
        <v>30103</v>
      </c>
      <c r="B132" s="61">
        <f>VLOOKUP(Table13[[#This Row],[Date]],database!A:F,6,)</f>
        <v/>
      </c>
      <c r="C132" s="74">
        <f>B132/B131-1</f>
        <v/>
      </c>
      <c r="D132" s="74">
        <f>(Table13[[#This Row],[Index]]-B120)/B120</f>
        <v/>
      </c>
    </row>
    <row r="133">
      <c r="A133" s="19" t="n">
        <v>30133</v>
      </c>
      <c r="B133" s="61">
        <f>VLOOKUP(Table13[[#This Row],[Date]],database!A:F,6,)</f>
        <v/>
      </c>
      <c r="C133" s="74">
        <f>B133/B132-1</f>
        <v/>
      </c>
      <c r="D133" s="74">
        <f>(Table13[[#This Row],[Index]]-B121)/B121</f>
        <v/>
      </c>
    </row>
    <row r="134">
      <c r="A134" s="19" t="n">
        <v>30164</v>
      </c>
      <c r="B134" s="61">
        <f>VLOOKUP(Table13[[#This Row],[Date]],database!A:F,6,)</f>
        <v/>
      </c>
      <c r="C134" s="74">
        <f>B134/B133-1</f>
        <v/>
      </c>
      <c r="D134" s="74">
        <f>(Table13[[#This Row],[Index]]-B122)/B122</f>
        <v/>
      </c>
    </row>
    <row r="135">
      <c r="A135" s="19" t="n">
        <v>30195</v>
      </c>
      <c r="B135" s="61">
        <f>VLOOKUP(Table13[[#This Row],[Date]],database!A:F,6,)</f>
        <v/>
      </c>
      <c r="C135" s="74">
        <f>B135/B134-1</f>
        <v/>
      </c>
      <c r="D135" s="74">
        <f>(Table13[[#This Row],[Index]]-B123)/B123</f>
        <v/>
      </c>
    </row>
    <row r="136">
      <c r="A136" s="19" t="n">
        <v>30225</v>
      </c>
      <c r="B136" s="61">
        <f>VLOOKUP(Table13[[#This Row],[Date]],database!A:F,6,)</f>
        <v/>
      </c>
      <c r="C136" s="74">
        <f>B136/B135-1</f>
        <v/>
      </c>
      <c r="D136" s="74">
        <f>(Table13[[#This Row],[Index]]-B124)/B124</f>
        <v/>
      </c>
    </row>
    <row r="137">
      <c r="A137" s="19" t="n">
        <v>30256</v>
      </c>
      <c r="B137" s="61">
        <f>VLOOKUP(Table13[[#This Row],[Date]],database!A:F,6,)</f>
        <v/>
      </c>
      <c r="C137" s="74">
        <f>B137/B136-1</f>
        <v/>
      </c>
      <c r="D137" s="74">
        <f>(Table13[[#This Row],[Index]]-B125)/B125</f>
        <v/>
      </c>
    </row>
    <row r="138">
      <c r="A138" s="19" t="n">
        <v>30286</v>
      </c>
      <c r="B138" s="61">
        <f>VLOOKUP(Table13[[#This Row],[Date]],database!A:F,6,)</f>
        <v/>
      </c>
      <c r="C138" s="74">
        <f>B138/B137-1</f>
        <v/>
      </c>
      <c r="D138" s="74">
        <f>(Table13[[#This Row],[Index]]-B126)/B126</f>
        <v/>
      </c>
    </row>
    <row r="139">
      <c r="A139" s="19" t="n">
        <v>30317</v>
      </c>
      <c r="B139" s="61">
        <f>VLOOKUP(Table13[[#This Row],[Date]],database!A:F,6,)</f>
        <v/>
      </c>
      <c r="C139" s="74">
        <f>B139/B138-1</f>
        <v/>
      </c>
      <c r="D139" s="74">
        <f>(Table13[[#This Row],[Index]]-B127)/B127</f>
        <v/>
      </c>
    </row>
    <row r="140">
      <c r="A140" s="19" t="n">
        <v>30348</v>
      </c>
      <c r="B140" s="61">
        <f>VLOOKUP(Table13[[#This Row],[Date]],database!A:F,6,)</f>
        <v/>
      </c>
      <c r="C140" s="74">
        <f>B140/B139-1</f>
        <v/>
      </c>
      <c r="D140" s="74">
        <f>(Table13[[#This Row],[Index]]-B128)/B128</f>
        <v/>
      </c>
    </row>
    <row r="141">
      <c r="A141" s="19" t="n">
        <v>30376</v>
      </c>
      <c r="B141" s="61">
        <f>VLOOKUP(Table13[[#This Row],[Date]],database!A:F,6,)</f>
        <v/>
      </c>
      <c r="C141" s="74">
        <f>B141/B140-1</f>
        <v/>
      </c>
      <c r="D141" s="74">
        <f>(Table13[[#This Row],[Index]]-B129)/B129</f>
        <v/>
      </c>
    </row>
    <row r="142">
      <c r="A142" s="19" t="n">
        <v>30407</v>
      </c>
      <c r="B142" s="61">
        <f>VLOOKUP(Table13[[#This Row],[Date]],database!A:F,6,)</f>
        <v/>
      </c>
      <c r="C142" s="74">
        <f>B142/B141-1</f>
        <v/>
      </c>
      <c r="D142" s="74">
        <f>(Table13[[#This Row],[Index]]-B130)/B130</f>
        <v/>
      </c>
    </row>
    <row r="143">
      <c r="A143" s="19" t="n">
        <v>30437</v>
      </c>
      <c r="B143" s="61">
        <f>VLOOKUP(Table13[[#This Row],[Date]],database!A:F,6,)</f>
        <v/>
      </c>
      <c r="C143" s="74">
        <f>B143/B142-1</f>
        <v/>
      </c>
      <c r="D143" s="74">
        <f>(Table13[[#This Row],[Index]]-B131)/B131</f>
        <v/>
      </c>
    </row>
    <row r="144">
      <c r="A144" s="19" t="n">
        <v>30468</v>
      </c>
      <c r="B144" s="61">
        <f>VLOOKUP(Table13[[#This Row],[Date]],database!A:F,6,)</f>
        <v/>
      </c>
      <c r="C144" s="74">
        <f>B144/B143-1</f>
        <v/>
      </c>
      <c r="D144" s="74">
        <f>(Table13[[#This Row],[Index]]-B132)/B132</f>
        <v/>
      </c>
    </row>
    <row r="145">
      <c r="A145" s="19" t="n">
        <v>30498</v>
      </c>
      <c r="B145" s="61">
        <f>VLOOKUP(Table13[[#This Row],[Date]],database!A:F,6,)</f>
        <v/>
      </c>
      <c r="C145" s="74">
        <f>B145/B144-1</f>
        <v/>
      </c>
      <c r="D145" s="74">
        <f>(Table13[[#This Row],[Index]]-B133)/B133</f>
        <v/>
      </c>
    </row>
    <row r="146">
      <c r="A146" s="19" t="n">
        <v>30529</v>
      </c>
      <c r="B146" s="61">
        <f>VLOOKUP(Table13[[#This Row],[Date]],database!A:F,6,)</f>
        <v/>
      </c>
      <c r="C146" s="74">
        <f>B146/B145-1</f>
        <v/>
      </c>
      <c r="D146" s="74">
        <f>(Table13[[#This Row],[Index]]-B134)/B134</f>
        <v/>
      </c>
    </row>
    <row r="147">
      <c r="A147" s="19" t="n">
        <v>30560</v>
      </c>
      <c r="B147" s="61">
        <f>VLOOKUP(Table13[[#This Row],[Date]],database!A:F,6,)</f>
        <v/>
      </c>
      <c r="C147" s="74">
        <f>B147/B146-1</f>
        <v/>
      </c>
      <c r="D147" s="74">
        <f>(Table13[[#This Row],[Index]]-B135)/B135</f>
        <v/>
      </c>
    </row>
    <row r="148">
      <c r="A148" s="19" t="n">
        <v>30590</v>
      </c>
      <c r="B148" s="61">
        <f>VLOOKUP(Table13[[#This Row],[Date]],database!A:F,6,)</f>
        <v/>
      </c>
      <c r="C148" s="74">
        <f>B148/B147-1</f>
        <v/>
      </c>
      <c r="D148" s="74">
        <f>(Table13[[#This Row],[Index]]-B136)/B136</f>
        <v/>
      </c>
    </row>
    <row r="149">
      <c r="A149" s="19" t="n">
        <v>30621</v>
      </c>
      <c r="B149" s="61">
        <f>VLOOKUP(Table13[[#This Row],[Date]],database!A:F,6,)</f>
        <v/>
      </c>
      <c r="C149" s="74">
        <f>B149/B148-1</f>
        <v/>
      </c>
      <c r="D149" s="74">
        <f>(Table13[[#This Row],[Index]]-B137)/B137</f>
        <v/>
      </c>
    </row>
    <row r="150">
      <c r="A150" s="19" t="n">
        <v>30651</v>
      </c>
      <c r="B150" s="61">
        <f>VLOOKUP(Table13[[#This Row],[Date]],database!A:F,6,)</f>
        <v/>
      </c>
      <c r="C150" s="74">
        <f>B150/B149-1</f>
        <v/>
      </c>
      <c r="D150" s="74">
        <f>(Table13[[#This Row],[Index]]-B138)/B138</f>
        <v/>
      </c>
    </row>
    <row r="151">
      <c r="A151" s="19" t="n">
        <v>30682</v>
      </c>
      <c r="B151" s="61">
        <f>VLOOKUP(Table13[[#This Row],[Date]],database!A:F,6,)</f>
        <v/>
      </c>
      <c r="C151" s="74">
        <f>B151/B150-1</f>
        <v/>
      </c>
      <c r="D151" s="74">
        <f>(Table13[[#This Row],[Index]]-B139)/B139</f>
        <v/>
      </c>
    </row>
    <row r="152">
      <c r="A152" s="19" t="n">
        <v>30713</v>
      </c>
      <c r="B152" s="61">
        <f>VLOOKUP(Table13[[#This Row],[Date]],database!A:F,6,)</f>
        <v/>
      </c>
      <c r="C152" s="74">
        <f>B152/B151-1</f>
        <v/>
      </c>
      <c r="D152" s="74">
        <f>(Table13[[#This Row],[Index]]-B140)/B140</f>
        <v/>
      </c>
    </row>
    <row r="153">
      <c r="A153" s="19" t="n">
        <v>30742</v>
      </c>
      <c r="B153" s="61">
        <f>VLOOKUP(Table13[[#This Row],[Date]],database!A:F,6,)</f>
        <v/>
      </c>
      <c r="C153" s="74">
        <f>B153/B152-1</f>
        <v/>
      </c>
      <c r="D153" s="74">
        <f>(Table13[[#This Row],[Index]]-B141)/B141</f>
        <v/>
      </c>
    </row>
    <row r="154">
      <c r="A154" s="19" t="n">
        <v>30773</v>
      </c>
      <c r="B154" s="61">
        <f>VLOOKUP(Table13[[#This Row],[Date]],database!A:F,6,)</f>
        <v/>
      </c>
      <c r="C154" s="74">
        <f>B154/B153-1</f>
        <v/>
      </c>
      <c r="D154" s="74">
        <f>(Table13[[#This Row],[Index]]-B142)/B142</f>
        <v/>
      </c>
    </row>
    <row r="155">
      <c r="A155" s="19" t="n">
        <v>30803</v>
      </c>
      <c r="B155" s="61">
        <f>VLOOKUP(Table13[[#This Row],[Date]],database!A:F,6,)</f>
        <v/>
      </c>
      <c r="C155" s="74">
        <f>B155/B154-1</f>
        <v/>
      </c>
      <c r="D155" s="74">
        <f>(Table13[[#This Row],[Index]]-B143)/B143</f>
        <v/>
      </c>
    </row>
    <row r="156">
      <c r="A156" s="19" t="n">
        <v>30834</v>
      </c>
      <c r="B156" s="61">
        <f>VLOOKUP(Table13[[#This Row],[Date]],database!A:F,6,)</f>
        <v/>
      </c>
      <c r="C156" s="74">
        <f>B156/B155-1</f>
        <v/>
      </c>
      <c r="D156" s="74">
        <f>(Table13[[#This Row],[Index]]-B144)/B144</f>
        <v/>
      </c>
    </row>
    <row r="157">
      <c r="A157" s="19" t="n">
        <v>30864</v>
      </c>
      <c r="B157" s="61">
        <f>VLOOKUP(Table13[[#This Row],[Date]],database!A:F,6,)</f>
        <v/>
      </c>
      <c r="C157" s="74">
        <f>B157/B156-1</f>
        <v/>
      </c>
      <c r="D157" s="74">
        <f>(Table13[[#This Row],[Index]]-B145)/B145</f>
        <v/>
      </c>
    </row>
    <row r="158">
      <c r="A158" s="19" t="n">
        <v>30895</v>
      </c>
      <c r="B158" s="61">
        <f>VLOOKUP(Table13[[#This Row],[Date]],database!A:F,6,)</f>
        <v/>
      </c>
      <c r="C158" s="74">
        <f>B158/B157-1</f>
        <v/>
      </c>
      <c r="D158" s="74">
        <f>(Table13[[#This Row],[Index]]-B146)/B146</f>
        <v/>
      </c>
    </row>
    <row r="159">
      <c r="A159" s="19" t="n">
        <v>30926</v>
      </c>
      <c r="B159" s="61">
        <f>VLOOKUP(Table13[[#This Row],[Date]],database!A:F,6,)</f>
        <v/>
      </c>
      <c r="C159" s="74">
        <f>B159/B158-1</f>
        <v/>
      </c>
      <c r="D159" s="74">
        <f>(Table13[[#This Row],[Index]]-B147)/B147</f>
        <v/>
      </c>
    </row>
    <row r="160">
      <c r="A160" s="19" t="n">
        <v>30956</v>
      </c>
      <c r="B160" s="61">
        <f>VLOOKUP(Table13[[#This Row],[Date]],database!A:F,6,)</f>
        <v/>
      </c>
      <c r="C160" s="74">
        <f>B160/B159-1</f>
        <v/>
      </c>
      <c r="D160" s="74">
        <f>(Table13[[#This Row],[Index]]-B148)/B148</f>
        <v/>
      </c>
    </row>
    <row r="161">
      <c r="A161" s="19" t="n">
        <v>30987</v>
      </c>
      <c r="B161" s="61">
        <f>VLOOKUP(Table13[[#This Row],[Date]],database!A:F,6,)</f>
        <v/>
      </c>
      <c r="C161" s="74">
        <f>B161/B160-1</f>
        <v/>
      </c>
      <c r="D161" s="74">
        <f>(Table13[[#This Row],[Index]]-B149)/B149</f>
        <v/>
      </c>
    </row>
    <row r="162">
      <c r="A162" s="19" t="n">
        <v>31017</v>
      </c>
      <c r="B162" s="61">
        <f>VLOOKUP(Table13[[#This Row],[Date]],database!A:F,6,)</f>
        <v/>
      </c>
      <c r="C162" s="74">
        <f>B162/B161-1</f>
        <v/>
      </c>
      <c r="D162" s="74">
        <f>(Table13[[#This Row],[Index]]-B150)/B150</f>
        <v/>
      </c>
    </row>
    <row r="163">
      <c r="A163" s="19" t="n">
        <v>31048</v>
      </c>
      <c r="B163" s="61">
        <f>VLOOKUP(Table13[[#This Row],[Date]],database!A:F,6,)</f>
        <v/>
      </c>
      <c r="C163" s="74">
        <f>B163/B162-1</f>
        <v/>
      </c>
      <c r="D163" s="74">
        <f>(Table13[[#This Row],[Index]]-B151)/B151</f>
        <v/>
      </c>
    </row>
    <row r="164">
      <c r="A164" s="19" t="n">
        <v>31079</v>
      </c>
      <c r="B164" s="61">
        <f>VLOOKUP(Table13[[#This Row],[Date]],database!A:F,6,)</f>
        <v/>
      </c>
      <c r="C164" s="74">
        <f>B164/B163-1</f>
        <v/>
      </c>
      <c r="D164" s="74">
        <f>(Table13[[#This Row],[Index]]-B152)/B152</f>
        <v/>
      </c>
    </row>
    <row r="165">
      <c r="A165" s="19" t="n">
        <v>31107</v>
      </c>
      <c r="B165" s="61">
        <f>VLOOKUP(Table13[[#This Row],[Date]],database!A:F,6,)</f>
        <v/>
      </c>
      <c r="C165" s="74">
        <f>B165/B164-1</f>
        <v/>
      </c>
      <c r="D165" s="74">
        <f>(Table13[[#This Row],[Index]]-B153)/B153</f>
        <v/>
      </c>
    </row>
    <row r="166">
      <c r="A166" s="19" t="n">
        <v>31138</v>
      </c>
      <c r="B166" s="61">
        <f>VLOOKUP(Table13[[#This Row],[Date]],database!A:F,6,)</f>
        <v/>
      </c>
      <c r="C166" s="74">
        <f>B166/B165-1</f>
        <v/>
      </c>
      <c r="D166" s="74">
        <f>(Table13[[#This Row],[Index]]-B154)/B154</f>
        <v/>
      </c>
    </row>
    <row r="167">
      <c r="A167" s="19" t="n">
        <v>31168</v>
      </c>
      <c r="B167" s="61">
        <f>VLOOKUP(Table13[[#This Row],[Date]],database!A:F,6,)</f>
        <v/>
      </c>
      <c r="C167" s="74">
        <f>B167/B166-1</f>
        <v/>
      </c>
      <c r="D167" s="74">
        <f>(Table13[[#This Row],[Index]]-B155)/B155</f>
        <v/>
      </c>
    </row>
    <row r="168">
      <c r="A168" s="19" t="n">
        <v>31199</v>
      </c>
      <c r="B168" s="61">
        <f>VLOOKUP(Table13[[#This Row],[Date]],database!A:F,6,)</f>
        <v/>
      </c>
      <c r="C168" s="74">
        <f>B168/B167-1</f>
        <v/>
      </c>
      <c r="D168" s="74">
        <f>(Table13[[#This Row],[Index]]-B156)/B156</f>
        <v/>
      </c>
    </row>
    <row r="169">
      <c r="A169" s="19" t="n">
        <v>31229</v>
      </c>
      <c r="B169" s="61">
        <f>VLOOKUP(Table13[[#This Row],[Date]],database!A:F,6,)</f>
        <v/>
      </c>
      <c r="C169" s="74">
        <f>B169/B168-1</f>
        <v/>
      </c>
      <c r="D169" s="74">
        <f>(Table13[[#This Row],[Index]]-B157)/B157</f>
        <v/>
      </c>
    </row>
    <row r="170">
      <c r="A170" s="19" t="n">
        <v>31260</v>
      </c>
      <c r="B170" s="61">
        <f>VLOOKUP(Table13[[#This Row],[Date]],database!A:F,6,)</f>
        <v/>
      </c>
      <c r="C170" s="74">
        <f>B170/B169-1</f>
        <v/>
      </c>
      <c r="D170" s="74">
        <f>(Table13[[#This Row],[Index]]-B158)/B158</f>
        <v/>
      </c>
    </row>
    <row r="171">
      <c r="A171" s="19" t="n">
        <v>31291</v>
      </c>
      <c r="B171" s="61">
        <f>VLOOKUP(Table13[[#This Row],[Date]],database!A:F,6,)</f>
        <v/>
      </c>
      <c r="C171" s="74">
        <f>B171/B170-1</f>
        <v/>
      </c>
      <c r="D171" s="74">
        <f>(Table13[[#This Row],[Index]]-B159)/B159</f>
        <v/>
      </c>
    </row>
    <row r="172">
      <c r="A172" s="19" t="n">
        <v>31321</v>
      </c>
      <c r="B172" s="61">
        <f>VLOOKUP(Table13[[#This Row],[Date]],database!A:F,6,)</f>
        <v/>
      </c>
      <c r="C172" s="74">
        <f>B172/B171-1</f>
        <v/>
      </c>
      <c r="D172" s="74">
        <f>(Table13[[#This Row],[Index]]-B160)/B160</f>
        <v/>
      </c>
    </row>
    <row r="173">
      <c r="A173" s="19" t="n">
        <v>31352</v>
      </c>
      <c r="B173" s="61">
        <f>VLOOKUP(Table13[[#This Row],[Date]],database!A:F,6,)</f>
        <v/>
      </c>
      <c r="C173" s="74">
        <f>B173/B172-1</f>
        <v/>
      </c>
      <c r="D173" s="74">
        <f>(Table13[[#This Row],[Index]]-B161)/B161</f>
        <v/>
      </c>
    </row>
    <row r="174">
      <c r="A174" s="19" t="n">
        <v>31382</v>
      </c>
      <c r="B174" s="61">
        <f>VLOOKUP(Table13[[#This Row],[Date]],database!A:F,6,)</f>
        <v/>
      </c>
      <c r="C174" s="74">
        <f>B174/B173-1</f>
        <v/>
      </c>
      <c r="D174" s="74">
        <f>(Table13[[#This Row],[Index]]-B162)/B162</f>
        <v/>
      </c>
    </row>
    <row r="175">
      <c r="A175" s="19" t="n">
        <v>31413</v>
      </c>
      <c r="B175" s="61">
        <f>VLOOKUP(Table13[[#This Row],[Date]],database!A:F,6,)</f>
        <v/>
      </c>
      <c r="C175" s="74">
        <f>B175/B174-1</f>
        <v/>
      </c>
      <c r="D175" s="74">
        <f>(Table13[[#This Row],[Index]]-B163)/B163</f>
        <v/>
      </c>
    </row>
    <row r="176">
      <c r="A176" s="19" t="n">
        <v>31444</v>
      </c>
      <c r="B176" s="61">
        <f>VLOOKUP(Table13[[#This Row],[Date]],database!A:F,6,)</f>
        <v/>
      </c>
      <c r="C176" s="74">
        <f>B176/B175-1</f>
        <v/>
      </c>
      <c r="D176" s="74">
        <f>(Table13[[#This Row],[Index]]-B164)/B164</f>
        <v/>
      </c>
    </row>
    <row r="177">
      <c r="A177" s="19" t="n">
        <v>31472</v>
      </c>
      <c r="B177" s="61">
        <f>VLOOKUP(Table13[[#This Row],[Date]],database!A:F,6,)</f>
        <v/>
      </c>
      <c r="C177" s="74">
        <f>B177/B176-1</f>
        <v/>
      </c>
      <c r="D177" s="74">
        <f>(Table13[[#This Row],[Index]]-B165)/B165</f>
        <v/>
      </c>
    </row>
    <row r="178">
      <c r="A178" s="19" t="n">
        <v>31503</v>
      </c>
      <c r="B178" s="61">
        <f>VLOOKUP(Table13[[#This Row],[Date]],database!A:F,6,)</f>
        <v/>
      </c>
      <c r="C178" s="74">
        <f>B178/B177-1</f>
        <v/>
      </c>
      <c r="D178" s="74">
        <f>(Table13[[#This Row],[Index]]-B166)/B166</f>
        <v/>
      </c>
    </row>
    <row r="179">
      <c r="A179" s="19" t="n">
        <v>31533</v>
      </c>
      <c r="B179" s="61">
        <f>VLOOKUP(Table13[[#This Row],[Date]],database!A:F,6,)</f>
        <v/>
      </c>
      <c r="C179" s="74">
        <f>B179/B178-1</f>
        <v/>
      </c>
      <c r="D179" s="74">
        <f>(Table13[[#This Row],[Index]]-B167)/B167</f>
        <v/>
      </c>
    </row>
    <row r="180">
      <c r="A180" s="19" t="n">
        <v>31564</v>
      </c>
      <c r="B180" s="61">
        <f>VLOOKUP(Table13[[#This Row],[Date]],database!A:F,6,)</f>
        <v/>
      </c>
      <c r="C180" s="74">
        <f>B180/B179-1</f>
        <v/>
      </c>
      <c r="D180" s="74">
        <f>(Table13[[#This Row],[Index]]-B168)/B168</f>
        <v/>
      </c>
    </row>
    <row r="181">
      <c r="A181" s="19" t="n">
        <v>31594</v>
      </c>
      <c r="B181" s="61">
        <f>VLOOKUP(Table13[[#This Row],[Date]],database!A:F,6,)</f>
        <v/>
      </c>
      <c r="C181" s="74">
        <f>B181/B180-1</f>
        <v/>
      </c>
      <c r="D181" s="74">
        <f>(Table13[[#This Row],[Index]]-B169)/B169</f>
        <v/>
      </c>
    </row>
    <row r="182">
      <c r="A182" s="19" t="n">
        <v>31625</v>
      </c>
      <c r="B182" s="61">
        <f>VLOOKUP(Table13[[#This Row],[Date]],database!A:F,6,)</f>
        <v/>
      </c>
      <c r="C182" s="74">
        <f>B182/B181-1</f>
        <v/>
      </c>
      <c r="D182" s="74">
        <f>(Table13[[#This Row],[Index]]-B170)/B170</f>
        <v/>
      </c>
    </row>
    <row r="183">
      <c r="A183" s="19" t="n">
        <v>31656</v>
      </c>
      <c r="B183" s="61">
        <f>VLOOKUP(Table13[[#This Row],[Date]],database!A:F,6,)</f>
        <v/>
      </c>
      <c r="C183" s="74">
        <f>B183/B182-1</f>
        <v/>
      </c>
      <c r="D183" s="74">
        <f>(Table13[[#This Row],[Index]]-B171)/B171</f>
        <v/>
      </c>
    </row>
    <row r="184">
      <c r="A184" s="19" t="n">
        <v>31686</v>
      </c>
      <c r="B184" s="61">
        <f>VLOOKUP(Table13[[#This Row],[Date]],database!A:F,6,)</f>
        <v/>
      </c>
      <c r="C184" s="74">
        <f>B184/B183-1</f>
        <v/>
      </c>
      <c r="D184" s="74">
        <f>(Table13[[#This Row],[Index]]-B172)/B172</f>
        <v/>
      </c>
    </row>
    <row r="185">
      <c r="A185" s="19" t="n">
        <v>31717</v>
      </c>
      <c r="B185" s="61">
        <f>VLOOKUP(Table13[[#This Row],[Date]],database!A:F,6,)</f>
        <v/>
      </c>
      <c r="C185" s="74">
        <f>B185/B184-1</f>
        <v/>
      </c>
      <c r="D185" s="74">
        <f>(Table13[[#This Row],[Index]]-B173)/B173</f>
        <v/>
      </c>
    </row>
    <row r="186">
      <c r="A186" s="19" t="n">
        <v>31747</v>
      </c>
      <c r="B186" s="61">
        <f>VLOOKUP(Table13[[#This Row],[Date]],database!A:F,6,)</f>
        <v/>
      </c>
      <c r="C186" s="74">
        <f>B186/B185-1</f>
        <v/>
      </c>
      <c r="D186" s="74">
        <f>(Table13[[#This Row],[Index]]-B174)/B174</f>
        <v/>
      </c>
    </row>
    <row r="187">
      <c r="A187" s="19" t="n">
        <v>31778</v>
      </c>
      <c r="B187" s="61">
        <f>VLOOKUP(Table13[[#This Row],[Date]],database!A:F,6,)</f>
        <v/>
      </c>
      <c r="C187" s="74">
        <f>B187/B186-1</f>
        <v/>
      </c>
      <c r="D187" s="74">
        <f>(Table13[[#This Row],[Index]]-B175)/B175</f>
        <v/>
      </c>
    </row>
    <row r="188">
      <c r="A188" s="19" t="n">
        <v>31809</v>
      </c>
      <c r="B188" s="61">
        <f>VLOOKUP(Table13[[#This Row],[Date]],database!A:F,6,)</f>
        <v/>
      </c>
      <c r="C188" s="74">
        <f>B188/B187-1</f>
        <v/>
      </c>
      <c r="D188" s="74">
        <f>(Table13[[#This Row],[Index]]-B176)/B176</f>
        <v/>
      </c>
    </row>
    <row r="189">
      <c r="A189" s="19" t="n">
        <v>31837</v>
      </c>
      <c r="B189" s="61">
        <f>VLOOKUP(Table13[[#This Row],[Date]],database!A:F,6,)</f>
        <v/>
      </c>
      <c r="C189" s="74">
        <f>B189/B188-1</f>
        <v/>
      </c>
      <c r="D189" s="74">
        <f>(Table13[[#This Row],[Index]]-B177)/B177</f>
        <v/>
      </c>
    </row>
    <row r="190">
      <c r="A190" s="19" t="n">
        <v>31868</v>
      </c>
      <c r="B190" s="61">
        <f>VLOOKUP(Table13[[#This Row],[Date]],database!A:F,6,)</f>
        <v/>
      </c>
      <c r="C190" s="74">
        <f>B190/B189-1</f>
        <v/>
      </c>
      <c r="D190" s="74">
        <f>(Table13[[#This Row],[Index]]-B178)/B178</f>
        <v/>
      </c>
    </row>
    <row r="191">
      <c r="A191" s="19" t="n">
        <v>31898</v>
      </c>
      <c r="B191" s="61">
        <f>VLOOKUP(Table13[[#This Row],[Date]],database!A:F,6,)</f>
        <v/>
      </c>
      <c r="C191" s="74">
        <f>B191/B190-1</f>
        <v/>
      </c>
      <c r="D191" s="74">
        <f>(Table13[[#This Row],[Index]]-B179)/B179</f>
        <v/>
      </c>
    </row>
    <row r="192">
      <c r="A192" s="19" t="n">
        <v>31929</v>
      </c>
      <c r="B192" s="61">
        <f>VLOOKUP(Table13[[#This Row],[Date]],database!A:F,6,)</f>
        <v/>
      </c>
      <c r="C192" s="74">
        <f>B192/B191-1</f>
        <v/>
      </c>
      <c r="D192" s="74">
        <f>(Table13[[#This Row],[Index]]-B180)/B180</f>
        <v/>
      </c>
    </row>
    <row r="193">
      <c r="A193" s="19" t="n">
        <v>31959</v>
      </c>
      <c r="B193" s="61">
        <f>VLOOKUP(Table13[[#This Row],[Date]],database!A:F,6,)</f>
        <v/>
      </c>
      <c r="C193" s="74">
        <f>B193/B192-1</f>
        <v/>
      </c>
      <c r="D193" s="74">
        <f>(Table13[[#This Row],[Index]]-B181)/B181</f>
        <v/>
      </c>
    </row>
    <row r="194">
      <c r="A194" s="19" t="n">
        <v>31990</v>
      </c>
      <c r="B194" s="61">
        <f>VLOOKUP(Table13[[#This Row],[Date]],database!A:F,6,)</f>
        <v/>
      </c>
      <c r="C194" s="74">
        <f>B194/B193-1</f>
        <v/>
      </c>
      <c r="D194" s="74">
        <f>(Table13[[#This Row],[Index]]-B182)/B182</f>
        <v/>
      </c>
    </row>
    <row r="195">
      <c r="A195" s="19" t="n">
        <v>32021</v>
      </c>
      <c r="B195" s="61">
        <f>VLOOKUP(Table13[[#This Row],[Date]],database!A:F,6,)</f>
        <v/>
      </c>
      <c r="C195" s="74">
        <f>B195/B194-1</f>
        <v/>
      </c>
      <c r="D195" s="74">
        <f>(Table13[[#This Row],[Index]]-B183)/B183</f>
        <v/>
      </c>
    </row>
    <row r="196">
      <c r="A196" s="19" t="n">
        <v>32051</v>
      </c>
      <c r="B196" s="61">
        <f>VLOOKUP(Table13[[#This Row],[Date]],database!A:F,6,)</f>
        <v/>
      </c>
      <c r="C196" s="74">
        <f>B196/B195-1</f>
        <v/>
      </c>
      <c r="D196" s="74">
        <f>(Table13[[#This Row],[Index]]-B184)/B184</f>
        <v/>
      </c>
    </row>
    <row r="197">
      <c r="A197" s="19" t="n">
        <v>32082</v>
      </c>
      <c r="B197" s="61">
        <f>VLOOKUP(Table13[[#This Row],[Date]],database!A:F,6,)</f>
        <v/>
      </c>
      <c r="C197" s="74">
        <f>B197/B196-1</f>
        <v/>
      </c>
      <c r="D197" s="74">
        <f>(Table13[[#This Row],[Index]]-B185)/B185</f>
        <v/>
      </c>
    </row>
    <row r="198">
      <c r="A198" s="19" t="n">
        <v>32112</v>
      </c>
      <c r="B198" s="61">
        <f>VLOOKUP(Table13[[#This Row],[Date]],database!A:F,6,)</f>
        <v/>
      </c>
      <c r="C198" s="74">
        <f>B198/B197-1</f>
        <v/>
      </c>
      <c r="D198" s="74">
        <f>(Table13[[#This Row],[Index]]-B186)/B186</f>
        <v/>
      </c>
    </row>
    <row r="199">
      <c r="A199" s="19" t="n">
        <v>32143</v>
      </c>
      <c r="B199" s="61">
        <f>VLOOKUP(Table13[[#This Row],[Date]],database!A:F,6,)</f>
        <v/>
      </c>
      <c r="C199" s="74">
        <f>B199/B198-1</f>
        <v/>
      </c>
      <c r="D199" s="74">
        <f>(Table13[[#This Row],[Index]]-B187)/B187</f>
        <v/>
      </c>
    </row>
    <row r="200">
      <c r="A200" s="19" t="n">
        <v>32174</v>
      </c>
      <c r="B200" s="61">
        <f>VLOOKUP(Table13[[#This Row],[Date]],database!A:F,6,)</f>
        <v/>
      </c>
      <c r="C200" s="74">
        <f>B200/B199-1</f>
        <v/>
      </c>
      <c r="D200" s="74">
        <f>(Table13[[#This Row],[Index]]-B188)/B188</f>
        <v/>
      </c>
    </row>
    <row r="201">
      <c r="A201" s="19" t="n">
        <v>32203</v>
      </c>
      <c r="B201" s="61">
        <f>VLOOKUP(Table13[[#This Row],[Date]],database!A:F,6,)</f>
        <v/>
      </c>
      <c r="C201" s="74">
        <f>B201/B200-1</f>
        <v/>
      </c>
      <c r="D201" s="74">
        <f>(Table13[[#This Row],[Index]]-B189)/B189</f>
        <v/>
      </c>
    </row>
    <row r="202">
      <c r="A202" s="19" t="n">
        <v>32234</v>
      </c>
      <c r="B202" s="61">
        <f>VLOOKUP(Table13[[#This Row],[Date]],database!A:F,6,)</f>
        <v/>
      </c>
      <c r="C202" s="74">
        <f>B202/B201-1</f>
        <v/>
      </c>
      <c r="D202" s="74">
        <f>(Table13[[#This Row],[Index]]-B190)/B190</f>
        <v/>
      </c>
    </row>
    <row r="203">
      <c r="A203" s="19" t="n">
        <v>32264</v>
      </c>
      <c r="B203" s="61">
        <f>VLOOKUP(Table13[[#This Row],[Date]],database!A:F,6,)</f>
        <v/>
      </c>
      <c r="C203" s="74">
        <f>B203/B202-1</f>
        <v/>
      </c>
      <c r="D203" s="74">
        <f>(Table13[[#This Row],[Index]]-B191)/B191</f>
        <v/>
      </c>
    </row>
    <row r="204">
      <c r="A204" s="19" t="n">
        <v>32295</v>
      </c>
      <c r="B204" s="61">
        <f>VLOOKUP(Table13[[#This Row],[Date]],database!A:F,6,)</f>
        <v/>
      </c>
      <c r="C204" s="74">
        <f>B204/B203-1</f>
        <v/>
      </c>
      <c r="D204" s="74">
        <f>(Table13[[#This Row],[Index]]-B192)/B192</f>
        <v/>
      </c>
    </row>
    <row r="205">
      <c r="A205" s="19" t="n">
        <v>32325</v>
      </c>
      <c r="B205" s="61">
        <f>VLOOKUP(Table13[[#This Row],[Date]],database!A:F,6,)</f>
        <v/>
      </c>
      <c r="C205" s="74">
        <f>B205/B204-1</f>
        <v/>
      </c>
      <c r="D205" s="74">
        <f>(Table13[[#This Row],[Index]]-B193)/B193</f>
        <v/>
      </c>
    </row>
    <row r="206">
      <c r="A206" s="19" t="n">
        <v>32356</v>
      </c>
      <c r="B206" s="61">
        <f>VLOOKUP(Table13[[#This Row],[Date]],database!A:F,6,)</f>
        <v/>
      </c>
      <c r="C206" s="74">
        <f>B206/B205-1</f>
        <v/>
      </c>
      <c r="D206" s="74">
        <f>(Table13[[#This Row],[Index]]-B194)/B194</f>
        <v/>
      </c>
    </row>
    <row r="207">
      <c r="A207" s="19" t="n">
        <v>32387</v>
      </c>
      <c r="B207" s="61">
        <f>VLOOKUP(Table13[[#This Row],[Date]],database!A:F,6,)</f>
        <v/>
      </c>
      <c r="C207" s="74">
        <f>B207/B206-1</f>
        <v/>
      </c>
      <c r="D207" s="74">
        <f>(Table13[[#This Row],[Index]]-B195)/B195</f>
        <v/>
      </c>
    </row>
    <row r="208">
      <c r="A208" s="19" t="n">
        <v>32417</v>
      </c>
      <c r="B208" s="61">
        <f>VLOOKUP(Table13[[#This Row],[Date]],database!A:F,6,)</f>
        <v/>
      </c>
      <c r="C208" s="74">
        <f>B208/B207-1</f>
        <v/>
      </c>
      <c r="D208" s="74">
        <f>(Table13[[#This Row],[Index]]-B196)/B196</f>
        <v/>
      </c>
    </row>
    <row r="209">
      <c r="A209" s="19" t="n">
        <v>32448</v>
      </c>
      <c r="B209" s="61">
        <f>VLOOKUP(Table13[[#This Row],[Date]],database!A:F,6,)</f>
        <v/>
      </c>
      <c r="C209" s="74">
        <f>B209/B208-1</f>
        <v/>
      </c>
      <c r="D209" s="74">
        <f>(Table13[[#This Row],[Index]]-B197)/B197</f>
        <v/>
      </c>
    </row>
    <row r="210">
      <c r="A210" s="19" t="n">
        <v>32478</v>
      </c>
      <c r="B210" s="61">
        <f>VLOOKUP(Table13[[#This Row],[Date]],database!A:F,6,)</f>
        <v/>
      </c>
      <c r="C210" s="74">
        <f>B210/B209-1</f>
        <v/>
      </c>
      <c r="D210" s="74">
        <f>(Table13[[#This Row],[Index]]-B198)/B198</f>
        <v/>
      </c>
    </row>
    <row r="211">
      <c r="A211" s="19" t="n">
        <v>32509</v>
      </c>
      <c r="B211" s="61">
        <f>VLOOKUP(Table13[[#This Row],[Date]],database!A:F,6,)</f>
        <v/>
      </c>
      <c r="C211" s="74">
        <f>B211/B210-1</f>
        <v/>
      </c>
      <c r="D211" s="74">
        <f>(Table13[[#This Row],[Index]]-B199)/B199</f>
        <v/>
      </c>
    </row>
    <row r="212">
      <c r="A212" s="19" t="n">
        <v>32540</v>
      </c>
      <c r="B212" s="61">
        <f>VLOOKUP(Table13[[#This Row],[Date]],database!A:F,6,)</f>
        <v/>
      </c>
      <c r="C212" s="74">
        <f>B212/B211-1</f>
        <v/>
      </c>
      <c r="D212" s="74">
        <f>(Table13[[#This Row],[Index]]-B200)/B200</f>
        <v/>
      </c>
    </row>
    <row r="213">
      <c r="A213" s="19" t="n">
        <v>32568</v>
      </c>
      <c r="B213" s="61">
        <f>VLOOKUP(Table13[[#This Row],[Date]],database!A:F,6,)</f>
        <v/>
      </c>
      <c r="C213" s="74">
        <f>B213/B212-1</f>
        <v/>
      </c>
      <c r="D213" s="74">
        <f>(Table13[[#This Row],[Index]]-B201)/B201</f>
        <v/>
      </c>
    </row>
    <row r="214">
      <c r="A214" s="19" t="n">
        <v>32599</v>
      </c>
      <c r="B214" s="61">
        <f>VLOOKUP(Table13[[#This Row],[Date]],database!A:F,6,)</f>
        <v/>
      </c>
      <c r="C214" s="74">
        <f>B214/B213-1</f>
        <v/>
      </c>
      <c r="D214" s="74">
        <f>(Table13[[#This Row],[Index]]-B202)/B202</f>
        <v/>
      </c>
    </row>
    <row r="215">
      <c r="A215" s="19" t="n">
        <v>32629</v>
      </c>
      <c r="B215" s="61">
        <f>VLOOKUP(Table13[[#This Row],[Date]],database!A:F,6,)</f>
        <v/>
      </c>
      <c r="C215" s="74">
        <f>B215/B214-1</f>
        <v/>
      </c>
      <c r="D215" s="74">
        <f>(Table13[[#This Row],[Index]]-B203)/B203</f>
        <v/>
      </c>
    </row>
    <row r="216">
      <c r="A216" s="19" t="n">
        <v>32660</v>
      </c>
      <c r="B216" s="61">
        <f>VLOOKUP(Table13[[#This Row],[Date]],database!A:F,6,)</f>
        <v/>
      </c>
      <c r="C216" s="74">
        <f>B216/B215-1</f>
        <v/>
      </c>
      <c r="D216" s="74">
        <f>(Table13[[#This Row],[Index]]-B204)/B204</f>
        <v/>
      </c>
    </row>
    <row r="217">
      <c r="A217" s="19" t="n">
        <v>32690</v>
      </c>
      <c r="B217" s="61">
        <f>VLOOKUP(Table13[[#This Row],[Date]],database!A:F,6,)</f>
        <v/>
      </c>
      <c r="C217" s="74">
        <f>B217/B216-1</f>
        <v/>
      </c>
      <c r="D217" s="74">
        <f>(Table13[[#This Row],[Index]]-B205)/B205</f>
        <v/>
      </c>
    </row>
    <row r="218">
      <c r="A218" s="19" t="n">
        <v>32721</v>
      </c>
      <c r="B218" s="61">
        <f>VLOOKUP(Table13[[#This Row],[Date]],database!A:F,6,)</f>
        <v/>
      </c>
      <c r="C218" s="74">
        <f>B218/B217-1</f>
        <v/>
      </c>
      <c r="D218" s="74">
        <f>(Table13[[#This Row],[Index]]-B206)/B206</f>
        <v/>
      </c>
    </row>
    <row r="219">
      <c r="A219" s="19" t="n">
        <v>32752</v>
      </c>
      <c r="B219" s="61">
        <f>VLOOKUP(Table13[[#This Row],[Date]],database!A:F,6,)</f>
        <v/>
      </c>
      <c r="C219" s="74">
        <f>B219/B218-1</f>
        <v/>
      </c>
      <c r="D219" s="74">
        <f>(Table13[[#This Row],[Index]]-B207)/B207</f>
        <v/>
      </c>
    </row>
    <row r="220">
      <c r="A220" s="19" t="n">
        <v>32782</v>
      </c>
      <c r="B220" s="61">
        <f>VLOOKUP(Table13[[#This Row],[Date]],database!A:F,6,)</f>
        <v/>
      </c>
      <c r="C220" s="74">
        <f>B220/B219-1</f>
        <v/>
      </c>
      <c r="D220" s="74">
        <f>(Table13[[#This Row],[Index]]-B208)/B208</f>
        <v/>
      </c>
    </row>
    <row r="221">
      <c r="A221" s="19" t="n">
        <v>32813</v>
      </c>
      <c r="B221" s="61">
        <f>VLOOKUP(Table13[[#This Row],[Date]],database!A:F,6,)</f>
        <v/>
      </c>
      <c r="C221" s="74">
        <f>B221/B220-1</f>
        <v/>
      </c>
      <c r="D221" s="74">
        <f>(Table13[[#This Row],[Index]]-B209)/B209</f>
        <v/>
      </c>
    </row>
    <row r="222">
      <c r="A222" s="19" t="n">
        <v>32843</v>
      </c>
      <c r="B222" s="61">
        <f>VLOOKUP(Table13[[#This Row],[Date]],database!A:F,6,)</f>
        <v/>
      </c>
      <c r="C222" s="74">
        <f>B222/B221-1</f>
        <v/>
      </c>
      <c r="D222" s="74">
        <f>(Table13[[#This Row],[Index]]-B210)/B210</f>
        <v/>
      </c>
    </row>
    <row r="223">
      <c r="A223" s="19" t="n">
        <v>32874</v>
      </c>
      <c r="B223" s="61">
        <f>VLOOKUP(Table13[[#This Row],[Date]],database!A:F,6,)</f>
        <v/>
      </c>
      <c r="C223" s="74">
        <f>B223/B222-1</f>
        <v/>
      </c>
      <c r="D223" s="74">
        <f>(Table13[[#This Row],[Index]]-B211)/B211</f>
        <v/>
      </c>
    </row>
    <row r="224">
      <c r="A224" s="19" t="n">
        <v>32905</v>
      </c>
      <c r="B224" s="61">
        <f>VLOOKUP(Table13[[#This Row],[Date]],database!A:F,6,)</f>
        <v/>
      </c>
      <c r="C224" s="74">
        <f>B224/B223-1</f>
        <v/>
      </c>
      <c r="D224" s="74">
        <f>(Table13[[#This Row],[Index]]-B212)/B212</f>
        <v/>
      </c>
    </row>
    <row r="225">
      <c r="A225" s="19" t="n">
        <v>32933</v>
      </c>
      <c r="B225" s="61">
        <f>VLOOKUP(Table13[[#This Row],[Date]],database!A:F,6,)</f>
        <v/>
      </c>
      <c r="C225" s="74">
        <f>B225/B224-1</f>
        <v/>
      </c>
      <c r="D225" s="74">
        <f>(Table13[[#This Row],[Index]]-B213)/B213</f>
        <v/>
      </c>
    </row>
    <row r="226">
      <c r="A226" s="19" t="n">
        <v>32964</v>
      </c>
      <c r="B226" s="61">
        <f>VLOOKUP(Table13[[#This Row],[Date]],database!A:F,6,)</f>
        <v/>
      </c>
      <c r="C226" s="74">
        <f>B226/B225-1</f>
        <v/>
      </c>
      <c r="D226" s="74">
        <f>(Table13[[#This Row],[Index]]-B214)/B214</f>
        <v/>
      </c>
    </row>
    <row r="227">
      <c r="A227" s="19" t="n">
        <v>32994</v>
      </c>
      <c r="B227" s="61">
        <f>VLOOKUP(Table13[[#This Row],[Date]],database!A:F,6,)</f>
        <v/>
      </c>
      <c r="C227" s="74">
        <f>B227/B226-1</f>
        <v/>
      </c>
      <c r="D227" s="74">
        <f>(Table13[[#This Row],[Index]]-B215)/B215</f>
        <v/>
      </c>
    </row>
    <row r="228">
      <c r="A228" s="19" t="n">
        <v>33025</v>
      </c>
      <c r="B228" s="61">
        <f>VLOOKUP(Table13[[#This Row],[Date]],database!A:F,6,)</f>
        <v/>
      </c>
      <c r="C228" s="74">
        <f>B228/B227-1</f>
        <v/>
      </c>
      <c r="D228" s="74">
        <f>(Table13[[#This Row],[Index]]-B216)/B216</f>
        <v/>
      </c>
    </row>
    <row r="229">
      <c r="A229" s="19" t="n">
        <v>33055</v>
      </c>
      <c r="B229" s="61">
        <f>VLOOKUP(Table13[[#This Row],[Date]],database!A:F,6,)</f>
        <v/>
      </c>
      <c r="C229" s="74">
        <f>B229/B228-1</f>
        <v/>
      </c>
      <c r="D229" s="74">
        <f>(Table13[[#This Row],[Index]]-B217)/B217</f>
        <v/>
      </c>
    </row>
    <row r="230">
      <c r="A230" s="19" t="n">
        <v>33086</v>
      </c>
      <c r="B230" s="61">
        <f>VLOOKUP(Table13[[#This Row],[Date]],database!A:F,6,)</f>
        <v/>
      </c>
      <c r="C230" s="74">
        <f>B230/B229-1</f>
        <v/>
      </c>
      <c r="D230" s="74">
        <f>(Table13[[#This Row],[Index]]-B218)/B218</f>
        <v/>
      </c>
    </row>
    <row r="231">
      <c r="A231" s="19" t="n">
        <v>33117</v>
      </c>
      <c r="B231" s="61">
        <f>VLOOKUP(Table13[[#This Row],[Date]],database!A:F,6,)</f>
        <v/>
      </c>
      <c r="C231" s="74">
        <f>B231/B230-1</f>
        <v/>
      </c>
      <c r="D231" s="74">
        <f>(Table13[[#This Row],[Index]]-B219)/B219</f>
        <v/>
      </c>
    </row>
    <row r="232">
      <c r="A232" s="19" t="n">
        <v>33147</v>
      </c>
      <c r="B232" s="61">
        <f>VLOOKUP(Table13[[#This Row],[Date]],database!A:F,6,)</f>
        <v/>
      </c>
      <c r="C232" s="74">
        <f>B232/B231-1</f>
        <v/>
      </c>
      <c r="D232" s="74">
        <f>(Table13[[#This Row],[Index]]-B220)/B220</f>
        <v/>
      </c>
    </row>
    <row r="233">
      <c r="A233" s="19" t="n">
        <v>33178</v>
      </c>
      <c r="B233" s="61">
        <f>VLOOKUP(Table13[[#This Row],[Date]],database!A:F,6,)</f>
        <v/>
      </c>
      <c r="C233" s="74">
        <f>B233/B232-1</f>
        <v/>
      </c>
      <c r="D233" s="74">
        <f>(Table13[[#This Row],[Index]]-B221)/B221</f>
        <v/>
      </c>
    </row>
    <row r="234">
      <c r="A234" s="19" t="n">
        <v>33208</v>
      </c>
      <c r="B234" s="61">
        <f>VLOOKUP(Table13[[#This Row],[Date]],database!A:F,6,)</f>
        <v/>
      </c>
      <c r="C234" s="74">
        <f>B234/B233-1</f>
        <v/>
      </c>
      <c r="D234" s="74">
        <f>(Table13[[#This Row],[Index]]-B222)/B222</f>
        <v/>
      </c>
    </row>
    <row r="235">
      <c r="A235" s="19" t="n">
        <v>33239</v>
      </c>
      <c r="B235" s="61">
        <f>VLOOKUP(Table13[[#This Row],[Date]],database!A:F,6,)</f>
        <v/>
      </c>
      <c r="C235" s="74">
        <f>B235/B234-1</f>
        <v/>
      </c>
      <c r="D235" s="74">
        <f>(Table13[[#This Row],[Index]]-B223)/B223</f>
        <v/>
      </c>
    </row>
    <row r="236">
      <c r="A236" s="19" t="n">
        <v>33270</v>
      </c>
      <c r="B236" s="61">
        <f>VLOOKUP(Table13[[#This Row],[Date]],database!A:F,6,)</f>
        <v/>
      </c>
      <c r="C236" s="74">
        <f>B236/B235-1</f>
        <v/>
      </c>
      <c r="D236" s="74">
        <f>(Table13[[#This Row],[Index]]-B224)/B224</f>
        <v/>
      </c>
    </row>
    <row r="237">
      <c r="A237" s="19" t="n">
        <v>33298</v>
      </c>
      <c r="B237" s="61">
        <f>VLOOKUP(Table13[[#This Row],[Date]],database!A:F,6,)</f>
        <v/>
      </c>
      <c r="C237" s="74">
        <f>B237/B236-1</f>
        <v/>
      </c>
      <c r="D237" s="74">
        <f>(Table13[[#This Row],[Index]]-B225)/B225</f>
        <v/>
      </c>
    </row>
    <row r="238">
      <c r="A238" s="19" t="n">
        <v>33329</v>
      </c>
      <c r="B238" s="61">
        <f>VLOOKUP(Table13[[#This Row],[Date]],database!A:F,6,)</f>
        <v/>
      </c>
      <c r="C238" s="74">
        <f>B238/B237-1</f>
        <v/>
      </c>
      <c r="D238" s="74">
        <f>(Table13[[#This Row],[Index]]-B226)/B226</f>
        <v/>
      </c>
    </row>
    <row r="239">
      <c r="A239" s="19" t="n">
        <v>33359</v>
      </c>
      <c r="B239" s="61">
        <f>VLOOKUP(Table13[[#This Row],[Date]],database!A:F,6,)</f>
        <v/>
      </c>
      <c r="C239" s="74">
        <f>B239/B238-1</f>
        <v/>
      </c>
      <c r="D239" s="74">
        <f>(Table13[[#This Row],[Index]]-B227)/B227</f>
        <v/>
      </c>
    </row>
    <row r="240">
      <c r="A240" s="19" t="n">
        <v>33390</v>
      </c>
      <c r="B240" s="61">
        <f>VLOOKUP(Table13[[#This Row],[Date]],database!A:F,6,)</f>
        <v/>
      </c>
      <c r="C240" s="74">
        <f>B240/B239-1</f>
        <v/>
      </c>
      <c r="D240" s="74">
        <f>(Table13[[#This Row],[Index]]-B228)/B228</f>
        <v/>
      </c>
    </row>
    <row r="241">
      <c r="A241" s="19" t="n">
        <v>33420</v>
      </c>
      <c r="B241" s="61">
        <f>VLOOKUP(Table13[[#This Row],[Date]],database!A:F,6,)</f>
        <v/>
      </c>
      <c r="C241" s="74">
        <f>B241/B240-1</f>
        <v/>
      </c>
      <c r="D241" s="74">
        <f>(Table13[[#This Row],[Index]]-B229)/B229</f>
        <v/>
      </c>
    </row>
    <row r="242">
      <c r="A242" s="19" t="n">
        <v>33451</v>
      </c>
      <c r="B242" s="61">
        <f>VLOOKUP(Table13[[#This Row],[Date]],database!A:F,6,)</f>
        <v/>
      </c>
      <c r="C242" s="74">
        <f>B242/B241-1</f>
        <v/>
      </c>
      <c r="D242" s="74">
        <f>(Table13[[#This Row],[Index]]-B230)/B230</f>
        <v/>
      </c>
    </row>
    <row r="243">
      <c r="A243" s="19" t="n">
        <v>33482</v>
      </c>
      <c r="B243" s="61">
        <f>VLOOKUP(Table13[[#This Row],[Date]],database!A:F,6,)</f>
        <v/>
      </c>
      <c r="C243" s="74">
        <f>B243/B242-1</f>
        <v/>
      </c>
      <c r="D243" s="74">
        <f>(Table13[[#This Row],[Index]]-B231)/B231</f>
        <v/>
      </c>
    </row>
    <row r="244">
      <c r="A244" s="19" t="n">
        <v>33512</v>
      </c>
      <c r="B244" s="61">
        <f>VLOOKUP(Table13[[#This Row],[Date]],database!A:F,6,)</f>
        <v/>
      </c>
      <c r="C244" s="74">
        <f>B244/B243-1</f>
        <v/>
      </c>
      <c r="D244" s="74">
        <f>(Table13[[#This Row],[Index]]-B232)/B232</f>
        <v/>
      </c>
    </row>
    <row r="245">
      <c r="A245" s="19" t="n">
        <v>33543</v>
      </c>
      <c r="B245" s="61">
        <f>VLOOKUP(Table13[[#This Row],[Date]],database!A:F,6,)</f>
        <v/>
      </c>
      <c r="C245" s="74">
        <f>B245/B244-1</f>
        <v/>
      </c>
      <c r="D245" s="74">
        <f>(Table13[[#This Row],[Index]]-B233)/B233</f>
        <v/>
      </c>
    </row>
    <row r="246">
      <c r="A246" s="19" t="n">
        <v>33573</v>
      </c>
      <c r="B246" s="61">
        <f>VLOOKUP(Table13[[#This Row],[Date]],database!A:F,6,)</f>
        <v/>
      </c>
      <c r="C246" s="74">
        <f>B246/B245-1</f>
        <v/>
      </c>
      <c r="D246" s="74">
        <f>(Table13[[#This Row],[Index]]-B234)/B234</f>
        <v/>
      </c>
    </row>
    <row r="247">
      <c r="A247" s="19" t="n">
        <v>33604</v>
      </c>
      <c r="B247" s="61">
        <f>VLOOKUP(Table13[[#This Row],[Date]],database!A:F,6,)</f>
        <v/>
      </c>
      <c r="C247" s="74">
        <f>B247/B246-1</f>
        <v/>
      </c>
      <c r="D247" s="74">
        <f>(Table13[[#This Row],[Index]]-B235)/B235</f>
        <v/>
      </c>
    </row>
    <row r="248">
      <c r="A248" s="19" t="n">
        <v>33635</v>
      </c>
      <c r="B248" s="61">
        <f>VLOOKUP(Table13[[#This Row],[Date]],database!A:F,6,)</f>
        <v/>
      </c>
      <c r="C248" s="74">
        <f>B248/B247-1</f>
        <v/>
      </c>
      <c r="D248" s="74">
        <f>(Table13[[#This Row],[Index]]-B236)/B236</f>
        <v/>
      </c>
    </row>
    <row r="249">
      <c r="A249" s="19" t="n">
        <v>33664</v>
      </c>
      <c r="B249" s="61">
        <f>VLOOKUP(Table13[[#This Row],[Date]],database!A:F,6,)</f>
        <v/>
      </c>
      <c r="C249" s="74">
        <f>B249/B248-1</f>
        <v/>
      </c>
      <c r="D249" s="74">
        <f>(Table13[[#This Row],[Index]]-B237)/B237</f>
        <v/>
      </c>
    </row>
    <row r="250">
      <c r="A250" s="19" t="n">
        <v>33695</v>
      </c>
      <c r="B250" s="61">
        <f>VLOOKUP(Table13[[#This Row],[Date]],database!A:F,6,)</f>
        <v/>
      </c>
      <c r="C250" s="74">
        <f>B250/B249-1</f>
        <v/>
      </c>
      <c r="D250" s="74">
        <f>(Table13[[#This Row],[Index]]-B238)/B238</f>
        <v/>
      </c>
    </row>
    <row r="251">
      <c r="A251" s="19" t="n">
        <v>33725</v>
      </c>
      <c r="B251" s="61">
        <f>VLOOKUP(Table13[[#This Row],[Date]],database!A:F,6,)</f>
        <v/>
      </c>
      <c r="C251" s="74">
        <f>B251/B250-1</f>
        <v/>
      </c>
      <c r="D251" s="74">
        <f>(Table13[[#This Row],[Index]]-B239)/B239</f>
        <v/>
      </c>
    </row>
    <row r="252">
      <c r="A252" s="19" t="n">
        <v>33756</v>
      </c>
      <c r="B252" s="61">
        <f>VLOOKUP(Table13[[#This Row],[Date]],database!A:F,6,)</f>
        <v/>
      </c>
      <c r="C252" s="74">
        <f>B252/B251-1</f>
        <v/>
      </c>
      <c r="D252" s="74">
        <f>(Table13[[#This Row],[Index]]-B240)/B240</f>
        <v/>
      </c>
    </row>
    <row r="253">
      <c r="A253" s="19" t="n">
        <v>33786</v>
      </c>
      <c r="B253" s="61">
        <f>VLOOKUP(Table13[[#This Row],[Date]],database!A:F,6,)</f>
        <v/>
      </c>
      <c r="C253" s="74">
        <f>B253/B252-1</f>
        <v/>
      </c>
      <c r="D253" s="74">
        <f>(Table13[[#This Row],[Index]]-B241)/B241</f>
        <v/>
      </c>
    </row>
    <row r="254">
      <c r="A254" s="19" t="n">
        <v>33817</v>
      </c>
      <c r="B254" s="61">
        <f>VLOOKUP(Table13[[#This Row],[Date]],database!A:F,6,)</f>
        <v/>
      </c>
      <c r="C254" s="74">
        <f>B254/B253-1</f>
        <v/>
      </c>
      <c r="D254" s="74">
        <f>(Table13[[#This Row],[Index]]-B242)/B242</f>
        <v/>
      </c>
    </row>
    <row r="255">
      <c r="A255" s="19" t="n">
        <v>33848</v>
      </c>
      <c r="B255" s="61">
        <f>VLOOKUP(Table13[[#This Row],[Date]],database!A:F,6,)</f>
        <v/>
      </c>
      <c r="C255" s="74">
        <f>B255/B254-1</f>
        <v/>
      </c>
      <c r="D255" s="74">
        <f>(Table13[[#This Row],[Index]]-B243)/B243</f>
        <v/>
      </c>
    </row>
    <row r="256">
      <c r="A256" s="19" t="n">
        <v>33878</v>
      </c>
      <c r="B256" s="61">
        <f>VLOOKUP(Table13[[#This Row],[Date]],database!A:F,6,)</f>
        <v/>
      </c>
      <c r="C256" s="74">
        <f>B256/B255-1</f>
        <v/>
      </c>
      <c r="D256" s="74">
        <f>(Table13[[#This Row],[Index]]-B244)/B244</f>
        <v/>
      </c>
    </row>
    <row r="257">
      <c r="A257" s="19" t="n">
        <v>33909</v>
      </c>
      <c r="B257" s="61">
        <f>VLOOKUP(Table13[[#This Row],[Date]],database!A:F,6,)</f>
        <v/>
      </c>
      <c r="C257" s="74">
        <f>B257/B256-1</f>
        <v/>
      </c>
      <c r="D257" s="74">
        <f>(Table13[[#This Row],[Index]]-B245)/B245</f>
        <v/>
      </c>
    </row>
    <row r="258">
      <c r="A258" s="19" t="n">
        <v>33939</v>
      </c>
      <c r="B258" s="61">
        <f>VLOOKUP(Table13[[#This Row],[Date]],database!A:F,6,)</f>
        <v/>
      </c>
      <c r="C258" s="74">
        <f>B258/B257-1</f>
        <v/>
      </c>
      <c r="D258" s="74">
        <f>(Table13[[#This Row],[Index]]-B246)/B246</f>
        <v/>
      </c>
    </row>
    <row r="259">
      <c r="A259" s="19" t="n">
        <v>33970</v>
      </c>
      <c r="B259" s="61">
        <f>VLOOKUP(Table13[[#This Row],[Date]],database!A:F,6,)</f>
        <v/>
      </c>
      <c r="C259" s="74">
        <f>B259/B258-1</f>
        <v/>
      </c>
      <c r="D259" s="74">
        <f>(Table13[[#This Row],[Index]]-B247)/B247</f>
        <v/>
      </c>
    </row>
    <row r="260">
      <c r="A260" s="19" t="n">
        <v>34001</v>
      </c>
      <c r="B260" s="61">
        <f>VLOOKUP(Table13[[#This Row],[Date]],database!A:F,6,)</f>
        <v/>
      </c>
      <c r="C260" s="74">
        <f>B260/B259-1</f>
        <v/>
      </c>
      <c r="D260" s="74">
        <f>(Table13[[#This Row],[Index]]-B248)/B248</f>
        <v/>
      </c>
    </row>
    <row r="261">
      <c r="A261" s="19" t="n">
        <v>34029</v>
      </c>
      <c r="B261" s="61">
        <f>VLOOKUP(Table13[[#This Row],[Date]],database!A:F,6,)</f>
        <v/>
      </c>
      <c r="C261" s="74">
        <f>B261/B260-1</f>
        <v/>
      </c>
      <c r="D261" s="74">
        <f>(Table13[[#This Row],[Index]]-B249)/B249</f>
        <v/>
      </c>
    </row>
    <row r="262">
      <c r="A262" s="19" t="n">
        <v>34060</v>
      </c>
      <c r="B262" s="61">
        <f>VLOOKUP(Table13[[#This Row],[Date]],database!A:F,6,)</f>
        <v/>
      </c>
      <c r="C262" s="74">
        <f>B262/B261-1</f>
        <v/>
      </c>
      <c r="D262" s="74">
        <f>(Table13[[#This Row],[Index]]-B250)/B250</f>
        <v/>
      </c>
    </row>
    <row r="263">
      <c r="A263" s="19" t="n">
        <v>34090</v>
      </c>
      <c r="B263" s="61">
        <f>VLOOKUP(Table13[[#This Row],[Date]],database!A:F,6,)</f>
        <v/>
      </c>
      <c r="C263" s="74">
        <f>B263/B262-1</f>
        <v/>
      </c>
      <c r="D263" s="74">
        <f>(Table13[[#This Row],[Index]]-B251)/B251</f>
        <v/>
      </c>
    </row>
    <row r="264">
      <c r="A264" s="19" t="n">
        <v>34121</v>
      </c>
      <c r="B264" s="61">
        <f>VLOOKUP(Table13[[#This Row],[Date]],database!A:F,6,)</f>
        <v/>
      </c>
      <c r="C264" s="74">
        <f>B264/B263-1</f>
        <v/>
      </c>
      <c r="D264" s="74">
        <f>(Table13[[#This Row],[Index]]-B252)/B252</f>
        <v/>
      </c>
    </row>
    <row r="265">
      <c r="A265" s="19" t="n">
        <v>34151</v>
      </c>
      <c r="B265" s="61">
        <f>VLOOKUP(Table13[[#This Row],[Date]],database!A:F,6,)</f>
        <v/>
      </c>
      <c r="C265" s="74">
        <f>B265/B264-1</f>
        <v/>
      </c>
      <c r="D265" s="74">
        <f>(Table13[[#This Row],[Index]]-B253)/B253</f>
        <v/>
      </c>
    </row>
    <row r="266">
      <c r="A266" s="19" t="n">
        <v>34182</v>
      </c>
      <c r="B266" s="61">
        <f>VLOOKUP(Table13[[#This Row],[Date]],database!A:F,6,)</f>
        <v/>
      </c>
      <c r="C266" s="74">
        <f>B266/B265-1</f>
        <v/>
      </c>
      <c r="D266" s="74">
        <f>(Table13[[#This Row],[Index]]-B254)/B254</f>
        <v/>
      </c>
    </row>
    <row r="267">
      <c r="A267" s="19" t="n">
        <v>34213</v>
      </c>
      <c r="B267" s="61">
        <f>VLOOKUP(Table13[[#This Row],[Date]],database!A:F,6,)</f>
        <v/>
      </c>
      <c r="C267" s="74">
        <f>B267/B266-1</f>
        <v/>
      </c>
      <c r="D267" s="74">
        <f>(Table13[[#This Row],[Index]]-B255)/B255</f>
        <v/>
      </c>
    </row>
    <row r="268">
      <c r="A268" s="19" t="n">
        <v>34243</v>
      </c>
      <c r="B268" s="61">
        <f>VLOOKUP(Table13[[#This Row],[Date]],database!A:F,6,)</f>
        <v/>
      </c>
      <c r="C268" s="74">
        <f>B268/B267-1</f>
        <v/>
      </c>
      <c r="D268" s="74">
        <f>(Table13[[#This Row],[Index]]-B256)/B256</f>
        <v/>
      </c>
    </row>
    <row r="269">
      <c r="A269" s="19" t="n">
        <v>34274</v>
      </c>
      <c r="B269" s="61">
        <f>VLOOKUP(Table13[[#This Row],[Date]],database!A:F,6,)</f>
        <v/>
      </c>
      <c r="C269" s="74">
        <f>B269/B268-1</f>
        <v/>
      </c>
      <c r="D269" s="74">
        <f>(Table13[[#This Row],[Index]]-B257)/B257</f>
        <v/>
      </c>
    </row>
    <row r="270">
      <c r="A270" s="19" t="n">
        <v>34304</v>
      </c>
      <c r="B270" s="61">
        <f>VLOOKUP(Table13[[#This Row],[Date]],database!A:F,6,)</f>
        <v/>
      </c>
      <c r="C270" s="74">
        <f>B270/B269-1</f>
        <v/>
      </c>
      <c r="D270" s="74">
        <f>(Table13[[#This Row],[Index]]-B258)/B258</f>
        <v/>
      </c>
    </row>
    <row r="271">
      <c r="A271" s="19" t="n">
        <v>34335</v>
      </c>
      <c r="B271" s="61">
        <f>VLOOKUP(Table13[[#This Row],[Date]],database!A:F,6,)</f>
        <v/>
      </c>
      <c r="C271" s="74">
        <f>B271/B270-1</f>
        <v/>
      </c>
      <c r="D271" s="74">
        <f>(Table13[[#This Row],[Index]]-B259)/B259</f>
        <v/>
      </c>
    </row>
    <row r="272">
      <c r="A272" s="19" t="n">
        <v>34366</v>
      </c>
      <c r="B272" s="61">
        <f>VLOOKUP(Table13[[#This Row],[Date]],database!A:F,6,)</f>
        <v/>
      </c>
      <c r="C272" s="74">
        <f>B272/B271-1</f>
        <v/>
      </c>
      <c r="D272" s="74">
        <f>(Table13[[#This Row],[Index]]-B260)/B260</f>
        <v/>
      </c>
    </row>
    <row r="273">
      <c r="A273" s="19" t="n">
        <v>34394</v>
      </c>
      <c r="B273" s="61">
        <f>VLOOKUP(Table13[[#This Row],[Date]],database!A:F,6,)</f>
        <v/>
      </c>
      <c r="C273" s="74">
        <f>B273/B272-1</f>
        <v/>
      </c>
      <c r="D273" s="74">
        <f>(Table13[[#This Row],[Index]]-B261)/B261</f>
        <v/>
      </c>
    </row>
    <row r="274">
      <c r="A274" s="19" t="n">
        <v>34425</v>
      </c>
      <c r="B274" s="61">
        <f>VLOOKUP(Table13[[#This Row],[Date]],database!A:F,6,)</f>
        <v/>
      </c>
      <c r="C274" s="74">
        <f>B274/B273-1</f>
        <v/>
      </c>
      <c r="D274" s="74">
        <f>(Table13[[#This Row],[Index]]-B262)/B262</f>
        <v/>
      </c>
    </row>
    <row r="275">
      <c r="A275" s="19" t="n">
        <v>34455</v>
      </c>
      <c r="B275" s="61">
        <f>VLOOKUP(Table13[[#This Row],[Date]],database!A:F,6,)</f>
        <v/>
      </c>
      <c r="C275" s="74">
        <f>B275/B274-1</f>
        <v/>
      </c>
      <c r="D275" s="74">
        <f>(Table13[[#This Row],[Index]]-B263)/B263</f>
        <v/>
      </c>
    </row>
    <row r="276">
      <c r="A276" s="19" t="n">
        <v>34486</v>
      </c>
      <c r="B276" s="61">
        <f>VLOOKUP(Table13[[#This Row],[Date]],database!A:F,6,)</f>
        <v/>
      </c>
      <c r="C276" s="74">
        <f>B276/B275-1</f>
        <v/>
      </c>
      <c r="D276" s="74">
        <f>(Table13[[#This Row],[Index]]-B264)/B264</f>
        <v/>
      </c>
    </row>
    <row r="277">
      <c r="A277" s="19" t="n">
        <v>34516</v>
      </c>
      <c r="B277" s="61">
        <f>VLOOKUP(Table13[[#This Row],[Date]],database!A:F,6,)</f>
        <v/>
      </c>
      <c r="C277" s="74">
        <f>B277/B276-1</f>
        <v/>
      </c>
      <c r="D277" s="74">
        <f>(Table13[[#This Row],[Index]]-B265)/B265</f>
        <v/>
      </c>
    </row>
    <row r="278">
      <c r="A278" s="19" t="n">
        <v>34547</v>
      </c>
      <c r="B278" s="61">
        <f>VLOOKUP(Table13[[#This Row],[Date]],database!A:F,6,)</f>
        <v/>
      </c>
      <c r="C278" s="74">
        <f>B278/B277-1</f>
        <v/>
      </c>
      <c r="D278" s="74">
        <f>(Table13[[#This Row],[Index]]-B266)/B266</f>
        <v/>
      </c>
    </row>
    <row r="279">
      <c r="A279" s="19" t="n">
        <v>34578</v>
      </c>
      <c r="B279" s="61">
        <f>VLOOKUP(Table13[[#This Row],[Date]],database!A:F,6,)</f>
        <v/>
      </c>
      <c r="C279" s="74">
        <f>B279/B278-1</f>
        <v/>
      </c>
      <c r="D279" s="74">
        <f>(Table13[[#This Row],[Index]]-B267)/B267</f>
        <v/>
      </c>
    </row>
    <row r="280">
      <c r="A280" s="19" t="n">
        <v>34608</v>
      </c>
      <c r="B280" s="61">
        <f>VLOOKUP(Table13[[#This Row],[Date]],database!A:F,6,)</f>
        <v/>
      </c>
      <c r="C280" s="74">
        <f>B280/B279-1</f>
        <v/>
      </c>
      <c r="D280" s="74">
        <f>(Table13[[#This Row],[Index]]-B268)/B268</f>
        <v/>
      </c>
    </row>
    <row r="281">
      <c r="A281" s="19" t="n">
        <v>34639</v>
      </c>
      <c r="B281" s="61">
        <f>VLOOKUP(Table13[[#This Row],[Date]],database!A:F,6,)</f>
        <v/>
      </c>
      <c r="C281" s="74">
        <f>B281/B280-1</f>
        <v/>
      </c>
      <c r="D281" s="74">
        <f>(Table13[[#This Row],[Index]]-B269)/B269</f>
        <v/>
      </c>
    </row>
    <row r="282">
      <c r="A282" s="19" t="n">
        <v>34669</v>
      </c>
      <c r="B282" s="61">
        <f>VLOOKUP(Table13[[#This Row],[Date]],database!A:F,6,)</f>
        <v/>
      </c>
      <c r="C282" s="74">
        <f>B282/B281-1</f>
        <v/>
      </c>
      <c r="D282" s="74">
        <f>(Table13[[#This Row],[Index]]-B270)/B270</f>
        <v/>
      </c>
    </row>
    <row r="283">
      <c r="A283" s="19" t="n">
        <v>34700</v>
      </c>
      <c r="B283" s="61">
        <f>VLOOKUP(Table13[[#This Row],[Date]],database!A:F,6,)</f>
        <v/>
      </c>
      <c r="C283" s="74">
        <f>B283/B282-1</f>
        <v/>
      </c>
      <c r="D283" s="74">
        <f>(Table13[[#This Row],[Index]]-B271)/B271</f>
        <v/>
      </c>
    </row>
    <row r="284">
      <c r="A284" s="19" t="n">
        <v>34731</v>
      </c>
      <c r="B284" s="61">
        <f>VLOOKUP(Table13[[#This Row],[Date]],database!A:F,6,)</f>
        <v/>
      </c>
      <c r="C284" s="74">
        <f>B284/B283-1</f>
        <v/>
      </c>
      <c r="D284" s="74">
        <f>(Table13[[#This Row],[Index]]-B272)/B272</f>
        <v/>
      </c>
    </row>
    <row r="285">
      <c r="A285" s="19" t="n">
        <v>34759</v>
      </c>
      <c r="B285" s="61">
        <f>VLOOKUP(Table13[[#This Row],[Date]],database!A:F,6,)</f>
        <v/>
      </c>
      <c r="C285" s="74">
        <f>B285/B284-1</f>
        <v/>
      </c>
      <c r="D285" s="74">
        <f>(Table13[[#This Row],[Index]]-B273)/B273</f>
        <v/>
      </c>
    </row>
    <row r="286">
      <c r="A286" s="19" t="n">
        <v>34790</v>
      </c>
      <c r="B286" s="61">
        <f>VLOOKUP(Table13[[#This Row],[Date]],database!A:F,6,)</f>
        <v/>
      </c>
      <c r="C286" s="74">
        <f>B286/B285-1</f>
        <v/>
      </c>
      <c r="D286" s="74">
        <f>(Table13[[#This Row],[Index]]-B274)/B274</f>
        <v/>
      </c>
    </row>
    <row r="287">
      <c r="A287" s="19" t="n">
        <v>34820</v>
      </c>
      <c r="B287" s="61">
        <f>VLOOKUP(Table13[[#This Row],[Date]],database!A:F,6,)</f>
        <v/>
      </c>
      <c r="C287" s="74">
        <f>B287/B286-1</f>
        <v/>
      </c>
      <c r="D287" s="74">
        <f>(Table13[[#This Row],[Index]]-B275)/B275</f>
        <v/>
      </c>
    </row>
    <row r="288">
      <c r="A288" s="19" t="n">
        <v>34851</v>
      </c>
      <c r="B288" s="61">
        <f>VLOOKUP(Table13[[#This Row],[Date]],database!A:F,6,)</f>
        <v/>
      </c>
      <c r="C288" s="74">
        <f>B288/B287-1</f>
        <v/>
      </c>
      <c r="D288" s="74">
        <f>(Table13[[#This Row],[Index]]-B276)/B276</f>
        <v/>
      </c>
    </row>
    <row r="289">
      <c r="A289" s="19" t="n">
        <v>34881</v>
      </c>
      <c r="B289" s="61">
        <f>VLOOKUP(Table13[[#This Row],[Date]],database!A:F,6,)</f>
        <v/>
      </c>
      <c r="C289" s="74">
        <f>B289/B288-1</f>
        <v/>
      </c>
      <c r="D289" s="74">
        <f>(Table13[[#This Row],[Index]]-B277)/B277</f>
        <v/>
      </c>
    </row>
    <row r="290">
      <c r="A290" s="19" t="n">
        <v>34912</v>
      </c>
      <c r="B290" s="61">
        <f>VLOOKUP(Table13[[#This Row],[Date]],database!A:F,6,)</f>
        <v/>
      </c>
      <c r="C290" s="74">
        <f>B290/B289-1</f>
        <v/>
      </c>
      <c r="D290" s="74">
        <f>(Table13[[#This Row],[Index]]-B278)/B278</f>
        <v/>
      </c>
    </row>
    <row r="291">
      <c r="A291" s="19" t="n">
        <v>34943</v>
      </c>
      <c r="B291" s="61">
        <f>VLOOKUP(Table13[[#This Row],[Date]],database!A:F,6,)</f>
        <v/>
      </c>
      <c r="C291" s="74">
        <f>B291/B290-1</f>
        <v/>
      </c>
      <c r="D291" s="74">
        <f>(Table13[[#This Row],[Index]]-B279)/B279</f>
        <v/>
      </c>
    </row>
    <row r="292">
      <c r="A292" s="19" t="n">
        <v>34973</v>
      </c>
      <c r="B292" s="61">
        <f>VLOOKUP(Table13[[#This Row],[Date]],database!A:F,6,)</f>
        <v/>
      </c>
      <c r="C292" s="74">
        <f>B292/B291-1</f>
        <v/>
      </c>
      <c r="D292" s="74">
        <f>(Table13[[#This Row],[Index]]-B280)/B280</f>
        <v/>
      </c>
    </row>
    <row r="293">
      <c r="A293" s="19" t="n">
        <v>35004</v>
      </c>
      <c r="B293" s="61">
        <f>VLOOKUP(Table13[[#This Row],[Date]],database!A:F,6,)</f>
        <v/>
      </c>
      <c r="C293" s="74">
        <f>B293/B292-1</f>
        <v/>
      </c>
      <c r="D293" s="74">
        <f>(Table13[[#This Row],[Index]]-B281)/B281</f>
        <v/>
      </c>
    </row>
    <row r="294">
      <c r="A294" s="19" t="n">
        <v>35034</v>
      </c>
      <c r="B294" s="61">
        <f>VLOOKUP(Table13[[#This Row],[Date]],database!A:F,6,)</f>
        <v/>
      </c>
      <c r="C294" s="74">
        <f>B294/B293-1</f>
        <v/>
      </c>
      <c r="D294" s="74">
        <f>(Table13[[#This Row],[Index]]-B282)/B282</f>
        <v/>
      </c>
    </row>
    <row r="295">
      <c r="A295" s="19" t="n">
        <v>35065</v>
      </c>
      <c r="B295" s="61">
        <f>VLOOKUP(Table13[[#This Row],[Date]],database!A:F,6,)</f>
        <v/>
      </c>
      <c r="C295" s="74">
        <f>B295/B294-1</f>
        <v/>
      </c>
      <c r="D295" s="74">
        <f>(Table13[[#This Row],[Index]]-B283)/B283</f>
        <v/>
      </c>
    </row>
    <row r="296">
      <c r="A296" s="19" t="n">
        <v>35096</v>
      </c>
      <c r="B296" s="61">
        <f>VLOOKUP(Table13[[#This Row],[Date]],database!A:F,6,)</f>
        <v/>
      </c>
      <c r="C296" s="74">
        <f>B296/B295-1</f>
        <v/>
      </c>
      <c r="D296" s="74">
        <f>(Table13[[#This Row],[Index]]-B284)/B284</f>
        <v/>
      </c>
    </row>
    <row r="297">
      <c r="A297" s="19" t="n">
        <v>35125</v>
      </c>
      <c r="B297" s="61">
        <f>VLOOKUP(Table13[[#This Row],[Date]],database!A:F,6,)</f>
        <v/>
      </c>
      <c r="C297" s="74">
        <f>B297/B296-1</f>
        <v/>
      </c>
      <c r="D297" s="74">
        <f>(Table13[[#This Row],[Index]]-B285)/B285</f>
        <v/>
      </c>
    </row>
    <row r="298">
      <c r="A298" s="19" t="n">
        <v>35156</v>
      </c>
      <c r="B298" s="61">
        <f>VLOOKUP(Table13[[#This Row],[Date]],database!A:F,6,)</f>
        <v/>
      </c>
      <c r="C298" s="74">
        <f>B298/B297-1</f>
        <v/>
      </c>
      <c r="D298" s="74">
        <f>(Table13[[#This Row],[Index]]-B286)/B286</f>
        <v/>
      </c>
    </row>
    <row r="299">
      <c r="A299" s="19" t="n">
        <v>35186</v>
      </c>
      <c r="B299" s="61">
        <f>VLOOKUP(Table13[[#This Row],[Date]],database!A:F,6,)</f>
        <v/>
      </c>
      <c r="C299" s="74">
        <f>B299/B298-1</f>
        <v/>
      </c>
      <c r="D299" s="74">
        <f>(Table13[[#This Row],[Index]]-B287)/B287</f>
        <v/>
      </c>
    </row>
    <row r="300">
      <c r="A300" s="19" t="n">
        <v>35217</v>
      </c>
      <c r="B300" s="61">
        <f>VLOOKUP(Table13[[#This Row],[Date]],database!A:F,6,)</f>
        <v/>
      </c>
      <c r="C300" s="74">
        <f>B300/B299-1</f>
        <v/>
      </c>
      <c r="D300" s="74">
        <f>(Table13[[#This Row],[Index]]-B288)/B288</f>
        <v/>
      </c>
    </row>
    <row r="301">
      <c r="A301" s="19" t="n">
        <v>35247</v>
      </c>
      <c r="B301" s="61">
        <f>VLOOKUP(Table13[[#This Row],[Date]],database!A:F,6,)</f>
        <v/>
      </c>
      <c r="C301" s="74">
        <f>B301/B300-1</f>
        <v/>
      </c>
      <c r="D301" s="74">
        <f>(Table13[[#This Row],[Index]]-B289)/B289</f>
        <v/>
      </c>
    </row>
    <row r="302">
      <c r="A302" s="19" t="n">
        <v>35278</v>
      </c>
      <c r="B302" s="61">
        <f>VLOOKUP(Table13[[#This Row],[Date]],database!A:F,6,)</f>
        <v/>
      </c>
      <c r="C302" s="74">
        <f>B302/B301-1</f>
        <v/>
      </c>
      <c r="D302" s="74">
        <f>(Table13[[#This Row],[Index]]-B290)/B290</f>
        <v/>
      </c>
    </row>
    <row r="303">
      <c r="A303" s="19" t="n">
        <v>35309</v>
      </c>
      <c r="B303" s="61">
        <f>VLOOKUP(Table13[[#This Row],[Date]],database!A:F,6,)</f>
        <v/>
      </c>
      <c r="C303" s="74">
        <f>B303/B302-1</f>
        <v/>
      </c>
      <c r="D303" s="74">
        <f>(Table13[[#This Row],[Index]]-B291)/B291</f>
        <v/>
      </c>
    </row>
    <row r="304">
      <c r="A304" s="19" t="n">
        <v>35339</v>
      </c>
      <c r="B304" s="61">
        <f>VLOOKUP(Table13[[#This Row],[Date]],database!A:F,6,)</f>
        <v/>
      </c>
      <c r="C304" s="74">
        <f>B304/B303-1</f>
        <v/>
      </c>
      <c r="D304" s="74">
        <f>(Table13[[#This Row],[Index]]-B292)/B292</f>
        <v/>
      </c>
    </row>
    <row r="305">
      <c r="A305" s="19" t="n">
        <v>35370</v>
      </c>
      <c r="B305" s="61">
        <f>VLOOKUP(Table13[[#This Row],[Date]],database!A:F,6,)</f>
        <v/>
      </c>
      <c r="C305" s="74">
        <f>B305/B304-1</f>
        <v/>
      </c>
      <c r="D305" s="74">
        <f>(Table13[[#This Row],[Index]]-B293)/B293</f>
        <v/>
      </c>
    </row>
    <row r="306">
      <c r="A306" s="19" t="n">
        <v>35400</v>
      </c>
      <c r="B306" s="61">
        <f>VLOOKUP(Table13[[#This Row],[Date]],database!A:F,6,)</f>
        <v/>
      </c>
      <c r="C306" s="74">
        <f>B306/B305-1</f>
        <v/>
      </c>
      <c r="D306" s="74">
        <f>(Table13[[#This Row],[Index]]-B294)/B294</f>
        <v/>
      </c>
    </row>
    <row r="307">
      <c r="A307" s="19" t="n">
        <v>35431</v>
      </c>
      <c r="B307" s="61">
        <f>VLOOKUP(Table13[[#This Row],[Date]],database!A:F,6,)</f>
        <v/>
      </c>
      <c r="C307" s="74">
        <f>B307/B306-1</f>
        <v/>
      </c>
      <c r="D307" s="74">
        <f>(Table13[[#This Row],[Index]]-B295)/B295</f>
        <v/>
      </c>
    </row>
    <row r="308">
      <c r="A308" s="19" t="n">
        <v>35462</v>
      </c>
      <c r="B308" s="61">
        <f>VLOOKUP(Table13[[#This Row],[Date]],database!A:F,6,)</f>
        <v/>
      </c>
      <c r="C308" s="74">
        <f>B308/B307-1</f>
        <v/>
      </c>
      <c r="D308" s="74">
        <f>(Table13[[#This Row],[Index]]-B296)/B296</f>
        <v/>
      </c>
    </row>
    <row r="309">
      <c r="A309" s="19" t="n">
        <v>35490</v>
      </c>
      <c r="B309" s="61">
        <f>VLOOKUP(Table13[[#This Row],[Date]],database!A:F,6,)</f>
        <v/>
      </c>
      <c r="C309" s="74">
        <f>B309/B308-1</f>
        <v/>
      </c>
      <c r="D309" s="74">
        <f>(Table13[[#This Row],[Index]]-B297)/B297</f>
        <v/>
      </c>
    </row>
    <row r="310">
      <c r="A310" s="19" t="n">
        <v>35521</v>
      </c>
      <c r="B310" s="61">
        <f>VLOOKUP(Table13[[#This Row],[Date]],database!A:F,6,)</f>
        <v/>
      </c>
      <c r="C310" s="74">
        <f>B310/B309-1</f>
        <v/>
      </c>
      <c r="D310" s="74">
        <f>(Table13[[#This Row],[Index]]-B298)/B298</f>
        <v/>
      </c>
    </row>
    <row r="311">
      <c r="A311" s="19" t="n">
        <v>35551</v>
      </c>
      <c r="B311" s="61">
        <f>VLOOKUP(Table13[[#This Row],[Date]],database!A:F,6,)</f>
        <v/>
      </c>
      <c r="C311" s="74">
        <f>B311/B310-1</f>
        <v/>
      </c>
      <c r="D311" s="74">
        <f>(Table13[[#This Row],[Index]]-B299)/B299</f>
        <v/>
      </c>
    </row>
    <row r="312">
      <c r="A312" s="19" t="n">
        <v>35582</v>
      </c>
      <c r="B312" s="61">
        <f>VLOOKUP(Table13[[#This Row],[Date]],database!A:F,6,)</f>
        <v/>
      </c>
      <c r="C312" s="74">
        <f>B312/B311-1</f>
        <v/>
      </c>
      <c r="D312" s="74">
        <f>(Table13[[#This Row],[Index]]-B300)/B300</f>
        <v/>
      </c>
    </row>
    <row r="313">
      <c r="A313" s="19" t="n">
        <v>35612</v>
      </c>
      <c r="B313" s="61">
        <f>VLOOKUP(Table13[[#This Row],[Date]],database!A:F,6,)</f>
        <v/>
      </c>
      <c r="C313" s="74">
        <f>B313/B312-1</f>
        <v/>
      </c>
      <c r="D313" s="74">
        <f>(Table13[[#This Row],[Index]]-B301)/B301</f>
        <v/>
      </c>
    </row>
    <row r="314">
      <c r="A314" s="19" t="n">
        <v>35643</v>
      </c>
      <c r="B314" s="61">
        <f>VLOOKUP(Table13[[#This Row],[Date]],database!A:F,6,)</f>
        <v/>
      </c>
      <c r="C314" s="74">
        <f>B314/B313-1</f>
        <v/>
      </c>
      <c r="D314" s="74">
        <f>(Table13[[#This Row],[Index]]-B302)/B302</f>
        <v/>
      </c>
    </row>
    <row r="315">
      <c r="A315" s="19" t="n">
        <v>35674</v>
      </c>
      <c r="B315" s="61">
        <f>VLOOKUP(Table13[[#This Row],[Date]],database!A:F,6,)</f>
        <v/>
      </c>
      <c r="C315" s="74">
        <f>B315/B314-1</f>
        <v/>
      </c>
      <c r="D315" s="74">
        <f>(Table13[[#This Row],[Index]]-B303)/B303</f>
        <v/>
      </c>
    </row>
    <row r="316">
      <c r="A316" s="19" t="n">
        <v>35704</v>
      </c>
      <c r="B316" s="61">
        <f>VLOOKUP(Table13[[#This Row],[Date]],database!A:F,6,)</f>
        <v/>
      </c>
      <c r="C316" s="74">
        <f>B316/B315-1</f>
        <v/>
      </c>
      <c r="D316" s="74">
        <f>(Table13[[#This Row],[Index]]-B304)/B304</f>
        <v/>
      </c>
    </row>
    <row r="317">
      <c r="A317" s="19" t="n">
        <v>35735</v>
      </c>
      <c r="B317" s="61">
        <f>VLOOKUP(Table13[[#This Row],[Date]],database!A:F,6,)</f>
        <v/>
      </c>
      <c r="C317" s="74">
        <f>B317/B316-1</f>
        <v/>
      </c>
      <c r="D317" s="74">
        <f>(Table13[[#This Row],[Index]]-B305)/B305</f>
        <v/>
      </c>
    </row>
    <row r="318">
      <c r="A318" s="19" t="n">
        <v>35765</v>
      </c>
      <c r="B318" s="61">
        <f>VLOOKUP(Table13[[#This Row],[Date]],database!A:F,6,)</f>
        <v/>
      </c>
      <c r="C318" s="74">
        <f>B318/B317-1</f>
        <v/>
      </c>
      <c r="D318" s="74">
        <f>(Table13[[#This Row],[Index]]-B306)/B306</f>
        <v/>
      </c>
    </row>
    <row r="319">
      <c r="A319" s="19" t="n">
        <v>35796</v>
      </c>
      <c r="B319" s="61">
        <f>VLOOKUP(Table13[[#This Row],[Date]],database!A:F,6,)</f>
        <v/>
      </c>
      <c r="C319" s="74">
        <f>B319/B318-1</f>
        <v/>
      </c>
      <c r="D319" s="74">
        <f>(Table13[[#This Row],[Index]]-B307)/B307</f>
        <v/>
      </c>
    </row>
    <row r="320">
      <c r="A320" s="19" t="n">
        <v>35827</v>
      </c>
      <c r="B320" s="61">
        <f>VLOOKUP(Table13[[#This Row],[Date]],database!A:F,6,)</f>
        <v/>
      </c>
      <c r="C320" s="74">
        <f>B320/B319-1</f>
        <v/>
      </c>
      <c r="D320" s="74">
        <f>(Table13[[#This Row],[Index]]-B308)/B308</f>
        <v/>
      </c>
    </row>
    <row r="321">
      <c r="A321" s="19" t="n">
        <v>35855</v>
      </c>
      <c r="B321" s="61">
        <f>VLOOKUP(Table13[[#This Row],[Date]],database!A:F,6,)</f>
        <v/>
      </c>
      <c r="C321" s="74">
        <f>B321/B320-1</f>
        <v/>
      </c>
      <c r="D321" s="74">
        <f>(Table13[[#This Row],[Index]]-B309)/B309</f>
        <v/>
      </c>
    </row>
    <row r="322">
      <c r="A322" s="19" t="n">
        <v>35886</v>
      </c>
      <c r="B322" s="61">
        <f>VLOOKUP(Table13[[#This Row],[Date]],database!A:F,6,)</f>
        <v/>
      </c>
      <c r="C322" s="74">
        <f>B322/B321-1</f>
        <v/>
      </c>
      <c r="D322" s="74">
        <f>(Table13[[#This Row],[Index]]-B310)/B310</f>
        <v/>
      </c>
    </row>
    <row r="323">
      <c r="A323" s="19" t="n">
        <v>35916</v>
      </c>
      <c r="B323" s="61">
        <f>VLOOKUP(Table13[[#This Row],[Date]],database!A:F,6,)</f>
        <v/>
      </c>
      <c r="C323" s="74">
        <f>B323/B322-1</f>
        <v/>
      </c>
      <c r="D323" s="74">
        <f>(Table13[[#This Row],[Index]]-B311)/B311</f>
        <v/>
      </c>
    </row>
    <row r="324">
      <c r="A324" s="19" t="n">
        <v>35947</v>
      </c>
      <c r="B324" s="61">
        <f>VLOOKUP(Table13[[#This Row],[Date]],database!A:F,6,)</f>
        <v/>
      </c>
      <c r="C324" s="74">
        <f>B324/B323-1</f>
        <v/>
      </c>
      <c r="D324" s="74">
        <f>(Table13[[#This Row],[Index]]-B312)/B312</f>
        <v/>
      </c>
    </row>
    <row r="325">
      <c r="A325" s="19" t="n">
        <v>35977</v>
      </c>
      <c r="B325" s="61">
        <f>VLOOKUP(Table13[[#This Row],[Date]],database!A:F,6,)</f>
        <v/>
      </c>
      <c r="C325" s="74">
        <f>B325/B324-1</f>
        <v/>
      </c>
      <c r="D325" s="74">
        <f>(Table13[[#This Row],[Index]]-B313)/B313</f>
        <v/>
      </c>
    </row>
    <row r="326">
      <c r="A326" s="19" t="n">
        <v>36008</v>
      </c>
      <c r="B326" s="61">
        <f>VLOOKUP(Table13[[#This Row],[Date]],database!A:F,6,)</f>
        <v/>
      </c>
      <c r="C326" s="74">
        <f>B326/B325-1</f>
        <v/>
      </c>
      <c r="D326" s="74">
        <f>(Table13[[#This Row],[Index]]-B314)/B314</f>
        <v/>
      </c>
    </row>
    <row r="327">
      <c r="A327" s="19" t="n">
        <v>36039</v>
      </c>
      <c r="B327" s="61">
        <f>VLOOKUP(Table13[[#This Row],[Date]],database!A:F,6,)</f>
        <v/>
      </c>
      <c r="C327" s="74">
        <f>B327/B326-1</f>
        <v/>
      </c>
      <c r="D327" s="74">
        <f>(Table13[[#This Row],[Index]]-B315)/B315</f>
        <v/>
      </c>
    </row>
    <row r="328">
      <c r="A328" s="19" t="n">
        <v>36069</v>
      </c>
      <c r="B328" s="61">
        <f>VLOOKUP(Table13[[#This Row],[Date]],database!A:F,6,)</f>
        <v/>
      </c>
      <c r="C328" s="74">
        <f>B328/B327-1</f>
        <v/>
      </c>
      <c r="D328" s="74">
        <f>(Table13[[#This Row],[Index]]-B316)/B316</f>
        <v/>
      </c>
    </row>
    <row r="329">
      <c r="A329" s="19" t="n">
        <v>36100</v>
      </c>
      <c r="B329" s="61">
        <f>VLOOKUP(Table13[[#This Row],[Date]],database!A:F,6,)</f>
        <v/>
      </c>
      <c r="C329" s="74">
        <f>B329/B328-1</f>
        <v/>
      </c>
      <c r="D329" s="74">
        <f>(Table13[[#This Row],[Index]]-B317)/B317</f>
        <v/>
      </c>
    </row>
    <row r="330">
      <c r="A330" s="19" t="n">
        <v>36130</v>
      </c>
      <c r="B330" s="61">
        <f>VLOOKUP(Table13[[#This Row],[Date]],database!A:F,6,)</f>
        <v/>
      </c>
      <c r="C330" s="74">
        <f>B330/B329-1</f>
        <v/>
      </c>
      <c r="D330" s="74">
        <f>(Table13[[#This Row],[Index]]-B318)/B318</f>
        <v/>
      </c>
    </row>
    <row r="331">
      <c r="A331" s="19" t="n">
        <v>36161</v>
      </c>
      <c r="B331" s="61">
        <f>VLOOKUP(Table13[[#This Row],[Date]],database!A:F,6,)</f>
        <v/>
      </c>
      <c r="C331" s="74">
        <f>B331/B330-1</f>
        <v/>
      </c>
      <c r="D331" s="74">
        <f>(Table13[[#This Row],[Index]]-B319)/B319</f>
        <v/>
      </c>
    </row>
    <row r="332">
      <c r="A332" s="19" t="n">
        <v>36192</v>
      </c>
      <c r="B332" s="61">
        <f>VLOOKUP(Table13[[#This Row],[Date]],database!A:F,6,)</f>
        <v/>
      </c>
      <c r="C332" s="74">
        <f>B332/B331-1</f>
        <v/>
      </c>
      <c r="D332" s="74">
        <f>(Table13[[#This Row],[Index]]-B320)/B320</f>
        <v/>
      </c>
    </row>
    <row r="333">
      <c r="A333" s="19" t="n">
        <v>36220</v>
      </c>
      <c r="B333" s="61">
        <f>VLOOKUP(Table13[[#This Row],[Date]],database!A:F,6,)</f>
        <v/>
      </c>
      <c r="C333" s="74">
        <f>B333/B332-1</f>
        <v/>
      </c>
      <c r="D333" s="74">
        <f>(Table13[[#This Row],[Index]]-B321)/B321</f>
        <v/>
      </c>
    </row>
    <row r="334">
      <c r="A334" s="19" t="n">
        <v>36251</v>
      </c>
      <c r="B334" s="61">
        <f>VLOOKUP(Table13[[#This Row],[Date]],database!A:F,6,)</f>
        <v/>
      </c>
      <c r="C334" s="74">
        <f>B334/B333-1</f>
        <v/>
      </c>
      <c r="D334" s="74">
        <f>(Table13[[#This Row],[Index]]-B322)/B322</f>
        <v/>
      </c>
    </row>
    <row r="335">
      <c r="A335" s="19" t="n">
        <v>36281</v>
      </c>
      <c r="B335" s="61">
        <f>VLOOKUP(Table13[[#This Row],[Date]],database!A:F,6,)</f>
        <v/>
      </c>
      <c r="C335" s="74">
        <f>B335/B334-1</f>
        <v/>
      </c>
      <c r="D335" s="74">
        <f>(Table13[[#This Row],[Index]]-B323)/B323</f>
        <v/>
      </c>
    </row>
    <row r="336">
      <c r="A336" s="19" t="n">
        <v>36312</v>
      </c>
      <c r="B336" s="61">
        <f>VLOOKUP(Table13[[#This Row],[Date]],database!A:F,6,)</f>
        <v/>
      </c>
      <c r="C336" s="74">
        <f>B336/B335-1</f>
        <v/>
      </c>
      <c r="D336" s="74">
        <f>(Table13[[#This Row],[Index]]-B324)/B324</f>
        <v/>
      </c>
    </row>
    <row r="337">
      <c r="A337" s="19" t="n">
        <v>36342</v>
      </c>
      <c r="B337" s="61">
        <f>VLOOKUP(Table13[[#This Row],[Date]],database!A:F,6,)</f>
        <v/>
      </c>
      <c r="C337" s="74">
        <f>B337/B336-1</f>
        <v/>
      </c>
      <c r="D337" s="74">
        <f>(Table13[[#This Row],[Index]]-B325)/B325</f>
        <v/>
      </c>
    </row>
    <row r="338">
      <c r="A338" s="19" t="n">
        <v>36373</v>
      </c>
      <c r="B338" s="61">
        <f>VLOOKUP(Table13[[#This Row],[Date]],database!A:F,6,)</f>
        <v/>
      </c>
      <c r="C338" s="74">
        <f>B338/B337-1</f>
        <v/>
      </c>
      <c r="D338" s="74">
        <f>(Table13[[#This Row],[Index]]-B326)/B326</f>
        <v/>
      </c>
    </row>
    <row r="339">
      <c r="A339" s="19" t="n">
        <v>36404</v>
      </c>
      <c r="B339" s="61">
        <f>VLOOKUP(Table13[[#This Row],[Date]],database!A:F,6,)</f>
        <v/>
      </c>
      <c r="C339" s="74">
        <f>B339/B338-1</f>
        <v/>
      </c>
      <c r="D339" s="74">
        <f>(Table13[[#This Row],[Index]]-B327)/B327</f>
        <v/>
      </c>
    </row>
    <row r="340">
      <c r="A340" s="19" t="n">
        <v>36434</v>
      </c>
      <c r="B340" s="61">
        <f>VLOOKUP(Table13[[#This Row],[Date]],database!A:F,6,)</f>
        <v/>
      </c>
      <c r="C340" s="74">
        <f>B340/B339-1</f>
        <v/>
      </c>
      <c r="D340" s="74">
        <f>(Table13[[#This Row],[Index]]-B328)/B328</f>
        <v/>
      </c>
    </row>
    <row r="341">
      <c r="A341" s="19" t="n">
        <v>36465</v>
      </c>
      <c r="B341" s="61">
        <f>VLOOKUP(Table13[[#This Row],[Date]],database!A:F,6,)</f>
        <v/>
      </c>
      <c r="C341" s="74">
        <f>B341/B340-1</f>
        <v/>
      </c>
      <c r="D341" s="74">
        <f>(Table13[[#This Row],[Index]]-B329)/B329</f>
        <v/>
      </c>
    </row>
    <row r="342">
      <c r="A342" s="19" t="n">
        <v>36495</v>
      </c>
      <c r="B342" s="61">
        <f>VLOOKUP(Table13[[#This Row],[Date]],database!A:F,6,)</f>
        <v/>
      </c>
      <c r="C342" s="74">
        <f>B342/B341-1</f>
        <v/>
      </c>
      <c r="D342" s="74">
        <f>(Table13[[#This Row],[Index]]-B330)/B330</f>
        <v/>
      </c>
    </row>
    <row r="343">
      <c r="A343" s="19" t="n">
        <v>36526</v>
      </c>
      <c r="B343" s="61">
        <f>VLOOKUP(Table13[[#This Row],[Date]],database!A:F,6,)</f>
        <v/>
      </c>
      <c r="C343" s="74">
        <f>B343/B342-1</f>
        <v/>
      </c>
      <c r="D343" s="74">
        <f>(Table13[[#This Row],[Index]]-B331)/B331</f>
        <v/>
      </c>
    </row>
    <row r="344">
      <c r="A344" s="19" t="n">
        <v>36557</v>
      </c>
      <c r="B344" s="61">
        <f>VLOOKUP(Table13[[#This Row],[Date]],database!A:F,6,)</f>
        <v/>
      </c>
      <c r="C344" s="74">
        <f>B344/B343-1</f>
        <v/>
      </c>
      <c r="D344" s="74">
        <f>(Table13[[#This Row],[Index]]-B332)/B332</f>
        <v/>
      </c>
    </row>
    <row r="345">
      <c r="A345" s="19" t="n">
        <v>36586</v>
      </c>
      <c r="B345" s="61">
        <f>VLOOKUP(Table13[[#This Row],[Date]],database!A:F,6,)</f>
        <v/>
      </c>
      <c r="C345" s="74">
        <f>B345/B344-1</f>
        <v/>
      </c>
      <c r="D345" s="74">
        <f>(Table13[[#This Row],[Index]]-B333)/B333</f>
        <v/>
      </c>
    </row>
    <row r="346">
      <c r="A346" s="19" t="n">
        <v>36617</v>
      </c>
      <c r="B346" s="61">
        <f>VLOOKUP(Table13[[#This Row],[Date]],database!A:F,6,)</f>
        <v/>
      </c>
      <c r="C346" s="74">
        <f>B346/B345-1</f>
        <v/>
      </c>
      <c r="D346" s="74">
        <f>(Table13[[#This Row],[Index]]-B334)/B334</f>
        <v/>
      </c>
    </row>
    <row r="347">
      <c r="A347" s="19" t="n">
        <v>36647</v>
      </c>
      <c r="B347" s="61">
        <f>VLOOKUP(Table13[[#This Row],[Date]],database!A:F,6,)</f>
        <v/>
      </c>
      <c r="C347" s="74">
        <f>B347/B346-1</f>
        <v/>
      </c>
      <c r="D347" s="74">
        <f>(Table13[[#This Row],[Index]]-B335)/B335</f>
        <v/>
      </c>
    </row>
    <row r="348">
      <c r="A348" s="19" t="n">
        <v>36678</v>
      </c>
      <c r="B348" s="61">
        <f>VLOOKUP(Table13[[#This Row],[Date]],database!A:F,6,)</f>
        <v/>
      </c>
      <c r="C348" s="74">
        <f>B348/B347-1</f>
        <v/>
      </c>
      <c r="D348" s="74">
        <f>(Table13[[#This Row],[Index]]-B336)/B336</f>
        <v/>
      </c>
    </row>
    <row r="349">
      <c r="A349" s="19" t="n">
        <v>36708</v>
      </c>
      <c r="B349" s="61">
        <f>VLOOKUP(Table13[[#This Row],[Date]],database!A:F,6,)</f>
        <v/>
      </c>
      <c r="C349" s="74">
        <f>B349/B348-1</f>
        <v/>
      </c>
      <c r="D349" s="74">
        <f>(Table13[[#This Row],[Index]]-B337)/B337</f>
        <v/>
      </c>
    </row>
    <row r="350">
      <c r="A350" s="19" t="n">
        <v>36739</v>
      </c>
      <c r="B350" s="61">
        <f>VLOOKUP(Table13[[#This Row],[Date]],database!A:F,6,)</f>
        <v/>
      </c>
      <c r="C350" s="74">
        <f>B350/B349-1</f>
        <v/>
      </c>
      <c r="D350" s="74">
        <f>(Table13[[#This Row],[Index]]-B338)/B338</f>
        <v/>
      </c>
    </row>
    <row r="351">
      <c r="A351" s="19" t="n">
        <v>36770</v>
      </c>
      <c r="B351" s="61">
        <f>VLOOKUP(Table13[[#This Row],[Date]],database!A:F,6,)</f>
        <v/>
      </c>
      <c r="C351" s="74">
        <f>B351/B350-1</f>
        <v/>
      </c>
      <c r="D351" s="74">
        <f>(Table13[[#This Row],[Index]]-B339)/B339</f>
        <v/>
      </c>
    </row>
    <row r="352">
      <c r="A352" s="19" t="n">
        <v>36800</v>
      </c>
      <c r="B352" s="61">
        <f>VLOOKUP(Table13[[#This Row],[Date]],database!A:F,6,)</f>
        <v/>
      </c>
      <c r="C352" s="74">
        <f>B352/B351-1</f>
        <v/>
      </c>
      <c r="D352" s="74">
        <f>(Table13[[#This Row],[Index]]-B340)/B340</f>
        <v/>
      </c>
    </row>
    <row r="353">
      <c r="A353" s="19" t="n">
        <v>36831</v>
      </c>
      <c r="B353" s="61">
        <f>VLOOKUP(Table13[[#This Row],[Date]],database!A:F,6,)</f>
        <v/>
      </c>
      <c r="C353" s="74">
        <f>B353/B352-1</f>
        <v/>
      </c>
      <c r="D353" s="74">
        <f>(Table13[[#This Row],[Index]]-B341)/B341</f>
        <v/>
      </c>
    </row>
    <row r="354">
      <c r="A354" s="19" t="n">
        <v>36861</v>
      </c>
      <c r="B354" s="61">
        <f>VLOOKUP(Table13[[#This Row],[Date]],database!A:F,6,)</f>
        <v/>
      </c>
      <c r="C354" s="74">
        <f>B354/B353-1</f>
        <v/>
      </c>
      <c r="D354" s="74">
        <f>(Table13[[#This Row],[Index]]-B342)/B342</f>
        <v/>
      </c>
    </row>
    <row r="355">
      <c r="A355" s="19" t="n">
        <v>36892</v>
      </c>
      <c r="B355" s="61">
        <f>VLOOKUP(Table13[[#This Row],[Date]],database!A:F,6,)</f>
        <v/>
      </c>
      <c r="C355" s="74">
        <f>B355/B354-1</f>
        <v/>
      </c>
      <c r="D355" s="74">
        <f>(Table13[[#This Row],[Index]]-B343)/B343</f>
        <v/>
      </c>
    </row>
    <row r="356">
      <c r="A356" s="19" t="n">
        <v>36923</v>
      </c>
      <c r="B356" s="61">
        <f>VLOOKUP(Table13[[#This Row],[Date]],database!A:F,6,)</f>
        <v/>
      </c>
      <c r="C356" s="74">
        <f>B356/B355-1</f>
        <v/>
      </c>
      <c r="D356" s="74">
        <f>(Table13[[#This Row],[Index]]-B344)/B344</f>
        <v/>
      </c>
    </row>
    <row r="357">
      <c r="A357" s="19" t="n">
        <v>36951</v>
      </c>
      <c r="B357" s="61">
        <f>VLOOKUP(Table13[[#This Row],[Date]],database!A:F,6,)</f>
        <v/>
      </c>
      <c r="C357" s="74">
        <f>B357/B356-1</f>
        <v/>
      </c>
      <c r="D357" s="74">
        <f>(Table13[[#This Row],[Index]]-B345)/B345</f>
        <v/>
      </c>
    </row>
    <row r="358">
      <c r="A358" s="19" t="n">
        <v>36982</v>
      </c>
      <c r="B358" s="61">
        <f>VLOOKUP(Table13[[#This Row],[Date]],database!A:F,6,)</f>
        <v/>
      </c>
      <c r="C358" s="74">
        <f>B358/B357-1</f>
        <v/>
      </c>
      <c r="D358" s="74">
        <f>(Table13[[#This Row],[Index]]-B346)/B346</f>
        <v/>
      </c>
    </row>
    <row r="359">
      <c r="A359" s="19" t="n">
        <v>37012</v>
      </c>
      <c r="B359" s="61">
        <f>VLOOKUP(Table13[[#This Row],[Date]],database!A:F,6,)</f>
        <v/>
      </c>
      <c r="C359" s="74">
        <f>B359/B358-1</f>
        <v/>
      </c>
      <c r="D359" s="74">
        <f>(Table13[[#This Row],[Index]]-B347)/B347</f>
        <v/>
      </c>
    </row>
    <row r="360">
      <c r="A360" s="19" t="n">
        <v>37043</v>
      </c>
      <c r="B360" s="61">
        <f>VLOOKUP(Table13[[#This Row],[Date]],database!A:F,6,)</f>
        <v/>
      </c>
      <c r="C360" s="74">
        <f>B360/B359-1</f>
        <v/>
      </c>
      <c r="D360" s="74">
        <f>(Table13[[#This Row],[Index]]-B348)/B348</f>
        <v/>
      </c>
    </row>
    <row r="361">
      <c r="A361" s="19" t="n">
        <v>37073</v>
      </c>
      <c r="B361" s="61">
        <f>VLOOKUP(Table13[[#This Row],[Date]],database!A:F,6,)</f>
        <v/>
      </c>
      <c r="C361" s="74">
        <f>B361/B360-1</f>
        <v/>
      </c>
      <c r="D361" s="74">
        <f>(Table13[[#This Row],[Index]]-B349)/B349</f>
        <v/>
      </c>
    </row>
    <row r="362">
      <c r="A362" s="19" t="n">
        <v>37104</v>
      </c>
      <c r="B362" s="61">
        <f>VLOOKUP(Table13[[#This Row],[Date]],database!A:F,6,)</f>
        <v/>
      </c>
      <c r="C362" s="74">
        <f>B362/B361-1</f>
        <v/>
      </c>
      <c r="D362" s="74">
        <f>(Table13[[#This Row],[Index]]-B350)/B350</f>
        <v/>
      </c>
    </row>
    <row r="363">
      <c r="A363" s="19" t="n">
        <v>37135</v>
      </c>
      <c r="B363" s="61">
        <f>VLOOKUP(Table13[[#This Row],[Date]],database!A:F,6,)</f>
        <v/>
      </c>
      <c r="C363" s="74">
        <f>B363/B362-1</f>
        <v/>
      </c>
      <c r="D363" s="74">
        <f>(Table13[[#This Row],[Index]]-B351)/B351</f>
        <v/>
      </c>
    </row>
    <row r="364">
      <c r="A364" s="19" t="n">
        <v>37165</v>
      </c>
      <c r="B364" s="61">
        <f>VLOOKUP(Table13[[#This Row],[Date]],database!A:F,6,)</f>
        <v/>
      </c>
      <c r="C364" s="74">
        <f>B364/B363-1</f>
        <v/>
      </c>
      <c r="D364" s="74">
        <f>(Table13[[#This Row],[Index]]-B352)/B352</f>
        <v/>
      </c>
    </row>
    <row r="365">
      <c r="A365" s="19" t="n">
        <v>37196</v>
      </c>
      <c r="B365" s="61">
        <f>VLOOKUP(Table13[[#This Row],[Date]],database!A:F,6,)</f>
        <v/>
      </c>
      <c r="C365" s="74">
        <f>B365/B364-1</f>
        <v/>
      </c>
      <c r="D365" s="74">
        <f>(Table13[[#This Row],[Index]]-B353)/B353</f>
        <v/>
      </c>
    </row>
    <row r="366">
      <c r="A366" s="19" t="n">
        <v>37226</v>
      </c>
      <c r="B366" s="61">
        <f>VLOOKUP(Table13[[#This Row],[Date]],database!A:F,6,)</f>
        <v/>
      </c>
      <c r="C366" s="74">
        <f>B366/B365-1</f>
        <v/>
      </c>
      <c r="D366" s="74">
        <f>(Table13[[#This Row],[Index]]-B354)/B354</f>
        <v/>
      </c>
    </row>
    <row r="367">
      <c r="A367" s="19" t="n">
        <v>37257</v>
      </c>
      <c r="B367" s="61">
        <f>VLOOKUP(Table13[[#This Row],[Date]],database!A:F,6,)</f>
        <v/>
      </c>
      <c r="C367" s="74">
        <f>B367/B366-1</f>
        <v/>
      </c>
      <c r="D367" s="74">
        <f>(Table13[[#This Row],[Index]]-B355)/B355</f>
        <v/>
      </c>
    </row>
    <row r="368">
      <c r="A368" s="19" t="n">
        <v>37288</v>
      </c>
      <c r="B368" s="61">
        <f>VLOOKUP(Table13[[#This Row],[Date]],database!A:F,6,)</f>
        <v/>
      </c>
      <c r="C368" s="74">
        <f>B368/B367-1</f>
        <v/>
      </c>
      <c r="D368" s="74">
        <f>(Table13[[#This Row],[Index]]-B356)/B356</f>
        <v/>
      </c>
    </row>
    <row r="369">
      <c r="A369" s="19" t="n">
        <v>37316</v>
      </c>
      <c r="B369" s="61">
        <f>VLOOKUP(Table13[[#This Row],[Date]],database!A:F,6,)</f>
        <v/>
      </c>
      <c r="C369" s="74">
        <f>B369/B368-1</f>
        <v/>
      </c>
      <c r="D369" s="74">
        <f>(Table13[[#This Row],[Index]]-B357)/B357</f>
        <v/>
      </c>
    </row>
    <row r="370">
      <c r="A370" s="19" t="n">
        <v>37347</v>
      </c>
      <c r="B370" s="61">
        <f>VLOOKUP(Table13[[#This Row],[Date]],database!A:F,6,)</f>
        <v/>
      </c>
      <c r="C370" s="74">
        <f>B370/B369-1</f>
        <v/>
      </c>
      <c r="D370" s="74">
        <f>(Table13[[#This Row],[Index]]-B358)/B358</f>
        <v/>
      </c>
    </row>
    <row r="371">
      <c r="A371" s="19" t="n">
        <v>37377</v>
      </c>
      <c r="B371" s="61">
        <f>VLOOKUP(Table13[[#This Row],[Date]],database!A:F,6,)</f>
        <v/>
      </c>
      <c r="C371" s="74">
        <f>B371/B370-1</f>
        <v/>
      </c>
      <c r="D371" s="74">
        <f>(Table13[[#This Row],[Index]]-B359)/B359</f>
        <v/>
      </c>
    </row>
    <row r="372">
      <c r="A372" s="19" t="n">
        <v>37408</v>
      </c>
      <c r="B372" s="61">
        <f>VLOOKUP(Table13[[#This Row],[Date]],database!A:F,6,)</f>
        <v/>
      </c>
      <c r="C372" s="74">
        <f>B372/B371-1</f>
        <v/>
      </c>
      <c r="D372" s="74">
        <f>(Table13[[#This Row],[Index]]-B360)/B360</f>
        <v/>
      </c>
    </row>
    <row r="373">
      <c r="A373" s="19" t="n">
        <v>37438</v>
      </c>
      <c r="B373" s="61">
        <f>VLOOKUP(Table13[[#This Row],[Date]],database!A:F,6,)</f>
        <v/>
      </c>
      <c r="C373" s="74">
        <f>B373/B372-1</f>
        <v/>
      </c>
      <c r="D373" s="74">
        <f>(Table13[[#This Row],[Index]]-B361)/B361</f>
        <v/>
      </c>
    </row>
    <row r="374">
      <c r="A374" s="19" t="n">
        <v>37469</v>
      </c>
      <c r="B374" s="61">
        <f>VLOOKUP(Table13[[#This Row],[Date]],database!A:F,6,)</f>
        <v/>
      </c>
      <c r="C374" s="74">
        <f>B374/B373-1</f>
        <v/>
      </c>
      <c r="D374" s="74">
        <f>(Table13[[#This Row],[Index]]-B362)/B362</f>
        <v/>
      </c>
    </row>
    <row r="375">
      <c r="A375" s="19" t="n">
        <v>37500</v>
      </c>
      <c r="B375" s="61">
        <f>VLOOKUP(Table13[[#This Row],[Date]],database!A:F,6,)</f>
        <v/>
      </c>
      <c r="C375" s="74">
        <f>B375/B374-1</f>
        <v/>
      </c>
      <c r="D375" s="74">
        <f>(Table13[[#This Row],[Index]]-B363)/B363</f>
        <v/>
      </c>
    </row>
    <row r="376">
      <c r="A376" s="19" t="n">
        <v>37530</v>
      </c>
      <c r="B376" s="61">
        <f>VLOOKUP(Table13[[#This Row],[Date]],database!A:F,6,)</f>
        <v/>
      </c>
      <c r="C376" s="74">
        <f>B376/B375-1</f>
        <v/>
      </c>
      <c r="D376" s="74">
        <f>(Table13[[#This Row],[Index]]-B364)/B364</f>
        <v/>
      </c>
    </row>
    <row r="377">
      <c r="A377" s="19" t="n">
        <v>37561</v>
      </c>
      <c r="B377" s="61">
        <f>VLOOKUP(Table13[[#This Row],[Date]],database!A:F,6,)</f>
        <v/>
      </c>
      <c r="C377" s="74">
        <f>B377/B376-1</f>
        <v/>
      </c>
      <c r="D377" s="74">
        <f>(Table13[[#This Row],[Index]]-B365)/B365</f>
        <v/>
      </c>
    </row>
    <row r="378">
      <c r="A378" s="19" t="n">
        <v>37591</v>
      </c>
      <c r="B378" s="61">
        <f>VLOOKUP(Table13[[#This Row],[Date]],database!A:F,6,)</f>
        <v/>
      </c>
      <c r="C378" s="74">
        <f>B378/B377-1</f>
        <v/>
      </c>
      <c r="D378" s="74">
        <f>(Table13[[#This Row],[Index]]-B366)/B366</f>
        <v/>
      </c>
    </row>
    <row r="379">
      <c r="A379" s="19" t="n">
        <v>37622</v>
      </c>
      <c r="B379" s="61">
        <f>VLOOKUP(Table13[[#This Row],[Date]],database!A:F,6,)</f>
        <v/>
      </c>
      <c r="C379" s="74">
        <f>B379/B378-1</f>
        <v/>
      </c>
      <c r="D379" s="74">
        <f>(Table13[[#This Row],[Index]]-B367)/B367</f>
        <v/>
      </c>
    </row>
    <row r="380">
      <c r="A380" s="19" t="n">
        <v>37653</v>
      </c>
      <c r="B380" s="61">
        <f>VLOOKUP(Table13[[#This Row],[Date]],database!A:F,6,)</f>
        <v/>
      </c>
      <c r="C380" s="74">
        <f>B380/B379-1</f>
        <v/>
      </c>
      <c r="D380" s="74">
        <f>(Table13[[#This Row],[Index]]-B368)/B368</f>
        <v/>
      </c>
    </row>
    <row r="381">
      <c r="A381" s="19" t="n">
        <v>37681</v>
      </c>
      <c r="B381" s="61">
        <f>VLOOKUP(Table13[[#This Row],[Date]],database!A:F,6,)</f>
        <v/>
      </c>
      <c r="C381" s="74">
        <f>B381/B380-1</f>
        <v/>
      </c>
      <c r="D381" s="74">
        <f>(Table13[[#This Row],[Index]]-B369)/B369</f>
        <v/>
      </c>
    </row>
    <row r="382">
      <c r="A382" s="19" t="n">
        <v>37712</v>
      </c>
      <c r="B382" s="61">
        <f>VLOOKUP(Table13[[#This Row],[Date]],database!A:F,6,)</f>
        <v/>
      </c>
      <c r="C382" s="74">
        <f>B382/B381-1</f>
        <v/>
      </c>
      <c r="D382" s="74">
        <f>(Table13[[#This Row],[Index]]-B370)/B370</f>
        <v/>
      </c>
    </row>
    <row r="383">
      <c r="A383" s="19" t="n">
        <v>37742</v>
      </c>
      <c r="B383" s="61">
        <f>VLOOKUP(Table13[[#This Row],[Date]],database!A:F,6,)</f>
        <v/>
      </c>
      <c r="C383" s="74">
        <f>B383/B382-1</f>
        <v/>
      </c>
      <c r="D383" s="74">
        <f>(Table13[[#This Row],[Index]]-B371)/B371</f>
        <v/>
      </c>
    </row>
    <row r="384">
      <c r="A384" s="19" t="n">
        <v>37773</v>
      </c>
      <c r="B384" s="61">
        <f>VLOOKUP(Table13[[#This Row],[Date]],database!A:F,6,)</f>
        <v/>
      </c>
      <c r="C384" s="74">
        <f>B384/B383-1</f>
        <v/>
      </c>
      <c r="D384" s="74">
        <f>(Table13[[#This Row],[Index]]-B372)/B372</f>
        <v/>
      </c>
    </row>
    <row r="385">
      <c r="A385" s="19" t="n">
        <v>37803</v>
      </c>
      <c r="B385" s="61">
        <f>VLOOKUP(Table13[[#This Row],[Date]],database!A:F,6,)</f>
        <v/>
      </c>
      <c r="C385" s="74">
        <f>B385/B384-1</f>
        <v/>
      </c>
      <c r="D385" s="74">
        <f>(Table13[[#This Row],[Index]]-B373)/B373</f>
        <v/>
      </c>
    </row>
    <row r="386">
      <c r="A386" s="19" t="n">
        <v>37834</v>
      </c>
      <c r="B386" s="61">
        <f>VLOOKUP(Table13[[#This Row],[Date]],database!A:F,6,)</f>
        <v/>
      </c>
      <c r="C386" s="74">
        <f>B386/B385-1</f>
        <v/>
      </c>
      <c r="D386" s="74">
        <f>(Table13[[#This Row],[Index]]-B374)/B374</f>
        <v/>
      </c>
    </row>
    <row r="387">
      <c r="A387" s="19" t="n">
        <v>37865</v>
      </c>
      <c r="B387" s="61">
        <f>VLOOKUP(Table13[[#This Row],[Date]],database!A:F,6,)</f>
        <v/>
      </c>
      <c r="C387" s="74">
        <f>B387/B386-1</f>
        <v/>
      </c>
      <c r="D387" s="74">
        <f>(Table13[[#This Row],[Index]]-B375)/B375</f>
        <v/>
      </c>
    </row>
    <row r="388">
      <c r="A388" s="19" t="n">
        <v>37895</v>
      </c>
      <c r="B388" s="61">
        <f>VLOOKUP(Table13[[#This Row],[Date]],database!A:F,6,)</f>
        <v/>
      </c>
      <c r="C388" s="74">
        <f>B388/B387-1</f>
        <v/>
      </c>
      <c r="D388" s="74">
        <f>(Table13[[#This Row],[Index]]-B376)/B376</f>
        <v/>
      </c>
    </row>
    <row r="389">
      <c r="A389" s="19" t="n">
        <v>37926</v>
      </c>
      <c r="B389" s="61">
        <f>VLOOKUP(Table13[[#This Row],[Date]],database!A:F,6,)</f>
        <v/>
      </c>
      <c r="C389" s="74">
        <f>B389/B388-1</f>
        <v/>
      </c>
      <c r="D389" s="74">
        <f>(Table13[[#This Row],[Index]]-B377)/B377</f>
        <v/>
      </c>
    </row>
    <row r="390">
      <c r="A390" s="19" t="n">
        <v>37956</v>
      </c>
      <c r="B390" s="61">
        <f>VLOOKUP(Table13[[#This Row],[Date]],database!A:F,6,)</f>
        <v/>
      </c>
      <c r="C390" s="74">
        <f>B390/B389-1</f>
        <v/>
      </c>
      <c r="D390" s="74">
        <f>(Table13[[#This Row],[Index]]-B378)/B378</f>
        <v/>
      </c>
    </row>
    <row r="391">
      <c r="A391" s="19" t="n">
        <v>37987</v>
      </c>
      <c r="B391" s="61">
        <f>VLOOKUP(Table13[[#This Row],[Date]],database!A:F,6,)</f>
        <v/>
      </c>
      <c r="C391" s="74">
        <f>B391/B390-1</f>
        <v/>
      </c>
      <c r="D391" s="74">
        <f>(Table13[[#This Row],[Index]]-B379)/B379</f>
        <v/>
      </c>
    </row>
    <row r="392">
      <c r="A392" s="19" t="n">
        <v>38018</v>
      </c>
      <c r="B392" s="61">
        <f>VLOOKUP(Table13[[#This Row],[Date]],database!A:F,6,)</f>
        <v/>
      </c>
      <c r="C392" s="74">
        <f>B392/B391-1</f>
        <v/>
      </c>
      <c r="D392" s="74">
        <f>(Table13[[#This Row],[Index]]-B380)/B380</f>
        <v/>
      </c>
    </row>
    <row r="393">
      <c r="A393" s="19" t="n">
        <v>38047</v>
      </c>
      <c r="B393" s="61">
        <f>VLOOKUP(Table13[[#This Row],[Date]],database!A:F,6,)</f>
        <v/>
      </c>
      <c r="C393" s="74">
        <f>B393/B392-1</f>
        <v/>
      </c>
      <c r="D393" s="74">
        <f>(Table13[[#This Row],[Index]]-B381)/B381</f>
        <v/>
      </c>
    </row>
    <row r="394">
      <c r="A394" s="19" t="n">
        <v>38078</v>
      </c>
      <c r="B394" s="61">
        <f>VLOOKUP(Table13[[#This Row],[Date]],database!A:F,6,)</f>
        <v/>
      </c>
      <c r="C394" s="74">
        <f>B394/B393-1</f>
        <v/>
      </c>
      <c r="D394" s="74">
        <f>(Table13[[#This Row],[Index]]-B382)/B382</f>
        <v/>
      </c>
    </row>
    <row r="395">
      <c r="A395" s="19" t="n">
        <v>38108</v>
      </c>
      <c r="B395" s="61">
        <f>VLOOKUP(Table13[[#This Row],[Date]],database!A:F,6,)</f>
        <v/>
      </c>
      <c r="C395" s="74">
        <f>B395/B394-1</f>
        <v/>
      </c>
      <c r="D395" s="74">
        <f>(Table13[[#This Row],[Index]]-B383)/B383</f>
        <v/>
      </c>
    </row>
    <row r="396">
      <c r="A396" s="19" t="n">
        <v>38139</v>
      </c>
      <c r="B396" s="61">
        <f>VLOOKUP(Table13[[#This Row],[Date]],database!A:F,6,)</f>
        <v/>
      </c>
      <c r="C396" s="74">
        <f>B396/B395-1</f>
        <v/>
      </c>
      <c r="D396" s="74">
        <f>(Table13[[#This Row],[Index]]-B384)/B384</f>
        <v/>
      </c>
    </row>
    <row r="397">
      <c r="A397" s="19" t="n">
        <v>38169</v>
      </c>
      <c r="B397" s="61">
        <f>VLOOKUP(Table13[[#This Row],[Date]],database!A:F,6,)</f>
        <v/>
      </c>
      <c r="C397" s="74">
        <f>B397/B396-1</f>
        <v/>
      </c>
      <c r="D397" s="74">
        <f>(Table13[[#This Row],[Index]]-B385)/B385</f>
        <v/>
      </c>
    </row>
    <row r="398">
      <c r="A398" s="19" t="n">
        <v>38200</v>
      </c>
      <c r="B398" s="61">
        <f>VLOOKUP(Table13[[#This Row],[Date]],database!A:F,6,)</f>
        <v/>
      </c>
      <c r="C398" s="74">
        <f>B398/B397-1</f>
        <v/>
      </c>
      <c r="D398" s="74">
        <f>(Table13[[#This Row],[Index]]-B386)/B386</f>
        <v/>
      </c>
    </row>
    <row r="399">
      <c r="A399" s="19" t="n">
        <v>38231</v>
      </c>
      <c r="B399" s="61">
        <f>VLOOKUP(Table13[[#This Row],[Date]],database!A:F,6,)</f>
        <v/>
      </c>
      <c r="C399" s="74">
        <f>B399/B398-1</f>
        <v/>
      </c>
      <c r="D399" s="74">
        <f>(Table13[[#This Row],[Index]]-B387)/B387</f>
        <v/>
      </c>
    </row>
    <row r="400">
      <c r="A400" s="19" t="n">
        <v>38261</v>
      </c>
      <c r="B400" s="61">
        <f>VLOOKUP(Table13[[#This Row],[Date]],database!A:F,6,)</f>
        <v/>
      </c>
      <c r="C400" s="74">
        <f>B400/B399-1</f>
        <v/>
      </c>
      <c r="D400" s="74">
        <f>(Table13[[#This Row],[Index]]-B388)/B388</f>
        <v/>
      </c>
    </row>
    <row r="401">
      <c r="A401" s="19" t="n">
        <v>38292</v>
      </c>
      <c r="B401" s="61">
        <f>VLOOKUP(Table13[[#This Row],[Date]],database!A:F,6,)</f>
        <v/>
      </c>
      <c r="C401" s="74">
        <f>B401/B400-1</f>
        <v/>
      </c>
      <c r="D401" s="74">
        <f>(Table13[[#This Row],[Index]]-B389)/B389</f>
        <v/>
      </c>
    </row>
    <row r="402">
      <c r="A402" s="19" t="n">
        <v>38322</v>
      </c>
      <c r="B402" s="61">
        <f>VLOOKUP(Table13[[#This Row],[Date]],database!A:F,6,)</f>
        <v/>
      </c>
      <c r="C402" s="74">
        <f>B402/B401-1</f>
        <v/>
      </c>
      <c r="D402" s="74">
        <f>(Table13[[#This Row],[Index]]-B390)/B390</f>
        <v/>
      </c>
    </row>
    <row r="403">
      <c r="A403" s="19" t="n">
        <v>38353</v>
      </c>
      <c r="B403" s="61">
        <f>VLOOKUP(Table13[[#This Row],[Date]],database!A:F,6,)</f>
        <v/>
      </c>
      <c r="C403" s="74">
        <f>B403/B402-1</f>
        <v/>
      </c>
      <c r="D403" s="74">
        <f>(Table13[[#This Row],[Index]]-B391)/B391</f>
        <v/>
      </c>
    </row>
    <row r="404">
      <c r="A404" s="19" t="n">
        <v>38384</v>
      </c>
      <c r="B404" s="61">
        <f>VLOOKUP(Table13[[#This Row],[Date]],database!A:F,6,)</f>
        <v/>
      </c>
      <c r="C404" s="74">
        <f>B404/B403-1</f>
        <v/>
      </c>
      <c r="D404" s="74">
        <f>(Table13[[#This Row],[Index]]-B392)/B392</f>
        <v/>
      </c>
    </row>
    <row r="405">
      <c r="A405" s="19" t="n">
        <v>38412</v>
      </c>
      <c r="B405" s="61">
        <f>VLOOKUP(Table13[[#This Row],[Date]],database!A:F,6,)</f>
        <v/>
      </c>
      <c r="C405" s="74">
        <f>B405/B404-1</f>
        <v/>
      </c>
      <c r="D405" s="74">
        <f>(Table13[[#This Row],[Index]]-B393)/B393</f>
        <v/>
      </c>
    </row>
    <row r="406">
      <c r="A406" s="19" t="n">
        <v>38443</v>
      </c>
      <c r="B406" s="61">
        <f>VLOOKUP(Table13[[#This Row],[Date]],database!A:F,6,)</f>
        <v/>
      </c>
      <c r="C406" s="74">
        <f>B406/B405-1</f>
        <v/>
      </c>
      <c r="D406" s="74">
        <f>(Table13[[#This Row],[Index]]-B394)/B394</f>
        <v/>
      </c>
    </row>
    <row r="407">
      <c r="A407" s="19" t="n">
        <v>38473</v>
      </c>
      <c r="B407" s="61">
        <f>VLOOKUP(Table13[[#This Row],[Date]],database!A:F,6,)</f>
        <v/>
      </c>
      <c r="C407" s="74">
        <f>B407/B406-1</f>
        <v/>
      </c>
      <c r="D407" s="74">
        <f>(Table13[[#This Row],[Index]]-B395)/B395</f>
        <v/>
      </c>
    </row>
    <row r="408">
      <c r="A408" s="19" t="n">
        <v>38504</v>
      </c>
      <c r="B408" s="61">
        <f>VLOOKUP(Table13[[#This Row],[Date]],database!A:F,6,)</f>
        <v/>
      </c>
      <c r="C408" s="74">
        <f>B408/B407-1</f>
        <v/>
      </c>
      <c r="D408" s="74">
        <f>(Table13[[#This Row],[Index]]-B396)/B396</f>
        <v/>
      </c>
    </row>
    <row r="409">
      <c r="A409" s="19" t="n">
        <v>38534</v>
      </c>
      <c r="B409" s="61">
        <f>VLOOKUP(Table13[[#This Row],[Date]],database!A:F,6,)</f>
        <v/>
      </c>
      <c r="C409" s="74">
        <f>B409/B408-1</f>
        <v/>
      </c>
      <c r="D409" s="74">
        <f>(Table13[[#This Row],[Index]]-B397)/B397</f>
        <v/>
      </c>
    </row>
    <row r="410">
      <c r="A410" s="19" t="n">
        <v>38565</v>
      </c>
      <c r="B410" s="61">
        <f>VLOOKUP(Table13[[#This Row],[Date]],database!A:F,6,)</f>
        <v/>
      </c>
      <c r="C410" s="74">
        <f>B410/B409-1</f>
        <v/>
      </c>
      <c r="D410" s="74">
        <f>(Table13[[#This Row],[Index]]-B398)/B398</f>
        <v/>
      </c>
    </row>
    <row r="411">
      <c r="A411" s="19" t="n">
        <v>38596</v>
      </c>
      <c r="B411" s="61">
        <f>VLOOKUP(Table13[[#This Row],[Date]],database!A:F,6,)</f>
        <v/>
      </c>
      <c r="C411" s="74">
        <f>B411/B410-1</f>
        <v/>
      </c>
      <c r="D411" s="74">
        <f>(Table13[[#This Row],[Index]]-B399)/B399</f>
        <v/>
      </c>
    </row>
    <row r="412">
      <c r="A412" s="19" t="n">
        <v>38626</v>
      </c>
      <c r="B412" s="61">
        <f>VLOOKUP(Table13[[#This Row],[Date]],database!A:F,6,)</f>
        <v/>
      </c>
      <c r="C412" s="74">
        <f>B412/B411-1</f>
        <v/>
      </c>
      <c r="D412" s="74">
        <f>(Table13[[#This Row],[Index]]-B400)/B400</f>
        <v/>
      </c>
    </row>
    <row r="413">
      <c r="A413" s="19" t="n">
        <v>38657</v>
      </c>
      <c r="B413" s="61">
        <f>VLOOKUP(Table13[[#This Row],[Date]],database!A:F,6,)</f>
        <v/>
      </c>
      <c r="C413" s="74">
        <f>B413/B412-1</f>
        <v/>
      </c>
      <c r="D413" s="74">
        <f>(Table13[[#This Row],[Index]]-B401)/B401</f>
        <v/>
      </c>
    </row>
    <row r="414">
      <c r="A414" s="19" t="n">
        <v>38687</v>
      </c>
      <c r="B414" s="61">
        <f>VLOOKUP(Table13[[#This Row],[Date]],database!A:F,6,)</f>
        <v/>
      </c>
      <c r="C414" s="74">
        <f>B414/B413-1</f>
        <v/>
      </c>
      <c r="D414" s="74">
        <f>(Table13[[#This Row],[Index]]-B402)/B402</f>
        <v/>
      </c>
    </row>
    <row r="415">
      <c r="A415" s="19" t="n">
        <v>38718</v>
      </c>
      <c r="B415" s="61">
        <f>VLOOKUP(Table13[[#This Row],[Date]],database!A:F,6,)</f>
        <v/>
      </c>
      <c r="C415" s="74">
        <f>B415/B414-1</f>
        <v/>
      </c>
      <c r="D415" s="74">
        <f>(Table13[[#This Row],[Index]]-B403)/B403</f>
        <v/>
      </c>
    </row>
    <row r="416">
      <c r="A416" s="19" t="n">
        <v>38749</v>
      </c>
      <c r="B416" s="61">
        <f>VLOOKUP(Table13[[#This Row],[Date]],database!A:F,6,)</f>
        <v/>
      </c>
      <c r="C416" s="74">
        <f>B416/B415-1</f>
        <v/>
      </c>
      <c r="D416" s="74">
        <f>(Table13[[#This Row],[Index]]-B404)/B404</f>
        <v/>
      </c>
    </row>
    <row r="417">
      <c r="A417" s="19" t="n">
        <v>38777</v>
      </c>
      <c r="B417" s="61">
        <f>VLOOKUP(Table13[[#This Row],[Date]],database!A:F,6,)</f>
        <v/>
      </c>
      <c r="C417" s="74">
        <f>B417/B416-1</f>
        <v/>
      </c>
      <c r="D417" s="74">
        <f>(Table13[[#This Row],[Index]]-B405)/B405</f>
        <v/>
      </c>
    </row>
    <row r="418">
      <c r="A418" s="19" t="n">
        <v>38808</v>
      </c>
      <c r="B418" s="61">
        <f>VLOOKUP(Table13[[#This Row],[Date]],database!A:F,6,)</f>
        <v/>
      </c>
      <c r="C418" s="74">
        <f>B418/B417-1</f>
        <v/>
      </c>
      <c r="D418" s="74">
        <f>(Table13[[#This Row],[Index]]-B406)/B406</f>
        <v/>
      </c>
    </row>
    <row r="419">
      <c r="A419" s="19" t="n">
        <v>38838</v>
      </c>
      <c r="B419" s="61">
        <f>VLOOKUP(Table13[[#This Row],[Date]],database!A:F,6,)</f>
        <v/>
      </c>
      <c r="C419" s="74">
        <f>B419/B418-1</f>
        <v/>
      </c>
      <c r="D419" s="74">
        <f>(Table13[[#This Row],[Index]]-B407)/B407</f>
        <v/>
      </c>
    </row>
    <row r="420">
      <c r="A420" s="19" t="n">
        <v>38869</v>
      </c>
      <c r="B420" s="61">
        <f>VLOOKUP(Table13[[#This Row],[Date]],database!A:F,6,)</f>
        <v/>
      </c>
      <c r="C420" s="74">
        <f>B420/B419-1</f>
        <v/>
      </c>
      <c r="D420" s="74">
        <f>(Table13[[#This Row],[Index]]-B408)/B408</f>
        <v/>
      </c>
    </row>
    <row r="421">
      <c r="A421" s="19" t="n">
        <v>38899</v>
      </c>
      <c r="B421" s="61">
        <f>VLOOKUP(Table13[[#This Row],[Date]],database!A:F,6,)</f>
        <v/>
      </c>
      <c r="C421" s="74">
        <f>B421/B420-1</f>
        <v/>
      </c>
      <c r="D421" s="74">
        <f>(Table13[[#This Row],[Index]]-B409)/B409</f>
        <v/>
      </c>
    </row>
    <row r="422">
      <c r="A422" s="19" t="n">
        <v>38930</v>
      </c>
      <c r="B422" s="61">
        <f>VLOOKUP(Table13[[#This Row],[Date]],database!A:F,6,)</f>
        <v/>
      </c>
      <c r="C422" s="74">
        <f>B422/B421-1</f>
        <v/>
      </c>
      <c r="D422" s="74">
        <f>(Table13[[#This Row],[Index]]-B410)/B410</f>
        <v/>
      </c>
    </row>
    <row r="423">
      <c r="A423" s="19" t="n">
        <v>38961</v>
      </c>
      <c r="B423" s="61">
        <f>VLOOKUP(Table13[[#This Row],[Date]],database!A:F,6,)</f>
        <v/>
      </c>
      <c r="C423" s="74">
        <f>B423/B422-1</f>
        <v/>
      </c>
      <c r="D423" s="74">
        <f>(Table13[[#This Row],[Index]]-B411)/B411</f>
        <v/>
      </c>
    </row>
    <row r="424">
      <c r="A424" s="19" t="n">
        <v>38991</v>
      </c>
      <c r="B424" s="61">
        <f>VLOOKUP(Table13[[#This Row],[Date]],database!A:F,6,)</f>
        <v/>
      </c>
      <c r="C424" s="74">
        <f>B424/B423-1</f>
        <v/>
      </c>
      <c r="D424" s="74">
        <f>(Table13[[#This Row],[Index]]-B412)/B412</f>
        <v/>
      </c>
    </row>
    <row r="425">
      <c r="A425" s="19" t="n">
        <v>39022</v>
      </c>
      <c r="B425" s="61">
        <f>VLOOKUP(Table13[[#This Row],[Date]],database!A:F,6,)</f>
        <v/>
      </c>
      <c r="C425" s="74">
        <f>B425/B424-1</f>
        <v/>
      </c>
      <c r="D425" s="74">
        <f>(Table13[[#This Row],[Index]]-B413)/B413</f>
        <v/>
      </c>
    </row>
    <row r="426">
      <c r="A426" s="19" t="n">
        <v>39052</v>
      </c>
      <c r="B426" s="61">
        <f>VLOOKUP(Table13[[#This Row],[Date]],database!A:F,6,)</f>
        <v/>
      </c>
      <c r="C426" s="74">
        <f>B426/B425-1</f>
        <v/>
      </c>
      <c r="D426" s="74">
        <f>(Table13[[#This Row],[Index]]-B414)/B414</f>
        <v/>
      </c>
    </row>
    <row r="427">
      <c r="A427" s="19" t="n">
        <v>39083</v>
      </c>
      <c r="B427" s="61">
        <f>VLOOKUP(Table13[[#This Row],[Date]],database!A:F,6,)</f>
        <v/>
      </c>
      <c r="C427" s="74">
        <f>B427/B426-1</f>
        <v/>
      </c>
      <c r="D427" s="74">
        <f>(Table13[[#This Row],[Index]]-B415)/B415</f>
        <v/>
      </c>
    </row>
    <row r="428">
      <c r="A428" s="19" t="n">
        <v>39114</v>
      </c>
      <c r="B428" s="61">
        <f>VLOOKUP(Table13[[#This Row],[Date]],database!A:F,6,)</f>
        <v/>
      </c>
      <c r="C428" s="74">
        <f>B428/B427-1</f>
        <v/>
      </c>
      <c r="D428" s="74">
        <f>(Table13[[#This Row],[Index]]-B416)/B416</f>
        <v/>
      </c>
    </row>
    <row r="429">
      <c r="A429" s="19" t="n">
        <v>39142</v>
      </c>
      <c r="B429" s="61">
        <f>VLOOKUP(Table13[[#This Row],[Date]],database!A:F,6,)</f>
        <v/>
      </c>
      <c r="C429" s="74">
        <f>B429/B428-1</f>
        <v/>
      </c>
      <c r="D429" s="74">
        <f>(Table13[[#This Row],[Index]]-B417)/B417</f>
        <v/>
      </c>
    </row>
    <row r="430">
      <c r="A430" s="19" t="n">
        <v>39173</v>
      </c>
      <c r="B430" s="61">
        <f>VLOOKUP(Table13[[#This Row],[Date]],database!A:F,6,)</f>
        <v/>
      </c>
      <c r="C430" s="74">
        <f>B430/B429-1</f>
        <v/>
      </c>
      <c r="D430" s="74">
        <f>(Table13[[#This Row],[Index]]-B418)/B418</f>
        <v/>
      </c>
    </row>
    <row r="431">
      <c r="A431" s="19" t="n">
        <v>39203</v>
      </c>
      <c r="B431" s="61">
        <f>VLOOKUP(Table13[[#This Row],[Date]],database!A:F,6,)</f>
        <v/>
      </c>
      <c r="C431" s="74">
        <f>B431/B430-1</f>
        <v/>
      </c>
      <c r="D431" s="74">
        <f>(Table13[[#This Row],[Index]]-B419)/B419</f>
        <v/>
      </c>
    </row>
    <row r="432">
      <c r="A432" s="19" t="n">
        <v>39234</v>
      </c>
      <c r="B432" s="61">
        <f>VLOOKUP(Table13[[#This Row],[Date]],database!A:F,6,)</f>
        <v/>
      </c>
      <c r="C432" s="74">
        <f>B432/B431-1</f>
        <v/>
      </c>
      <c r="D432" s="74">
        <f>(Table13[[#This Row],[Index]]-B420)/B420</f>
        <v/>
      </c>
    </row>
    <row r="433">
      <c r="A433" s="19" t="n">
        <v>39264</v>
      </c>
      <c r="B433" s="61">
        <f>VLOOKUP(Table13[[#This Row],[Date]],database!A:F,6,)</f>
        <v/>
      </c>
      <c r="C433" s="74">
        <f>B433/B432-1</f>
        <v/>
      </c>
      <c r="D433" s="74">
        <f>(Table13[[#This Row],[Index]]-B421)/B421</f>
        <v/>
      </c>
    </row>
    <row r="434">
      <c r="A434" s="19" t="n">
        <v>39295</v>
      </c>
      <c r="B434" s="61">
        <f>VLOOKUP(Table13[[#This Row],[Date]],database!A:F,6,)</f>
        <v/>
      </c>
      <c r="C434" s="74">
        <f>B434/B433-1</f>
        <v/>
      </c>
      <c r="D434" s="74">
        <f>(Table13[[#This Row],[Index]]-B422)/B422</f>
        <v/>
      </c>
    </row>
    <row r="435">
      <c r="A435" s="19" t="n">
        <v>39326</v>
      </c>
      <c r="B435" s="61">
        <f>VLOOKUP(Table13[[#This Row],[Date]],database!A:F,6,)</f>
        <v/>
      </c>
      <c r="C435" s="74">
        <f>B435/B434-1</f>
        <v/>
      </c>
      <c r="D435" s="74">
        <f>(Table13[[#This Row],[Index]]-B423)/B423</f>
        <v/>
      </c>
    </row>
    <row r="436">
      <c r="A436" s="19" t="n">
        <v>39356</v>
      </c>
      <c r="B436" s="61">
        <f>VLOOKUP(Table13[[#This Row],[Date]],database!A:F,6,)</f>
        <v/>
      </c>
      <c r="C436" s="74">
        <f>B436/B435-1</f>
        <v/>
      </c>
      <c r="D436" s="74">
        <f>(Table13[[#This Row],[Index]]-B424)/B424</f>
        <v/>
      </c>
    </row>
    <row r="437">
      <c r="A437" s="19" t="n">
        <v>39387</v>
      </c>
      <c r="B437" s="61">
        <f>VLOOKUP(Table13[[#This Row],[Date]],database!A:F,6,)</f>
        <v/>
      </c>
      <c r="C437" s="74">
        <f>B437/B436-1</f>
        <v/>
      </c>
      <c r="D437" s="74">
        <f>(Table13[[#This Row],[Index]]-B425)/B425</f>
        <v/>
      </c>
    </row>
    <row r="438">
      <c r="A438" s="19" t="n">
        <v>39417</v>
      </c>
      <c r="B438" s="61">
        <f>VLOOKUP(Table13[[#This Row],[Date]],database!A:F,6,)</f>
        <v/>
      </c>
      <c r="C438" s="74">
        <f>B438/B437-1</f>
        <v/>
      </c>
      <c r="D438" s="74">
        <f>(Table13[[#This Row],[Index]]-B426)/B426</f>
        <v/>
      </c>
    </row>
    <row r="439">
      <c r="A439" s="19" t="n">
        <v>39448</v>
      </c>
      <c r="B439" s="61">
        <f>VLOOKUP(Table13[[#This Row],[Date]],database!A:F,6,)</f>
        <v/>
      </c>
      <c r="C439" s="74">
        <f>B439/B438-1</f>
        <v/>
      </c>
      <c r="D439" s="74">
        <f>(Table13[[#This Row],[Index]]-B427)/B427</f>
        <v/>
      </c>
    </row>
    <row r="440">
      <c r="A440" s="19" t="n">
        <v>39479</v>
      </c>
      <c r="B440" s="61">
        <f>VLOOKUP(Table13[[#This Row],[Date]],database!A:F,6,)</f>
        <v/>
      </c>
      <c r="C440" s="74">
        <f>B440/B439-1</f>
        <v/>
      </c>
      <c r="D440" s="74">
        <f>(Table13[[#This Row],[Index]]-B428)/B428</f>
        <v/>
      </c>
    </row>
    <row r="441">
      <c r="A441" s="19" t="n">
        <v>39508</v>
      </c>
      <c r="B441" s="61">
        <f>VLOOKUP(Table13[[#This Row],[Date]],database!A:F,6,)</f>
        <v/>
      </c>
      <c r="C441" s="74">
        <f>B441/B440-1</f>
        <v/>
      </c>
      <c r="D441" s="74">
        <f>(Table13[[#This Row],[Index]]-B429)/B429</f>
        <v/>
      </c>
    </row>
    <row r="442">
      <c r="A442" s="19" t="n">
        <v>39539</v>
      </c>
      <c r="B442" s="61">
        <f>VLOOKUP(Table13[[#This Row],[Date]],database!A:F,6,)</f>
        <v/>
      </c>
      <c r="C442" s="74">
        <f>B442/B441-1</f>
        <v/>
      </c>
      <c r="D442" s="74">
        <f>(Table13[[#This Row],[Index]]-B430)/B430</f>
        <v/>
      </c>
    </row>
    <row r="443">
      <c r="A443" s="19" t="n">
        <v>39569</v>
      </c>
      <c r="B443" s="61">
        <f>VLOOKUP(Table13[[#This Row],[Date]],database!A:F,6,)</f>
        <v/>
      </c>
      <c r="C443" s="74">
        <f>B443/B442-1</f>
        <v/>
      </c>
      <c r="D443" s="74">
        <f>(Table13[[#This Row],[Index]]-B431)/B431</f>
        <v/>
      </c>
    </row>
    <row r="444">
      <c r="A444" s="19" t="n">
        <v>39600</v>
      </c>
      <c r="B444" s="61">
        <f>VLOOKUP(Table13[[#This Row],[Date]],database!A:F,6,)</f>
        <v/>
      </c>
      <c r="C444" s="74">
        <f>B444/B443-1</f>
        <v/>
      </c>
      <c r="D444" s="74">
        <f>(Table13[[#This Row],[Index]]-B432)/B432</f>
        <v/>
      </c>
    </row>
    <row r="445">
      <c r="A445" s="19" t="n">
        <v>39630</v>
      </c>
      <c r="B445" s="61">
        <f>VLOOKUP(Table13[[#This Row],[Date]],database!A:F,6,)</f>
        <v/>
      </c>
      <c r="C445" s="74">
        <f>B445/B444-1</f>
        <v/>
      </c>
      <c r="D445" s="74">
        <f>(Table13[[#This Row],[Index]]-B433)/B433</f>
        <v/>
      </c>
    </row>
    <row r="446">
      <c r="A446" s="19" t="n">
        <v>39661</v>
      </c>
      <c r="B446" s="61">
        <f>VLOOKUP(Table13[[#This Row],[Date]],database!A:F,6,)</f>
        <v/>
      </c>
      <c r="C446" s="74">
        <f>B446/B445-1</f>
        <v/>
      </c>
      <c r="D446" s="74">
        <f>(Table13[[#This Row],[Index]]-B434)/B434</f>
        <v/>
      </c>
    </row>
    <row r="447">
      <c r="A447" s="19" t="n">
        <v>39692</v>
      </c>
      <c r="B447" s="61">
        <f>VLOOKUP(Table13[[#This Row],[Date]],database!A:F,6,)</f>
        <v/>
      </c>
      <c r="C447" s="74">
        <f>B447/B446-1</f>
        <v/>
      </c>
      <c r="D447" s="74">
        <f>(Table13[[#This Row],[Index]]-B435)/B435</f>
        <v/>
      </c>
    </row>
    <row r="448">
      <c r="A448" s="19" t="n">
        <v>39722</v>
      </c>
      <c r="B448" s="61">
        <f>VLOOKUP(Table13[[#This Row],[Date]],database!A:F,6,)</f>
        <v/>
      </c>
      <c r="C448" s="74">
        <f>B448/B447-1</f>
        <v/>
      </c>
      <c r="D448" s="74">
        <f>(Table13[[#This Row],[Index]]-B436)/B436</f>
        <v/>
      </c>
    </row>
    <row r="449">
      <c r="A449" s="19" t="n">
        <v>39753</v>
      </c>
      <c r="B449" s="61">
        <f>VLOOKUP(Table13[[#This Row],[Date]],database!A:F,6,)</f>
        <v/>
      </c>
      <c r="C449" s="74">
        <f>B449/B448-1</f>
        <v/>
      </c>
      <c r="D449" s="74">
        <f>(Table13[[#This Row],[Index]]-B437)/B437</f>
        <v/>
      </c>
    </row>
    <row r="450">
      <c r="A450" s="19" t="n">
        <v>39783</v>
      </c>
      <c r="B450" s="61">
        <f>VLOOKUP(Table13[[#This Row],[Date]],database!A:F,6,)</f>
        <v/>
      </c>
      <c r="C450" s="74">
        <f>B450/B449-1</f>
        <v/>
      </c>
      <c r="D450" s="74">
        <f>(Table13[[#This Row],[Index]]-B438)/B438</f>
        <v/>
      </c>
    </row>
    <row r="451">
      <c r="A451" s="19" t="n">
        <v>39814</v>
      </c>
      <c r="B451" s="61">
        <f>VLOOKUP(Table13[[#This Row],[Date]],database!A:F,6,)</f>
        <v/>
      </c>
      <c r="C451" s="74">
        <f>B451/B450-1</f>
        <v/>
      </c>
      <c r="D451" s="74">
        <f>(Table13[[#This Row],[Index]]-B439)/B439</f>
        <v/>
      </c>
    </row>
    <row r="452">
      <c r="A452" s="19" t="n">
        <v>39845</v>
      </c>
      <c r="B452" s="61">
        <f>VLOOKUP(Table13[[#This Row],[Date]],database!A:F,6,)</f>
        <v/>
      </c>
      <c r="C452" s="74">
        <f>B452/B451-1</f>
        <v/>
      </c>
      <c r="D452" s="74">
        <f>(Table13[[#This Row],[Index]]-B440)/B440</f>
        <v/>
      </c>
    </row>
    <row r="453">
      <c r="A453" s="19" t="n">
        <v>39873</v>
      </c>
      <c r="B453" s="61">
        <f>VLOOKUP(Table13[[#This Row],[Date]],database!A:F,6,)</f>
        <v/>
      </c>
      <c r="C453" s="74">
        <f>B453/B452-1</f>
        <v/>
      </c>
      <c r="D453" s="74">
        <f>(Table13[[#This Row],[Index]]-B441)/B441</f>
        <v/>
      </c>
    </row>
    <row r="454">
      <c r="A454" s="19" t="n">
        <v>39904</v>
      </c>
      <c r="B454" s="61">
        <f>VLOOKUP(Table13[[#This Row],[Date]],database!A:F,6,)</f>
        <v/>
      </c>
      <c r="C454" s="74">
        <f>B454/B453-1</f>
        <v/>
      </c>
      <c r="D454" s="74">
        <f>(Table13[[#This Row],[Index]]-B442)/B442</f>
        <v/>
      </c>
    </row>
    <row r="455">
      <c r="A455" s="19" t="n">
        <v>39934</v>
      </c>
      <c r="B455" s="61">
        <f>VLOOKUP(Table13[[#This Row],[Date]],database!A:F,6,)</f>
        <v/>
      </c>
      <c r="C455" s="74">
        <f>B455/B454-1</f>
        <v/>
      </c>
      <c r="D455" s="74">
        <f>(Table13[[#This Row],[Index]]-B443)/B443</f>
        <v/>
      </c>
    </row>
    <row r="456">
      <c r="A456" s="19" t="n">
        <v>39965</v>
      </c>
      <c r="B456" s="61">
        <f>VLOOKUP(Table13[[#This Row],[Date]],database!A:F,6,)</f>
        <v/>
      </c>
      <c r="C456" s="74">
        <f>B456/B455-1</f>
        <v/>
      </c>
      <c r="D456" s="74">
        <f>(Table13[[#This Row],[Index]]-B444)/B444</f>
        <v/>
      </c>
    </row>
    <row r="457">
      <c r="A457" s="19" t="n">
        <v>39995</v>
      </c>
      <c r="B457" s="61">
        <f>VLOOKUP(Table13[[#This Row],[Date]],database!A:F,6,)</f>
        <v/>
      </c>
      <c r="C457" s="74">
        <f>B457/B456-1</f>
        <v/>
      </c>
      <c r="D457" s="74">
        <f>(Table13[[#This Row],[Index]]-B445)/B445</f>
        <v/>
      </c>
    </row>
    <row r="458">
      <c r="A458" s="19" t="n">
        <v>40026</v>
      </c>
      <c r="B458" s="61">
        <f>VLOOKUP(Table13[[#This Row],[Date]],database!A:F,6,)</f>
        <v/>
      </c>
      <c r="C458" s="74">
        <f>B458/B457-1</f>
        <v/>
      </c>
      <c r="D458" s="74">
        <f>(Table13[[#This Row],[Index]]-B446)/B446</f>
        <v/>
      </c>
    </row>
    <row r="459">
      <c r="A459" s="19" t="n">
        <v>40057</v>
      </c>
      <c r="B459" s="61">
        <f>VLOOKUP(Table13[[#This Row],[Date]],database!A:F,6,)</f>
        <v/>
      </c>
      <c r="C459" s="74">
        <f>B459/B458-1</f>
        <v/>
      </c>
      <c r="D459" s="74">
        <f>(Table13[[#This Row],[Index]]-B447)/B447</f>
        <v/>
      </c>
    </row>
    <row r="460">
      <c r="A460" s="19" t="n">
        <v>40087</v>
      </c>
      <c r="B460" s="61">
        <f>VLOOKUP(Table13[[#This Row],[Date]],database!A:F,6,)</f>
        <v/>
      </c>
      <c r="C460" s="74">
        <f>B460/B459-1</f>
        <v/>
      </c>
      <c r="D460" s="74">
        <f>(Table13[[#This Row],[Index]]-B448)/B448</f>
        <v/>
      </c>
    </row>
    <row r="461">
      <c r="A461" s="19" t="n">
        <v>40118</v>
      </c>
      <c r="B461" s="61">
        <f>VLOOKUP(Table13[[#This Row],[Date]],database!A:F,6,)</f>
        <v/>
      </c>
      <c r="C461" s="74">
        <f>B461/B460-1</f>
        <v/>
      </c>
      <c r="D461" s="74">
        <f>(Table13[[#This Row],[Index]]-B449)/B449</f>
        <v/>
      </c>
    </row>
    <row r="462">
      <c r="A462" s="19" t="n">
        <v>40148</v>
      </c>
      <c r="B462" s="61">
        <f>VLOOKUP(Table13[[#This Row],[Date]],database!A:F,6,)</f>
        <v/>
      </c>
      <c r="C462" s="74">
        <f>B462/B461-1</f>
        <v/>
      </c>
      <c r="D462" s="74">
        <f>(Table13[[#This Row],[Index]]-B450)/B450</f>
        <v/>
      </c>
    </row>
    <row r="463">
      <c r="A463" s="19" t="n">
        <v>40179</v>
      </c>
      <c r="B463" s="61">
        <f>VLOOKUP(Table13[[#This Row],[Date]],database!A:F,6,)</f>
        <v/>
      </c>
      <c r="C463" s="74">
        <f>B463/B462-1</f>
        <v/>
      </c>
      <c r="D463" s="74">
        <f>(Table13[[#This Row],[Index]]-B451)/B451</f>
        <v/>
      </c>
    </row>
    <row r="464">
      <c r="A464" s="19" t="n">
        <v>40210</v>
      </c>
      <c r="B464" s="61">
        <f>VLOOKUP(Table13[[#This Row],[Date]],database!A:F,6,)</f>
        <v/>
      </c>
      <c r="C464" s="74">
        <f>B464/B463-1</f>
        <v/>
      </c>
      <c r="D464" s="74">
        <f>(Table13[[#This Row],[Index]]-B452)/B452</f>
        <v/>
      </c>
    </row>
    <row r="465">
      <c r="A465" s="19" t="n">
        <v>40238</v>
      </c>
      <c r="B465" s="61">
        <f>VLOOKUP(Table13[[#This Row],[Date]],database!A:F,6,)</f>
        <v/>
      </c>
      <c r="C465" s="74">
        <f>B465/B464-1</f>
        <v/>
      </c>
      <c r="D465" s="74">
        <f>(Table13[[#This Row],[Index]]-B453)/B453</f>
        <v/>
      </c>
    </row>
    <row r="466">
      <c r="A466" s="19" t="n">
        <v>40269</v>
      </c>
      <c r="B466" s="61">
        <f>VLOOKUP(Table13[[#This Row],[Date]],database!A:F,6,)</f>
        <v/>
      </c>
      <c r="C466" s="74">
        <f>B466/B465-1</f>
        <v/>
      </c>
      <c r="D466" s="74">
        <f>(Table13[[#This Row],[Index]]-B454)/B454</f>
        <v/>
      </c>
    </row>
    <row r="467">
      <c r="A467" s="19" t="n">
        <v>40299</v>
      </c>
      <c r="B467" s="61">
        <f>VLOOKUP(Table13[[#This Row],[Date]],database!A:F,6,)</f>
        <v/>
      </c>
      <c r="C467" s="74">
        <f>B467/B466-1</f>
        <v/>
      </c>
      <c r="D467" s="74">
        <f>(Table13[[#This Row],[Index]]-B455)/B455</f>
        <v/>
      </c>
    </row>
    <row r="468">
      <c r="A468" s="19" t="n">
        <v>40330</v>
      </c>
      <c r="B468" s="61">
        <f>VLOOKUP(Table13[[#This Row],[Date]],database!A:F,6,)</f>
        <v/>
      </c>
      <c r="C468" s="74">
        <f>B468/B467-1</f>
        <v/>
      </c>
      <c r="D468" s="74">
        <f>(Table13[[#This Row],[Index]]-B456)/B456</f>
        <v/>
      </c>
    </row>
    <row r="469">
      <c r="A469" s="19" t="n">
        <v>40360</v>
      </c>
      <c r="B469" s="61">
        <f>VLOOKUP(Table13[[#This Row],[Date]],database!A:F,6,)</f>
        <v/>
      </c>
      <c r="C469" s="74">
        <f>B469/B468-1</f>
        <v/>
      </c>
      <c r="D469" s="74">
        <f>(Table13[[#This Row],[Index]]-B457)/B457</f>
        <v/>
      </c>
    </row>
    <row r="470">
      <c r="A470" s="19" t="n">
        <v>40391</v>
      </c>
      <c r="B470" s="61">
        <f>VLOOKUP(Table13[[#This Row],[Date]],database!A:F,6,)</f>
        <v/>
      </c>
      <c r="C470" s="74">
        <f>B470/B469-1</f>
        <v/>
      </c>
      <c r="D470" s="74">
        <f>(Table13[[#This Row],[Index]]-B458)/B458</f>
        <v/>
      </c>
    </row>
    <row r="471">
      <c r="A471" s="19" t="n">
        <v>40422</v>
      </c>
      <c r="B471" s="61">
        <f>VLOOKUP(Table13[[#This Row],[Date]],database!A:F,6,)</f>
        <v/>
      </c>
      <c r="C471" s="74">
        <f>B471/B470-1</f>
        <v/>
      </c>
      <c r="D471" s="74">
        <f>(Table13[[#This Row],[Index]]-B459)/B459</f>
        <v/>
      </c>
    </row>
    <row r="472">
      <c r="A472" s="19" t="n">
        <v>40452</v>
      </c>
      <c r="B472" s="61">
        <f>VLOOKUP(Table13[[#This Row],[Date]],database!A:F,6,)</f>
        <v/>
      </c>
      <c r="C472" s="74">
        <f>B472/B471-1</f>
        <v/>
      </c>
      <c r="D472" s="74">
        <f>(Table13[[#This Row],[Index]]-B460)/B460</f>
        <v/>
      </c>
    </row>
    <row r="473">
      <c r="A473" s="19" t="n">
        <v>40483</v>
      </c>
      <c r="B473" s="61">
        <f>VLOOKUP(Table13[[#This Row],[Date]],database!A:F,6,)</f>
        <v/>
      </c>
      <c r="C473" s="74">
        <f>B473/B472-1</f>
        <v/>
      </c>
      <c r="D473" s="74">
        <f>(Table13[[#This Row],[Index]]-B461)/B461</f>
        <v/>
      </c>
    </row>
    <row r="474">
      <c r="A474" s="19" t="n">
        <v>40513</v>
      </c>
      <c r="B474" s="61">
        <f>VLOOKUP(Table13[[#This Row],[Date]],database!A:F,6,)</f>
        <v/>
      </c>
      <c r="C474" s="74">
        <f>B474/B473-1</f>
        <v/>
      </c>
      <c r="D474" s="74">
        <f>(Table13[[#This Row],[Index]]-B462)/B462</f>
        <v/>
      </c>
    </row>
    <row r="475">
      <c r="A475" s="19" t="n">
        <v>40544</v>
      </c>
      <c r="B475" s="61">
        <f>VLOOKUP(Table13[[#This Row],[Date]],database!A:F,6,)</f>
        <v/>
      </c>
      <c r="C475" s="74">
        <f>B475/B474-1</f>
        <v/>
      </c>
      <c r="D475" s="74">
        <f>(Table13[[#This Row],[Index]]-B463)/B463</f>
        <v/>
      </c>
    </row>
    <row r="476">
      <c r="A476" s="19" t="n">
        <v>40575</v>
      </c>
      <c r="B476" s="61">
        <f>VLOOKUP(Table13[[#This Row],[Date]],database!A:F,6,)</f>
        <v/>
      </c>
      <c r="C476" s="74">
        <f>B476/B475-1</f>
        <v/>
      </c>
      <c r="D476" s="74">
        <f>(Table13[[#This Row],[Index]]-B464)/B464</f>
        <v/>
      </c>
    </row>
    <row r="477">
      <c r="A477" s="19" t="n">
        <v>40603</v>
      </c>
      <c r="B477" s="61">
        <f>VLOOKUP(Table13[[#This Row],[Date]],database!A:F,6,)</f>
        <v/>
      </c>
      <c r="C477" s="74">
        <f>B477/B476-1</f>
        <v/>
      </c>
      <c r="D477" s="74">
        <f>(Table13[[#This Row],[Index]]-B465)/B465</f>
        <v/>
      </c>
    </row>
    <row r="478">
      <c r="A478" s="19" t="n">
        <v>40634</v>
      </c>
      <c r="B478" s="61">
        <f>VLOOKUP(Table13[[#This Row],[Date]],database!A:F,6,)</f>
        <v/>
      </c>
      <c r="C478" s="75">
        <f>B478/B477-1</f>
        <v/>
      </c>
      <c r="D478" s="74">
        <f>(Table13[[#This Row],[Index]]-B466)/B466</f>
        <v/>
      </c>
    </row>
    <row r="479">
      <c r="A479" s="19" t="n">
        <v>40664</v>
      </c>
      <c r="B479" s="61">
        <f>VLOOKUP(Table13[[#This Row],[Date]],database!A:F,6,)</f>
        <v/>
      </c>
      <c r="C479" s="74">
        <f>B479/B478-1</f>
        <v/>
      </c>
      <c r="D479" s="74">
        <f>(Table13[[#This Row],[Index]]-B467)/B467</f>
        <v/>
      </c>
    </row>
    <row r="480">
      <c r="A480" s="19" t="n">
        <v>40695</v>
      </c>
      <c r="B480" s="61">
        <f>VLOOKUP(Table13[[#This Row],[Date]],database!A:F,6,)</f>
        <v/>
      </c>
      <c r="C480" s="74">
        <f>B480/B479-1</f>
        <v/>
      </c>
      <c r="D480" s="74">
        <f>(Table13[[#This Row],[Index]]-B468)/B468</f>
        <v/>
      </c>
    </row>
    <row r="481">
      <c r="A481" s="19" t="n">
        <v>40725</v>
      </c>
      <c r="B481" s="61">
        <f>VLOOKUP(Table13[[#This Row],[Date]],database!A:F,6,)</f>
        <v/>
      </c>
      <c r="C481" s="74">
        <f>B481/B480-1</f>
        <v/>
      </c>
      <c r="D481" s="74">
        <f>(Table13[[#This Row],[Index]]-B469)/B469</f>
        <v/>
      </c>
    </row>
    <row r="482">
      <c r="A482" s="19" t="n">
        <v>40756</v>
      </c>
      <c r="B482" s="61">
        <f>VLOOKUP(Table13[[#This Row],[Date]],database!A:F,6,)</f>
        <v/>
      </c>
      <c r="C482" s="74">
        <f>B482/B481-1</f>
        <v/>
      </c>
      <c r="D482" s="74">
        <f>(Table13[[#This Row],[Index]]-B470)/B470</f>
        <v/>
      </c>
    </row>
    <row r="483">
      <c r="A483" s="19" t="n">
        <v>40787</v>
      </c>
      <c r="B483" s="61">
        <f>VLOOKUP(Table13[[#This Row],[Date]],database!A:F,6,)</f>
        <v/>
      </c>
      <c r="C483" s="74">
        <f>B483/B482-1</f>
        <v/>
      </c>
      <c r="D483" s="74">
        <f>(Table13[[#This Row],[Index]]-B471)/B471</f>
        <v/>
      </c>
    </row>
    <row r="484">
      <c r="A484" s="19" t="n">
        <v>40817</v>
      </c>
      <c r="B484" s="61">
        <f>VLOOKUP(Table13[[#This Row],[Date]],database!A:F,6,)</f>
        <v/>
      </c>
      <c r="C484" s="74">
        <f>B484/B483-1</f>
        <v/>
      </c>
      <c r="D484" s="74">
        <f>(Table13[[#This Row],[Index]]-B472)/B472</f>
        <v/>
      </c>
    </row>
    <row r="485">
      <c r="A485" s="19" t="n">
        <v>40848</v>
      </c>
      <c r="B485" s="61">
        <f>VLOOKUP(Table13[[#This Row],[Date]],database!A:F,6,)</f>
        <v/>
      </c>
      <c r="C485" s="74">
        <f>B485/B484-1</f>
        <v/>
      </c>
      <c r="D485" s="74">
        <f>(Table13[[#This Row],[Index]]-B473)/B473</f>
        <v/>
      </c>
    </row>
    <row r="486">
      <c r="A486" s="19" t="n">
        <v>40878</v>
      </c>
      <c r="B486" s="61">
        <f>VLOOKUP(Table13[[#This Row],[Date]],database!A:F,6,)</f>
        <v/>
      </c>
      <c r="C486" s="74">
        <f>B486/B485-1</f>
        <v/>
      </c>
      <c r="D486" s="74">
        <f>(Table13[[#This Row],[Index]]-B474)/B474</f>
        <v/>
      </c>
    </row>
    <row r="487">
      <c r="A487" s="19" t="n">
        <v>40909</v>
      </c>
      <c r="B487" s="61">
        <f>VLOOKUP(Table13[[#This Row],[Date]],database!A:F,6,)</f>
        <v/>
      </c>
      <c r="C487" s="74">
        <f>B487/B486-1</f>
        <v/>
      </c>
      <c r="D487" s="74">
        <f>(Table13[[#This Row],[Index]]-B475)/B475</f>
        <v/>
      </c>
    </row>
    <row r="488">
      <c r="A488" s="19" t="n">
        <v>40940</v>
      </c>
      <c r="B488" s="61">
        <f>VLOOKUP(Table13[[#This Row],[Date]],database!A:F,6,)</f>
        <v/>
      </c>
      <c r="C488" s="74">
        <f>B488/B487-1</f>
        <v/>
      </c>
      <c r="D488" s="74">
        <f>(Table13[[#This Row],[Index]]-B476)/B476</f>
        <v/>
      </c>
    </row>
    <row r="489">
      <c r="A489" s="19" t="n">
        <v>40969</v>
      </c>
      <c r="B489" s="61">
        <f>VLOOKUP(Table13[[#This Row],[Date]],database!A:F,6,)</f>
        <v/>
      </c>
      <c r="C489" s="74">
        <f>B489/B488-1</f>
        <v/>
      </c>
      <c r="D489" s="74">
        <f>(Table13[[#This Row],[Index]]-B477)/B477</f>
        <v/>
      </c>
    </row>
    <row r="490">
      <c r="A490" s="19" t="n">
        <v>41000</v>
      </c>
      <c r="B490" s="61">
        <f>VLOOKUP(Table13[[#This Row],[Date]],database!A:F,6,)</f>
        <v/>
      </c>
      <c r="C490" s="74">
        <f>B490/B489-1</f>
        <v/>
      </c>
      <c r="D490" s="74">
        <f>(Table13[[#This Row],[Index]]-B478)/B478</f>
        <v/>
      </c>
    </row>
    <row r="491">
      <c r="A491" s="19" t="n">
        <v>41030</v>
      </c>
      <c r="B491" s="61">
        <f>VLOOKUP(Table13[[#This Row],[Date]],database!A:F,6,)</f>
        <v/>
      </c>
      <c r="C491" s="74">
        <f>B491/B490-1</f>
        <v/>
      </c>
      <c r="D491" s="74">
        <f>(Table13[[#This Row],[Index]]-B479)/B479</f>
        <v/>
      </c>
    </row>
    <row r="492">
      <c r="A492" s="19" t="n">
        <v>41061</v>
      </c>
      <c r="B492" s="61">
        <f>VLOOKUP(Table13[[#This Row],[Date]],database!A:F,6,)</f>
        <v/>
      </c>
      <c r="C492" s="74">
        <f>B492/B491-1</f>
        <v/>
      </c>
      <c r="D492" s="74">
        <f>(Table13[[#This Row],[Index]]-B480)/B480</f>
        <v/>
      </c>
    </row>
    <row r="493">
      <c r="A493" s="19" t="n">
        <v>41091</v>
      </c>
      <c r="B493" s="61">
        <f>VLOOKUP(Table13[[#This Row],[Date]],database!A:F,6,)</f>
        <v/>
      </c>
      <c r="C493" s="74">
        <f>B493/B492-1</f>
        <v/>
      </c>
      <c r="D493" s="74">
        <f>(Table13[[#This Row],[Index]]-B481)/B481</f>
        <v/>
      </c>
    </row>
    <row r="494">
      <c r="A494" s="19" t="n">
        <v>41122</v>
      </c>
      <c r="B494" s="61">
        <f>VLOOKUP(Table13[[#This Row],[Date]],database!A:F,6,)</f>
        <v/>
      </c>
      <c r="C494" s="74">
        <f>B494/B493-1</f>
        <v/>
      </c>
      <c r="D494" s="74">
        <f>(Table13[[#This Row],[Index]]-B482)/B482</f>
        <v/>
      </c>
    </row>
    <row r="495">
      <c r="A495" s="19" t="n">
        <v>41153</v>
      </c>
      <c r="B495" s="61">
        <f>VLOOKUP(Table13[[#This Row],[Date]],database!A:F,6,)</f>
        <v/>
      </c>
      <c r="C495" s="74">
        <f>B495/B494-1</f>
        <v/>
      </c>
      <c r="D495" s="74">
        <f>(Table13[[#This Row],[Index]]-B483)/B483</f>
        <v/>
      </c>
    </row>
    <row r="496">
      <c r="A496" s="19" t="n">
        <v>41183</v>
      </c>
      <c r="B496" s="61">
        <f>VLOOKUP(Table13[[#This Row],[Date]],database!A:F,6,)</f>
        <v/>
      </c>
      <c r="C496" s="74">
        <f>B496/B495-1</f>
        <v/>
      </c>
      <c r="D496" s="74">
        <f>(Table13[[#This Row],[Index]]-B484)/B484</f>
        <v/>
      </c>
    </row>
    <row r="497">
      <c r="A497" s="19" t="n">
        <v>41214</v>
      </c>
      <c r="B497" s="61">
        <f>VLOOKUP(Table13[[#This Row],[Date]],database!A:F,6,)</f>
        <v/>
      </c>
      <c r="C497" s="74">
        <f>B497/B496-1</f>
        <v/>
      </c>
      <c r="D497" s="74">
        <f>(Table13[[#This Row],[Index]]-B485)/B485</f>
        <v/>
      </c>
    </row>
    <row r="498">
      <c r="A498" s="19" t="n">
        <v>41244</v>
      </c>
      <c r="B498" s="61">
        <f>VLOOKUP(Table13[[#This Row],[Date]],database!A:F,6,)</f>
        <v/>
      </c>
      <c r="C498" s="74">
        <f>B498/B497-1</f>
        <v/>
      </c>
      <c r="D498" s="74">
        <f>(Table13[[#This Row],[Index]]-B486)/B486</f>
        <v/>
      </c>
    </row>
    <row r="499">
      <c r="A499" s="19" t="n">
        <v>41275</v>
      </c>
      <c r="B499" s="61">
        <f>VLOOKUP(Table13[[#This Row],[Date]],database!A:F,6,)</f>
        <v/>
      </c>
      <c r="C499" s="74">
        <f>B499/B498-1</f>
        <v/>
      </c>
      <c r="D499" s="74">
        <f>(Table13[[#This Row],[Index]]-B487)/B487</f>
        <v/>
      </c>
    </row>
    <row r="500">
      <c r="A500" s="19" t="n">
        <v>41306</v>
      </c>
      <c r="B500" s="61">
        <f>VLOOKUP(Table13[[#This Row],[Date]],database!A:F,6,)</f>
        <v/>
      </c>
      <c r="C500" s="74">
        <f>B500/B499-1</f>
        <v/>
      </c>
      <c r="D500" s="74">
        <f>(Table13[[#This Row],[Index]]-B488)/B488</f>
        <v/>
      </c>
    </row>
    <row r="501">
      <c r="A501" s="19" t="n">
        <v>41334</v>
      </c>
      <c r="B501" s="61">
        <f>VLOOKUP(Table13[[#This Row],[Date]],database!A:F,6,)</f>
        <v/>
      </c>
      <c r="C501" s="74">
        <f>B501/B500-1</f>
        <v/>
      </c>
      <c r="D501" s="74">
        <f>(Table13[[#This Row],[Index]]-B489)/B489</f>
        <v/>
      </c>
    </row>
    <row r="502">
      <c r="A502" s="19" t="n">
        <v>41365</v>
      </c>
      <c r="B502" s="61">
        <f>VLOOKUP(Table13[[#This Row],[Date]],database!A:F,6,)</f>
        <v/>
      </c>
      <c r="C502" s="74">
        <f>B502/B501-1</f>
        <v/>
      </c>
      <c r="D502" s="74">
        <f>(Table13[[#This Row],[Index]]-B490)/B490</f>
        <v/>
      </c>
    </row>
    <row r="503">
      <c r="A503" s="19" t="n">
        <v>41395</v>
      </c>
      <c r="B503" s="61">
        <f>VLOOKUP(Table13[[#This Row],[Date]],database!A:F,6,)</f>
        <v/>
      </c>
      <c r="C503" s="74">
        <f>B503/B502-1</f>
        <v/>
      </c>
      <c r="D503" s="74">
        <f>(Table13[[#This Row],[Index]]-B491)/B491</f>
        <v/>
      </c>
    </row>
    <row r="504">
      <c r="A504" s="19" t="n">
        <v>41426</v>
      </c>
      <c r="B504" s="61">
        <f>VLOOKUP(Table13[[#This Row],[Date]],database!A:F,6,)</f>
        <v/>
      </c>
      <c r="C504" s="74">
        <f>B504/B503-1</f>
        <v/>
      </c>
      <c r="D504" s="74">
        <f>(Table13[[#This Row],[Index]]-B492)/B492</f>
        <v/>
      </c>
    </row>
    <row r="505">
      <c r="A505" s="19" t="n">
        <v>41456</v>
      </c>
      <c r="B505" s="61">
        <f>VLOOKUP(Table13[[#This Row],[Date]],database!A:F,6,)</f>
        <v/>
      </c>
      <c r="C505" s="74">
        <f>B505/B504-1</f>
        <v/>
      </c>
      <c r="D505" s="74">
        <f>(Table13[[#This Row],[Index]]-B493)/B493</f>
        <v/>
      </c>
    </row>
    <row r="506">
      <c r="A506" s="19" t="n">
        <v>41487</v>
      </c>
      <c r="B506" s="61">
        <f>VLOOKUP(Table13[[#This Row],[Date]],database!A:F,6,)</f>
        <v/>
      </c>
      <c r="C506" s="74">
        <f>B506/B505-1</f>
        <v/>
      </c>
      <c r="D506" s="74">
        <f>(Table13[[#This Row],[Index]]-B494)/B494</f>
        <v/>
      </c>
    </row>
    <row r="507">
      <c r="A507" s="19" t="n">
        <v>41518</v>
      </c>
      <c r="B507" s="61">
        <f>VLOOKUP(Table13[[#This Row],[Date]],database!A:F,6,)</f>
        <v/>
      </c>
      <c r="C507" s="74">
        <f>B507/B506-1</f>
        <v/>
      </c>
      <c r="D507" s="74">
        <f>(Table13[[#This Row],[Index]]-B495)/B495</f>
        <v/>
      </c>
    </row>
    <row r="508">
      <c r="A508" s="19" t="n">
        <v>41548</v>
      </c>
      <c r="B508" s="61">
        <f>VLOOKUP(Table13[[#This Row],[Date]],database!A:F,6,)</f>
        <v/>
      </c>
      <c r="C508" s="74">
        <f>B508/B507-1</f>
        <v/>
      </c>
      <c r="D508" s="74">
        <f>(Table13[[#This Row],[Index]]-B496)/B496</f>
        <v/>
      </c>
    </row>
    <row r="509">
      <c r="A509" s="19" t="n">
        <v>41579</v>
      </c>
      <c r="B509" s="61">
        <f>VLOOKUP(Table13[[#This Row],[Date]],database!A:F,6,)</f>
        <v/>
      </c>
      <c r="C509" s="74">
        <f>B509/B508-1</f>
        <v/>
      </c>
      <c r="D509" s="74">
        <f>(Table13[[#This Row],[Index]]-B497)/B497</f>
        <v/>
      </c>
    </row>
    <row r="510">
      <c r="A510" s="19" t="n">
        <v>41609</v>
      </c>
      <c r="B510" s="61">
        <f>VLOOKUP(Table13[[#This Row],[Date]],database!A:F,6,)</f>
        <v/>
      </c>
      <c r="C510" s="74">
        <f>B510/B509-1</f>
        <v/>
      </c>
      <c r="D510" s="74">
        <f>(Table13[[#This Row],[Index]]-B498)/B498</f>
        <v/>
      </c>
    </row>
    <row r="511">
      <c r="A511" s="19" t="n">
        <v>41640</v>
      </c>
      <c r="B511" s="61">
        <f>VLOOKUP(Table13[[#This Row],[Date]],database!A:F,6,)</f>
        <v/>
      </c>
      <c r="C511" s="74">
        <f>B511/B510-1</f>
        <v/>
      </c>
      <c r="D511" s="74">
        <f>(Table13[[#This Row],[Index]]-B499)/B499</f>
        <v/>
      </c>
    </row>
    <row r="512">
      <c r="A512" s="19" t="n">
        <v>41671</v>
      </c>
      <c r="B512" s="61">
        <f>VLOOKUP(Table13[[#This Row],[Date]],database!A:F,6,)</f>
        <v/>
      </c>
      <c r="C512" s="74">
        <f>B512/B511-1</f>
        <v/>
      </c>
      <c r="D512" s="74">
        <f>(Table13[[#This Row],[Index]]-B500)/B500</f>
        <v/>
      </c>
    </row>
    <row r="513">
      <c r="A513" s="19" t="n">
        <v>41699</v>
      </c>
      <c r="B513" s="61">
        <f>VLOOKUP(Table13[[#This Row],[Date]],database!A:F,6,)</f>
        <v/>
      </c>
      <c r="C513" s="74">
        <f>B513/B512-1</f>
        <v/>
      </c>
      <c r="D513" s="74">
        <f>(Table13[[#This Row],[Index]]-B501)/B501</f>
        <v/>
      </c>
    </row>
    <row r="514">
      <c r="A514" s="19" t="n">
        <v>41730</v>
      </c>
      <c r="B514" s="61">
        <f>VLOOKUP(Table13[[#This Row],[Date]],database!A:F,6,)</f>
        <v/>
      </c>
      <c r="C514" s="74">
        <f>B514/B513-1</f>
        <v/>
      </c>
      <c r="D514" s="74">
        <f>(Table13[[#This Row],[Index]]-B502)/B502</f>
        <v/>
      </c>
    </row>
    <row r="515">
      <c r="A515" s="19" t="n">
        <v>41760</v>
      </c>
      <c r="B515" s="61">
        <f>VLOOKUP(Table13[[#This Row],[Date]],database!A:F,6,)</f>
        <v/>
      </c>
      <c r="C515" s="74">
        <f>B515/B514-1</f>
        <v/>
      </c>
      <c r="D515" s="74">
        <f>(Table13[[#This Row],[Index]]-B503)/B503</f>
        <v/>
      </c>
    </row>
    <row r="516">
      <c r="A516" s="19" t="n">
        <v>41791</v>
      </c>
      <c r="B516" s="61">
        <f>VLOOKUP(Table13[[#This Row],[Date]],database!A:F,6,)</f>
        <v/>
      </c>
      <c r="C516" s="74">
        <f>B516/B515-1</f>
        <v/>
      </c>
      <c r="D516" s="74">
        <f>(Table13[[#This Row],[Index]]-B504)/B504</f>
        <v/>
      </c>
    </row>
    <row r="517">
      <c r="A517" s="19" t="n">
        <v>41821</v>
      </c>
      <c r="B517" s="61">
        <f>VLOOKUP(Table13[[#This Row],[Date]],database!A:F,6,)</f>
        <v/>
      </c>
      <c r="C517" s="74">
        <f>B517/B516-1</f>
        <v/>
      </c>
      <c r="D517" s="74">
        <f>(Table13[[#This Row],[Index]]-B505)/B505</f>
        <v/>
      </c>
    </row>
    <row r="518">
      <c r="A518" s="19" t="n">
        <v>41852</v>
      </c>
      <c r="B518" s="61">
        <f>VLOOKUP(Table13[[#This Row],[Date]],database!A:F,6,)</f>
        <v/>
      </c>
      <c r="C518" s="74">
        <f>B518/B517-1</f>
        <v/>
      </c>
      <c r="D518" s="74">
        <f>(Table13[[#This Row],[Index]]-B506)/B506</f>
        <v/>
      </c>
    </row>
    <row r="519">
      <c r="A519" s="19" t="n">
        <v>41883</v>
      </c>
      <c r="B519" s="61">
        <f>VLOOKUP(Table13[[#This Row],[Date]],database!A:F,6,)</f>
        <v/>
      </c>
      <c r="C519" s="74">
        <f>B519/B518-1</f>
        <v/>
      </c>
      <c r="D519" s="74">
        <f>(Table13[[#This Row],[Index]]-B507)/B507</f>
        <v/>
      </c>
    </row>
    <row r="520">
      <c r="A520" s="19" t="n">
        <v>41913</v>
      </c>
      <c r="B520" s="61">
        <f>VLOOKUP(Table13[[#This Row],[Date]],database!A:F,6,)</f>
        <v/>
      </c>
      <c r="C520" s="74">
        <f>B520/B519-1</f>
        <v/>
      </c>
      <c r="D520" s="74">
        <f>(Table13[[#This Row],[Index]]-B508)/B508</f>
        <v/>
      </c>
    </row>
    <row r="521">
      <c r="A521" s="19" t="n">
        <v>41944</v>
      </c>
      <c r="B521" s="61">
        <f>VLOOKUP(Table13[[#This Row],[Date]],database!A:F,6,)</f>
        <v/>
      </c>
      <c r="C521" s="75">
        <f>B521/B520-1</f>
        <v/>
      </c>
      <c r="D521" s="74">
        <f>(Table13[[#This Row],[Index]]-B509)/B509</f>
        <v/>
      </c>
    </row>
    <row r="522">
      <c r="A522" s="19" t="n">
        <v>41974</v>
      </c>
      <c r="B522" s="61">
        <f>VLOOKUP(Table13[[#This Row],[Date]],database!A:F,6,)</f>
        <v/>
      </c>
      <c r="C522" s="74">
        <f>B522/B521-1</f>
        <v/>
      </c>
      <c r="D522" s="74">
        <f>(Table13[[#This Row],[Index]]-B510)/B510</f>
        <v/>
      </c>
    </row>
    <row r="523">
      <c r="A523" s="19" t="n">
        <v>42005</v>
      </c>
      <c r="B523" s="61">
        <f>VLOOKUP(Table13[[#This Row],[Date]],database!A:F,6,)</f>
        <v/>
      </c>
      <c r="C523" s="75">
        <f>B523/B522-1</f>
        <v/>
      </c>
      <c r="D523" s="74">
        <f>(Table13[[#This Row],[Index]]-B511)/B511</f>
        <v/>
      </c>
    </row>
    <row r="524">
      <c r="A524" s="19" t="n">
        <v>42036</v>
      </c>
      <c r="B524" s="61">
        <f>VLOOKUP(Table13[[#This Row],[Date]],database!A:F,6,)</f>
        <v/>
      </c>
      <c r="C524" s="74">
        <f>B524/B523-1</f>
        <v/>
      </c>
      <c r="D524" s="74">
        <f>(Table13[[#This Row],[Index]]-B512)/B512</f>
        <v/>
      </c>
    </row>
    <row r="525">
      <c r="A525" s="19" t="n">
        <v>42064</v>
      </c>
      <c r="B525" s="61">
        <f>VLOOKUP(Table13[[#This Row],[Date]],database!A:F,6,)</f>
        <v/>
      </c>
      <c r="C525" s="75">
        <f>B525/B524-1</f>
        <v/>
      </c>
      <c r="D525" s="74">
        <f>(Table13[[#This Row],[Index]]-B513)/B513</f>
        <v/>
      </c>
    </row>
    <row r="526">
      <c r="A526" s="19" t="n">
        <v>42095</v>
      </c>
      <c r="B526" s="61">
        <f>VLOOKUP(Table13[[#This Row],[Date]],database!A:F,6,)</f>
        <v/>
      </c>
      <c r="C526" s="74">
        <f>B526/B525-1</f>
        <v/>
      </c>
      <c r="D526" s="74">
        <f>(Table13[[#This Row],[Index]]-B514)/B514</f>
        <v/>
      </c>
    </row>
    <row r="527">
      <c r="A527" s="19" t="n">
        <v>42125</v>
      </c>
      <c r="B527" s="61">
        <f>VLOOKUP(Table13[[#This Row],[Date]],database!A:F,6,)</f>
        <v/>
      </c>
      <c r="C527" s="74">
        <f>B527/B526-1</f>
        <v/>
      </c>
      <c r="D527" s="74">
        <f>(Table13[[#This Row],[Index]]-B515)/B515</f>
        <v/>
      </c>
    </row>
    <row r="528">
      <c r="A528" s="19" t="n">
        <v>42156</v>
      </c>
      <c r="B528" s="61">
        <f>VLOOKUP(Table13[[#This Row],[Date]],database!A:F,6,)</f>
        <v/>
      </c>
      <c r="C528" s="74">
        <f>B528/B527-1</f>
        <v/>
      </c>
      <c r="D528" s="74">
        <f>(Table13[[#This Row],[Index]]-B516)/B516</f>
        <v/>
      </c>
    </row>
    <row r="529">
      <c r="A529" s="19" t="n">
        <v>42186</v>
      </c>
      <c r="B529" s="61">
        <f>VLOOKUP(Table13[[#This Row],[Date]],database!A:F,6,)</f>
        <v/>
      </c>
      <c r="C529" s="74">
        <f>B529/B528-1</f>
        <v/>
      </c>
      <c r="D529" s="74">
        <f>(Table13[[#This Row],[Index]]-B517)/B517</f>
        <v/>
      </c>
    </row>
    <row r="530">
      <c r="A530" s="19" t="n">
        <v>42217</v>
      </c>
      <c r="B530" s="61">
        <f>VLOOKUP(Table13[[#This Row],[Date]],database!A:F,6,)</f>
        <v/>
      </c>
      <c r="C530" s="74">
        <f>B530/B529-1</f>
        <v/>
      </c>
      <c r="D530" s="74">
        <f>(Table13[[#This Row],[Index]]-B518)/B518</f>
        <v/>
      </c>
    </row>
    <row r="531">
      <c r="A531" s="19" t="n">
        <v>42248</v>
      </c>
      <c r="B531" s="61">
        <f>VLOOKUP(Table13[[#This Row],[Date]],database!A:F,6,)</f>
        <v/>
      </c>
      <c r="C531" s="74">
        <f>B531/B530-1</f>
        <v/>
      </c>
      <c r="D531" s="74">
        <f>(Table13[[#This Row],[Index]]-B519)/B519</f>
        <v/>
      </c>
    </row>
    <row r="532">
      <c r="A532" s="19" t="n">
        <v>42278</v>
      </c>
      <c r="B532" s="61">
        <f>VLOOKUP(Table13[[#This Row],[Date]],database!A:F,6,)</f>
        <v/>
      </c>
      <c r="C532" s="74">
        <f>B532/B531-1</f>
        <v/>
      </c>
      <c r="D532" s="74">
        <f>(Table13[[#This Row],[Index]]-B520)/B520</f>
        <v/>
      </c>
    </row>
    <row r="533">
      <c r="A533" s="19" t="n">
        <v>42309</v>
      </c>
      <c r="B533" s="61">
        <f>VLOOKUP(Table13[[#This Row],[Date]],database!A:F,6,)</f>
        <v/>
      </c>
      <c r="C533" s="74">
        <f>B533/B532-1</f>
        <v/>
      </c>
      <c r="D533" s="74">
        <f>(Table13[[#This Row],[Index]]-B521)/B521</f>
        <v/>
      </c>
    </row>
    <row r="534">
      <c r="A534" s="19" t="n">
        <v>42339</v>
      </c>
      <c r="B534" s="61">
        <f>VLOOKUP(Table13[[#This Row],[Date]],database!A:F,6,)</f>
        <v/>
      </c>
      <c r="C534" s="74">
        <f>B534/B533-1</f>
        <v/>
      </c>
      <c r="D534" s="74">
        <f>(Table13[[#This Row],[Index]]-B522)/B522</f>
        <v/>
      </c>
    </row>
    <row r="535">
      <c r="A535" s="19" t="n">
        <v>42370</v>
      </c>
      <c r="B535" s="61">
        <f>VLOOKUP(Table13[[#This Row],[Date]],database!A:F,6,)</f>
        <v/>
      </c>
      <c r="C535" s="74">
        <f>B535/B534-1</f>
        <v/>
      </c>
      <c r="D535" s="74">
        <f>(Table13[[#This Row],[Index]]-B523)/B523</f>
        <v/>
      </c>
    </row>
    <row r="536">
      <c r="A536" s="19" t="n">
        <v>42401</v>
      </c>
      <c r="B536" s="61">
        <f>VLOOKUP(Table13[[#This Row],[Date]],database!A:F,6,)</f>
        <v/>
      </c>
      <c r="C536" s="74">
        <f>B536/B535-1</f>
        <v/>
      </c>
      <c r="D536" s="74">
        <f>(Table13[[#This Row],[Index]]-B524)/B524</f>
        <v/>
      </c>
    </row>
    <row r="537">
      <c r="A537" s="19" t="n">
        <v>42430</v>
      </c>
      <c r="B537" s="61">
        <f>VLOOKUP(Table13[[#This Row],[Date]],database!A:F,6,)</f>
        <v/>
      </c>
      <c r="C537" s="74">
        <f>B537/B536-1</f>
        <v/>
      </c>
      <c r="D537" s="74">
        <f>(Table13[[#This Row],[Index]]-B525)/B525</f>
        <v/>
      </c>
    </row>
    <row r="538">
      <c r="A538" s="19" t="n">
        <v>42461</v>
      </c>
      <c r="B538" s="61">
        <f>VLOOKUP(Table13[[#This Row],[Date]],database!A:F,6,)</f>
        <v/>
      </c>
      <c r="C538" s="74">
        <f>B538/B537-1</f>
        <v/>
      </c>
      <c r="D538" s="74">
        <f>(Table13[[#This Row],[Index]]-B526)/B526</f>
        <v/>
      </c>
    </row>
    <row r="539">
      <c r="A539" s="19" t="n">
        <v>42491</v>
      </c>
      <c r="B539" s="61">
        <f>VLOOKUP(Table13[[#This Row],[Date]],database!A:F,6,)</f>
        <v/>
      </c>
      <c r="C539" s="74">
        <f>B539/B538-1</f>
        <v/>
      </c>
      <c r="D539" s="74">
        <f>(Table13[[#This Row],[Index]]-B527)/B527</f>
        <v/>
      </c>
    </row>
    <row r="540">
      <c r="A540" s="19" t="n">
        <v>42522</v>
      </c>
      <c r="B540" s="61">
        <f>VLOOKUP(Table13[[#This Row],[Date]],database!A:F,6,)</f>
        <v/>
      </c>
      <c r="C540" s="74">
        <f>B540/B539-1</f>
        <v/>
      </c>
      <c r="D540" s="74">
        <f>(Table13[[#This Row],[Index]]-B528)/B528</f>
        <v/>
      </c>
    </row>
    <row r="541">
      <c r="A541" s="19" t="n">
        <v>42552</v>
      </c>
      <c r="B541" s="61">
        <f>VLOOKUP(Table13[[#This Row],[Date]],database!A:F,6,)</f>
        <v/>
      </c>
      <c r="C541" s="74">
        <f>B541/B540-1</f>
        <v/>
      </c>
      <c r="D541" s="74">
        <f>(Table13[[#This Row],[Index]]-B529)/B529</f>
        <v/>
      </c>
    </row>
    <row r="542">
      <c r="A542" s="19" t="n">
        <v>42583</v>
      </c>
      <c r="B542" s="61">
        <f>VLOOKUP(Table13[[#This Row],[Date]],database!A:F,6,)</f>
        <v/>
      </c>
      <c r="C542" s="74">
        <f>B542/B541-1</f>
        <v/>
      </c>
      <c r="D542" s="74">
        <f>(Table13[[#This Row],[Index]]-B530)/B530</f>
        <v/>
      </c>
    </row>
    <row r="543">
      <c r="A543" s="19" t="n">
        <v>42614</v>
      </c>
      <c r="B543" s="61">
        <f>VLOOKUP(Table13[[#This Row],[Date]],database!A:F,6,)</f>
        <v/>
      </c>
      <c r="C543" s="74">
        <f>B543/B542-1</f>
        <v/>
      </c>
      <c r="D543" s="74">
        <f>(Table13[[#This Row],[Index]]-B531)/B531</f>
        <v/>
      </c>
    </row>
    <row r="544">
      <c r="A544" s="19" t="n">
        <v>42644</v>
      </c>
      <c r="B544" s="61">
        <f>VLOOKUP(Table13[[#This Row],[Date]],database!A:F,6,)</f>
        <v/>
      </c>
      <c r="C544" s="74">
        <f>B544/B543-1</f>
        <v/>
      </c>
      <c r="D544" s="74">
        <f>(Table13[[#This Row],[Index]]-B532)/B532</f>
        <v/>
      </c>
    </row>
    <row r="545">
      <c r="A545" s="19" t="n">
        <v>42675</v>
      </c>
      <c r="B545" s="61">
        <f>VLOOKUP(Table13[[#This Row],[Date]],database!A:F,6,)</f>
        <v/>
      </c>
      <c r="C545" s="74">
        <f>B545/B544-1</f>
        <v/>
      </c>
      <c r="D545" s="74">
        <f>(Table13[[#This Row],[Index]]-B533)/B533</f>
        <v/>
      </c>
    </row>
    <row r="546">
      <c r="A546" s="19" t="n">
        <v>42705</v>
      </c>
      <c r="B546" s="61">
        <f>VLOOKUP(Table13[[#This Row],[Date]],database!A:F,6,)</f>
        <v/>
      </c>
      <c r="C546" s="74">
        <f>B546/B545-1</f>
        <v/>
      </c>
      <c r="D546" s="74">
        <f>(Table13[[#This Row],[Index]]-B534)/B534</f>
        <v/>
      </c>
    </row>
    <row r="547">
      <c r="A547" s="19" t="n">
        <v>42736</v>
      </c>
      <c r="B547" s="61">
        <f>VLOOKUP(Table13[[#This Row],[Date]],database!A:F,6,)</f>
        <v/>
      </c>
      <c r="C547" s="74">
        <f>B547/B546-1</f>
        <v/>
      </c>
      <c r="D547" s="74">
        <f>(Table13[[#This Row],[Index]]-B535)/B535</f>
        <v/>
      </c>
    </row>
    <row r="548">
      <c r="A548" s="19" t="n">
        <v>42767</v>
      </c>
      <c r="B548" s="61">
        <f>VLOOKUP(Table13[[#This Row],[Date]],database!A:F,6,)</f>
        <v/>
      </c>
      <c r="C548" s="74">
        <f>B548/B547-1</f>
        <v/>
      </c>
      <c r="D548" s="74">
        <f>(Table13[[#This Row],[Index]]-B536)/B536</f>
        <v/>
      </c>
    </row>
    <row r="549">
      <c r="A549" s="19" t="n">
        <v>42795</v>
      </c>
      <c r="B549" s="61">
        <f>VLOOKUP(Table13[[#This Row],[Date]],database!A:F,6,)</f>
        <v/>
      </c>
      <c r="C549" s="74">
        <f>B549/B548-1</f>
        <v/>
      </c>
      <c r="D549" s="74">
        <f>(Table13[[#This Row],[Index]]-B537)/B537</f>
        <v/>
      </c>
    </row>
    <row r="550">
      <c r="A550" s="19" t="n">
        <v>42826</v>
      </c>
      <c r="B550" s="61">
        <f>VLOOKUP(Table13[[#This Row],[Date]],database!A:F,6,)</f>
        <v/>
      </c>
      <c r="C550" s="74">
        <f>B550/B549-1</f>
        <v/>
      </c>
      <c r="D550" s="74">
        <f>(Table13[[#This Row],[Index]]-B538)/B538</f>
        <v/>
      </c>
    </row>
    <row r="551">
      <c r="A551" s="19" t="n">
        <v>42856</v>
      </c>
      <c r="B551" s="61">
        <f>VLOOKUP(Table13[[#This Row],[Date]],database!A:F,6,)</f>
        <v/>
      </c>
      <c r="C551" s="74">
        <f>B551/B550-1</f>
        <v/>
      </c>
      <c r="D551" s="74">
        <f>(Table13[[#This Row],[Index]]-B539)/B539</f>
        <v/>
      </c>
    </row>
    <row r="552">
      <c r="A552" s="19" t="n">
        <v>42887</v>
      </c>
      <c r="B552" s="61">
        <f>VLOOKUP(Table13[[#This Row],[Date]],database!A:F,6,)</f>
        <v/>
      </c>
      <c r="C552" s="74">
        <f>B552/B551-1</f>
        <v/>
      </c>
      <c r="D552" s="74">
        <f>(Table13[[#This Row],[Index]]-B540)/B540</f>
        <v/>
      </c>
    </row>
    <row r="553">
      <c r="A553" s="19" t="n">
        <v>42917</v>
      </c>
      <c r="B553" s="61">
        <f>VLOOKUP(Table13[[#This Row],[Date]],database!A:F,6,)</f>
        <v/>
      </c>
      <c r="C553" s="74">
        <f>B553/B552-1</f>
        <v/>
      </c>
      <c r="D553" s="74">
        <f>(Table13[[#This Row],[Index]]-B541)/B541</f>
        <v/>
      </c>
    </row>
    <row r="554">
      <c r="A554" s="19" t="n">
        <v>42948</v>
      </c>
      <c r="B554" s="61">
        <f>VLOOKUP(Table13[[#This Row],[Date]],database!A:F,6,)</f>
        <v/>
      </c>
      <c r="C554" s="74">
        <f>B554/B553-1</f>
        <v/>
      </c>
      <c r="D554" s="74">
        <f>(Table13[[#This Row],[Index]]-B542)/B542</f>
        <v/>
      </c>
    </row>
    <row r="555">
      <c r="A555" s="19" t="n">
        <v>42979</v>
      </c>
      <c r="B555" s="61">
        <f>VLOOKUP(Table13[[#This Row],[Date]],database!A:F,6,)</f>
        <v/>
      </c>
      <c r="C555" s="74">
        <f>B555/B554-1</f>
        <v/>
      </c>
      <c r="D555" s="74">
        <f>(Table13[[#This Row],[Index]]-B543)/B543</f>
        <v/>
      </c>
    </row>
    <row r="556">
      <c r="A556" s="19" t="n">
        <v>43009</v>
      </c>
      <c r="B556" s="61">
        <f>VLOOKUP(Table13[[#This Row],[Date]],database!A:F,6,)</f>
        <v/>
      </c>
      <c r="C556" s="74">
        <f>B556/B555-1</f>
        <v/>
      </c>
      <c r="D556" s="74">
        <f>(Table13[[#This Row],[Index]]-B544)/B544</f>
        <v/>
      </c>
    </row>
    <row r="557">
      <c r="A557" s="19" t="n">
        <v>43040</v>
      </c>
      <c r="B557" s="61">
        <f>VLOOKUP(Table13[[#This Row],[Date]],database!A:F,6,)</f>
        <v/>
      </c>
      <c r="C557" s="74">
        <f>B557/B556-1</f>
        <v/>
      </c>
      <c r="D557" s="74">
        <f>(Table13[[#This Row],[Index]]-B545)/B545</f>
        <v/>
      </c>
    </row>
    <row r="558">
      <c r="A558" s="19" t="n">
        <v>43070</v>
      </c>
      <c r="B558" s="61">
        <f>VLOOKUP(Table13[[#This Row],[Date]],database!A:F,6,)</f>
        <v/>
      </c>
      <c r="C558" s="74">
        <f>B558/B557-1</f>
        <v/>
      </c>
      <c r="D558" s="74">
        <f>(Table13[[#This Row],[Index]]-B546)/B546</f>
        <v/>
      </c>
    </row>
    <row r="559">
      <c r="A559" s="19" t="n">
        <v>43101</v>
      </c>
      <c r="B559" s="61">
        <f>VLOOKUP(Table13[[#This Row],[Date]],database!A:F,6,)</f>
        <v/>
      </c>
      <c r="C559" s="74">
        <f>B559/B558-1</f>
        <v/>
      </c>
      <c r="D559" s="74">
        <f>(Table13[[#This Row],[Index]]-B547)/B547</f>
        <v/>
      </c>
    </row>
    <row r="560">
      <c r="A560" s="19" t="n">
        <v>43132</v>
      </c>
      <c r="B560" s="61">
        <f>VLOOKUP(Table13[[#This Row],[Date]],database!A:F,6,)</f>
        <v/>
      </c>
      <c r="C560" s="74">
        <f>B560/B559-1</f>
        <v/>
      </c>
      <c r="D560" s="74">
        <f>(Table13[[#This Row],[Index]]-B548)/B548</f>
        <v/>
      </c>
    </row>
    <row r="561">
      <c r="A561" s="19" t="n">
        <v>43160</v>
      </c>
      <c r="B561" s="61">
        <f>VLOOKUP(Table13[[#This Row],[Date]],database!A:F,6,)</f>
        <v/>
      </c>
      <c r="C561" s="74">
        <f>B561/B560-1</f>
        <v/>
      </c>
      <c r="D561" s="74">
        <f>(Table13[[#This Row],[Index]]-B549)/B549</f>
        <v/>
      </c>
    </row>
    <row r="562">
      <c r="A562" s="19" t="n">
        <v>43191</v>
      </c>
      <c r="B562" s="61">
        <f>VLOOKUP(Table13[[#This Row],[Date]],database!A:F,6,)</f>
        <v/>
      </c>
      <c r="C562" s="74">
        <f>B562/B561-1</f>
        <v/>
      </c>
      <c r="D562" s="74">
        <f>(Table13[[#This Row],[Index]]-B550)/B550</f>
        <v/>
      </c>
    </row>
    <row r="563">
      <c r="A563" s="19" t="n">
        <v>43221</v>
      </c>
      <c r="B563" s="61">
        <f>VLOOKUP(Table13[[#This Row],[Date]],database!A:F,6,)</f>
        <v/>
      </c>
      <c r="C563" s="74">
        <f>B563/B562-1</f>
        <v/>
      </c>
      <c r="D563" s="74">
        <f>(Table13[[#This Row],[Index]]-B551)/B551</f>
        <v/>
      </c>
    </row>
    <row r="564">
      <c r="A564" s="19" t="n">
        <v>43252</v>
      </c>
      <c r="B564" s="61">
        <f>VLOOKUP(Table13[[#This Row],[Date]],database!A:F,6,)</f>
        <v/>
      </c>
      <c r="C564" s="74">
        <f>B564/B563-1</f>
        <v/>
      </c>
      <c r="D564" s="74">
        <f>(Table13[[#This Row],[Index]]-B552)/B552</f>
        <v/>
      </c>
    </row>
    <row r="565">
      <c r="A565" s="19" t="n">
        <v>43282</v>
      </c>
      <c r="B565" s="61">
        <f>VLOOKUP(Table13[[#This Row],[Date]],database!A:F,6,)</f>
        <v/>
      </c>
      <c r="C565" s="74">
        <f>B565/B564-1</f>
        <v/>
      </c>
      <c r="D565" s="74">
        <f>(Table13[[#This Row],[Index]]-B553)/B553</f>
        <v/>
      </c>
    </row>
    <row r="566">
      <c r="A566" s="19" t="n">
        <v>43313</v>
      </c>
      <c r="B566" s="61">
        <f>VLOOKUP(Table13[[#This Row],[Date]],database!A:F,6,)</f>
        <v/>
      </c>
      <c r="C566" s="74">
        <f>B566/B565-1</f>
        <v/>
      </c>
      <c r="D566" s="74">
        <f>(Table13[[#This Row],[Index]]-B554)/B554</f>
        <v/>
      </c>
    </row>
    <row r="567">
      <c r="A567" s="19" t="n">
        <v>43344</v>
      </c>
      <c r="B567" s="61">
        <f>VLOOKUP(Table13[[#This Row],[Date]],database!A:F,6,)</f>
        <v/>
      </c>
      <c r="C567" s="74">
        <f>B567/B566-1</f>
        <v/>
      </c>
      <c r="D567" s="74">
        <f>(Table13[[#This Row],[Index]]-B555)/B555</f>
        <v/>
      </c>
    </row>
    <row r="568">
      <c r="A568" s="19" t="n">
        <v>43374</v>
      </c>
      <c r="B568" s="61">
        <f>VLOOKUP(Table13[[#This Row],[Date]],database!A:F,6,)</f>
        <v/>
      </c>
      <c r="C568" s="74">
        <f>B568/B567-1</f>
        <v/>
      </c>
      <c r="D568" s="74">
        <f>(Table13[[#This Row],[Index]]-B556)/B556</f>
        <v/>
      </c>
    </row>
    <row r="569">
      <c r="A569" s="19" t="n">
        <v>43405</v>
      </c>
      <c r="B569" s="61">
        <f>VLOOKUP(Table13[[#This Row],[Date]],database!A:F,6,)</f>
        <v/>
      </c>
      <c r="C569" s="74">
        <f>B569/B568-1</f>
        <v/>
      </c>
      <c r="D569" s="74">
        <f>(Table13[[#This Row],[Index]]-B557)/B557</f>
        <v/>
      </c>
    </row>
    <row r="570">
      <c r="A570" s="19" t="n">
        <v>43435</v>
      </c>
      <c r="B570" s="61">
        <f>VLOOKUP(Table13[[#This Row],[Date]],database!A:F,6,)</f>
        <v/>
      </c>
      <c r="C570" s="74">
        <f>B570/B569-1</f>
        <v/>
      </c>
      <c r="D570" s="74">
        <f>(Table13[[#This Row],[Index]]-B558)/B558</f>
        <v/>
      </c>
    </row>
    <row r="571">
      <c r="A571" s="19" t="n">
        <v>43466</v>
      </c>
      <c r="B571" s="61">
        <f>VLOOKUP(Table13[[#This Row],[Date]],database!A:F,6,)</f>
        <v/>
      </c>
      <c r="C571" s="74">
        <f>B571/B570-1</f>
        <v/>
      </c>
      <c r="D571" s="74">
        <f>(Table13[[#This Row],[Index]]-B559)/B559</f>
        <v/>
      </c>
    </row>
    <row r="572">
      <c r="A572" s="19" t="n">
        <v>43497</v>
      </c>
      <c r="B572" s="61">
        <f>VLOOKUP(Table13[[#This Row],[Date]],database!A:F,6,)</f>
        <v/>
      </c>
      <c r="C572" s="74">
        <f>B572/B571-1</f>
        <v/>
      </c>
      <c r="D572" s="74">
        <f>(Table13[[#This Row],[Index]]-B560)/B560</f>
        <v/>
      </c>
    </row>
    <row r="573">
      <c r="A573" s="19" t="n">
        <v>43525</v>
      </c>
      <c r="B573" s="61">
        <f>VLOOKUP(Table13[[#This Row],[Date]],database!A:F,6,)</f>
        <v/>
      </c>
      <c r="C573" s="74">
        <f>B573/B572-1</f>
        <v/>
      </c>
      <c r="D573" s="74">
        <f>(Table13[[#This Row],[Index]]-B561)/B561</f>
        <v/>
      </c>
    </row>
    <row r="574">
      <c r="A574" s="19" t="n">
        <v>43556</v>
      </c>
      <c r="B574" s="61">
        <f>VLOOKUP(Table13[[#This Row],[Date]],database!A:F,6,)</f>
        <v/>
      </c>
      <c r="C574" s="74">
        <f>B574/B573-1</f>
        <v/>
      </c>
      <c r="D574" s="74">
        <f>(Table13[[#This Row],[Index]]-B562)/B562</f>
        <v/>
      </c>
    </row>
    <row r="575">
      <c r="A575" s="19" t="n">
        <v>43586</v>
      </c>
      <c r="B575" s="61">
        <f>VLOOKUP(Table13[[#This Row],[Date]],database!A:F,6,)</f>
        <v/>
      </c>
      <c r="C575" s="74">
        <f>B575/B574-1</f>
        <v/>
      </c>
      <c r="D575" s="74">
        <f>(Table13[[#This Row],[Index]]-B563)/B563</f>
        <v/>
      </c>
    </row>
    <row r="576">
      <c r="A576" s="19" t="n">
        <v>43617</v>
      </c>
      <c r="B576" s="61">
        <f>VLOOKUP(Table13[[#This Row],[Date]],database!A:F,6,)</f>
        <v/>
      </c>
      <c r="C576" s="74">
        <f>B576/B575-1</f>
        <v/>
      </c>
      <c r="D576" s="74">
        <f>(Table13[[#This Row],[Index]]-B564)/B564</f>
        <v/>
      </c>
    </row>
    <row r="577">
      <c r="A577" s="19" t="n">
        <v>43647</v>
      </c>
      <c r="B577" s="61">
        <f>VLOOKUP(Table13[[#This Row],[Date]],database!A:F,6,)</f>
        <v/>
      </c>
      <c r="C577" s="74">
        <f>B577/B576-1</f>
        <v/>
      </c>
      <c r="D577" s="74">
        <f>(Table13[[#This Row],[Index]]-B565)/B565</f>
        <v/>
      </c>
    </row>
    <row r="578">
      <c r="A578" s="19" t="n">
        <v>43678</v>
      </c>
      <c r="B578" s="61">
        <f>VLOOKUP(Table13[[#This Row],[Date]],database!A:F,6,)</f>
        <v/>
      </c>
      <c r="C578" s="74">
        <f>B578/B577-1</f>
        <v/>
      </c>
      <c r="D578" s="74">
        <f>(Table13[[#This Row],[Index]]-B566)/B566</f>
        <v/>
      </c>
    </row>
    <row r="579">
      <c r="A579" s="19" t="n">
        <v>43709</v>
      </c>
      <c r="B579" s="61">
        <f>VLOOKUP(Table13[[#This Row],[Date]],database!A:F,6,)</f>
        <v/>
      </c>
      <c r="C579" s="74">
        <f>B579/B578-1</f>
        <v/>
      </c>
      <c r="D579" s="74">
        <f>(Table13[[#This Row],[Index]]-B567)/B567</f>
        <v/>
      </c>
    </row>
    <row r="580">
      <c r="A580" s="19" t="n">
        <v>43739</v>
      </c>
      <c r="B580" s="61">
        <f>VLOOKUP(Table13[[#This Row],[Date]],database!A:F,6,)</f>
        <v/>
      </c>
      <c r="C580" s="74">
        <f>B580/B579-1</f>
        <v/>
      </c>
      <c r="D580" s="74">
        <f>(Table13[[#This Row],[Index]]-B568)/B568</f>
        <v/>
      </c>
    </row>
    <row r="581">
      <c r="A581" s="19" t="n">
        <v>43770</v>
      </c>
      <c r="B581" s="61">
        <f>VLOOKUP(Table13[[#This Row],[Date]],database!A:F,6,)</f>
        <v/>
      </c>
      <c r="C581" s="74">
        <f>B581/B580-1</f>
        <v/>
      </c>
      <c r="D581" s="74">
        <f>(Table13[[#This Row],[Index]]-B569)/B569</f>
        <v/>
      </c>
    </row>
    <row r="582">
      <c r="A582" s="19" t="n">
        <v>43800</v>
      </c>
      <c r="B582" s="61">
        <f>VLOOKUP(Table13[[#This Row],[Date]],database!A:F,6,)</f>
        <v/>
      </c>
      <c r="C582" s="74">
        <f>B582/B581-1</f>
        <v/>
      </c>
      <c r="D582" s="74">
        <f>(Table13[[#This Row],[Index]]-B570)/B570</f>
        <v/>
      </c>
    </row>
    <row r="583">
      <c r="A583" s="19" t="n">
        <v>43831</v>
      </c>
      <c r="B583" s="61">
        <f>VLOOKUP(Table13[[#This Row],[Date]],database!A:F,6,)</f>
        <v/>
      </c>
      <c r="C583" s="74">
        <f>B583/B582-1</f>
        <v/>
      </c>
      <c r="D583" s="74">
        <f>(Table13[[#This Row],[Index]]-B571)/B571</f>
        <v/>
      </c>
    </row>
    <row r="584">
      <c r="A584" s="19" t="n">
        <v>43862</v>
      </c>
      <c r="B584" s="61">
        <f>VLOOKUP(Table13[[#This Row],[Date]],database!A:F,6,)</f>
        <v/>
      </c>
      <c r="C584" s="74">
        <f>B584/B583-1</f>
        <v/>
      </c>
      <c r="D584" s="74">
        <f>(Table13[[#This Row],[Index]]-B572)/B572</f>
        <v/>
      </c>
    </row>
    <row r="585">
      <c r="A585" s="19" t="n">
        <v>43891</v>
      </c>
      <c r="B585" s="61">
        <f>VLOOKUP(Table13[[#This Row],[Date]],database!A:F,6,)</f>
        <v/>
      </c>
      <c r="C585" s="74">
        <f>B585/B584-1</f>
        <v/>
      </c>
      <c r="D585" s="74">
        <f>(Table13[[#This Row],[Index]]-B573)/B573</f>
        <v/>
      </c>
    </row>
    <row r="586">
      <c r="A586" s="19" t="n">
        <v>43922</v>
      </c>
      <c r="B586" s="61">
        <f>VLOOKUP(Table13[[#This Row],[Date]],database!A:F,6,)</f>
        <v/>
      </c>
      <c r="C586" s="74">
        <f>B586/B585-1</f>
        <v/>
      </c>
      <c r="D586" s="74">
        <f>(Table13[[#This Row],[Index]]-B574)/B574</f>
        <v/>
      </c>
    </row>
    <row r="587">
      <c r="A587" s="19" t="n">
        <v>43952</v>
      </c>
      <c r="B587" s="61">
        <f>VLOOKUP(Table13[[#This Row],[Date]],database!A:F,6,)</f>
        <v/>
      </c>
      <c r="C587" s="74">
        <f>B587/B586-1</f>
        <v/>
      </c>
      <c r="D587" s="74">
        <f>(Table13[[#This Row],[Index]]-B575)/B575</f>
        <v/>
      </c>
    </row>
    <row r="588">
      <c r="A588" s="19" t="n">
        <v>43983</v>
      </c>
      <c r="B588" s="61">
        <f>VLOOKUP(Table13[[#This Row],[Date]],database!A:F,6,)</f>
        <v/>
      </c>
      <c r="C588" s="74">
        <f>B588/B587-1</f>
        <v/>
      </c>
      <c r="D588" s="74">
        <f>(Table13[[#This Row],[Index]]-B576)/B576</f>
        <v/>
      </c>
    </row>
    <row r="589">
      <c r="A589" s="19" t="n">
        <v>44013</v>
      </c>
      <c r="B589" s="61">
        <f>VLOOKUP(Table13[[#This Row],[Date]],database!A:F,6,)</f>
        <v/>
      </c>
      <c r="C589" s="74">
        <f>B589/B588-1</f>
        <v/>
      </c>
      <c r="D589" s="74">
        <f>(Table13[[#This Row],[Index]]-B577)/B577</f>
        <v/>
      </c>
    </row>
    <row r="590">
      <c r="A590" s="19" t="n">
        <v>44044</v>
      </c>
      <c r="B590" s="61">
        <f>VLOOKUP(Table13[[#This Row],[Date]],database!A:F,6,)</f>
        <v/>
      </c>
      <c r="C590" s="74">
        <f>B590/B589-1</f>
        <v/>
      </c>
      <c r="D590" s="74">
        <f>(Table13[[#This Row],[Index]]-B578)/B578</f>
        <v/>
      </c>
    </row>
    <row r="591">
      <c r="A591" s="19" t="n">
        <v>44075</v>
      </c>
      <c r="B591" s="61">
        <f>VLOOKUP(Table13[[#This Row],[Date]],database!A:F,6,)</f>
        <v/>
      </c>
      <c r="C591" s="74">
        <f>B591/B590-1</f>
        <v/>
      </c>
      <c r="D591" s="74">
        <f>(Table13[[#This Row],[Index]]-B579)/B579</f>
        <v/>
      </c>
    </row>
    <row r="592">
      <c r="A592" s="19" t="n">
        <v>44105</v>
      </c>
      <c r="B592" s="61">
        <f>VLOOKUP(Table13[[#This Row],[Date]],database!A:F,6,)</f>
        <v/>
      </c>
      <c r="C592" s="74">
        <f>B592/B591-1</f>
        <v/>
      </c>
      <c r="D592" s="74">
        <f>(Table13[[#This Row],[Index]]-B580)/B580</f>
        <v/>
      </c>
    </row>
    <row r="593">
      <c r="A593" s="19" t="n">
        <v>44136</v>
      </c>
      <c r="B593" s="61">
        <f>VLOOKUP(Table13[[#This Row],[Date]],database!A:F,6,)</f>
        <v/>
      </c>
      <c r="C593" s="74">
        <f>B593/B592-1</f>
        <v/>
      </c>
      <c r="D593" s="74">
        <f>(Table13[[#This Row],[Index]]-B581)/B581</f>
        <v/>
      </c>
    </row>
    <row r="594">
      <c r="A594" s="19" t="n">
        <v>44166</v>
      </c>
      <c r="B594" s="61">
        <f>VLOOKUP(Table13[[#This Row],[Date]],database!A:F,6,)</f>
        <v/>
      </c>
      <c r="C594" s="74">
        <f>B594/B593-1</f>
        <v/>
      </c>
      <c r="D594" s="74">
        <f>(Table13[[#This Row],[Index]]-B582)/B582</f>
        <v/>
      </c>
    </row>
    <row r="595">
      <c r="A595" s="19" t="n">
        <v>44197</v>
      </c>
      <c r="B595" s="61">
        <f>VLOOKUP(Table13[[#This Row],[Date]],database!A:F,6,)</f>
        <v/>
      </c>
      <c r="C595" s="74">
        <f>B595/B594-1</f>
        <v/>
      </c>
      <c r="D595" s="74">
        <f>(Table13[[#This Row],[Index]]-B583)/B583</f>
        <v/>
      </c>
    </row>
    <row r="596">
      <c r="A596" s="19" t="n">
        <v>44228</v>
      </c>
      <c r="B596" s="61">
        <f>VLOOKUP(Table13[[#This Row],[Date]],database!A:F,6,)</f>
        <v/>
      </c>
      <c r="C596" s="74">
        <f>B596/B595-1</f>
        <v/>
      </c>
      <c r="D596" s="74">
        <f>(Table13[[#This Row],[Index]]-B584)/B584</f>
        <v/>
      </c>
    </row>
    <row r="597">
      <c r="A597" s="19" t="n">
        <v>44256</v>
      </c>
      <c r="B597" s="61">
        <f>VLOOKUP(Table13[[#This Row],[Date]],database!A:F,6,)</f>
        <v/>
      </c>
      <c r="C597" s="74">
        <f>B597/B596-1</f>
        <v/>
      </c>
      <c r="D597" s="74">
        <f>(Table13[[#This Row],[Index]]-B585)/B585</f>
        <v/>
      </c>
    </row>
    <row r="598">
      <c r="A598" s="19" t="n">
        <v>44287</v>
      </c>
      <c r="B598" s="61">
        <f>VLOOKUP(Table13[[#This Row],[Date]],database!A:F,6,)</f>
        <v/>
      </c>
      <c r="C598" s="74">
        <f>B598/B597-1</f>
        <v/>
      </c>
      <c r="D598" s="74">
        <f>(Table13[[#This Row],[Index]]-B586)/B586</f>
        <v/>
      </c>
    </row>
    <row r="599">
      <c r="A599" s="19" t="n">
        <v>44317</v>
      </c>
      <c r="B599" s="61">
        <f>VLOOKUP(Table13[[#This Row],[Date]],database!A:F,6,)</f>
        <v/>
      </c>
      <c r="C599" s="74">
        <f>B599/B598-1</f>
        <v/>
      </c>
      <c r="D599" s="74">
        <f>(Table13[[#This Row],[Index]]-B587)/B587</f>
        <v/>
      </c>
    </row>
    <row r="600">
      <c r="A600" s="19" t="n">
        <v>44348</v>
      </c>
      <c r="B600" s="61">
        <f>VLOOKUP(Table13[[#This Row],[Date]],database!A:F,6,)</f>
        <v/>
      </c>
      <c r="C600" s="74">
        <f>B600/B599-1</f>
        <v/>
      </c>
      <c r="D600" s="74">
        <f>(Table13[[#This Row],[Index]]-B588)/B588</f>
        <v/>
      </c>
    </row>
    <row r="601">
      <c r="A601" s="19" t="n">
        <v>44378</v>
      </c>
      <c r="B601" s="61">
        <f>VLOOKUP(Table13[[#This Row],[Date]],database!A:F,6,)</f>
        <v/>
      </c>
      <c r="C601" s="74">
        <f>B601/B600-1</f>
        <v/>
      </c>
      <c r="D601" s="74">
        <f>(Table13[[#This Row],[Index]]-B589)/B589</f>
        <v/>
      </c>
    </row>
    <row r="602">
      <c r="A602" s="19" t="n">
        <v>44409</v>
      </c>
      <c r="B602" s="61">
        <f>VLOOKUP(Table13[[#This Row],[Date]],database!A:F,6,)</f>
        <v/>
      </c>
      <c r="C602" s="74">
        <f>B602/B601-1</f>
        <v/>
      </c>
      <c r="D602" s="74">
        <f>(Table13[[#This Row],[Index]]-B590)/B590</f>
        <v/>
      </c>
    </row>
    <row r="603">
      <c r="A603" s="19" t="n">
        <v>44440</v>
      </c>
      <c r="B603" s="61">
        <f>VLOOKUP(Table13[[#This Row],[Date]],database!A:F,6,)</f>
        <v/>
      </c>
      <c r="C603" s="74">
        <f>B603/B602-1</f>
        <v/>
      </c>
      <c r="D603" s="74">
        <f>(Table13[[#This Row],[Index]]-B591)/B591</f>
        <v/>
      </c>
    </row>
    <row r="604">
      <c r="A604" s="19" t="n">
        <v>44470</v>
      </c>
      <c r="B604" s="61">
        <f>VLOOKUP(Table13[[#This Row],[Date]],database!A:F,6,)</f>
        <v/>
      </c>
      <c r="C604" s="74">
        <f>B604/B603-1</f>
        <v/>
      </c>
      <c r="D604" s="74">
        <f>(Table13[[#This Row],[Index]]-B592)/B592</f>
        <v/>
      </c>
    </row>
    <row r="605">
      <c r="A605" s="19" t="n">
        <v>44501</v>
      </c>
      <c r="B605" s="61">
        <f>VLOOKUP(Table13[[#This Row],[Date]],database!A:F,6,)</f>
        <v/>
      </c>
      <c r="C605" s="74">
        <f>B605/B604-1</f>
        <v/>
      </c>
      <c r="D605" s="74">
        <f>(Table13[[#This Row],[Index]]-B593)/B593</f>
        <v/>
      </c>
    </row>
    <row r="606">
      <c r="A606" s="19" t="n">
        <v>44531</v>
      </c>
      <c r="B606" s="61">
        <f>VLOOKUP(Table13[[#This Row],[Date]],database!A:F,6,)</f>
        <v/>
      </c>
      <c r="C606" s="74">
        <f>B606/B605-1</f>
        <v/>
      </c>
      <c r="D606" s="74">
        <f>(Table13[[#This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6"/>
  <sheetViews>
    <sheetView zoomScale="160" zoomScaleNormal="160" workbookViewId="0">
      <pane ySplit="6" topLeftCell="A567" activePane="bottomLeft" state="frozen"/>
      <selection activeCell="J582" sqref="J582"/>
      <selection pane="bottomLeft" activeCell="V588" sqref="V588"/>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17" t="inlineStr">
        <is>
          <t>IPMINE</t>
        </is>
      </c>
      <c r="B1" s="81" t="n"/>
      <c r="C1" s="81" t="n"/>
      <c r="S1" s="22" t="inlineStr">
        <is>
          <t>Industrial Production: Mining</t>
        </is>
      </c>
      <c r="T1" s="70" t="inlineStr">
        <is>
          <t xml:space="preserve"> since 2000 - </t>
        </is>
      </c>
      <c r="U1" s="81">
        <f>S1&amp;T1</f>
        <v/>
      </c>
      <c r="Y1" s="66">
        <f>U4&amp; T1</f>
        <v/>
      </c>
    </row>
    <row r="2">
      <c r="A2" s="17" t="n"/>
      <c r="B2" s="81" t="n"/>
      <c r="C2" s="81" t="n"/>
      <c r="S2" s="22" t="n"/>
      <c r="T2" s="70" t="n"/>
      <c r="Y2" s="66" t="n"/>
    </row>
    <row r="3">
      <c r="A3" s="17" t="n"/>
      <c r="B3" s="81" t="n"/>
      <c r="C3" s="81" t="n"/>
      <c r="S3" s="22" t="n"/>
      <c r="T3" s="70" t="n"/>
      <c r="Y3" s="66" t="n"/>
    </row>
    <row r="4">
      <c r="A4" s="18" t="n"/>
      <c r="B4" s="81" t="n"/>
      <c r="C4" s="81" t="n"/>
      <c r="S4" s="58" t="n"/>
      <c r="T4" s="70" t="n"/>
      <c r="U4" s="81">
        <f>S1&amp;Table134[[#Headers],[ yoy]]</f>
        <v/>
      </c>
    </row>
    <row r="5">
      <c r="A5" s="18" t="n"/>
      <c r="B5" s="58" t="n"/>
      <c r="C5" s="70" t="n"/>
    </row>
    <row r="6">
      <c r="A6" s="21" t="inlineStr">
        <is>
          <t>Date</t>
        </is>
      </c>
      <c r="B6" s="62" t="inlineStr">
        <is>
          <t>Index</t>
        </is>
      </c>
      <c r="C6" s="77" t="inlineStr">
        <is>
          <t>mom</t>
        </is>
      </c>
      <c r="D6" s="78" t="inlineStr">
        <is>
          <t xml:space="preserve"> yoy</t>
        </is>
      </c>
    </row>
    <row r="7">
      <c r="A7" s="19" t="n">
        <v>26299</v>
      </c>
      <c r="B7" s="61">
        <f>VLOOKUP(Table134[[#This Row],[Date]],database!A:I,8,)</f>
        <v/>
      </c>
      <c r="C7" s="74" t="n"/>
      <c r="D7" s="74" t="n"/>
    </row>
    <row r="8">
      <c r="A8" s="19" t="n">
        <v>26330</v>
      </c>
      <c r="B8" s="61">
        <f>VLOOKUP(Table134[[#This Row],[Date]],database!A:I,8,)</f>
        <v/>
      </c>
      <c r="C8" s="74">
        <f>B8/B7-1</f>
        <v/>
      </c>
      <c r="D8" s="74" t="n"/>
    </row>
    <row r="9">
      <c r="A9" s="19" t="n">
        <v>26359</v>
      </c>
      <c r="B9" s="61">
        <f>VLOOKUP(Table134[[#This Row],[Date]],database!A:I,8,)</f>
        <v/>
      </c>
      <c r="C9" s="74">
        <f>B9/B8-1</f>
        <v/>
      </c>
      <c r="D9" s="74" t="n"/>
    </row>
    <row r="10">
      <c r="A10" s="19" t="n">
        <v>26390</v>
      </c>
      <c r="B10" s="61">
        <f>VLOOKUP(Table134[[#This Row],[Date]],database!A:I,8,)</f>
        <v/>
      </c>
      <c r="C10" s="74">
        <f>B10/B9-1</f>
        <v/>
      </c>
      <c r="D10" s="74" t="n"/>
    </row>
    <row r="11">
      <c r="A11" s="19" t="n">
        <v>26420</v>
      </c>
      <c r="B11" s="61">
        <f>VLOOKUP(Table134[[#This Row],[Date]],database!A:I,8,)</f>
        <v/>
      </c>
      <c r="C11" s="74">
        <f>B11/B10-1</f>
        <v/>
      </c>
      <c r="D11" s="74" t="n"/>
    </row>
    <row r="12">
      <c r="A12" s="19" t="n">
        <v>26451</v>
      </c>
      <c r="B12" s="61">
        <f>VLOOKUP(Table134[[#This Row],[Date]],database!A:I,8,)</f>
        <v/>
      </c>
      <c r="C12" s="74">
        <f>B12/B11-1</f>
        <v/>
      </c>
      <c r="D12" s="74" t="n"/>
    </row>
    <row r="13">
      <c r="A13" s="19" t="n">
        <v>26481</v>
      </c>
      <c r="B13" s="61">
        <f>VLOOKUP(Table134[[#This Row],[Date]],database!A:I,8,)</f>
        <v/>
      </c>
      <c r="C13" s="74">
        <f>B13/B12-1</f>
        <v/>
      </c>
      <c r="D13" s="74" t="n"/>
    </row>
    <row r="14">
      <c r="A14" s="19" t="n">
        <v>26512</v>
      </c>
      <c r="B14" s="61">
        <f>VLOOKUP(Table134[[#This Row],[Date]],database!A:I,8,)</f>
        <v/>
      </c>
      <c r="C14" s="74">
        <f>B14/B13-1</f>
        <v/>
      </c>
      <c r="D14" s="74" t="n"/>
    </row>
    <row r="15">
      <c r="A15" s="19" t="n">
        <v>26543</v>
      </c>
      <c r="B15" s="61">
        <f>VLOOKUP(Table134[[#This Row],[Date]],database!A:I,8,)</f>
        <v/>
      </c>
      <c r="C15" s="74">
        <f>B15/B14-1</f>
        <v/>
      </c>
      <c r="D15" s="74" t="n"/>
    </row>
    <row r="16">
      <c r="A16" s="19" t="n">
        <v>26573</v>
      </c>
      <c r="B16" s="61">
        <f>VLOOKUP(Table134[[#This Row],[Date]],database!A:I,8,)</f>
        <v/>
      </c>
      <c r="C16" s="74">
        <f>B16/B15-1</f>
        <v/>
      </c>
      <c r="D16" s="74" t="n"/>
    </row>
    <row r="17">
      <c r="A17" s="19" t="n">
        <v>26604</v>
      </c>
      <c r="B17" s="61">
        <f>VLOOKUP(Table134[[#This Row],[Date]],database!A:I,8,)</f>
        <v/>
      </c>
      <c r="C17" s="74">
        <f>B17/B16-1</f>
        <v/>
      </c>
      <c r="D17" s="74" t="n"/>
    </row>
    <row r="18">
      <c r="A18" s="19" t="n">
        <v>26634</v>
      </c>
      <c r="B18" s="61">
        <f>VLOOKUP(Table134[[#This Row],[Date]],database!A:I,8,)</f>
        <v/>
      </c>
      <c r="C18" s="74">
        <f>B18/B17-1</f>
        <v/>
      </c>
      <c r="D18" s="74" t="n"/>
    </row>
    <row r="19">
      <c r="A19" s="19" t="n">
        <v>26665</v>
      </c>
      <c r="B19" s="61">
        <f>VLOOKUP(Table134[[#This Row],[Date]],database!A:I,8,)</f>
        <v/>
      </c>
      <c r="C19" s="74">
        <f>B19/B18-1</f>
        <v/>
      </c>
      <c r="D19" s="74" t="n"/>
    </row>
    <row r="20">
      <c r="A20" s="19" t="n">
        <v>26696</v>
      </c>
      <c r="B20" s="61">
        <f>VLOOKUP(Table134[[#This Row],[Date]],database!A:I,8,)</f>
        <v/>
      </c>
      <c r="C20" s="74">
        <f>B20/B19-1</f>
        <v/>
      </c>
      <c r="D20" s="74">
        <f>(Table134[[#This Row],[Index]]-B8)/B8</f>
        <v/>
      </c>
    </row>
    <row r="21">
      <c r="A21" s="19" t="n">
        <v>26724</v>
      </c>
      <c r="B21" s="61">
        <f>VLOOKUP(Table134[[#This Row],[Date]],database!A:I,8,)</f>
        <v/>
      </c>
      <c r="C21" s="74">
        <f>B21/B20-1</f>
        <v/>
      </c>
      <c r="D21" s="74">
        <f>(Table134[[#This Row],[Index]]-B9)/B9</f>
        <v/>
      </c>
    </row>
    <row r="22">
      <c r="A22" s="19" t="n">
        <v>26755</v>
      </c>
      <c r="B22" s="61">
        <f>VLOOKUP(Table134[[#This Row],[Date]],database!A:I,8,)</f>
        <v/>
      </c>
      <c r="C22" s="74">
        <f>B22/B21-1</f>
        <v/>
      </c>
      <c r="D22" s="74">
        <f>(Table134[[#This Row],[Index]]-B10)/B10</f>
        <v/>
      </c>
    </row>
    <row r="23">
      <c r="A23" s="19" t="n">
        <v>26785</v>
      </c>
      <c r="B23" s="61">
        <f>VLOOKUP(Table134[[#This Row],[Date]],database!A:I,8,)</f>
        <v/>
      </c>
      <c r="C23" s="74">
        <f>B23/B22-1</f>
        <v/>
      </c>
      <c r="D23" s="74">
        <f>(Table134[[#This Row],[Index]]-B11)/B11</f>
        <v/>
      </c>
    </row>
    <row r="24">
      <c r="A24" s="19" t="n">
        <v>26816</v>
      </c>
      <c r="B24" s="61">
        <f>VLOOKUP(Table134[[#This Row],[Date]],database!A:I,8,)</f>
        <v/>
      </c>
      <c r="C24" s="74">
        <f>B24/B23-1</f>
        <v/>
      </c>
      <c r="D24" s="74">
        <f>(Table134[[#This Row],[Index]]-B12)/B12</f>
        <v/>
      </c>
    </row>
    <row r="25">
      <c r="A25" s="19" t="n">
        <v>26846</v>
      </c>
      <c r="B25" s="61">
        <f>VLOOKUP(Table134[[#This Row],[Date]],database!A:I,8,)</f>
        <v/>
      </c>
      <c r="C25" s="74">
        <f>B25/B24-1</f>
        <v/>
      </c>
      <c r="D25" s="74">
        <f>(Table134[[#This Row],[Index]]-B13)/B13</f>
        <v/>
      </c>
    </row>
    <row r="26">
      <c r="A26" s="19" t="n">
        <v>26877</v>
      </c>
      <c r="B26" s="61">
        <f>VLOOKUP(Table134[[#This Row],[Date]],database!A:I,8,)</f>
        <v/>
      </c>
      <c r="C26" s="74">
        <f>B26/B25-1</f>
        <v/>
      </c>
      <c r="D26" s="74">
        <f>(Table134[[#This Row],[Index]]-B14)/B14</f>
        <v/>
      </c>
    </row>
    <row r="27">
      <c r="A27" s="19" t="n">
        <v>26908</v>
      </c>
      <c r="B27" s="61">
        <f>VLOOKUP(Table134[[#This Row],[Date]],database!A:I,8,)</f>
        <v/>
      </c>
      <c r="C27" s="74">
        <f>B27/B26-1</f>
        <v/>
      </c>
      <c r="D27" s="74">
        <f>(Table134[[#This Row],[Index]]-B15)/B15</f>
        <v/>
      </c>
    </row>
    <row r="28">
      <c r="A28" s="19" t="n">
        <v>26938</v>
      </c>
      <c r="B28" s="61">
        <f>VLOOKUP(Table134[[#This Row],[Date]],database!A:I,8,)</f>
        <v/>
      </c>
      <c r="C28" s="74">
        <f>B28/B27-1</f>
        <v/>
      </c>
      <c r="D28" s="74">
        <f>(Table134[[#This Row],[Index]]-B16)/B16</f>
        <v/>
      </c>
    </row>
    <row r="29">
      <c r="A29" s="19" t="n">
        <v>26969</v>
      </c>
      <c r="B29" s="61">
        <f>VLOOKUP(Table134[[#This Row],[Date]],database!A:I,8,)</f>
        <v/>
      </c>
      <c r="C29" s="74">
        <f>B29/B28-1</f>
        <v/>
      </c>
      <c r="D29" s="74">
        <f>(Table134[[#This Row],[Index]]-B17)/B17</f>
        <v/>
      </c>
    </row>
    <row r="30">
      <c r="A30" s="19" t="n">
        <v>26999</v>
      </c>
      <c r="B30" s="61">
        <f>VLOOKUP(Table134[[#This Row],[Date]],database!A:I,8,)</f>
        <v/>
      </c>
      <c r="C30" s="74">
        <f>B30/B29-1</f>
        <v/>
      </c>
      <c r="D30" s="74">
        <f>(Table134[[#This Row],[Index]]-B18)/B18</f>
        <v/>
      </c>
    </row>
    <row r="31">
      <c r="A31" s="19" t="n">
        <v>27030</v>
      </c>
      <c r="B31" s="61">
        <f>VLOOKUP(Table134[[#This Row],[Date]],database!A:I,8,)</f>
        <v/>
      </c>
      <c r="C31" s="74">
        <f>B31/B30-1</f>
        <v/>
      </c>
      <c r="D31" s="74">
        <f>(Table134[[#This Row],[Index]]-B19)/B19</f>
        <v/>
      </c>
    </row>
    <row r="32">
      <c r="A32" s="19" t="n">
        <v>27061</v>
      </c>
      <c r="B32" s="61">
        <f>VLOOKUP(Table134[[#This Row],[Date]],database!A:I,8,)</f>
        <v/>
      </c>
      <c r="C32" s="74">
        <f>B32/B31-1</f>
        <v/>
      </c>
      <c r="D32" s="74">
        <f>(Table134[[#This Row],[Index]]-B20)/B20</f>
        <v/>
      </c>
    </row>
    <row r="33">
      <c r="A33" s="19" t="n">
        <v>27089</v>
      </c>
      <c r="B33" s="61">
        <f>VLOOKUP(Table134[[#This Row],[Date]],database!A:I,8,)</f>
        <v/>
      </c>
      <c r="C33" s="74">
        <f>B33/B32-1</f>
        <v/>
      </c>
      <c r="D33" s="74">
        <f>(Table134[[#This Row],[Index]]-B21)/B21</f>
        <v/>
      </c>
    </row>
    <row r="34">
      <c r="A34" s="19" t="n">
        <v>27120</v>
      </c>
      <c r="B34" s="61">
        <f>VLOOKUP(Table134[[#This Row],[Date]],database!A:I,8,)</f>
        <v/>
      </c>
      <c r="C34" s="74">
        <f>B34/B33-1</f>
        <v/>
      </c>
      <c r="D34" s="74">
        <f>(Table134[[#This Row],[Index]]-B22)/B22</f>
        <v/>
      </c>
    </row>
    <row r="35">
      <c r="A35" s="19" t="n">
        <v>27150</v>
      </c>
      <c r="B35" s="61">
        <f>VLOOKUP(Table134[[#This Row],[Date]],database!A:I,8,)</f>
        <v/>
      </c>
      <c r="C35" s="74">
        <f>B35/B34-1</f>
        <v/>
      </c>
      <c r="D35" s="74">
        <f>(Table134[[#This Row],[Index]]-B23)/B23</f>
        <v/>
      </c>
    </row>
    <row r="36">
      <c r="A36" s="19" t="n">
        <v>27181</v>
      </c>
      <c r="B36" s="61">
        <f>VLOOKUP(Table134[[#This Row],[Date]],database!A:I,8,)</f>
        <v/>
      </c>
      <c r="C36" s="74">
        <f>B36/B35-1</f>
        <v/>
      </c>
      <c r="D36" s="74">
        <f>(Table134[[#This Row],[Index]]-B24)/B24</f>
        <v/>
      </c>
    </row>
    <row r="37">
      <c r="A37" s="19" t="n">
        <v>27211</v>
      </c>
      <c r="B37" s="61">
        <f>VLOOKUP(Table134[[#This Row],[Date]],database!A:I,8,)</f>
        <v/>
      </c>
      <c r="C37" s="74">
        <f>B37/B36-1</f>
        <v/>
      </c>
      <c r="D37" s="74">
        <f>(Table134[[#This Row],[Index]]-B25)/B25</f>
        <v/>
      </c>
    </row>
    <row r="38">
      <c r="A38" s="19" t="n">
        <v>27242</v>
      </c>
      <c r="B38" s="61">
        <f>VLOOKUP(Table134[[#This Row],[Date]],database!A:I,8,)</f>
        <v/>
      </c>
      <c r="C38" s="74">
        <f>B38/B37-1</f>
        <v/>
      </c>
      <c r="D38" s="74">
        <f>(Table134[[#This Row],[Index]]-B26)/B26</f>
        <v/>
      </c>
    </row>
    <row r="39">
      <c r="A39" s="19" t="n">
        <v>27273</v>
      </c>
      <c r="B39" s="61">
        <f>VLOOKUP(Table134[[#This Row],[Date]],database!A:I,8,)</f>
        <v/>
      </c>
      <c r="C39" s="74">
        <f>B39/B38-1</f>
        <v/>
      </c>
      <c r="D39" s="74">
        <f>(Table134[[#This Row],[Index]]-B27)/B27</f>
        <v/>
      </c>
    </row>
    <row r="40">
      <c r="A40" s="19" t="n">
        <v>27303</v>
      </c>
      <c r="B40" s="61">
        <f>VLOOKUP(Table134[[#This Row],[Date]],database!A:I,8,)</f>
        <v/>
      </c>
      <c r="C40" s="74">
        <f>B40/B39-1</f>
        <v/>
      </c>
      <c r="D40" s="74">
        <f>(Table134[[#This Row],[Index]]-B28)/B28</f>
        <v/>
      </c>
    </row>
    <row r="41">
      <c r="A41" s="19" t="n">
        <v>27334</v>
      </c>
      <c r="B41" s="61">
        <f>VLOOKUP(Table134[[#This Row],[Date]],database!A:I,8,)</f>
        <v/>
      </c>
      <c r="C41" s="74">
        <f>B41/B40-1</f>
        <v/>
      </c>
      <c r="D41" s="74">
        <f>(Table134[[#This Row],[Index]]-B29)/B29</f>
        <v/>
      </c>
    </row>
    <row r="42">
      <c r="A42" s="19" t="n">
        <v>27364</v>
      </c>
      <c r="B42" s="61">
        <f>VLOOKUP(Table134[[#This Row],[Date]],database!A:I,8,)</f>
        <v/>
      </c>
      <c r="C42" s="74">
        <f>B42/B41-1</f>
        <v/>
      </c>
      <c r="D42" s="74">
        <f>(Table134[[#This Row],[Index]]-B30)/B30</f>
        <v/>
      </c>
    </row>
    <row r="43">
      <c r="A43" s="19" t="n">
        <v>27395</v>
      </c>
      <c r="B43" s="61">
        <f>VLOOKUP(Table134[[#This Row],[Date]],database!A:I,8,)</f>
        <v/>
      </c>
      <c r="C43" s="74">
        <f>B43/B42-1</f>
        <v/>
      </c>
      <c r="D43" s="74">
        <f>(Table134[[#This Row],[Index]]-B31)/B31</f>
        <v/>
      </c>
    </row>
    <row r="44">
      <c r="A44" s="19" t="n">
        <v>27426</v>
      </c>
      <c r="B44" s="61">
        <f>VLOOKUP(Table134[[#This Row],[Date]],database!A:I,8,)</f>
        <v/>
      </c>
      <c r="C44" s="74">
        <f>B44/B43-1</f>
        <v/>
      </c>
      <c r="D44" s="74">
        <f>(Table134[[#This Row],[Index]]-B32)/B32</f>
        <v/>
      </c>
    </row>
    <row r="45">
      <c r="A45" s="19" t="n">
        <v>27454</v>
      </c>
      <c r="B45" s="61">
        <f>VLOOKUP(Table134[[#This Row],[Date]],database!A:I,8,)</f>
        <v/>
      </c>
      <c r="C45" s="74">
        <f>B45/B44-1</f>
        <v/>
      </c>
      <c r="D45" s="74">
        <f>(Table134[[#This Row],[Index]]-B33)/B33</f>
        <v/>
      </c>
    </row>
    <row r="46">
      <c r="A46" s="19" t="n">
        <v>27485</v>
      </c>
      <c r="B46" s="61">
        <f>VLOOKUP(Table134[[#This Row],[Date]],database!A:I,8,)</f>
        <v/>
      </c>
      <c r="C46" s="74">
        <f>B46/B45-1</f>
        <v/>
      </c>
      <c r="D46" s="74">
        <f>(Table134[[#This Row],[Index]]-B34)/B34</f>
        <v/>
      </c>
    </row>
    <row r="47">
      <c r="A47" s="19" t="n">
        <v>27515</v>
      </c>
      <c r="B47" s="61">
        <f>VLOOKUP(Table134[[#This Row],[Date]],database!A:I,8,)</f>
        <v/>
      </c>
      <c r="C47" s="74">
        <f>B47/B46-1</f>
        <v/>
      </c>
      <c r="D47" s="74">
        <f>(Table134[[#This Row],[Index]]-B35)/B35</f>
        <v/>
      </c>
    </row>
    <row r="48">
      <c r="A48" s="19" t="n">
        <v>27546</v>
      </c>
      <c r="B48" s="61">
        <f>VLOOKUP(Table134[[#This Row],[Date]],database!A:I,8,)</f>
        <v/>
      </c>
      <c r="C48" s="74">
        <f>B48/B47-1</f>
        <v/>
      </c>
      <c r="D48" s="74">
        <f>(Table134[[#This Row],[Index]]-B36)/B36</f>
        <v/>
      </c>
    </row>
    <row r="49">
      <c r="A49" s="19" t="n">
        <v>27576</v>
      </c>
      <c r="B49" s="61">
        <f>VLOOKUP(Table134[[#This Row],[Date]],database!A:I,8,)</f>
        <v/>
      </c>
      <c r="C49" s="74">
        <f>B49/B48-1</f>
        <v/>
      </c>
      <c r="D49" s="74">
        <f>(Table134[[#This Row],[Index]]-B37)/B37</f>
        <v/>
      </c>
    </row>
    <row r="50">
      <c r="A50" s="19" t="n">
        <v>27607</v>
      </c>
      <c r="B50" s="61">
        <f>VLOOKUP(Table134[[#This Row],[Date]],database!A:I,8,)</f>
        <v/>
      </c>
      <c r="C50" s="74">
        <f>B50/B49-1</f>
        <v/>
      </c>
      <c r="D50" s="74">
        <f>(Table134[[#This Row],[Index]]-B38)/B38</f>
        <v/>
      </c>
    </row>
    <row r="51">
      <c r="A51" s="19" t="n">
        <v>27638</v>
      </c>
      <c r="B51" s="61">
        <f>VLOOKUP(Table134[[#This Row],[Date]],database!A:I,8,)</f>
        <v/>
      </c>
      <c r="C51" s="74">
        <f>B51/B50-1</f>
        <v/>
      </c>
      <c r="D51" s="74">
        <f>(Table134[[#This Row],[Index]]-B39)/B39</f>
        <v/>
      </c>
    </row>
    <row r="52">
      <c r="A52" s="19" t="n">
        <v>27668</v>
      </c>
      <c r="B52" s="61">
        <f>VLOOKUP(Table134[[#This Row],[Date]],database!A:I,8,)</f>
        <v/>
      </c>
      <c r="C52" s="74">
        <f>B52/B51-1</f>
        <v/>
      </c>
      <c r="D52" s="74">
        <f>(Table134[[#This Row],[Index]]-B40)/B40</f>
        <v/>
      </c>
    </row>
    <row r="53">
      <c r="A53" s="19" t="n">
        <v>27699</v>
      </c>
      <c r="B53" s="61">
        <f>VLOOKUP(Table134[[#This Row],[Date]],database!A:I,8,)</f>
        <v/>
      </c>
      <c r="C53" s="74">
        <f>B53/B52-1</f>
        <v/>
      </c>
      <c r="D53" s="74">
        <f>(Table134[[#This Row],[Index]]-B41)/B41</f>
        <v/>
      </c>
    </row>
    <row r="54">
      <c r="A54" s="19" t="n">
        <v>27729</v>
      </c>
      <c r="B54" s="61">
        <f>VLOOKUP(Table134[[#This Row],[Date]],database!A:I,8,)</f>
        <v/>
      </c>
      <c r="C54" s="74">
        <f>B54/B53-1</f>
        <v/>
      </c>
      <c r="D54" s="74">
        <f>(Table134[[#This Row],[Index]]-B42)/B42</f>
        <v/>
      </c>
    </row>
    <row r="55">
      <c r="A55" s="19" t="n">
        <v>27760</v>
      </c>
      <c r="B55" s="61">
        <f>VLOOKUP(Table134[[#This Row],[Date]],database!A:I,8,)</f>
        <v/>
      </c>
      <c r="C55" s="74">
        <f>B55/B54-1</f>
        <v/>
      </c>
      <c r="D55" s="74">
        <f>(Table134[[#This Row],[Index]]-B43)/B43</f>
        <v/>
      </c>
    </row>
    <row r="56">
      <c r="A56" s="19" t="n">
        <v>27791</v>
      </c>
      <c r="B56" s="61">
        <f>VLOOKUP(Table134[[#This Row],[Date]],database!A:I,8,)</f>
        <v/>
      </c>
      <c r="C56" s="74">
        <f>B56/B55-1</f>
        <v/>
      </c>
      <c r="D56" s="74">
        <f>(Table134[[#This Row],[Index]]-B44)/B44</f>
        <v/>
      </c>
    </row>
    <row r="57">
      <c r="A57" s="19" t="n">
        <v>27820</v>
      </c>
      <c r="B57" s="61">
        <f>VLOOKUP(Table134[[#This Row],[Date]],database!A:I,8,)</f>
        <v/>
      </c>
      <c r="C57" s="74">
        <f>B57/B56-1</f>
        <v/>
      </c>
      <c r="D57" s="74">
        <f>(Table134[[#This Row],[Index]]-B45)/B45</f>
        <v/>
      </c>
    </row>
    <row r="58">
      <c r="A58" s="19" t="n">
        <v>27851</v>
      </c>
      <c r="B58" s="61">
        <f>VLOOKUP(Table134[[#This Row],[Date]],database!A:I,8,)</f>
        <v/>
      </c>
      <c r="C58" s="74">
        <f>B58/B57-1</f>
        <v/>
      </c>
      <c r="D58" s="74">
        <f>(Table134[[#This Row],[Index]]-B46)/B46</f>
        <v/>
      </c>
    </row>
    <row r="59">
      <c r="A59" s="19" t="n">
        <v>27881</v>
      </c>
      <c r="B59" s="61">
        <f>VLOOKUP(Table134[[#This Row],[Date]],database!A:I,8,)</f>
        <v/>
      </c>
      <c r="C59" s="74">
        <f>B59/B58-1</f>
        <v/>
      </c>
      <c r="D59" s="74">
        <f>(Table134[[#This Row],[Index]]-B47)/B47</f>
        <v/>
      </c>
    </row>
    <row r="60">
      <c r="A60" s="19" t="n">
        <v>27912</v>
      </c>
      <c r="B60" s="61">
        <f>VLOOKUP(Table134[[#This Row],[Date]],database!A:I,8,)</f>
        <v/>
      </c>
      <c r="C60" s="74">
        <f>B60/B59-1</f>
        <v/>
      </c>
      <c r="D60" s="74">
        <f>(Table134[[#This Row],[Index]]-B48)/B48</f>
        <v/>
      </c>
    </row>
    <row r="61">
      <c r="A61" s="19" t="n">
        <v>27942</v>
      </c>
      <c r="B61" s="61">
        <f>VLOOKUP(Table134[[#This Row],[Date]],database!A:I,8,)</f>
        <v/>
      </c>
      <c r="C61" s="74">
        <f>B61/B60-1</f>
        <v/>
      </c>
      <c r="D61" s="74">
        <f>(Table134[[#This Row],[Index]]-B49)/B49</f>
        <v/>
      </c>
    </row>
    <row r="62">
      <c r="A62" s="19" t="n">
        <v>27973</v>
      </c>
      <c r="B62" s="61">
        <f>VLOOKUP(Table134[[#This Row],[Date]],database!A:I,8,)</f>
        <v/>
      </c>
      <c r="C62" s="74">
        <f>B62/B61-1</f>
        <v/>
      </c>
      <c r="D62" s="74">
        <f>(Table134[[#This Row],[Index]]-B50)/B50</f>
        <v/>
      </c>
    </row>
    <row r="63">
      <c r="A63" s="19" t="n">
        <v>28004</v>
      </c>
      <c r="B63" s="61">
        <f>VLOOKUP(Table134[[#This Row],[Date]],database!A:I,8,)</f>
        <v/>
      </c>
      <c r="C63" s="74">
        <f>B63/B62-1</f>
        <v/>
      </c>
      <c r="D63" s="74">
        <f>(Table134[[#This Row],[Index]]-B51)/B51</f>
        <v/>
      </c>
    </row>
    <row r="64">
      <c r="A64" s="19" t="n">
        <v>28034</v>
      </c>
      <c r="B64" s="61">
        <f>VLOOKUP(Table134[[#This Row],[Date]],database!A:I,8,)</f>
        <v/>
      </c>
      <c r="C64" s="74">
        <f>B64/B63-1</f>
        <v/>
      </c>
      <c r="D64" s="74">
        <f>(Table134[[#This Row],[Index]]-B52)/B52</f>
        <v/>
      </c>
    </row>
    <row r="65">
      <c r="A65" s="19" t="n">
        <v>28065</v>
      </c>
      <c r="B65" s="61">
        <f>VLOOKUP(Table134[[#This Row],[Date]],database!A:I,8,)</f>
        <v/>
      </c>
      <c r="C65" s="74">
        <f>B65/B64-1</f>
        <v/>
      </c>
      <c r="D65" s="74">
        <f>(Table134[[#This Row],[Index]]-B53)/B53</f>
        <v/>
      </c>
    </row>
    <row r="66">
      <c r="A66" s="19" t="n">
        <v>28095</v>
      </c>
      <c r="B66" s="61">
        <f>VLOOKUP(Table134[[#This Row],[Date]],database!A:I,8,)</f>
        <v/>
      </c>
      <c r="C66" s="74">
        <f>B66/B65-1</f>
        <v/>
      </c>
      <c r="D66" s="74">
        <f>(Table134[[#This Row],[Index]]-B54)/B54</f>
        <v/>
      </c>
    </row>
    <row r="67">
      <c r="A67" s="19" t="n">
        <v>28126</v>
      </c>
      <c r="B67" s="61">
        <f>VLOOKUP(Table134[[#This Row],[Date]],database!A:I,8,)</f>
        <v/>
      </c>
      <c r="C67" s="74">
        <f>B67/B66-1</f>
        <v/>
      </c>
      <c r="D67" s="74">
        <f>(Table134[[#This Row],[Index]]-B55)/B55</f>
        <v/>
      </c>
    </row>
    <row r="68">
      <c r="A68" s="19" t="n">
        <v>28157</v>
      </c>
      <c r="B68" s="61">
        <f>VLOOKUP(Table134[[#This Row],[Date]],database!A:I,8,)</f>
        <v/>
      </c>
      <c r="C68" s="74">
        <f>B68/B67-1</f>
        <v/>
      </c>
      <c r="D68" s="74">
        <f>(Table134[[#This Row],[Index]]-B56)/B56</f>
        <v/>
      </c>
    </row>
    <row r="69">
      <c r="A69" s="19" t="n">
        <v>28185</v>
      </c>
      <c r="B69" s="61">
        <f>VLOOKUP(Table134[[#This Row],[Date]],database!A:I,8,)</f>
        <v/>
      </c>
      <c r="C69" s="74">
        <f>B69/B68-1</f>
        <v/>
      </c>
      <c r="D69" s="74">
        <f>(Table134[[#This Row],[Index]]-B57)/B57</f>
        <v/>
      </c>
    </row>
    <row r="70">
      <c r="A70" s="19" t="n">
        <v>28216</v>
      </c>
      <c r="B70" s="61">
        <f>VLOOKUP(Table134[[#This Row],[Date]],database!A:I,8,)</f>
        <v/>
      </c>
      <c r="C70" s="74">
        <f>B70/B69-1</f>
        <v/>
      </c>
      <c r="D70" s="74">
        <f>(Table134[[#This Row],[Index]]-B58)/B58</f>
        <v/>
      </c>
    </row>
    <row r="71">
      <c r="A71" s="19" t="n">
        <v>28246</v>
      </c>
      <c r="B71" s="61">
        <f>VLOOKUP(Table134[[#This Row],[Date]],database!A:I,8,)</f>
        <v/>
      </c>
      <c r="C71" s="74">
        <f>B71/B70-1</f>
        <v/>
      </c>
      <c r="D71" s="74">
        <f>(Table134[[#This Row],[Index]]-B59)/B59</f>
        <v/>
      </c>
    </row>
    <row r="72">
      <c r="A72" s="19" t="n">
        <v>28277</v>
      </c>
      <c r="B72" s="61">
        <f>VLOOKUP(Table134[[#This Row],[Date]],database!A:I,8,)</f>
        <v/>
      </c>
      <c r="C72" s="74">
        <f>B72/B71-1</f>
        <v/>
      </c>
      <c r="D72" s="74">
        <f>(Table134[[#This Row],[Index]]-B60)/B60</f>
        <v/>
      </c>
    </row>
    <row r="73">
      <c r="A73" s="19" t="n">
        <v>28307</v>
      </c>
      <c r="B73" s="61">
        <f>VLOOKUP(Table134[[#This Row],[Date]],database!A:I,8,)</f>
        <v/>
      </c>
      <c r="C73" s="74">
        <f>B73/B72-1</f>
        <v/>
      </c>
      <c r="D73" s="74">
        <f>(Table134[[#This Row],[Index]]-B61)/B61</f>
        <v/>
      </c>
    </row>
    <row r="74">
      <c r="A74" s="19" t="n">
        <v>28338</v>
      </c>
      <c r="B74" s="61">
        <f>VLOOKUP(Table134[[#This Row],[Date]],database!A:I,8,)</f>
        <v/>
      </c>
      <c r="C74" s="74">
        <f>B74/B73-1</f>
        <v/>
      </c>
      <c r="D74" s="74">
        <f>(Table134[[#This Row],[Index]]-B62)/B62</f>
        <v/>
      </c>
    </row>
    <row r="75">
      <c r="A75" s="19" t="n">
        <v>28369</v>
      </c>
      <c r="B75" s="61">
        <f>VLOOKUP(Table134[[#This Row],[Date]],database!A:I,8,)</f>
        <v/>
      </c>
      <c r="C75" s="74">
        <f>B75/B74-1</f>
        <v/>
      </c>
      <c r="D75" s="74">
        <f>(Table134[[#This Row],[Index]]-B63)/B63</f>
        <v/>
      </c>
    </row>
    <row r="76">
      <c r="A76" s="19" t="n">
        <v>28399</v>
      </c>
      <c r="B76" s="61">
        <f>VLOOKUP(Table134[[#This Row],[Date]],database!A:I,8,)</f>
        <v/>
      </c>
      <c r="C76" s="74">
        <f>B76/B75-1</f>
        <v/>
      </c>
      <c r="D76" s="74">
        <f>(Table134[[#This Row],[Index]]-B64)/B64</f>
        <v/>
      </c>
    </row>
    <row r="77">
      <c r="A77" s="19" t="n">
        <v>28430</v>
      </c>
      <c r="B77" s="61">
        <f>VLOOKUP(Table134[[#This Row],[Date]],database!A:I,8,)</f>
        <v/>
      </c>
      <c r="C77" s="74">
        <f>B77/B76-1</f>
        <v/>
      </c>
      <c r="D77" s="74">
        <f>(Table134[[#This Row],[Index]]-B65)/B65</f>
        <v/>
      </c>
    </row>
    <row r="78">
      <c r="A78" s="19" t="n">
        <v>28460</v>
      </c>
      <c r="B78" s="61">
        <f>VLOOKUP(Table134[[#This Row],[Date]],database!A:I,8,)</f>
        <v/>
      </c>
      <c r="C78" s="74">
        <f>B78/B77-1</f>
        <v/>
      </c>
      <c r="D78" s="74">
        <f>(Table134[[#This Row],[Index]]-B66)/B66</f>
        <v/>
      </c>
    </row>
    <row r="79">
      <c r="A79" s="19" t="n">
        <v>28491</v>
      </c>
      <c r="B79" s="61">
        <f>VLOOKUP(Table134[[#This Row],[Date]],database!A:I,8,)</f>
        <v/>
      </c>
      <c r="C79" s="74">
        <f>B79/B78-1</f>
        <v/>
      </c>
      <c r="D79" s="74">
        <f>(Table134[[#This Row],[Index]]-B67)/B67</f>
        <v/>
      </c>
    </row>
    <row r="80">
      <c r="A80" s="19" t="n">
        <v>28522</v>
      </c>
      <c r="B80" s="61">
        <f>VLOOKUP(Table134[[#This Row],[Date]],database!A:I,8,)</f>
        <v/>
      </c>
      <c r="C80" s="74">
        <f>B80/B79-1</f>
        <v/>
      </c>
      <c r="D80" s="74">
        <f>(Table134[[#This Row],[Index]]-B68)/B68</f>
        <v/>
      </c>
    </row>
    <row r="81">
      <c r="A81" s="19" t="n">
        <v>28550</v>
      </c>
      <c r="B81" s="61">
        <f>VLOOKUP(Table134[[#This Row],[Date]],database!A:I,8,)</f>
        <v/>
      </c>
      <c r="C81" s="74">
        <f>B81/B80-1</f>
        <v/>
      </c>
      <c r="D81" s="74">
        <f>(Table134[[#This Row],[Index]]-B69)/B69</f>
        <v/>
      </c>
    </row>
    <row r="82">
      <c r="A82" s="19" t="n">
        <v>28581</v>
      </c>
      <c r="B82" s="61">
        <f>VLOOKUP(Table134[[#This Row],[Date]],database!A:I,8,)</f>
        <v/>
      </c>
      <c r="C82" s="74">
        <f>B82/B81-1</f>
        <v/>
      </c>
      <c r="D82" s="74">
        <f>(Table134[[#This Row],[Index]]-B70)/B70</f>
        <v/>
      </c>
    </row>
    <row r="83">
      <c r="A83" s="19" t="n">
        <v>28611</v>
      </c>
      <c r="B83" s="61">
        <f>VLOOKUP(Table134[[#This Row],[Date]],database!A:I,8,)</f>
        <v/>
      </c>
      <c r="C83" s="74">
        <f>B83/B82-1</f>
        <v/>
      </c>
      <c r="D83" s="74">
        <f>(Table134[[#This Row],[Index]]-B71)/B71</f>
        <v/>
      </c>
    </row>
    <row r="84">
      <c r="A84" s="19" t="n">
        <v>28642</v>
      </c>
      <c r="B84" s="61">
        <f>VLOOKUP(Table134[[#This Row],[Date]],database!A:I,8,)</f>
        <v/>
      </c>
      <c r="C84" s="74">
        <f>B84/B83-1</f>
        <v/>
      </c>
      <c r="D84" s="74">
        <f>(Table134[[#This Row],[Index]]-B72)/B72</f>
        <v/>
      </c>
    </row>
    <row r="85">
      <c r="A85" s="19" t="n">
        <v>28672</v>
      </c>
      <c r="B85" s="61">
        <f>VLOOKUP(Table134[[#This Row],[Date]],database!A:I,8,)</f>
        <v/>
      </c>
      <c r="C85" s="74">
        <f>B85/B84-1</f>
        <v/>
      </c>
      <c r="D85" s="74">
        <f>(Table134[[#This Row],[Index]]-B73)/B73</f>
        <v/>
      </c>
    </row>
    <row r="86">
      <c r="A86" s="19" t="n">
        <v>28703</v>
      </c>
      <c r="B86" s="61">
        <f>VLOOKUP(Table134[[#This Row],[Date]],database!A:I,8,)</f>
        <v/>
      </c>
      <c r="C86" s="74">
        <f>B86/B85-1</f>
        <v/>
      </c>
      <c r="D86" s="74">
        <f>(Table134[[#This Row],[Index]]-B74)/B74</f>
        <v/>
      </c>
    </row>
    <row r="87">
      <c r="A87" s="19" t="n">
        <v>28734</v>
      </c>
      <c r="B87" s="61">
        <f>VLOOKUP(Table134[[#This Row],[Date]],database!A:I,8,)</f>
        <v/>
      </c>
      <c r="C87" s="74">
        <f>B87/B86-1</f>
        <v/>
      </c>
      <c r="D87" s="74">
        <f>(Table134[[#This Row],[Index]]-B75)/B75</f>
        <v/>
      </c>
    </row>
    <row r="88">
      <c r="A88" s="19" t="n">
        <v>28764</v>
      </c>
      <c r="B88" s="61">
        <f>VLOOKUP(Table134[[#This Row],[Date]],database!A:I,8,)</f>
        <v/>
      </c>
      <c r="C88" s="74">
        <f>B88/B87-1</f>
        <v/>
      </c>
      <c r="D88" s="74">
        <f>(Table134[[#This Row],[Index]]-B76)/B76</f>
        <v/>
      </c>
    </row>
    <row r="89">
      <c r="A89" s="19" t="n">
        <v>28795</v>
      </c>
      <c r="B89" s="61">
        <f>VLOOKUP(Table134[[#This Row],[Date]],database!A:I,8,)</f>
        <v/>
      </c>
      <c r="C89" s="74">
        <f>B89/B88-1</f>
        <v/>
      </c>
      <c r="D89" s="74">
        <f>(Table134[[#This Row],[Index]]-B77)/B77</f>
        <v/>
      </c>
    </row>
    <row r="90">
      <c r="A90" s="19" t="n">
        <v>28825</v>
      </c>
      <c r="B90" s="61">
        <f>VLOOKUP(Table134[[#This Row],[Date]],database!A:I,8,)</f>
        <v/>
      </c>
      <c r="C90" s="74">
        <f>B90/B89-1</f>
        <v/>
      </c>
      <c r="D90" s="74">
        <f>(Table134[[#This Row],[Index]]-B78)/B78</f>
        <v/>
      </c>
    </row>
    <row r="91">
      <c r="A91" s="19" t="n">
        <v>28856</v>
      </c>
      <c r="B91" s="61">
        <f>VLOOKUP(Table134[[#This Row],[Date]],database!A:I,8,)</f>
        <v/>
      </c>
      <c r="C91" s="74">
        <f>B91/B90-1</f>
        <v/>
      </c>
      <c r="D91" s="74">
        <f>(Table134[[#This Row],[Index]]-B79)/B79</f>
        <v/>
      </c>
    </row>
    <row r="92">
      <c r="A92" s="19" t="n">
        <v>28887</v>
      </c>
      <c r="B92" s="61">
        <f>VLOOKUP(Table134[[#This Row],[Date]],database!A:I,8,)</f>
        <v/>
      </c>
      <c r="C92" s="74">
        <f>B92/B91-1</f>
        <v/>
      </c>
      <c r="D92" s="74">
        <f>(Table134[[#This Row],[Index]]-B80)/B80</f>
        <v/>
      </c>
    </row>
    <row r="93">
      <c r="A93" s="19" t="n">
        <v>28915</v>
      </c>
      <c r="B93" s="61">
        <f>VLOOKUP(Table134[[#This Row],[Date]],database!A:I,8,)</f>
        <v/>
      </c>
      <c r="C93" s="74">
        <f>B93/B92-1</f>
        <v/>
      </c>
      <c r="D93" s="74">
        <f>(Table134[[#This Row],[Index]]-B81)/B81</f>
        <v/>
      </c>
    </row>
    <row r="94">
      <c r="A94" s="19" t="n">
        <v>28946</v>
      </c>
      <c r="B94" s="61">
        <f>VLOOKUP(Table134[[#This Row],[Date]],database!A:I,8,)</f>
        <v/>
      </c>
      <c r="C94" s="74">
        <f>B94/B93-1</f>
        <v/>
      </c>
      <c r="D94" s="74">
        <f>(Table134[[#This Row],[Index]]-B82)/B82</f>
        <v/>
      </c>
    </row>
    <row r="95">
      <c r="A95" s="19" t="n">
        <v>28976</v>
      </c>
      <c r="B95" s="61">
        <f>VLOOKUP(Table134[[#This Row],[Date]],database!A:I,8,)</f>
        <v/>
      </c>
      <c r="C95" s="74">
        <f>B95/B94-1</f>
        <v/>
      </c>
      <c r="D95" s="74">
        <f>(Table134[[#This Row],[Index]]-B83)/B83</f>
        <v/>
      </c>
    </row>
    <row r="96">
      <c r="A96" s="19" t="n">
        <v>29007</v>
      </c>
      <c r="B96" s="61">
        <f>VLOOKUP(Table134[[#This Row],[Date]],database!A:I,8,)</f>
        <v/>
      </c>
      <c r="C96" s="74">
        <f>B96/B95-1</f>
        <v/>
      </c>
      <c r="D96" s="74">
        <f>(Table134[[#This Row],[Index]]-B84)/B84</f>
        <v/>
      </c>
    </row>
    <row r="97">
      <c r="A97" s="19" t="n">
        <v>29037</v>
      </c>
      <c r="B97" s="61">
        <f>VLOOKUP(Table134[[#This Row],[Date]],database!A:I,8,)</f>
        <v/>
      </c>
      <c r="C97" s="74">
        <f>B97/B96-1</f>
        <v/>
      </c>
      <c r="D97" s="74">
        <f>(Table134[[#This Row],[Index]]-B85)/B85</f>
        <v/>
      </c>
    </row>
    <row r="98">
      <c r="A98" s="19" t="n">
        <v>29068</v>
      </c>
      <c r="B98" s="61">
        <f>VLOOKUP(Table134[[#This Row],[Date]],database!A:I,8,)</f>
        <v/>
      </c>
      <c r="C98" s="74">
        <f>B98/B97-1</f>
        <v/>
      </c>
      <c r="D98" s="74">
        <f>(Table134[[#This Row],[Index]]-B86)/B86</f>
        <v/>
      </c>
    </row>
    <row r="99">
      <c r="A99" s="19" t="n">
        <v>29099</v>
      </c>
      <c r="B99" s="61">
        <f>VLOOKUP(Table134[[#This Row],[Date]],database!A:I,8,)</f>
        <v/>
      </c>
      <c r="C99" s="74">
        <f>B99/B98-1</f>
        <v/>
      </c>
      <c r="D99" s="74">
        <f>(Table134[[#This Row],[Index]]-B87)/B87</f>
        <v/>
      </c>
    </row>
    <row r="100">
      <c r="A100" s="19" t="n">
        <v>29129</v>
      </c>
      <c r="B100" s="61">
        <f>VLOOKUP(Table134[[#This Row],[Date]],database!A:I,8,)</f>
        <v/>
      </c>
      <c r="C100" s="74">
        <f>B100/B99-1</f>
        <v/>
      </c>
      <c r="D100" s="74">
        <f>(Table134[[#This Row],[Index]]-B88)/B88</f>
        <v/>
      </c>
    </row>
    <row r="101">
      <c r="A101" s="19" t="n">
        <v>29160</v>
      </c>
      <c r="B101" s="61">
        <f>VLOOKUP(Table134[[#This Row],[Date]],database!A:I,8,)</f>
        <v/>
      </c>
      <c r="C101" s="74">
        <f>B101/B100-1</f>
        <v/>
      </c>
      <c r="D101" s="74">
        <f>(Table134[[#This Row],[Index]]-B89)/B89</f>
        <v/>
      </c>
    </row>
    <row r="102">
      <c r="A102" s="19" t="n">
        <v>29190</v>
      </c>
      <c r="B102" s="61">
        <f>VLOOKUP(Table134[[#This Row],[Date]],database!A:I,8,)</f>
        <v/>
      </c>
      <c r="C102" s="74">
        <f>B102/B101-1</f>
        <v/>
      </c>
      <c r="D102" s="74">
        <f>(Table134[[#This Row],[Index]]-B90)/B90</f>
        <v/>
      </c>
    </row>
    <row r="103">
      <c r="A103" s="19" t="n">
        <v>29221</v>
      </c>
      <c r="B103" s="61">
        <f>VLOOKUP(Table134[[#This Row],[Date]],database!A:I,8,)</f>
        <v/>
      </c>
      <c r="C103" s="74">
        <f>B103/B102-1</f>
        <v/>
      </c>
      <c r="D103" s="74">
        <f>(Table134[[#This Row],[Index]]-B91)/B91</f>
        <v/>
      </c>
    </row>
    <row r="104">
      <c r="A104" s="19" t="n">
        <v>29252</v>
      </c>
      <c r="B104" s="61">
        <f>VLOOKUP(Table134[[#This Row],[Date]],database!A:I,8,)</f>
        <v/>
      </c>
      <c r="C104" s="74">
        <f>B104/B103-1</f>
        <v/>
      </c>
      <c r="D104" s="74">
        <f>(Table134[[#This Row],[Index]]-B92)/B92</f>
        <v/>
      </c>
    </row>
    <row r="105">
      <c r="A105" s="19" t="n">
        <v>29281</v>
      </c>
      <c r="B105" s="61">
        <f>VLOOKUP(Table134[[#This Row],[Date]],database!A:I,8,)</f>
        <v/>
      </c>
      <c r="C105" s="74">
        <f>B105/B104-1</f>
        <v/>
      </c>
      <c r="D105" s="74">
        <f>(Table134[[#This Row],[Index]]-B93)/B93</f>
        <v/>
      </c>
    </row>
    <row r="106">
      <c r="A106" s="19" t="n">
        <v>29312</v>
      </c>
      <c r="B106" s="61">
        <f>VLOOKUP(Table134[[#This Row],[Date]],database!A:I,8,)</f>
        <v/>
      </c>
      <c r="C106" s="74">
        <f>B106/B105-1</f>
        <v/>
      </c>
      <c r="D106" s="74">
        <f>(Table134[[#This Row],[Index]]-B94)/B94</f>
        <v/>
      </c>
    </row>
    <row r="107">
      <c r="A107" s="19" t="n">
        <v>29342</v>
      </c>
      <c r="B107" s="61">
        <f>VLOOKUP(Table134[[#This Row],[Date]],database!A:I,8,)</f>
        <v/>
      </c>
      <c r="C107" s="74">
        <f>B107/B106-1</f>
        <v/>
      </c>
      <c r="D107" s="74">
        <f>(Table134[[#This Row],[Index]]-B95)/B95</f>
        <v/>
      </c>
    </row>
    <row r="108">
      <c r="A108" s="19" t="n">
        <v>29373</v>
      </c>
      <c r="B108" s="61">
        <f>VLOOKUP(Table134[[#This Row],[Date]],database!A:I,8,)</f>
        <v/>
      </c>
      <c r="C108" s="74">
        <f>B108/B107-1</f>
        <v/>
      </c>
      <c r="D108" s="74">
        <f>(Table134[[#This Row],[Index]]-B96)/B96</f>
        <v/>
      </c>
    </row>
    <row r="109">
      <c r="A109" s="19" t="n">
        <v>29403</v>
      </c>
      <c r="B109" s="61">
        <f>VLOOKUP(Table134[[#This Row],[Date]],database!A:I,8,)</f>
        <v/>
      </c>
      <c r="C109" s="74">
        <f>B109/B108-1</f>
        <v/>
      </c>
      <c r="D109" s="74">
        <f>(Table134[[#This Row],[Index]]-B97)/B97</f>
        <v/>
      </c>
    </row>
    <row r="110">
      <c r="A110" s="19" t="n">
        <v>29434</v>
      </c>
      <c r="B110" s="61">
        <f>VLOOKUP(Table134[[#This Row],[Date]],database!A:I,8,)</f>
        <v/>
      </c>
      <c r="C110" s="74">
        <f>B110/B109-1</f>
        <v/>
      </c>
      <c r="D110" s="74">
        <f>(Table134[[#This Row],[Index]]-B98)/B98</f>
        <v/>
      </c>
    </row>
    <row r="111">
      <c r="A111" s="19" t="n">
        <v>29465</v>
      </c>
      <c r="B111" s="61">
        <f>VLOOKUP(Table134[[#This Row],[Date]],database!A:I,8,)</f>
        <v/>
      </c>
      <c r="C111" s="74">
        <f>B111/B110-1</f>
        <v/>
      </c>
      <c r="D111" s="74">
        <f>(Table134[[#This Row],[Index]]-B99)/B99</f>
        <v/>
      </c>
    </row>
    <row r="112">
      <c r="A112" s="19" t="n">
        <v>29495</v>
      </c>
      <c r="B112" s="61">
        <f>VLOOKUP(Table134[[#This Row],[Date]],database!A:I,8,)</f>
        <v/>
      </c>
      <c r="C112" s="74">
        <f>B112/B111-1</f>
        <v/>
      </c>
      <c r="D112" s="74">
        <f>(Table134[[#This Row],[Index]]-B100)/B100</f>
        <v/>
      </c>
    </row>
    <row r="113">
      <c r="A113" s="19" t="n">
        <v>29526</v>
      </c>
      <c r="B113" s="61">
        <f>VLOOKUP(Table134[[#This Row],[Date]],database!A:I,8,)</f>
        <v/>
      </c>
      <c r="C113" s="74">
        <f>B113/B112-1</f>
        <v/>
      </c>
      <c r="D113" s="74">
        <f>(Table134[[#This Row],[Index]]-B101)/B101</f>
        <v/>
      </c>
    </row>
    <row r="114">
      <c r="A114" s="19" t="n">
        <v>29556</v>
      </c>
      <c r="B114" s="61">
        <f>VLOOKUP(Table134[[#This Row],[Date]],database!A:I,8,)</f>
        <v/>
      </c>
      <c r="C114" s="74">
        <f>B114/B113-1</f>
        <v/>
      </c>
      <c r="D114" s="74">
        <f>(Table134[[#This Row],[Index]]-B102)/B102</f>
        <v/>
      </c>
    </row>
    <row r="115">
      <c r="A115" s="19" t="n">
        <v>29587</v>
      </c>
      <c r="B115" s="61">
        <f>VLOOKUP(Table134[[#This Row],[Date]],database!A:I,8,)</f>
        <v/>
      </c>
      <c r="C115" s="74">
        <f>B115/B114-1</f>
        <v/>
      </c>
      <c r="D115" s="74">
        <f>(Table134[[#This Row],[Index]]-B103)/B103</f>
        <v/>
      </c>
    </row>
    <row r="116">
      <c r="A116" s="19" t="n">
        <v>29618</v>
      </c>
      <c r="B116" s="61">
        <f>VLOOKUP(Table134[[#This Row],[Date]],database!A:I,8,)</f>
        <v/>
      </c>
      <c r="C116" s="74">
        <f>B116/B115-1</f>
        <v/>
      </c>
      <c r="D116" s="74">
        <f>(Table134[[#This Row],[Index]]-B104)/B104</f>
        <v/>
      </c>
    </row>
    <row r="117">
      <c r="A117" s="19" t="n">
        <v>29646</v>
      </c>
      <c r="B117" s="61">
        <f>VLOOKUP(Table134[[#This Row],[Date]],database!A:I,8,)</f>
        <v/>
      </c>
      <c r="C117" s="74">
        <f>B117/B116-1</f>
        <v/>
      </c>
      <c r="D117" s="74">
        <f>(Table134[[#This Row],[Index]]-B105)/B105</f>
        <v/>
      </c>
    </row>
    <row r="118">
      <c r="A118" s="19" t="n">
        <v>29677</v>
      </c>
      <c r="B118" s="61">
        <f>VLOOKUP(Table134[[#This Row],[Date]],database!A:I,8,)</f>
        <v/>
      </c>
      <c r="C118" s="74">
        <f>B118/B117-1</f>
        <v/>
      </c>
      <c r="D118" s="74">
        <f>(Table134[[#This Row],[Index]]-B106)/B106</f>
        <v/>
      </c>
    </row>
    <row r="119">
      <c r="A119" s="19" t="n">
        <v>29707</v>
      </c>
      <c r="B119" s="61">
        <f>VLOOKUP(Table134[[#This Row],[Date]],database!A:I,8,)</f>
        <v/>
      </c>
      <c r="C119" s="74">
        <f>B119/B118-1</f>
        <v/>
      </c>
      <c r="D119" s="74">
        <f>(Table134[[#This Row],[Index]]-B107)/B107</f>
        <v/>
      </c>
    </row>
    <row r="120">
      <c r="A120" s="19" t="n">
        <v>29738</v>
      </c>
      <c r="B120" s="61">
        <f>VLOOKUP(Table134[[#This Row],[Date]],database!A:I,8,)</f>
        <v/>
      </c>
      <c r="C120" s="74">
        <f>B120/B119-1</f>
        <v/>
      </c>
      <c r="D120" s="74">
        <f>(Table134[[#This Row],[Index]]-B108)/B108</f>
        <v/>
      </c>
    </row>
    <row r="121">
      <c r="A121" s="19" t="n">
        <v>29768</v>
      </c>
      <c r="B121" s="61">
        <f>VLOOKUP(Table134[[#This Row],[Date]],database!A:I,8,)</f>
        <v/>
      </c>
      <c r="C121" s="74">
        <f>B121/B120-1</f>
        <v/>
      </c>
      <c r="D121" s="74">
        <f>(Table134[[#This Row],[Index]]-B109)/B109</f>
        <v/>
      </c>
    </row>
    <row r="122">
      <c r="A122" s="19" t="n">
        <v>29799</v>
      </c>
      <c r="B122" s="61">
        <f>VLOOKUP(Table134[[#This Row],[Date]],database!A:I,8,)</f>
        <v/>
      </c>
      <c r="C122" s="74">
        <f>B122/B121-1</f>
        <v/>
      </c>
      <c r="D122" s="74">
        <f>(Table134[[#This Row],[Index]]-B110)/B110</f>
        <v/>
      </c>
    </row>
    <row r="123">
      <c r="A123" s="19" t="n">
        <v>29830</v>
      </c>
      <c r="B123" s="61">
        <f>VLOOKUP(Table134[[#This Row],[Date]],database!A:I,8,)</f>
        <v/>
      </c>
      <c r="C123" s="74">
        <f>B123/B122-1</f>
        <v/>
      </c>
      <c r="D123" s="74">
        <f>(Table134[[#This Row],[Index]]-B111)/B111</f>
        <v/>
      </c>
    </row>
    <row r="124">
      <c r="A124" s="19" t="n">
        <v>29860</v>
      </c>
      <c r="B124" s="61">
        <f>VLOOKUP(Table134[[#This Row],[Date]],database!A:I,8,)</f>
        <v/>
      </c>
      <c r="C124" s="74">
        <f>B124/B123-1</f>
        <v/>
      </c>
      <c r="D124" s="74">
        <f>(Table134[[#This Row],[Index]]-B112)/B112</f>
        <v/>
      </c>
    </row>
    <row r="125">
      <c r="A125" s="19" t="n">
        <v>29891</v>
      </c>
      <c r="B125" s="61">
        <f>VLOOKUP(Table134[[#This Row],[Date]],database!A:I,8,)</f>
        <v/>
      </c>
      <c r="C125" s="74">
        <f>B125/B124-1</f>
        <v/>
      </c>
      <c r="D125" s="74">
        <f>(Table134[[#This Row],[Index]]-B113)/B113</f>
        <v/>
      </c>
    </row>
    <row r="126">
      <c r="A126" s="19" t="n">
        <v>29921</v>
      </c>
      <c r="B126" s="61">
        <f>VLOOKUP(Table134[[#This Row],[Date]],database!A:I,8,)</f>
        <v/>
      </c>
      <c r="C126" s="74">
        <f>B126/B125-1</f>
        <v/>
      </c>
      <c r="D126" s="74">
        <f>(Table134[[#This Row],[Index]]-B114)/B114</f>
        <v/>
      </c>
    </row>
    <row r="127">
      <c r="A127" s="19" t="n">
        <v>29952</v>
      </c>
      <c r="B127" s="61">
        <f>VLOOKUP(Table134[[#This Row],[Date]],database!A:I,8,)</f>
        <v/>
      </c>
      <c r="C127" s="74">
        <f>B127/B126-1</f>
        <v/>
      </c>
      <c r="D127" s="74">
        <f>(Table134[[#This Row],[Index]]-B115)/B115</f>
        <v/>
      </c>
    </row>
    <row r="128">
      <c r="A128" s="19" t="n">
        <v>29983</v>
      </c>
      <c r="B128" s="61">
        <f>VLOOKUP(Table134[[#This Row],[Date]],database!A:I,8,)</f>
        <v/>
      </c>
      <c r="C128" s="74">
        <f>B128/B127-1</f>
        <v/>
      </c>
      <c r="D128" s="74">
        <f>(Table134[[#This Row],[Index]]-B116)/B116</f>
        <v/>
      </c>
    </row>
    <row r="129">
      <c r="A129" s="19" t="n">
        <v>30011</v>
      </c>
      <c r="B129" s="61">
        <f>VLOOKUP(Table134[[#This Row],[Date]],database!A:I,8,)</f>
        <v/>
      </c>
      <c r="C129" s="74">
        <f>B129/B128-1</f>
        <v/>
      </c>
      <c r="D129" s="74">
        <f>(Table134[[#This Row],[Index]]-B117)/B117</f>
        <v/>
      </c>
    </row>
    <row r="130">
      <c r="A130" s="19" t="n">
        <v>30042</v>
      </c>
      <c r="B130" s="61">
        <f>VLOOKUP(Table134[[#This Row],[Date]],database!A:I,8,)</f>
        <v/>
      </c>
      <c r="C130" s="74">
        <f>B130/B129-1</f>
        <v/>
      </c>
      <c r="D130" s="74">
        <f>(Table134[[#This Row],[Index]]-B118)/B118</f>
        <v/>
      </c>
    </row>
    <row r="131">
      <c r="A131" s="19" t="n">
        <v>30072</v>
      </c>
      <c r="B131" s="61">
        <f>VLOOKUP(Table134[[#This Row],[Date]],database!A:I,8,)</f>
        <v/>
      </c>
      <c r="C131" s="74">
        <f>B131/B130-1</f>
        <v/>
      </c>
      <c r="D131" s="74">
        <f>(Table134[[#This Row],[Index]]-B119)/B119</f>
        <v/>
      </c>
    </row>
    <row r="132">
      <c r="A132" s="19" t="n">
        <v>30103</v>
      </c>
      <c r="B132" s="61">
        <f>VLOOKUP(Table134[[#This Row],[Date]],database!A:I,8,)</f>
        <v/>
      </c>
      <c r="C132" s="74">
        <f>B132/B131-1</f>
        <v/>
      </c>
      <c r="D132" s="74">
        <f>(Table134[[#This Row],[Index]]-B120)/B120</f>
        <v/>
      </c>
    </row>
    <row r="133">
      <c r="A133" s="19" t="n">
        <v>30133</v>
      </c>
      <c r="B133" s="61">
        <f>VLOOKUP(Table134[[#This Row],[Date]],database!A:I,8,)</f>
        <v/>
      </c>
      <c r="C133" s="74">
        <f>B133/B132-1</f>
        <v/>
      </c>
      <c r="D133" s="74">
        <f>(Table134[[#This Row],[Index]]-B121)/B121</f>
        <v/>
      </c>
    </row>
    <row r="134">
      <c r="A134" s="19" t="n">
        <v>30164</v>
      </c>
      <c r="B134" s="61">
        <f>VLOOKUP(Table134[[#This Row],[Date]],database!A:I,8,)</f>
        <v/>
      </c>
      <c r="C134" s="74">
        <f>B134/B133-1</f>
        <v/>
      </c>
      <c r="D134" s="74">
        <f>(Table134[[#This Row],[Index]]-B122)/B122</f>
        <v/>
      </c>
    </row>
    <row r="135">
      <c r="A135" s="19" t="n">
        <v>30195</v>
      </c>
      <c r="B135" s="61">
        <f>VLOOKUP(Table134[[#This Row],[Date]],database!A:I,8,)</f>
        <v/>
      </c>
      <c r="C135" s="74">
        <f>B135/B134-1</f>
        <v/>
      </c>
      <c r="D135" s="74">
        <f>(Table134[[#This Row],[Index]]-B123)/B123</f>
        <v/>
      </c>
    </row>
    <row r="136">
      <c r="A136" s="19" t="n">
        <v>30225</v>
      </c>
      <c r="B136" s="61">
        <f>VLOOKUP(Table134[[#This Row],[Date]],database!A:I,8,)</f>
        <v/>
      </c>
      <c r="C136" s="74">
        <f>B136/B135-1</f>
        <v/>
      </c>
      <c r="D136" s="74">
        <f>(Table134[[#This Row],[Index]]-B124)/B124</f>
        <v/>
      </c>
    </row>
    <row r="137">
      <c r="A137" s="19" t="n">
        <v>30256</v>
      </c>
      <c r="B137" s="61">
        <f>VLOOKUP(Table134[[#This Row],[Date]],database!A:I,8,)</f>
        <v/>
      </c>
      <c r="C137" s="74">
        <f>B137/B136-1</f>
        <v/>
      </c>
      <c r="D137" s="74">
        <f>(Table134[[#This Row],[Index]]-B125)/B125</f>
        <v/>
      </c>
    </row>
    <row r="138">
      <c r="A138" s="19" t="n">
        <v>30286</v>
      </c>
      <c r="B138" s="61">
        <f>VLOOKUP(Table134[[#This Row],[Date]],database!A:I,8,)</f>
        <v/>
      </c>
      <c r="C138" s="74">
        <f>B138/B137-1</f>
        <v/>
      </c>
      <c r="D138" s="74">
        <f>(Table134[[#This Row],[Index]]-B126)/B126</f>
        <v/>
      </c>
    </row>
    <row r="139">
      <c r="A139" s="19" t="n">
        <v>30317</v>
      </c>
      <c r="B139" s="61">
        <f>VLOOKUP(Table134[[#This Row],[Date]],database!A:I,8,)</f>
        <v/>
      </c>
      <c r="C139" s="74">
        <f>B139/B138-1</f>
        <v/>
      </c>
      <c r="D139" s="74">
        <f>(Table134[[#This Row],[Index]]-B127)/B127</f>
        <v/>
      </c>
    </row>
    <row r="140">
      <c r="A140" s="19" t="n">
        <v>30348</v>
      </c>
      <c r="B140" s="61">
        <f>VLOOKUP(Table134[[#This Row],[Date]],database!A:I,8,)</f>
        <v/>
      </c>
      <c r="C140" s="74">
        <f>B140/B139-1</f>
        <v/>
      </c>
      <c r="D140" s="74">
        <f>(Table134[[#This Row],[Index]]-B128)/B128</f>
        <v/>
      </c>
    </row>
    <row r="141">
      <c r="A141" s="19" t="n">
        <v>30376</v>
      </c>
      <c r="B141" s="61">
        <f>VLOOKUP(Table134[[#This Row],[Date]],database!A:I,8,)</f>
        <v/>
      </c>
      <c r="C141" s="74">
        <f>B141/B140-1</f>
        <v/>
      </c>
      <c r="D141" s="74">
        <f>(Table134[[#This Row],[Index]]-B129)/B129</f>
        <v/>
      </c>
    </row>
    <row r="142">
      <c r="A142" s="19" t="n">
        <v>30407</v>
      </c>
      <c r="B142" s="61">
        <f>VLOOKUP(Table134[[#This Row],[Date]],database!A:I,8,)</f>
        <v/>
      </c>
      <c r="C142" s="74">
        <f>B142/B141-1</f>
        <v/>
      </c>
      <c r="D142" s="74">
        <f>(Table134[[#This Row],[Index]]-B130)/B130</f>
        <v/>
      </c>
    </row>
    <row r="143">
      <c r="A143" s="19" t="n">
        <v>30437</v>
      </c>
      <c r="B143" s="61">
        <f>VLOOKUP(Table134[[#This Row],[Date]],database!A:I,8,)</f>
        <v/>
      </c>
      <c r="C143" s="74">
        <f>B143/B142-1</f>
        <v/>
      </c>
      <c r="D143" s="74">
        <f>(Table134[[#This Row],[Index]]-B131)/B131</f>
        <v/>
      </c>
    </row>
    <row r="144">
      <c r="A144" s="19" t="n">
        <v>30468</v>
      </c>
      <c r="B144" s="61">
        <f>VLOOKUP(Table134[[#This Row],[Date]],database!A:I,8,)</f>
        <v/>
      </c>
      <c r="C144" s="74">
        <f>B144/B143-1</f>
        <v/>
      </c>
      <c r="D144" s="74">
        <f>(Table134[[#This Row],[Index]]-B132)/B132</f>
        <v/>
      </c>
    </row>
    <row r="145">
      <c r="A145" s="19" t="n">
        <v>30498</v>
      </c>
      <c r="B145" s="61">
        <f>VLOOKUP(Table134[[#This Row],[Date]],database!A:I,8,)</f>
        <v/>
      </c>
      <c r="C145" s="74">
        <f>B145/B144-1</f>
        <v/>
      </c>
      <c r="D145" s="74">
        <f>(Table134[[#This Row],[Index]]-B133)/B133</f>
        <v/>
      </c>
    </row>
    <row r="146">
      <c r="A146" s="19" t="n">
        <v>30529</v>
      </c>
      <c r="B146" s="61">
        <f>VLOOKUP(Table134[[#This Row],[Date]],database!A:I,8,)</f>
        <v/>
      </c>
      <c r="C146" s="74">
        <f>B146/B145-1</f>
        <v/>
      </c>
      <c r="D146" s="74">
        <f>(Table134[[#This Row],[Index]]-B134)/B134</f>
        <v/>
      </c>
    </row>
    <row r="147">
      <c r="A147" s="19" t="n">
        <v>30560</v>
      </c>
      <c r="B147" s="61">
        <f>VLOOKUP(Table134[[#This Row],[Date]],database!A:I,8,)</f>
        <v/>
      </c>
      <c r="C147" s="74">
        <f>B147/B146-1</f>
        <v/>
      </c>
      <c r="D147" s="74">
        <f>(Table134[[#This Row],[Index]]-B135)/B135</f>
        <v/>
      </c>
    </row>
    <row r="148">
      <c r="A148" s="19" t="n">
        <v>30590</v>
      </c>
      <c r="B148" s="61">
        <f>VLOOKUP(Table134[[#This Row],[Date]],database!A:I,8,)</f>
        <v/>
      </c>
      <c r="C148" s="74">
        <f>B148/B147-1</f>
        <v/>
      </c>
      <c r="D148" s="74">
        <f>(Table134[[#This Row],[Index]]-B136)/B136</f>
        <v/>
      </c>
    </row>
    <row r="149">
      <c r="A149" s="19" t="n">
        <v>30621</v>
      </c>
      <c r="B149" s="61">
        <f>VLOOKUP(Table134[[#This Row],[Date]],database!A:I,8,)</f>
        <v/>
      </c>
      <c r="C149" s="74">
        <f>B149/B148-1</f>
        <v/>
      </c>
      <c r="D149" s="74">
        <f>(Table134[[#This Row],[Index]]-B137)/B137</f>
        <v/>
      </c>
    </row>
    <row r="150">
      <c r="A150" s="19" t="n">
        <v>30651</v>
      </c>
      <c r="B150" s="61">
        <f>VLOOKUP(Table134[[#This Row],[Date]],database!A:I,8,)</f>
        <v/>
      </c>
      <c r="C150" s="74">
        <f>B150/B149-1</f>
        <v/>
      </c>
      <c r="D150" s="74">
        <f>(Table134[[#This Row],[Index]]-B138)/B138</f>
        <v/>
      </c>
    </row>
    <row r="151">
      <c r="A151" s="19" t="n">
        <v>30682</v>
      </c>
      <c r="B151" s="61">
        <f>VLOOKUP(Table134[[#This Row],[Date]],database!A:I,8,)</f>
        <v/>
      </c>
      <c r="C151" s="74">
        <f>B151/B150-1</f>
        <v/>
      </c>
      <c r="D151" s="74">
        <f>(Table134[[#This Row],[Index]]-B139)/B139</f>
        <v/>
      </c>
    </row>
    <row r="152">
      <c r="A152" s="19" t="n">
        <v>30713</v>
      </c>
      <c r="B152" s="61">
        <f>VLOOKUP(Table134[[#This Row],[Date]],database!A:I,8,)</f>
        <v/>
      </c>
      <c r="C152" s="74">
        <f>B152/B151-1</f>
        <v/>
      </c>
      <c r="D152" s="74">
        <f>(Table134[[#This Row],[Index]]-B140)/B140</f>
        <v/>
      </c>
    </row>
    <row r="153">
      <c r="A153" s="19" t="n">
        <v>30742</v>
      </c>
      <c r="B153" s="61">
        <f>VLOOKUP(Table134[[#This Row],[Date]],database!A:I,8,)</f>
        <v/>
      </c>
      <c r="C153" s="74">
        <f>B153/B152-1</f>
        <v/>
      </c>
      <c r="D153" s="74">
        <f>(Table134[[#This Row],[Index]]-B141)/B141</f>
        <v/>
      </c>
    </row>
    <row r="154">
      <c r="A154" s="19" t="n">
        <v>30773</v>
      </c>
      <c r="B154" s="61">
        <f>VLOOKUP(Table134[[#This Row],[Date]],database!A:I,8,)</f>
        <v/>
      </c>
      <c r="C154" s="74">
        <f>B154/B153-1</f>
        <v/>
      </c>
      <c r="D154" s="74">
        <f>(Table134[[#This Row],[Index]]-B142)/B142</f>
        <v/>
      </c>
    </row>
    <row r="155">
      <c r="A155" s="19" t="n">
        <v>30803</v>
      </c>
      <c r="B155" s="61">
        <f>VLOOKUP(Table134[[#This Row],[Date]],database!A:I,8,)</f>
        <v/>
      </c>
      <c r="C155" s="74">
        <f>B155/B154-1</f>
        <v/>
      </c>
      <c r="D155" s="74">
        <f>(Table134[[#This Row],[Index]]-B143)/B143</f>
        <v/>
      </c>
    </row>
    <row r="156">
      <c r="A156" s="19" t="n">
        <v>30834</v>
      </c>
      <c r="B156" s="61">
        <f>VLOOKUP(Table134[[#This Row],[Date]],database!A:I,8,)</f>
        <v/>
      </c>
      <c r="C156" s="74">
        <f>B156/B155-1</f>
        <v/>
      </c>
      <c r="D156" s="74">
        <f>(Table134[[#This Row],[Index]]-B144)/B144</f>
        <v/>
      </c>
    </row>
    <row r="157">
      <c r="A157" s="19" t="n">
        <v>30864</v>
      </c>
      <c r="B157" s="61">
        <f>VLOOKUP(Table134[[#This Row],[Date]],database!A:I,8,)</f>
        <v/>
      </c>
      <c r="C157" s="74">
        <f>B157/B156-1</f>
        <v/>
      </c>
      <c r="D157" s="74">
        <f>(Table134[[#This Row],[Index]]-B145)/B145</f>
        <v/>
      </c>
    </row>
    <row r="158">
      <c r="A158" s="19" t="n">
        <v>30895</v>
      </c>
      <c r="B158" s="61">
        <f>VLOOKUP(Table134[[#This Row],[Date]],database!A:I,8,)</f>
        <v/>
      </c>
      <c r="C158" s="74">
        <f>B158/B157-1</f>
        <v/>
      </c>
      <c r="D158" s="74">
        <f>(Table134[[#This Row],[Index]]-B146)/B146</f>
        <v/>
      </c>
    </row>
    <row r="159">
      <c r="A159" s="19" t="n">
        <v>30926</v>
      </c>
      <c r="B159" s="61">
        <f>VLOOKUP(Table134[[#This Row],[Date]],database!A:I,8,)</f>
        <v/>
      </c>
      <c r="C159" s="74">
        <f>B159/B158-1</f>
        <v/>
      </c>
      <c r="D159" s="74">
        <f>(Table134[[#This Row],[Index]]-B147)/B147</f>
        <v/>
      </c>
    </row>
    <row r="160">
      <c r="A160" s="19" t="n">
        <v>30956</v>
      </c>
      <c r="B160" s="61">
        <f>VLOOKUP(Table134[[#This Row],[Date]],database!A:I,8,)</f>
        <v/>
      </c>
      <c r="C160" s="74">
        <f>B160/B159-1</f>
        <v/>
      </c>
      <c r="D160" s="74">
        <f>(Table134[[#This Row],[Index]]-B148)/B148</f>
        <v/>
      </c>
    </row>
    <row r="161">
      <c r="A161" s="19" t="n">
        <v>30987</v>
      </c>
      <c r="B161" s="61">
        <f>VLOOKUP(Table134[[#This Row],[Date]],database!A:I,8,)</f>
        <v/>
      </c>
      <c r="C161" s="74">
        <f>B161/B160-1</f>
        <v/>
      </c>
      <c r="D161" s="74">
        <f>(Table134[[#This Row],[Index]]-B149)/B149</f>
        <v/>
      </c>
    </row>
    <row r="162">
      <c r="A162" s="19" t="n">
        <v>31017</v>
      </c>
      <c r="B162" s="61">
        <f>VLOOKUP(Table134[[#This Row],[Date]],database!A:I,8,)</f>
        <v/>
      </c>
      <c r="C162" s="74">
        <f>B162/B161-1</f>
        <v/>
      </c>
      <c r="D162" s="74">
        <f>(Table134[[#This Row],[Index]]-B150)/B150</f>
        <v/>
      </c>
    </row>
    <row r="163">
      <c r="A163" s="19" t="n">
        <v>31048</v>
      </c>
      <c r="B163" s="61">
        <f>VLOOKUP(Table134[[#This Row],[Date]],database!A:I,8,)</f>
        <v/>
      </c>
      <c r="C163" s="74">
        <f>B163/B162-1</f>
        <v/>
      </c>
      <c r="D163" s="74">
        <f>(Table134[[#This Row],[Index]]-B151)/B151</f>
        <v/>
      </c>
    </row>
    <row r="164">
      <c r="A164" s="19" t="n">
        <v>31079</v>
      </c>
      <c r="B164" s="61">
        <f>VLOOKUP(Table134[[#This Row],[Date]],database!A:I,8,)</f>
        <v/>
      </c>
      <c r="C164" s="74">
        <f>B164/B163-1</f>
        <v/>
      </c>
      <c r="D164" s="74">
        <f>(Table134[[#This Row],[Index]]-B152)/B152</f>
        <v/>
      </c>
    </row>
    <row r="165">
      <c r="A165" s="19" t="n">
        <v>31107</v>
      </c>
      <c r="B165" s="61">
        <f>VLOOKUP(Table134[[#This Row],[Date]],database!A:I,8,)</f>
        <v/>
      </c>
      <c r="C165" s="74">
        <f>B165/B164-1</f>
        <v/>
      </c>
      <c r="D165" s="74">
        <f>(Table134[[#This Row],[Index]]-B153)/B153</f>
        <v/>
      </c>
    </row>
    <row r="166">
      <c r="A166" s="19" t="n">
        <v>31138</v>
      </c>
      <c r="B166" s="61">
        <f>VLOOKUP(Table134[[#This Row],[Date]],database!A:I,8,)</f>
        <v/>
      </c>
      <c r="C166" s="74">
        <f>B166/B165-1</f>
        <v/>
      </c>
      <c r="D166" s="74">
        <f>(Table134[[#This Row],[Index]]-B154)/B154</f>
        <v/>
      </c>
    </row>
    <row r="167">
      <c r="A167" s="19" t="n">
        <v>31168</v>
      </c>
      <c r="B167" s="61">
        <f>VLOOKUP(Table134[[#This Row],[Date]],database!A:I,8,)</f>
        <v/>
      </c>
      <c r="C167" s="74">
        <f>B167/B166-1</f>
        <v/>
      </c>
      <c r="D167" s="74">
        <f>(Table134[[#This Row],[Index]]-B155)/B155</f>
        <v/>
      </c>
    </row>
    <row r="168">
      <c r="A168" s="19" t="n">
        <v>31199</v>
      </c>
      <c r="B168" s="61">
        <f>VLOOKUP(Table134[[#This Row],[Date]],database!A:I,8,)</f>
        <v/>
      </c>
      <c r="C168" s="74">
        <f>B168/B167-1</f>
        <v/>
      </c>
      <c r="D168" s="74">
        <f>(Table134[[#This Row],[Index]]-B156)/B156</f>
        <v/>
      </c>
    </row>
    <row r="169">
      <c r="A169" s="19" t="n">
        <v>31229</v>
      </c>
      <c r="B169" s="61">
        <f>VLOOKUP(Table134[[#This Row],[Date]],database!A:I,8,)</f>
        <v/>
      </c>
      <c r="C169" s="74">
        <f>B169/B168-1</f>
        <v/>
      </c>
      <c r="D169" s="74">
        <f>(Table134[[#This Row],[Index]]-B157)/B157</f>
        <v/>
      </c>
    </row>
    <row r="170">
      <c r="A170" s="19" t="n">
        <v>31260</v>
      </c>
      <c r="B170" s="61">
        <f>VLOOKUP(Table134[[#This Row],[Date]],database!A:I,8,)</f>
        <v/>
      </c>
      <c r="C170" s="74">
        <f>B170/B169-1</f>
        <v/>
      </c>
      <c r="D170" s="74">
        <f>(Table134[[#This Row],[Index]]-B158)/B158</f>
        <v/>
      </c>
    </row>
    <row r="171">
      <c r="A171" s="19" t="n">
        <v>31291</v>
      </c>
      <c r="B171" s="61">
        <f>VLOOKUP(Table134[[#This Row],[Date]],database!A:I,8,)</f>
        <v/>
      </c>
      <c r="C171" s="74">
        <f>B171/B170-1</f>
        <v/>
      </c>
      <c r="D171" s="74">
        <f>(Table134[[#This Row],[Index]]-B159)/B159</f>
        <v/>
      </c>
    </row>
    <row r="172">
      <c r="A172" s="19" t="n">
        <v>31321</v>
      </c>
      <c r="B172" s="61">
        <f>VLOOKUP(Table134[[#This Row],[Date]],database!A:I,8,)</f>
        <v/>
      </c>
      <c r="C172" s="74">
        <f>B172/B171-1</f>
        <v/>
      </c>
      <c r="D172" s="74">
        <f>(Table134[[#This Row],[Index]]-B160)/B160</f>
        <v/>
      </c>
    </row>
    <row r="173">
      <c r="A173" s="19" t="n">
        <v>31352</v>
      </c>
      <c r="B173" s="61">
        <f>VLOOKUP(Table134[[#This Row],[Date]],database!A:I,8,)</f>
        <v/>
      </c>
      <c r="C173" s="74">
        <f>B173/B172-1</f>
        <v/>
      </c>
      <c r="D173" s="74">
        <f>(Table134[[#This Row],[Index]]-B161)/B161</f>
        <v/>
      </c>
    </row>
    <row r="174">
      <c r="A174" s="19" t="n">
        <v>31382</v>
      </c>
      <c r="B174" s="61">
        <f>VLOOKUP(Table134[[#This Row],[Date]],database!A:I,8,)</f>
        <v/>
      </c>
      <c r="C174" s="74">
        <f>B174/B173-1</f>
        <v/>
      </c>
      <c r="D174" s="74">
        <f>(Table134[[#This Row],[Index]]-B162)/B162</f>
        <v/>
      </c>
    </row>
    <row r="175">
      <c r="A175" s="19" t="n">
        <v>31413</v>
      </c>
      <c r="B175" s="61">
        <f>VLOOKUP(Table134[[#This Row],[Date]],database!A:I,8,)</f>
        <v/>
      </c>
      <c r="C175" s="74">
        <f>B175/B174-1</f>
        <v/>
      </c>
      <c r="D175" s="74">
        <f>(Table134[[#This Row],[Index]]-B163)/B163</f>
        <v/>
      </c>
    </row>
    <row r="176">
      <c r="A176" s="19" t="n">
        <v>31444</v>
      </c>
      <c r="B176" s="61">
        <f>VLOOKUP(Table134[[#This Row],[Date]],database!A:I,8,)</f>
        <v/>
      </c>
      <c r="C176" s="74">
        <f>B176/B175-1</f>
        <v/>
      </c>
      <c r="D176" s="74">
        <f>(Table134[[#This Row],[Index]]-B164)/B164</f>
        <v/>
      </c>
    </row>
    <row r="177">
      <c r="A177" s="19" t="n">
        <v>31472</v>
      </c>
      <c r="B177" s="61">
        <f>VLOOKUP(Table134[[#This Row],[Date]],database!A:I,8,)</f>
        <v/>
      </c>
      <c r="C177" s="74">
        <f>B177/B176-1</f>
        <v/>
      </c>
      <c r="D177" s="74">
        <f>(Table134[[#This Row],[Index]]-B165)/B165</f>
        <v/>
      </c>
    </row>
    <row r="178">
      <c r="A178" s="19" t="n">
        <v>31503</v>
      </c>
      <c r="B178" s="61">
        <f>VLOOKUP(Table134[[#This Row],[Date]],database!A:I,8,)</f>
        <v/>
      </c>
      <c r="C178" s="74">
        <f>B178/B177-1</f>
        <v/>
      </c>
      <c r="D178" s="74">
        <f>(Table134[[#This Row],[Index]]-B166)/B166</f>
        <v/>
      </c>
    </row>
    <row r="179">
      <c r="A179" s="19" t="n">
        <v>31533</v>
      </c>
      <c r="B179" s="61">
        <f>VLOOKUP(Table134[[#This Row],[Date]],database!A:I,8,)</f>
        <v/>
      </c>
      <c r="C179" s="74">
        <f>B179/B178-1</f>
        <v/>
      </c>
      <c r="D179" s="74">
        <f>(Table134[[#This Row],[Index]]-B167)/B167</f>
        <v/>
      </c>
    </row>
    <row r="180">
      <c r="A180" s="19" t="n">
        <v>31564</v>
      </c>
      <c r="B180" s="61">
        <f>VLOOKUP(Table134[[#This Row],[Date]],database!A:I,8,)</f>
        <v/>
      </c>
      <c r="C180" s="74">
        <f>B180/B179-1</f>
        <v/>
      </c>
      <c r="D180" s="74">
        <f>(Table134[[#This Row],[Index]]-B168)/B168</f>
        <v/>
      </c>
    </row>
    <row r="181">
      <c r="A181" s="19" t="n">
        <v>31594</v>
      </c>
      <c r="B181" s="61">
        <f>VLOOKUP(Table134[[#This Row],[Date]],database!A:I,8,)</f>
        <v/>
      </c>
      <c r="C181" s="74">
        <f>B181/B180-1</f>
        <v/>
      </c>
      <c r="D181" s="74">
        <f>(Table134[[#This Row],[Index]]-B169)/B169</f>
        <v/>
      </c>
    </row>
    <row r="182">
      <c r="A182" s="19" t="n">
        <v>31625</v>
      </c>
      <c r="B182" s="61">
        <f>VLOOKUP(Table134[[#This Row],[Date]],database!A:I,8,)</f>
        <v/>
      </c>
      <c r="C182" s="74">
        <f>B182/B181-1</f>
        <v/>
      </c>
      <c r="D182" s="74">
        <f>(Table134[[#This Row],[Index]]-B170)/B170</f>
        <v/>
      </c>
    </row>
    <row r="183">
      <c r="A183" s="19" t="n">
        <v>31656</v>
      </c>
      <c r="B183" s="61">
        <f>VLOOKUP(Table134[[#This Row],[Date]],database!A:I,8,)</f>
        <v/>
      </c>
      <c r="C183" s="74">
        <f>B183/B182-1</f>
        <v/>
      </c>
      <c r="D183" s="74">
        <f>(Table134[[#This Row],[Index]]-B171)/B171</f>
        <v/>
      </c>
    </row>
    <row r="184">
      <c r="A184" s="19" t="n">
        <v>31686</v>
      </c>
      <c r="B184" s="61">
        <f>VLOOKUP(Table134[[#This Row],[Date]],database!A:I,8,)</f>
        <v/>
      </c>
      <c r="C184" s="74">
        <f>B184/B183-1</f>
        <v/>
      </c>
      <c r="D184" s="74">
        <f>(Table134[[#This Row],[Index]]-B172)/B172</f>
        <v/>
      </c>
    </row>
    <row r="185">
      <c r="A185" s="19" t="n">
        <v>31717</v>
      </c>
      <c r="B185" s="61">
        <f>VLOOKUP(Table134[[#This Row],[Date]],database!A:I,8,)</f>
        <v/>
      </c>
      <c r="C185" s="74">
        <f>B185/B184-1</f>
        <v/>
      </c>
      <c r="D185" s="74">
        <f>(Table134[[#This Row],[Index]]-B173)/B173</f>
        <v/>
      </c>
    </row>
    <row r="186">
      <c r="A186" s="19" t="n">
        <v>31747</v>
      </c>
      <c r="B186" s="61">
        <f>VLOOKUP(Table134[[#This Row],[Date]],database!A:I,8,)</f>
        <v/>
      </c>
      <c r="C186" s="74">
        <f>B186/B185-1</f>
        <v/>
      </c>
      <c r="D186" s="74">
        <f>(Table134[[#This Row],[Index]]-B174)/B174</f>
        <v/>
      </c>
    </row>
    <row r="187">
      <c r="A187" s="19" t="n">
        <v>31778</v>
      </c>
      <c r="B187" s="61">
        <f>VLOOKUP(Table134[[#This Row],[Date]],database!A:I,8,)</f>
        <v/>
      </c>
      <c r="C187" s="74">
        <f>B187/B186-1</f>
        <v/>
      </c>
      <c r="D187" s="74">
        <f>(Table134[[#This Row],[Index]]-B175)/B175</f>
        <v/>
      </c>
    </row>
    <row r="188">
      <c r="A188" s="19" t="n">
        <v>31809</v>
      </c>
      <c r="B188" s="61">
        <f>VLOOKUP(Table134[[#This Row],[Date]],database!A:I,8,)</f>
        <v/>
      </c>
      <c r="C188" s="74">
        <f>B188/B187-1</f>
        <v/>
      </c>
      <c r="D188" s="74">
        <f>(Table134[[#This Row],[Index]]-B176)/B176</f>
        <v/>
      </c>
    </row>
    <row r="189">
      <c r="A189" s="19" t="n">
        <v>31837</v>
      </c>
      <c r="B189" s="61">
        <f>VLOOKUP(Table134[[#This Row],[Date]],database!A:I,8,)</f>
        <v/>
      </c>
      <c r="C189" s="74">
        <f>B189/B188-1</f>
        <v/>
      </c>
      <c r="D189" s="74">
        <f>(Table134[[#This Row],[Index]]-B177)/B177</f>
        <v/>
      </c>
    </row>
    <row r="190">
      <c r="A190" s="19" t="n">
        <v>31868</v>
      </c>
      <c r="B190" s="61">
        <f>VLOOKUP(Table134[[#This Row],[Date]],database!A:I,8,)</f>
        <v/>
      </c>
      <c r="C190" s="74">
        <f>B190/B189-1</f>
        <v/>
      </c>
      <c r="D190" s="74">
        <f>(Table134[[#This Row],[Index]]-B178)/B178</f>
        <v/>
      </c>
    </row>
    <row r="191">
      <c r="A191" s="19" t="n">
        <v>31898</v>
      </c>
      <c r="B191" s="61">
        <f>VLOOKUP(Table134[[#This Row],[Date]],database!A:I,8,)</f>
        <v/>
      </c>
      <c r="C191" s="74">
        <f>B191/B190-1</f>
        <v/>
      </c>
      <c r="D191" s="74">
        <f>(Table134[[#This Row],[Index]]-B179)/B179</f>
        <v/>
      </c>
    </row>
    <row r="192">
      <c r="A192" s="19" t="n">
        <v>31929</v>
      </c>
      <c r="B192" s="61">
        <f>VLOOKUP(Table134[[#This Row],[Date]],database!A:I,8,)</f>
        <v/>
      </c>
      <c r="C192" s="74">
        <f>B192/B191-1</f>
        <v/>
      </c>
      <c r="D192" s="74">
        <f>(Table134[[#This Row],[Index]]-B180)/B180</f>
        <v/>
      </c>
    </row>
    <row r="193">
      <c r="A193" s="19" t="n">
        <v>31959</v>
      </c>
      <c r="B193" s="61">
        <f>VLOOKUP(Table134[[#This Row],[Date]],database!A:I,8,)</f>
        <v/>
      </c>
      <c r="C193" s="74">
        <f>B193/B192-1</f>
        <v/>
      </c>
      <c r="D193" s="74">
        <f>(Table134[[#This Row],[Index]]-B181)/B181</f>
        <v/>
      </c>
    </row>
    <row r="194">
      <c r="A194" s="19" t="n">
        <v>31990</v>
      </c>
      <c r="B194" s="61">
        <f>VLOOKUP(Table134[[#This Row],[Date]],database!A:I,8,)</f>
        <v/>
      </c>
      <c r="C194" s="74">
        <f>B194/B193-1</f>
        <v/>
      </c>
      <c r="D194" s="74">
        <f>(Table134[[#This Row],[Index]]-B182)/B182</f>
        <v/>
      </c>
    </row>
    <row r="195">
      <c r="A195" s="19" t="n">
        <v>32021</v>
      </c>
      <c r="B195" s="61">
        <f>VLOOKUP(Table134[[#This Row],[Date]],database!A:I,8,)</f>
        <v/>
      </c>
      <c r="C195" s="74">
        <f>B195/B194-1</f>
        <v/>
      </c>
      <c r="D195" s="74">
        <f>(Table134[[#This Row],[Index]]-B183)/B183</f>
        <v/>
      </c>
    </row>
    <row r="196">
      <c r="A196" s="19" t="n">
        <v>32051</v>
      </c>
      <c r="B196" s="61">
        <f>VLOOKUP(Table134[[#This Row],[Date]],database!A:I,8,)</f>
        <v/>
      </c>
      <c r="C196" s="74">
        <f>B196/B195-1</f>
        <v/>
      </c>
      <c r="D196" s="74">
        <f>(Table134[[#This Row],[Index]]-B184)/B184</f>
        <v/>
      </c>
    </row>
    <row r="197">
      <c r="A197" s="19" t="n">
        <v>32082</v>
      </c>
      <c r="B197" s="61">
        <f>VLOOKUP(Table134[[#This Row],[Date]],database!A:I,8,)</f>
        <v/>
      </c>
      <c r="C197" s="74">
        <f>B197/B196-1</f>
        <v/>
      </c>
      <c r="D197" s="74">
        <f>(Table134[[#This Row],[Index]]-B185)/B185</f>
        <v/>
      </c>
    </row>
    <row r="198">
      <c r="A198" s="19" t="n">
        <v>32112</v>
      </c>
      <c r="B198" s="61">
        <f>VLOOKUP(Table134[[#This Row],[Date]],database!A:I,8,)</f>
        <v/>
      </c>
      <c r="C198" s="74">
        <f>B198/B197-1</f>
        <v/>
      </c>
      <c r="D198" s="74">
        <f>(Table134[[#This Row],[Index]]-B186)/B186</f>
        <v/>
      </c>
    </row>
    <row r="199">
      <c r="A199" s="19" t="n">
        <v>32143</v>
      </c>
      <c r="B199" s="61">
        <f>VLOOKUP(Table134[[#This Row],[Date]],database!A:I,8,)</f>
        <v/>
      </c>
      <c r="C199" s="74">
        <f>B199/B198-1</f>
        <v/>
      </c>
      <c r="D199" s="74">
        <f>(Table134[[#This Row],[Index]]-B187)/B187</f>
        <v/>
      </c>
    </row>
    <row r="200">
      <c r="A200" s="19" t="n">
        <v>32174</v>
      </c>
      <c r="B200" s="61">
        <f>VLOOKUP(Table134[[#This Row],[Date]],database!A:I,8,)</f>
        <v/>
      </c>
      <c r="C200" s="74">
        <f>B200/B199-1</f>
        <v/>
      </c>
      <c r="D200" s="74">
        <f>(Table134[[#This Row],[Index]]-B188)/B188</f>
        <v/>
      </c>
    </row>
    <row r="201">
      <c r="A201" s="19" t="n">
        <v>32203</v>
      </c>
      <c r="B201" s="61">
        <f>VLOOKUP(Table134[[#This Row],[Date]],database!A:I,8,)</f>
        <v/>
      </c>
      <c r="C201" s="74">
        <f>B201/B200-1</f>
        <v/>
      </c>
      <c r="D201" s="74">
        <f>(Table134[[#This Row],[Index]]-B189)/B189</f>
        <v/>
      </c>
    </row>
    <row r="202">
      <c r="A202" s="19" t="n">
        <v>32234</v>
      </c>
      <c r="B202" s="61">
        <f>VLOOKUP(Table134[[#This Row],[Date]],database!A:I,8,)</f>
        <v/>
      </c>
      <c r="C202" s="74">
        <f>B202/B201-1</f>
        <v/>
      </c>
      <c r="D202" s="74">
        <f>(Table134[[#This Row],[Index]]-B190)/B190</f>
        <v/>
      </c>
    </row>
    <row r="203">
      <c r="A203" s="19" t="n">
        <v>32264</v>
      </c>
      <c r="B203" s="61">
        <f>VLOOKUP(Table134[[#This Row],[Date]],database!A:I,8,)</f>
        <v/>
      </c>
      <c r="C203" s="74">
        <f>B203/B202-1</f>
        <v/>
      </c>
      <c r="D203" s="74">
        <f>(Table134[[#This Row],[Index]]-B191)/B191</f>
        <v/>
      </c>
    </row>
    <row r="204">
      <c r="A204" s="19" t="n">
        <v>32295</v>
      </c>
      <c r="B204" s="61">
        <f>VLOOKUP(Table134[[#This Row],[Date]],database!A:I,8,)</f>
        <v/>
      </c>
      <c r="C204" s="74">
        <f>B204/B203-1</f>
        <v/>
      </c>
      <c r="D204" s="74">
        <f>(Table134[[#This Row],[Index]]-B192)/B192</f>
        <v/>
      </c>
    </row>
    <row r="205">
      <c r="A205" s="19" t="n">
        <v>32325</v>
      </c>
      <c r="B205" s="61">
        <f>VLOOKUP(Table134[[#This Row],[Date]],database!A:I,8,)</f>
        <v/>
      </c>
      <c r="C205" s="74">
        <f>B205/B204-1</f>
        <v/>
      </c>
      <c r="D205" s="74">
        <f>(Table134[[#This Row],[Index]]-B193)/B193</f>
        <v/>
      </c>
    </row>
    <row r="206">
      <c r="A206" s="19" t="n">
        <v>32356</v>
      </c>
      <c r="B206" s="61">
        <f>VLOOKUP(Table134[[#This Row],[Date]],database!A:I,8,)</f>
        <v/>
      </c>
      <c r="C206" s="74">
        <f>B206/B205-1</f>
        <v/>
      </c>
      <c r="D206" s="74">
        <f>(Table134[[#This Row],[Index]]-B194)/B194</f>
        <v/>
      </c>
    </row>
    <row r="207">
      <c r="A207" s="19" t="n">
        <v>32387</v>
      </c>
      <c r="B207" s="61">
        <f>VLOOKUP(Table134[[#This Row],[Date]],database!A:I,8,)</f>
        <v/>
      </c>
      <c r="C207" s="74">
        <f>B207/B206-1</f>
        <v/>
      </c>
      <c r="D207" s="74">
        <f>(Table134[[#This Row],[Index]]-B195)/B195</f>
        <v/>
      </c>
    </row>
    <row r="208">
      <c r="A208" s="19" t="n">
        <v>32417</v>
      </c>
      <c r="B208" s="61">
        <f>VLOOKUP(Table134[[#This Row],[Date]],database!A:I,8,)</f>
        <v/>
      </c>
      <c r="C208" s="74">
        <f>B208/B207-1</f>
        <v/>
      </c>
      <c r="D208" s="74">
        <f>(Table134[[#This Row],[Index]]-B196)/B196</f>
        <v/>
      </c>
    </row>
    <row r="209">
      <c r="A209" s="19" t="n">
        <v>32448</v>
      </c>
      <c r="B209" s="61">
        <f>VLOOKUP(Table134[[#This Row],[Date]],database!A:I,8,)</f>
        <v/>
      </c>
      <c r="C209" s="74">
        <f>B209/B208-1</f>
        <v/>
      </c>
      <c r="D209" s="74">
        <f>(Table134[[#This Row],[Index]]-B197)/B197</f>
        <v/>
      </c>
    </row>
    <row r="210">
      <c r="A210" s="19" t="n">
        <v>32478</v>
      </c>
      <c r="B210" s="61">
        <f>VLOOKUP(Table134[[#This Row],[Date]],database!A:I,8,)</f>
        <v/>
      </c>
      <c r="C210" s="74">
        <f>B210/B209-1</f>
        <v/>
      </c>
      <c r="D210" s="74">
        <f>(Table134[[#This Row],[Index]]-B198)/B198</f>
        <v/>
      </c>
    </row>
    <row r="211">
      <c r="A211" s="19" t="n">
        <v>32509</v>
      </c>
      <c r="B211" s="61">
        <f>VLOOKUP(Table134[[#This Row],[Date]],database!A:I,8,)</f>
        <v/>
      </c>
      <c r="C211" s="74">
        <f>B211/B210-1</f>
        <v/>
      </c>
      <c r="D211" s="74">
        <f>(Table134[[#This Row],[Index]]-B199)/B199</f>
        <v/>
      </c>
    </row>
    <row r="212">
      <c r="A212" s="19" t="n">
        <v>32540</v>
      </c>
      <c r="B212" s="61">
        <f>VLOOKUP(Table134[[#This Row],[Date]],database!A:I,8,)</f>
        <v/>
      </c>
      <c r="C212" s="74">
        <f>B212/B211-1</f>
        <v/>
      </c>
      <c r="D212" s="74">
        <f>(Table134[[#This Row],[Index]]-B200)/B200</f>
        <v/>
      </c>
    </row>
    <row r="213">
      <c r="A213" s="19" t="n">
        <v>32568</v>
      </c>
      <c r="B213" s="61">
        <f>VLOOKUP(Table134[[#This Row],[Date]],database!A:I,8,)</f>
        <v/>
      </c>
      <c r="C213" s="74">
        <f>B213/B212-1</f>
        <v/>
      </c>
      <c r="D213" s="74">
        <f>(Table134[[#This Row],[Index]]-B201)/B201</f>
        <v/>
      </c>
    </row>
    <row r="214">
      <c r="A214" s="19" t="n">
        <v>32599</v>
      </c>
      <c r="B214" s="61">
        <f>VLOOKUP(Table134[[#This Row],[Date]],database!A:I,8,)</f>
        <v/>
      </c>
      <c r="C214" s="74">
        <f>B214/B213-1</f>
        <v/>
      </c>
      <c r="D214" s="74">
        <f>(Table134[[#This Row],[Index]]-B202)/B202</f>
        <v/>
      </c>
    </row>
    <row r="215">
      <c r="A215" s="19" t="n">
        <v>32629</v>
      </c>
      <c r="B215" s="61">
        <f>VLOOKUP(Table134[[#This Row],[Date]],database!A:I,8,)</f>
        <v/>
      </c>
      <c r="C215" s="74">
        <f>B215/B214-1</f>
        <v/>
      </c>
      <c r="D215" s="74">
        <f>(Table134[[#This Row],[Index]]-B203)/B203</f>
        <v/>
      </c>
    </row>
    <row r="216">
      <c r="A216" s="19" t="n">
        <v>32660</v>
      </c>
      <c r="B216" s="61">
        <f>VLOOKUP(Table134[[#This Row],[Date]],database!A:I,8,)</f>
        <v/>
      </c>
      <c r="C216" s="74">
        <f>B216/B215-1</f>
        <v/>
      </c>
      <c r="D216" s="74">
        <f>(Table134[[#This Row],[Index]]-B204)/B204</f>
        <v/>
      </c>
    </row>
    <row r="217">
      <c r="A217" s="19" t="n">
        <v>32690</v>
      </c>
      <c r="B217" s="61">
        <f>VLOOKUP(Table134[[#This Row],[Date]],database!A:I,8,)</f>
        <v/>
      </c>
      <c r="C217" s="74">
        <f>B217/B216-1</f>
        <v/>
      </c>
      <c r="D217" s="74">
        <f>(Table134[[#This Row],[Index]]-B205)/B205</f>
        <v/>
      </c>
    </row>
    <row r="218">
      <c r="A218" s="19" t="n">
        <v>32721</v>
      </c>
      <c r="B218" s="61">
        <f>VLOOKUP(Table134[[#This Row],[Date]],database!A:I,8,)</f>
        <v/>
      </c>
      <c r="C218" s="74">
        <f>B218/B217-1</f>
        <v/>
      </c>
      <c r="D218" s="74">
        <f>(Table134[[#This Row],[Index]]-B206)/B206</f>
        <v/>
      </c>
    </row>
    <row r="219">
      <c r="A219" s="19" t="n">
        <v>32752</v>
      </c>
      <c r="B219" s="61">
        <f>VLOOKUP(Table134[[#This Row],[Date]],database!A:I,8,)</f>
        <v/>
      </c>
      <c r="C219" s="74">
        <f>B219/B218-1</f>
        <v/>
      </c>
      <c r="D219" s="74">
        <f>(Table134[[#This Row],[Index]]-B207)/B207</f>
        <v/>
      </c>
    </row>
    <row r="220">
      <c r="A220" s="19" t="n">
        <v>32782</v>
      </c>
      <c r="B220" s="61">
        <f>VLOOKUP(Table134[[#This Row],[Date]],database!A:I,8,)</f>
        <v/>
      </c>
      <c r="C220" s="74">
        <f>B220/B219-1</f>
        <v/>
      </c>
      <c r="D220" s="74">
        <f>(Table134[[#This Row],[Index]]-B208)/B208</f>
        <v/>
      </c>
    </row>
    <row r="221">
      <c r="A221" s="19" t="n">
        <v>32813</v>
      </c>
      <c r="B221" s="61">
        <f>VLOOKUP(Table134[[#This Row],[Date]],database!A:I,8,)</f>
        <v/>
      </c>
      <c r="C221" s="74">
        <f>B221/B220-1</f>
        <v/>
      </c>
      <c r="D221" s="74">
        <f>(Table134[[#This Row],[Index]]-B209)/B209</f>
        <v/>
      </c>
    </row>
    <row r="222">
      <c r="A222" s="19" t="n">
        <v>32843</v>
      </c>
      <c r="B222" s="61">
        <f>VLOOKUP(Table134[[#This Row],[Date]],database!A:I,8,)</f>
        <v/>
      </c>
      <c r="C222" s="74">
        <f>B222/B221-1</f>
        <v/>
      </c>
      <c r="D222" s="74">
        <f>(Table134[[#This Row],[Index]]-B210)/B210</f>
        <v/>
      </c>
    </row>
    <row r="223">
      <c r="A223" s="19" t="n">
        <v>32874</v>
      </c>
      <c r="B223" s="61">
        <f>VLOOKUP(Table134[[#This Row],[Date]],database!A:I,8,)</f>
        <v/>
      </c>
      <c r="C223" s="74">
        <f>B223/B222-1</f>
        <v/>
      </c>
      <c r="D223" s="74">
        <f>(Table134[[#This Row],[Index]]-B211)/B211</f>
        <v/>
      </c>
    </row>
    <row r="224">
      <c r="A224" s="19" t="n">
        <v>32905</v>
      </c>
      <c r="B224" s="61">
        <f>VLOOKUP(Table134[[#This Row],[Date]],database!A:I,8,)</f>
        <v/>
      </c>
      <c r="C224" s="74">
        <f>B224/B223-1</f>
        <v/>
      </c>
      <c r="D224" s="74">
        <f>(Table134[[#This Row],[Index]]-B212)/B212</f>
        <v/>
      </c>
    </row>
    <row r="225">
      <c r="A225" s="19" t="n">
        <v>32933</v>
      </c>
      <c r="B225" s="61">
        <f>VLOOKUP(Table134[[#This Row],[Date]],database!A:I,8,)</f>
        <v/>
      </c>
      <c r="C225" s="74">
        <f>B225/B224-1</f>
        <v/>
      </c>
      <c r="D225" s="74">
        <f>(Table134[[#This Row],[Index]]-B213)/B213</f>
        <v/>
      </c>
    </row>
    <row r="226">
      <c r="A226" s="19" t="n">
        <v>32964</v>
      </c>
      <c r="B226" s="61">
        <f>VLOOKUP(Table134[[#This Row],[Date]],database!A:I,8,)</f>
        <v/>
      </c>
      <c r="C226" s="74">
        <f>B226/B225-1</f>
        <v/>
      </c>
      <c r="D226" s="74">
        <f>(Table134[[#This Row],[Index]]-B214)/B214</f>
        <v/>
      </c>
    </row>
    <row r="227">
      <c r="A227" s="19" t="n">
        <v>32994</v>
      </c>
      <c r="B227" s="61">
        <f>VLOOKUP(Table134[[#This Row],[Date]],database!A:I,8,)</f>
        <v/>
      </c>
      <c r="C227" s="74">
        <f>B227/B226-1</f>
        <v/>
      </c>
      <c r="D227" s="74">
        <f>(Table134[[#This Row],[Index]]-B215)/B215</f>
        <v/>
      </c>
    </row>
    <row r="228">
      <c r="A228" s="19" t="n">
        <v>33025</v>
      </c>
      <c r="B228" s="61">
        <f>VLOOKUP(Table134[[#This Row],[Date]],database!A:I,8,)</f>
        <v/>
      </c>
      <c r="C228" s="74">
        <f>B228/B227-1</f>
        <v/>
      </c>
      <c r="D228" s="74">
        <f>(Table134[[#This Row],[Index]]-B216)/B216</f>
        <v/>
      </c>
    </row>
    <row r="229">
      <c r="A229" s="19" t="n">
        <v>33055</v>
      </c>
      <c r="B229" s="61">
        <f>VLOOKUP(Table134[[#This Row],[Date]],database!A:I,8,)</f>
        <v/>
      </c>
      <c r="C229" s="74">
        <f>B229/B228-1</f>
        <v/>
      </c>
      <c r="D229" s="74">
        <f>(Table134[[#This Row],[Index]]-B217)/B217</f>
        <v/>
      </c>
    </row>
    <row r="230">
      <c r="A230" s="19" t="n">
        <v>33086</v>
      </c>
      <c r="B230" s="61">
        <f>VLOOKUP(Table134[[#This Row],[Date]],database!A:I,8,)</f>
        <v/>
      </c>
      <c r="C230" s="74">
        <f>B230/B229-1</f>
        <v/>
      </c>
      <c r="D230" s="74">
        <f>(Table134[[#This Row],[Index]]-B218)/B218</f>
        <v/>
      </c>
    </row>
    <row r="231">
      <c r="A231" s="19" t="n">
        <v>33117</v>
      </c>
      <c r="B231" s="61">
        <f>VLOOKUP(Table134[[#This Row],[Date]],database!A:I,8,)</f>
        <v/>
      </c>
      <c r="C231" s="74">
        <f>B231/B230-1</f>
        <v/>
      </c>
      <c r="D231" s="74">
        <f>(Table134[[#This Row],[Index]]-B219)/B219</f>
        <v/>
      </c>
    </row>
    <row r="232">
      <c r="A232" s="19" t="n">
        <v>33147</v>
      </c>
      <c r="B232" s="61">
        <f>VLOOKUP(Table134[[#This Row],[Date]],database!A:I,8,)</f>
        <v/>
      </c>
      <c r="C232" s="74">
        <f>B232/B231-1</f>
        <v/>
      </c>
      <c r="D232" s="74">
        <f>(Table134[[#This Row],[Index]]-B220)/B220</f>
        <v/>
      </c>
    </row>
    <row r="233">
      <c r="A233" s="19" t="n">
        <v>33178</v>
      </c>
      <c r="B233" s="61">
        <f>VLOOKUP(Table134[[#This Row],[Date]],database!A:I,8,)</f>
        <v/>
      </c>
      <c r="C233" s="74">
        <f>B233/B232-1</f>
        <v/>
      </c>
      <c r="D233" s="74">
        <f>(Table134[[#This Row],[Index]]-B221)/B221</f>
        <v/>
      </c>
    </row>
    <row r="234">
      <c r="A234" s="19" t="n">
        <v>33208</v>
      </c>
      <c r="B234" s="61">
        <f>VLOOKUP(Table134[[#This Row],[Date]],database!A:I,8,)</f>
        <v/>
      </c>
      <c r="C234" s="74">
        <f>B234/B233-1</f>
        <v/>
      </c>
      <c r="D234" s="74">
        <f>(Table134[[#This Row],[Index]]-B222)/B222</f>
        <v/>
      </c>
    </row>
    <row r="235">
      <c r="A235" s="19" t="n">
        <v>33239</v>
      </c>
      <c r="B235" s="61">
        <f>VLOOKUP(Table134[[#This Row],[Date]],database!A:I,8,)</f>
        <v/>
      </c>
      <c r="C235" s="74">
        <f>B235/B234-1</f>
        <v/>
      </c>
      <c r="D235" s="74">
        <f>(Table134[[#This Row],[Index]]-B223)/B223</f>
        <v/>
      </c>
    </row>
    <row r="236">
      <c r="A236" s="19" t="n">
        <v>33270</v>
      </c>
      <c r="B236" s="61">
        <f>VLOOKUP(Table134[[#This Row],[Date]],database!A:I,8,)</f>
        <v/>
      </c>
      <c r="C236" s="74">
        <f>B236/B235-1</f>
        <v/>
      </c>
      <c r="D236" s="74">
        <f>(Table134[[#This Row],[Index]]-B224)/B224</f>
        <v/>
      </c>
    </row>
    <row r="237">
      <c r="A237" s="19" t="n">
        <v>33298</v>
      </c>
      <c r="B237" s="61">
        <f>VLOOKUP(Table134[[#This Row],[Date]],database!A:I,8,)</f>
        <v/>
      </c>
      <c r="C237" s="74">
        <f>B237/B236-1</f>
        <v/>
      </c>
      <c r="D237" s="74">
        <f>(Table134[[#This Row],[Index]]-B225)/B225</f>
        <v/>
      </c>
    </row>
    <row r="238">
      <c r="A238" s="19" t="n">
        <v>33329</v>
      </c>
      <c r="B238" s="61">
        <f>VLOOKUP(Table134[[#This Row],[Date]],database!A:I,8,)</f>
        <v/>
      </c>
      <c r="C238" s="74">
        <f>B238/B237-1</f>
        <v/>
      </c>
      <c r="D238" s="74">
        <f>(Table134[[#This Row],[Index]]-B226)/B226</f>
        <v/>
      </c>
    </row>
    <row r="239">
      <c r="A239" s="19" t="n">
        <v>33359</v>
      </c>
      <c r="B239" s="61">
        <f>VLOOKUP(Table134[[#This Row],[Date]],database!A:I,8,)</f>
        <v/>
      </c>
      <c r="C239" s="74">
        <f>B239/B238-1</f>
        <v/>
      </c>
      <c r="D239" s="74">
        <f>(Table134[[#This Row],[Index]]-B227)/B227</f>
        <v/>
      </c>
    </row>
    <row r="240">
      <c r="A240" s="19" t="n">
        <v>33390</v>
      </c>
      <c r="B240" s="61">
        <f>VLOOKUP(Table134[[#This Row],[Date]],database!A:I,8,)</f>
        <v/>
      </c>
      <c r="C240" s="74">
        <f>B240/B239-1</f>
        <v/>
      </c>
      <c r="D240" s="74">
        <f>(Table134[[#This Row],[Index]]-B228)/B228</f>
        <v/>
      </c>
    </row>
    <row r="241">
      <c r="A241" s="19" t="n">
        <v>33420</v>
      </c>
      <c r="B241" s="61">
        <f>VLOOKUP(Table134[[#This Row],[Date]],database!A:I,8,)</f>
        <v/>
      </c>
      <c r="C241" s="74">
        <f>B241/B240-1</f>
        <v/>
      </c>
      <c r="D241" s="74">
        <f>(Table134[[#This Row],[Index]]-B229)/B229</f>
        <v/>
      </c>
    </row>
    <row r="242">
      <c r="A242" s="19" t="n">
        <v>33451</v>
      </c>
      <c r="B242" s="61">
        <f>VLOOKUP(Table134[[#This Row],[Date]],database!A:I,8,)</f>
        <v/>
      </c>
      <c r="C242" s="74">
        <f>B242/B241-1</f>
        <v/>
      </c>
      <c r="D242" s="74">
        <f>(Table134[[#This Row],[Index]]-B230)/B230</f>
        <v/>
      </c>
    </row>
    <row r="243">
      <c r="A243" s="19" t="n">
        <v>33482</v>
      </c>
      <c r="B243" s="61">
        <f>VLOOKUP(Table134[[#This Row],[Date]],database!A:I,8,)</f>
        <v/>
      </c>
      <c r="C243" s="74">
        <f>B243/B242-1</f>
        <v/>
      </c>
      <c r="D243" s="74">
        <f>(Table134[[#This Row],[Index]]-B231)/B231</f>
        <v/>
      </c>
    </row>
    <row r="244">
      <c r="A244" s="19" t="n">
        <v>33512</v>
      </c>
      <c r="B244" s="61">
        <f>VLOOKUP(Table134[[#This Row],[Date]],database!A:I,8,)</f>
        <v/>
      </c>
      <c r="C244" s="74">
        <f>B244/B243-1</f>
        <v/>
      </c>
      <c r="D244" s="74">
        <f>(Table134[[#This Row],[Index]]-B232)/B232</f>
        <v/>
      </c>
    </row>
    <row r="245">
      <c r="A245" s="19" t="n">
        <v>33543</v>
      </c>
      <c r="B245" s="61">
        <f>VLOOKUP(Table134[[#This Row],[Date]],database!A:I,8,)</f>
        <v/>
      </c>
      <c r="C245" s="74">
        <f>B245/B244-1</f>
        <v/>
      </c>
      <c r="D245" s="74">
        <f>(Table134[[#This Row],[Index]]-B233)/B233</f>
        <v/>
      </c>
    </row>
    <row r="246">
      <c r="A246" s="19" t="n">
        <v>33573</v>
      </c>
      <c r="B246" s="61">
        <f>VLOOKUP(Table134[[#This Row],[Date]],database!A:I,8,)</f>
        <v/>
      </c>
      <c r="C246" s="74">
        <f>B246/B245-1</f>
        <v/>
      </c>
      <c r="D246" s="74">
        <f>(Table134[[#This Row],[Index]]-B234)/B234</f>
        <v/>
      </c>
    </row>
    <row r="247">
      <c r="A247" s="19" t="n">
        <v>33604</v>
      </c>
      <c r="B247" s="61">
        <f>VLOOKUP(Table134[[#This Row],[Date]],database!A:I,8,)</f>
        <v/>
      </c>
      <c r="C247" s="74">
        <f>B247/B246-1</f>
        <v/>
      </c>
      <c r="D247" s="74">
        <f>(Table134[[#This Row],[Index]]-B235)/B235</f>
        <v/>
      </c>
    </row>
    <row r="248">
      <c r="A248" s="19" t="n">
        <v>33635</v>
      </c>
      <c r="B248" s="61">
        <f>VLOOKUP(Table134[[#This Row],[Date]],database!A:I,8,)</f>
        <v/>
      </c>
      <c r="C248" s="74">
        <f>B248/B247-1</f>
        <v/>
      </c>
      <c r="D248" s="74">
        <f>(Table134[[#This Row],[Index]]-B236)/B236</f>
        <v/>
      </c>
    </row>
    <row r="249">
      <c r="A249" s="19" t="n">
        <v>33664</v>
      </c>
      <c r="B249" s="61">
        <f>VLOOKUP(Table134[[#This Row],[Date]],database!A:I,8,)</f>
        <v/>
      </c>
      <c r="C249" s="74">
        <f>B249/B248-1</f>
        <v/>
      </c>
      <c r="D249" s="74">
        <f>(Table134[[#This Row],[Index]]-B237)/B237</f>
        <v/>
      </c>
    </row>
    <row r="250">
      <c r="A250" s="19" t="n">
        <v>33695</v>
      </c>
      <c r="B250" s="61">
        <f>VLOOKUP(Table134[[#This Row],[Date]],database!A:I,8,)</f>
        <v/>
      </c>
      <c r="C250" s="74">
        <f>B250/B249-1</f>
        <v/>
      </c>
      <c r="D250" s="74">
        <f>(Table134[[#This Row],[Index]]-B238)/B238</f>
        <v/>
      </c>
    </row>
    <row r="251">
      <c r="A251" s="19" t="n">
        <v>33725</v>
      </c>
      <c r="B251" s="61">
        <f>VLOOKUP(Table134[[#This Row],[Date]],database!A:I,8,)</f>
        <v/>
      </c>
      <c r="C251" s="74">
        <f>B251/B250-1</f>
        <v/>
      </c>
      <c r="D251" s="74">
        <f>(Table134[[#This Row],[Index]]-B239)/B239</f>
        <v/>
      </c>
    </row>
    <row r="252">
      <c r="A252" s="19" t="n">
        <v>33756</v>
      </c>
      <c r="B252" s="61">
        <f>VLOOKUP(Table134[[#This Row],[Date]],database!A:I,8,)</f>
        <v/>
      </c>
      <c r="C252" s="74">
        <f>B252/B251-1</f>
        <v/>
      </c>
      <c r="D252" s="74">
        <f>(Table134[[#This Row],[Index]]-B240)/B240</f>
        <v/>
      </c>
    </row>
    <row r="253">
      <c r="A253" s="19" t="n">
        <v>33786</v>
      </c>
      <c r="B253" s="61">
        <f>VLOOKUP(Table134[[#This Row],[Date]],database!A:I,8,)</f>
        <v/>
      </c>
      <c r="C253" s="74">
        <f>B253/B252-1</f>
        <v/>
      </c>
      <c r="D253" s="74">
        <f>(Table134[[#This Row],[Index]]-B241)/B241</f>
        <v/>
      </c>
    </row>
    <row r="254">
      <c r="A254" s="19" t="n">
        <v>33817</v>
      </c>
      <c r="B254" s="61">
        <f>VLOOKUP(Table134[[#This Row],[Date]],database!A:I,8,)</f>
        <v/>
      </c>
      <c r="C254" s="74">
        <f>B254/B253-1</f>
        <v/>
      </c>
      <c r="D254" s="74">
        <f>(Table134[[#This Row],[Index]]-B242)/B242</f>
        <v/>
      </c>
    </row>
    <row r="255">
      <c r="A255" s="19" t="n">
        <v>33848</v>
      </c>
      <c r="B255" s="61">
        <f>VLOOKUP(Table134[[#This Row],[Date]],database!A:I,8,)</f>
        <v/>
      </c>
      <c r="C255" s="74">
        <f>B255/B254-1</f>
        <v/>
      </c>
      <c r="D255" s="74">
        <f>(Table134[[#This Row],[Index]]-B243)/B243</f>
        <v/>
      </c>
    </row>
    <row r="256">
      <c r="A256" s="19" t="n">
        <v>33878</v>
      </c>
      <c r="B256" s="61">
        <f>VLOOKUP(Table134[[#This Row],[Date]],database!A:I,8,)</f>
        <v/>
      </c>
      <c r="C256" s="74">
        <f>B256/B255-1</f>
        <v/>
      </c>
      <c r="D256" s="74">
        <f>(Table134[[#This Row],[Index]]-B244)/B244</f>
        <v/>
      </c>
    </row>
    <row r="257">
      <c r="A257" s="19" t="n">
        <v>33909</v>
      </c>
      <c r="B257" s="61">
        <f>VLOOKUP(Table134[[#This Row],[Date]],database!A:I,8,)</f>
        <v/>
      </c>
      <c r="C257" s="74">
        <f>B257/B256-1</f>
        <v/>
      </c>
      <c r="D257" s="74">
        <f>(Table134[[#This Row],[Index]]-B245)/B245</f>
        <v/>
      </c>
    </row>
    <row r="258">
      <c r="A258" s="19" t="n">
        <v>33939</v>
      </c>
      <c r="B258" s="61">
        <f>VLOOKUP(Table134[[#This Row],[Date]],database!A:I,8,)</f>
        <v/>
      </c>
      <c r="C258" s="74">
        <f>B258/B257-1</f>
        <v/>
      </c>
      <c r="D258" s="74">
        <f>(Table134[[#This Row],[Index]]-B246)/B246</f>
        <v/>
      </c>
    </row>
    <row r="259">
      <c r="A259" s="19" t="n">
        <v>33970</v>
      </c>
      <c r="B259" s="61">
        <f>VLOOKUP(Table134[[#This Row],[Date]],database!A:I,8,)</f>
        <v/>
      </c>
      <c r="C259" s="74">
        <f>B259/B258-1</f>
        <v/>
      </c>
      <c r="D259" s="74">
        <f>(Table134[[#This Row],[Index]]-B247)/B247</f>
        <v/>
      </c>
    </row>
    <row r="260">
      <c r="A260" s="19" t="n">
        <v>34001</v>
      </c>
      <c r="B260" s="61">
        <f>VLOOKUP(Table134[[#This Row],[Date]],database!A:I,8,)</f>
        <v/>
      </c>
      <c r="C260" s="74">
        <f>B260/B259-1</f>
        <v/>
      </c>
      <c r="D260" s="74">
        <f>(Table134[[#This Row],[Index]]-B248)/B248</f>
        <v/>
      </c>
    </row>
    <row r="261">
      <c r="A261" s="19" t="n">
        <v>34029</v>
      </c>
      <c r="B261" s="61">
        <f>VLOOKUP(Table134[[#This Row],[Date]],database!A:I,8,)</f>
        <v/>
      </c>
      <c r="C261" s="74">
        <f>B261/B260-1</f>
        <v/>
      </c>
      <c r="D261" s="74">
        <f>(Table134[[#This Row],[Index]]-B249)/B249</f>
        <v/>
      </c>
    </row>
    <row r="262">
      <c r="A262" s="19" t="n">
        <v>34060</v>
      </c>
      <c r="B262" s="61">
        <f>VLOOKUP(Table134[[#This Row],[Date]],database!A:I,8,)</f>
        <v/>
      </c>
      <c r="C262" s="74">
        <f>B262/B261-1</f>
        <v/>
      </c>
      <c r="D262" s="74">
        <f>(Table134[[#This Row],[Index]]-B250)/B250</f>
        <v/>
      </c>
    </row>
    <row r="263">
      <c r="A263" s="19" t="n">
        <v>34090</v>
      </c>
      <c r="B263" s="61">
        <f>VLOOKUP(Table134[[#This Row],[Date]],database!A:I,8,)</f>
        <v/>
      </c>
      <c r="C263" s="74">
        <f>B263/B262-1</f>
        <v/>
      </c>
      <c r="D263" s="74">
        <f>(Table134[[#This Row],[Index]]-B251)/B251</f>
        <v/>
      </c>
    </row>
    <row r="264">
      <c r="A264" s="19" t="n">
        <v>34121</v>
      </c>
      <c r="B264" s="61">
        <f>VLOOKUP(Table134[[#This Row],[Date]],database!A:I,8,)</f>
        <v/>
      </c>
      <c r="C264" s="74">
        <f>B264/B263-1</f>
        <v/>
      </c>
      <c r="D264" s="74">
        <f>(Table134[[#This Row],[Index]]-B252)/B252</f>
        <v/>
      </c>
    </row>
    <row r="265">
      <c r="A265" s="19" t="n">
        <v>34151</v>
      </c>
      <c r="B265" s="61">
        <f>VLOOKUP(Table134[[#This Row],[Date]],database!A:I,8,)</f>
        <v/>
      </c>
      <c r="C265" s="74">
        <f>B265/B264-1</f>
        <v/>
      </c>
      <c r="D265" s="74">
        <f>(Table134[[#This Row],[Index]]-B253)/B253</f>
        <v/>
      </c>
    </row>
    <row r="266">
      <c r="A266" s="19" t="n">
        <v>34182</v>
      </c>
      <c r="B266" s="61">
        <f>VLOOKUP(Table134[[#This Row],[Date]],database!A:I,8,)</f>
        <v/>
      </c>
      <c r="C266" s="74">
        <f>B266/B265-1</f>
        <v/>
      </c>
      <c r="D266" s="74">
        <f>(Table134[[#This Row],[Index]]-B254)/B254</f>
        <v/>
      </c>
    </row>
    <row r="267">
      <c r="A267" s="19" t="n">
        <v>34213</v>
      </c>
      <c r="B267" s="61">
        <f>VLOOKUP(Table134[[#This Row],[Date]],database!A:I,8,)</f>
        <v/>
      </c>
      <c r="C267" s="74">
        <f>B267/B266-1</f>
        <v/>
      </c>
      <c r="D267" s="74">
        <f>(Table134[[#This Row],[Index]]-B255)/B255</f>
        <v/>
      </c>
    </row>
    <row r="268">
      <c r="A268" s="19" t="n">
        <v>34243</v>
      </c>
      <c r="B268" s="61">
        <f>VLOOKUP(Table134[[#This Row],[Date]],database!A:I,8,)</f>
        <v/>
      </c>
      <c r="C268" s="74">
        <f>B268/B267-1</f>
        <v/>
      </c>
      <c r="D268" s="74">
        <f>(Table134[[#This Row],[Index]]-B256)/B256</f>
        <v/>
      </c>
    </row>
    <row r="269">
      <c r="A269" s="19" t="n">
        <v>34274</v>
      </c>
      <c r="B269" s="61">
        <f>VLOOKUP(Table134[[#This Row],[Date]],database!A:I,8,)</f>
        <v/>
      </c>
      <c r="C269" s="74">
        <f>B269/B268-1</f>
        <v/>
      </c>
      <c r="D269" s="74">
        <f>(Table134[[#This Row],[Index]]-B257)/B257</f>
        <v/>
      </c>
    </row>
    <row r="270">
      <c r="A270" s="19" t="n">
        <v>34304</v>
      </c>
      <c r="B270" s="61">
        <f>VLOOKUP(Table134[[#This Row],[Date]],database!A:I,8,)</f>
        <v/>
      </c>
      <c r="C270" s="74">
        <f>B270/B269-1</f>
        <v/>
      </c>
      <c r="D270" s="74">
        <f>(Table134[[#This Row],[Index]]-B258)/B258</f>
        <v/>
      </c>
    </row>
    <row r="271">
      <c r="A271" s="19" t="n">
        <v>34335</v>
      </c>
      <c r="B271" s="61">
        <f>VLOOKUP(Table134[[#This Row],[Date]],database!A:I,8,)</f>
        <v/>
      </c>
      <c r="C271" s="74">
        <f>B271/B270-1</f>
        <v/>
      </c>
      <c r="D271" s="74">
        <f>(Table134[[#This Row],[Index]]-B259)/B259</f>
        <v/>
      </c>
    </row>
    <row r="272">
      <c r="A272" s="19" t="n">
        <v>34366</v>
      </c>
      <c r="B272" s="61">
        <f>VLOOKUP(Table134[[#This Row],[Date]],database!A:I,8,)</f>
        <v/>
      </c>
      <c r="C272" s="74">
        <f>B272/B271-1</f>
        <v/>
      </c>
      <c r="D272" s="74">
        <f>(Table134[[#This Row],[Index]]-B260)/B260</f>
        <v/>
      </c>
    </row>
    <row r="273">
      <c r="A273" s="19" t="n">
        <v>34394</v>
      </c>
      <c r="B273" s="61">
        <f>VLOOKUP(Table134[[#This Row],[Date]],database!A:I,8,)</f>
        <v/>
      </c>
      <c r="C273" s="74">
        <f>B273/B272-1</f>
        <v/>
      </c>
      <c r="D273" s="74">
        <f>(Table134[[#This Row],[Index]]-B261)/B261</f>
        <v/>
      </c>
    </row>
    <row r="274">
      <c r="A274" s="19" t="n">
        <v>34425</v>
      </c>
      <c r="B274" s="61">
        <f>VLOOKUP(Table134[[#This Row],[Date]],database!A:I,8,)</f>
        <v/>
      </c>
      <c r="C274" s="74">
        <f>B274/B273-1</f>
        <v/>
      </c>
      <c r="D274" s="74">
        <f>(Table134[[#This Row],[Index]]-B262)/B262</f>
        <v/>
      </c>
    </row>
    <row r="275">
      <c r="A275" s="19" t="n">
        <v>34455</v>
      </c>
      <c r="B275" s="61">
        <f>VLOOKUP(Table134[[#This Row],[Date]],database!A:I,8,)</f>
        <v/>
      </c>
      <c r="C275" s="74">
        <f>B275/B274-1</f>
        <v/>
      </c>
      <c r="D275" s="74">
        <f>(Table134[[#This Row],[Index]]-B263)/B263</f>
        <v/>
      </c>
    </row>
    <row r="276">
      <c r="A276" s="19" t="n">
        <v>34486</v>
      </c>
      <c r="B276" s="61">
        <f>VLOOKUP(Table134[[#This Row],[Date]],database!A:I,8,)</f>
        <v/>
      </c>
      <c r="C276" s="74">
        <f>B276/B275-1</f>
        <v/>
      </c>
      <c r="D276" s="74">
        <f>(Table134[[#This Row],[Index]]-B264)/B264</f>
        <v/>
      </c>
    </row>
    <row r="277">
      <c r="A277" s="19" t="n">
        <v>34516</v>
      </c>
      <c r="B277" s="61">
        <f>VLOOKUP(Table134[[#This Row],[Date]],database!A:I,8,)</f>
        <v/>
      </c>
      <c r="C277" s="74">
        <f>B277/B276-1</f>
        <v/>
      </c>
      <c r="D277" s="74">
        <f>(Table134[[#This Row],[Index]]-B265)/B265</f>
        <v/>
      </c>
    </row>
    <row r="278">
      <c r="A278" s="19" t="n">
        <v>34547</v>
      </c>
      <c r="B278" s="61">
        <f>VLOOKUP(Table134[[#This Row],[Date]],database!A:I,8,)</f>
        <v/>
      </c>
      <c r="C278" s="74">
        <f>B278/B277-1</f>
        <v/>
      </c>
      <c r="D278" s="74">
        <f>(Table134[[#This Row],[Index]]-B266)/B266</f>
        <v/>
      </c>
    </row>
    <row r="279">
      <c r="A279" s="19" t="n">
        <v>34578</v>
      </c>
      <c r="B279" s="61">
        <f>VLOOKUP(Table134[[#This Row],[Date]],database!A:I,8,)</f>
        <v/>
      </c>
      <c r="C279" s="74">
        <f>B279/B278-1</f>
        <v/>
      </c>
      <c r="D279" s="74">
        <f>(Table134[[#This Row],[Index]]-B267)/B267</f>
        <v/>
      </c>
    </row>
    <row r="280">
      <c r="A280" s="19" t="n">
        <v>34608</v>
      </c>
      <c r="B280" s="61">
        <f>VLOOKUP(Table134[[#This Row],[Date]],database!A:I,8,)</f>
        <v/>
      </c>
      <c r="C280" s="74">
        <f>B280/B279-1</f>
        <v/>
      </c>
      <c r="D280" s="74">
        <f>(Table134[[#This Row],[Index]]-B268)/B268</f>
        <v/>
      </c>
    </row>
    <row r="281">
      <c r="A281" s="19" t="n">
        <v>34639</v>
      </c>
      <c r="B281" s="61">
        <f>VLOOKUP(Table134[[#This Row],[Date]],database!A:I,8,)</f>
        <v/>
      </c>
      <c r="C281" s="74">
        <f>B281/B280-1</f>
        <v/>
      </c>
      <c r="D281" s="74">
        <f>(Table134[[#This Row],[Index]]-B269)/B269</f>
        <v/>
      </c>
    </row>
    <row r="282">
      <c r="A282" s="19" t="n">
        <v>34669</v>
      </c>
      <c r="B282" s="61">
        <f>VLOOKUP(Table134[[#This Row],[Date]],database!A:I,8,)</f>
        <v/>
      </c>
      <c r="C282" s="74">
        <f>B282/B281-1</f>
        <v/>
      </c>
      <c r="D282" s="74">
        <f>(Table134[[#This Row],[Index]]-B270)/B270</f>
        <v/>
      </c>
    </row>
    <row r="283">
      <c r="A283" s="19" t="n">
        <v>34700</v>
      </c>
      <c r="B283" s="61">
        <f>VLOOKUP(Table134[[#This Row],[Date]],database!A:I,8,)</f>
        <v/>
      </c>
      <c r="C283" s="74">
        <f>B283/B282-1</f>
        <v/>
      </c>
      <c r="D283" s="74">
        <f>(Table134[[#This Row],[Index]]-B271)/B271</f>
        <v/>
      </c>
    </row>
    <row r="284">
      <c r="A284" s="19" t="n">
        <v>34731</v>
      </c>
      <c r="B284" s="61">
        <f>VLOOKUP(Table134[[#This Row],[Date]],database!A:I,8,)</f>
        <v/>
      </c>
      <c r="C284" s="74">
        <f>B284/B283-1</f>
        <v/>
      </c>
      <c r="D284" s="74">
        <f>(Table134[[#This Row],[Index]]-B272)/B272</f>
        <v/>
      </c>
    </row>
    <row r="285">
      <c r="A285" s="19" t="n">
        <v>34759</v>
      </c>
      <c r="B285" s="61">
        <f>VLOOKUP(Table134[[#This Row],[Date]],database!A:I,8,)</f>
        <v/>
      </c>
      <c r="C285" s="74">
        <f>B285/B284-1</f>
        <v/>
      </c>
      <c r="D285" s="74">
        <f>(Table134[[#This Row],[Index]]-B273)/B273</f>
        <v/>
      </c>
    </row>
    <row r="286">
      <c r="A286" s="19" t="n">
        <v>34790</v>
      </c>
      <c r="B286" s="61">
        <f>VLOOKUP(Table134[[#This Row],[Date]],database!A:I,8,)</f>
        <v/>
      </c>
      <c r="C286" s="74">
        <f>B286/B285-1</f>
        <v/>
      </c>
      <c r="D286" s="74">
        <f>(Table134[[#This Row],[Index]]-B274)/B274</f>
        <v/>
      </c>
    </row>
    <row r="287">
      <c r="A287" s="19" t="n">
        <v>34820</v>
      </c>
      <c r="B287" s="61">
        <f>VLOOKUP(Table134[[#This Row],[Date]],database!A:I,8,)</f>
        <v/>
      </c>
      <c r="C287" s="74">
        <f>B287/B286-1</f>
        <v/>
      </c>
      <c r="D287" s="74">
        <f>(Table134[[#This Row],[Index]]-B275)/B275</f>
        <v/>
      </c>
    </row>
    <row r="288">
      <c r="A288" s="19" t="n">
        <v>34851</v>
      </c>
      <c r="B288" s="61">
        <f>VLOOKUP(Table134[[#This Row],[Date]],database!A:I,8,)</f>
        <v/>
      </c>
      <c r="C288" s="74">
        <f>B288/B287-1</f>
        <v/>
      </c>
      <c r="D288" s="74">
        <f>(Table134[[#This Row],[Index]]-B276)/B276</f>
        <v/>
      </c>
    </row>
    <row r="289">
      <c r="A289" s="19" t="n">
        <v>34881</v>
      </c>
      <c r="B289" s="61">
        <f>VLOOKUP(Table134[[#This Row],[Date]],database!A:I,8,)</f>
        <v/>
      </c>
      <c r="C289" s="74">
        <f>B289/B288-1</f>
        <v/>
      </c>
      <c r="D289" s="74">
        <f>(Table134[[#This Row],[Index]]-B277)/B277</f>
        <v/>
      </c>
    </row>
    <row r="290">
      <c r="A290" s="19" t="n">
        <v>34912</v>
      </c>
      <c r="B290" s="61">
        <f>VLOOKUP(Table134[[#This Row],[Date]],database!A:I,8,)</f>
        <v/>
      </c>
      <c r="C290" s="74">
        <f>B290/B289-1</f>
        <v/>
      </c>
      <c r="D290" s="74">
        <f>(Table134[[#This Row],[Index]]-B278)/B278</f>
        <v/>
      </c>
    </row>
    <row r="291">
      <c r="A291" s="19" t="n">
        <v>34943</v>
      </c>
      <c r="B291" s="61">
        <f>VLOOKUP(Table134[[#This Row],[Date]],database!A:I,8,)</f>
        <v/>
      </c>
      <c r="C291" s="74">
        <f>B291/B290-1</f>
        <v/>
      </c>
      <c r="D291" s="74">
        <f>(Table134[[#This Row],[Index]]-B279)/B279</f>
        <v/>
      </c>
    </row>
    <row r="292">
      <c r="A292" s="19" t="n">
        <v>34973</v>
      </c>
      <c r="B292" s="61">
        <f>VLOOKUP(Table134[[#This Row],[Date]],database!A:I,8,)</f>
        <v/>
      </c>
      <c r="C292" s="74">
        <f>B292/B291-1</f>
        <v/>
      </c>
      <c r="D292" s="74">
        <f>(Table134[[#This Row],[Index]]-B280)/B280</f>
        <v/>
      </c>
    </row>
    <row r="293">
      <c r="A293" s="19" t="n">
        <v>35004</v>
      </c>
      <c r="B293" s="61">
        <f>VLOOKUP(Table134[[#This Row],[Date]],database!A:I,8,)</f>
        <v/>
      </c>
      <c r="C293" s="74">
        <f>B293/B292-1</f>
        <v/>
      </c>
      <c r="D293" s="74">
        <f>(Table134[[#This Row],[Index]]-B281)/B281</f>
        <v/>
      </c>
    </row>
    <row r="294">
      <c r="A294" s="19" t="n">
        <v>35034</v>
      </c>
      <c r="B294" s="61">
        <f>VLOOKUP(Table134[[#This Row],[Date]],database!A:I,8,)</f>
        <v/>
      </c>
      <c r="C294" s="74">
        <f>B294/B293-1</f>
        <v/>
      </c>
      <c r="D294" s="74">
        <f>(Table134[[#This Row],[Index]]-B282)/B282</f>
        <v/>
      </c>
    </row>
    <row r="295">
      <c r="A295" s="19" t="n">
        <v>35065</v>
      </c>
      <c r="B295" s="61">
        <f>VLOOKUP(Table134[[#This Row],[Date]],database!A:I,8,)</f>
        <v/>
      </c>
      <c r="C295" s="74">
        <f>B295/B294-1</f>
        <v/>
      </c>
      <c r="D295" s="74">
        <f>(Table134[[#This Row],[Index]]-B283)/B283</f>
        <v/>
      </c>
    </row>
    <row r="296">
      <c r="A296" s="19" t="n">
        <v>35096</v>
      </c>
      <c r="B296" s="61">
        <f>VLOOKUP(Table134[[#This Row],[Date]],database!A:I,8,)</f>
        <v/>
      </c>
      <c r="C296" s="74">
        <f>B296/B295-1</f>
        <v/>
      </c>
      <c r="D296" s="74">
        <f>(Table134[[#This Row],[Index]]-B284)/B284</f>
        <v/>
      </c>
    </row>
    <row r="297">
      <c r="A297" s="19" t="n">
        <v>35125</v>
      </c>
      <c r="B297" s="61">
        <f>VLOOKUP(Table134[[#This Row],[Date]],database!A:I,8,)</f>
        <v/>
      </c>
      <c r="C297" s="74">
        <f>B297/B296-1</f>
        <v/>
      </c>
      <c r="D297" s="74">
        <f>(Table134[[#This Row],[Index]]-B285)/B285</f>
        <v/>
      </c>
    </row>
    <row r="298">
      <c r="A298" s="19" t="n">
        <v>35156</v>
      </c>
      <c r="B298" s="61">
        <f>VLOOKUP(Table134[[#This Row],[Date]],database!A:I,8,)</f>
        <v/>
      </c>
      <c r="C298" s="74">
        <f>B298/B297-1</f>
        <v/>
      </c>
      <c r="D298" s="74">
        <f>(Table134[[#This Row],[Index]]-B286)/B286</f>
        <v/>
      </c>
    </row>
    <row r="299">
      <c r="A299" s="19" t="n">
        <v>35186</v>
      </c>
      <c r="B299" s="61">
        <f>VLOOKUP(Table134[[#This Row],[Date]],database!A:I,8,)</f>
        <v/>
      </c>
      <c r="C299" s="74">
        <f>B299/B298-1</f>
        <v/>
      </c>
      <c r="D299" s="74">
        <f>(Table134[[#This Row],[Index]]-B287)/B287</f>
        <v/>
      </c>
    </row>
    <row r="300">
      <c r="A300" s="19" t="n">
        <v>35217</v>
      </c>
      <c r="B300" s="61">
        <f>VLOOKUP(Table134[[#This Row],[Date]],database!A:I,8,)</f>
        <v/>
      </c>
      <c r="C300" s="74">
        <f>B300/B299-1</f>
        <v/>
      </c>
      <c r="D300" s="74">
        <f>(Table134[[#This Row],[Index]]-B288)/B288</f>
        <v/>
      </c>
    </row>
    <row r="301">
      <c r="A301" s="19" t="n">
        <v>35247</v>
      </c>
      <c r="B301" s="61">
        <f>VLOOKUP(Table134[[#This Row],[Date]],database!A:I,8,)</f>
        <v/>
      </c>
      <c r="C301" s="74">
        <f>B301/B300-1</f>
        <v/>
      </c>
      <c r="D301" s="74">
        <f>(Table134[[#This Row],[Index]]-B289)/B289</f>
        <v/>
      </c>
    </row>
    <row r="302">
      <c r="A302" s="19" t="n">
        <v>35278</v>
      </c>
      <c r="B302" s="61">
        <f>VLOOKUP(Table134[[#This Row],[Date]],database!A:I,8,)</f>
        <v/>
      </c>
      <c r="C302" s="74">
        <f>B302/B301-1</f>
        <v/>
      </c>
      <c r="D302" s="74">
        <f>(Table134[[#This Row],[Index]]-B290)/B290</f>
        <v/>
      </c>
    </row>
    <row r="303">
      <c r="A303" s="19" t="n">
        <v>35309</v>
      </c>
      <c r="B303" s="61">
        <f>VLOOKUP(Table134[[#This Row],[Date]],database!A:I,8,)</f>
        <v/>
      </c>
      <c r="C303" s="74">
        <f>B303/B302-1</f>
        <v/>
      </c>
      <c r="D303" s="74">
        <f>(Table134[[#This Row],[Index]]-B291)/B291</f>
        <v/>
      </c>
    </row>
    <row r="304">
      <c r="A304" s="19" t="n">
        <v>35339</v>
      </c>
      <c r="B304" s="61">
        <f>VLOOKUP(Table134[[#This Row],[Date]],database!A:I,8,)</f>
        <v/>
      </c>
      <c r="C304" s="74">
        <f>B304/B303-1</f>
        <v/>
      </c>
      <c r="D304" s="74">
        <f>(Table134[[#This Row],[Index]]-B292)/B292</f>
        <v/>
      </c>
    </row>
    <row r="305">
      <c r="A305" s="19" t="n">
        <v>35370</v>
      </c>
      <c r="B305" s="61">
        <f>VLOOKUP(Table134[[#This Row],[Date]],database!A:I,8,)</f>
        <v/>
      </c>
      <c r="C305" s="74">
        <f>B305/B304-1</f>
        <v/>
      </c>
      <c r="D305" s="74">
        <f>(Table134[[#This Row],[Index]]-B293)/B293</f>
        <v/>
      </c>
    </row>
    <row r="306">
      <c r="A306" s="19" t="n">
        <v>35400</v>
      </c>
      <c r="B306" s="61">
        <f>VLOOKUP(Table134[[#This Row],[Date]],database!A:I,8,)</f>
        <v/>
      </c>
      <c r="C306" s="74">
        <f>B306/B305-1</f>
        <v/>
      </c>
      <c r="D306" s="74">
        <f>(Table134[[#This Row],[Index]]-B294)/B294</f>
        <v/>
      </c>
    </row>
    <row r="307">
      <c r="A307" s="19" t="n">
        <v>35431</v>
      </c>
      <c r="B307" s="61">
        <f>VLOOKUP(Table134[[#This Row],[Date]],database!A:I,8,)</f>
        <v/>
      </c>
      <c r="C307" s="74">
        <f>B307/B306-1</f>
        <v/>
      </c>
      <c r="D307" s="74">
        <f>(Table134[[#This Row],[Index]]-B295)/B295</f>
        <v/>
      </c>
    </row>
    <row r="308">
      <c r="A308" s="19" t="n">
        <v>35462</v>
      </c>
      <c r="B308" s="61">
        <f>VLOOKUP(Table134[[#This Row],[Date]],database!A:I,8,)</f>
        <v/>
      </c>
      <c r="C308" s="74">
        <f>B308/B307-1</f>
        <v/>
      </c>
      <c r="D308" s="74">
        <f>(Table134[[#This Row],[Index]]-B296)/B296</f>
        <v/>
      </c>
    </row>
    <row r="309">
      <c r="A309" s="19" t="n">
        <v>35490</v>
      </c>
      <c r="B309" s="61">
        <f>VLOOKUP(Table134[[#This Row],[Date]],database!A:I,8,)</f>
        <v/>
      </c>
      <c r="C309" s="74">
        <f>B309/B308-1</f>
        <v/>
      </c>
      <c r="D309" s="74">
        <f>(Table134[[#This Row],[Index]]-B297)/B297</f>
        <v/>
      </c>
    </row>
    <row r="310">
      <c r="A310" s="19" t="n">
        <v>35521</v>
      </c>
      <c r="B310" s="61">
        <f>VLOOKUP(Table134[[#This Row],[Date]],database!A:I,8,)</f>
        <v/>
      </c>
      <c r="C310" s="74">
        <f>B310/B309-1</f>
        <v/>
      </c>
      <c r="D310" s="74">
        <f>(Table134[[#This Row],[Index]]-B298)/B298</f>
        <v/>
      </c>
    </row>
    <row r="311">
      <c r="A311" s="19" t="n">
        <v>35551</v>
      </c>
      <c r="B311" s="61">
        <f>VLOOKUP(Table134[[#This Row],[Date]],database!A:I,8,)</f>
        <v/>
      </c>
      <c r="C311" s="74">
        <f>B311/B310-1</f>
        <v/>
      </c>
      <c r="D311" s="74">
        <f>(Table134[[#This Row],[Index]]-B299)/B299</f>
        <v/>
      </c>
    </row>
    <row r="312">
      <c r="A312" s="19" t="n">
        <v>35582</v>
      </c>
      <c r="B312" s="61">
        <f>VLOOKUP(Table134[[#This Row],[Date]],database!A:I,8,)</f>
        <v/>
      </c>
      <c r="C312" s="74">
        <f>B312/B311-1</f>
        <v/>
      </c>
      <c r="D312" s="74">
        <f>(Table134[[#This Row],[Index]]-B300)/B300</f>
        <v/>
      </c>
    </row>
    <row r="313">
      <c r="A313" s="19" t="n">
        <v>35612</v>
      </c>
      <c r="B313" s="61">
        <f>VLOOKUP(Table134[[#This Row],[Date]],database!A:I,8,)</f>
        <v/>
      </c>
      <c r="C313" s="74">
        <f>B313/B312-1</f>
        <v/>
      </c>
      <c r="D313" s="74">
        <f>(Table134[[#This Row],[Index]]-B301)/B301</f>
        <v/>
      </c>
    </row>
    <row r="314">
      <c r="A314" s="19" t="n">
        <v>35643</v>
      </c>
      <c r="B314" s="61">
        <f>VLOOKUP(Table134[[#This Row],[Date]],database!A:I,8,)</f>
        <v/>
      </c>
      <c r="C314" s="74">
        <f>B314/B313-1</f>
        <v/>
      </c>
      <c r="D314" s="74">
        <f>(Table134[[#This Row],[Index]]-B302)/B302</f>
        <v/>
      </c>
    </row>
    <row r="315">
      <c r="A315" s="19" t="n">
        <v>35674</v>
      </c>
      <c r="B315" s="61">
        <f>VLOOKUP(Table134[[#This Row],[Date]],database!A:I,8,)</f>
        <v/>
      </c>
      <c r="C315" s="74">
        <f>B315/B314-1</f>
        <v/>
      </c>
      <c r="D315" s="74">
        <f>(Table134[[#This Row],[Index]]-B303)/B303</f>
        <v/>
      </c>
    </row>
    <row r="316">
      <c r="A316" s="19" t="n">
        <v>35704</v>
      </c>
      <c r="B316" s="61">
        <f>VLOOKUP(Table134[[#This Row],[Date]],database!A:I,8,)</f>
        <v/>
      </c>
      <c r="C316" s="74">
        <f>B316/B315-1</f>
        <v/>
      </c>
      <c r="D316" s="74">
        <f>(Table134[[#This Row],[Index]]-B304)/B304</f>
        <v/>
      </c>
    </row>
    <row r="317">
      <c r="A317" s="19" t="n">
        <v>35735</v>
      </c>
      <c r="B317" s="61">
        <f>VLOOKUP(Table134[[#This Row],[Date]],database!A:I,8,)</f>
        <v/>
      </c>
      <c r="C317" s="74">
        <f>B317/B316-1</f>
        <v/>
      </c>
      <c r="D317" s="74">
        <f>(Table134[[#This Row],[Index]]-B305)/B305</f>
        <v/>
      </c>
    </row>
    <row r="318">
      <c r="A318" s="19" t="n">
        <v>35765</v>
      </c>
      <c r="B318" s="61">
        <f>VLOOKUP(Table134[[#This Row],[Date]],database!A:I,8,)</f>
        <v/>
      </c>
      <c r="C318" s="74">
        <f>B318/B317-1</f>
        <v/>
      </c>
      <c r="D318" s="74">
        <f>(Table134[[#This Row],[Index]]-B306)/B306</f>
        <v/>
      </c>
    </row>
    <row r="319">
      <c r="A319" s="19" t="n">
        <v>35796</v>
      </c>
      <c r="B319" s="61">
        <f>VLOOKUP(Table134[[#This Row],[Date]],database!A:I,8,)</f>
        <v/>
      </c>
      <c r="C319" s="74">
        <f>B319/B318-1</f>
        <v/>
      </c>
      <c r="D319" s="74">
        <f>(Table134[[#This Row],[Index]]-B307)/B307</f>
        <v/>
      </c>
    </row>
    <row r="320">
      <c r="A320" s="19" t="n">
        <v>35827</v>
      </c>
      <c r="B320" s="61">
        <f>VLOOKUP(Table134[[#This Row],[Date]],database!A:I,8,)</f>
        <v/>
      </c>
      <c r="C320" s="74">
        <f>B320/B319-1</f>
        <v/>
      </c>
      <c r="D320" s="74">
        <f>(Table134[[#This Row],[Index]]-B308)/B308</f>
        <v/>
      </c>
    </row>
    <row r="321">
      <c r="A321" s="19" t="n">
        <v>35855</v>
      </c>
      <c r="B321" s="61">
        <f>VLOOKUP(Table134[[#This Row],[Date]],database!A:I,8,)</f>
        <v/>
      </c>
      <c r="C321" s="74">
        <f>B321/B320-1</f>
        <v/>
      </c>
      <c r="D321" s="74">
        <f>(Table134[[#This Row],[Index]]-B309)/B309</f>
        <v/>
      </c>
    </row>
    <row r="322">
      <c r="A322" s="19" t="n">
        <v>35886</v>
      </c>
      <c r="B322" s="61">
        <f>VLOOKUP(Table134[[#This Row],[Date]],database!A:I,8,)</f>
        <v/>
      </c>
      <c r="C322" s="74">
        <f>B322/B321-1</f>
        <v/>
      </c>
      <c r="D322" s="74">
        <f>(Table134[[#This Row],[Index]]-B310)/B310</f>
        <v/>
      </c>
    </row>
    <row r="323">
      <c r="A323" s="19" t="n">
        <v>35916</v>
      </c>
      <c r="B323" s="61">
        <f>VLOOKUP(Table134[[#This Row],[Date]],database!A:I,8,)</f>
        <v/>
      </c>
      <c r="C323" s="74">
        <f>B323/B322-1</f>
        <v/>
      </c>
      <c r="D323" s="74">
        <f>(Table134[[#This Row],[Index]]-B311)/B311</f>
        <v/>
      </c>
    </row>
    <row r="324">
      <c r="A324" s="19" t="n">
        <v>35947</v>
      </c>
      <c r="B324" s="61">
        <f>VLOOKUP(Table134[[#This Row],[Date]],database!A:I,8,)</f>
        <v/>
      </c>
      <c r="C324" s="74">
        <f>B324/B323-1</f>
        <v/>
      </c>
      <c r="D324" s="74">
        <f>(Table134[[#This Row],[Index]]-B312)/B312</f>
        <v/>
      </c>
    </row>
    <row r="325">
      <c r="A325" s="19" t="n">
        <v>35977</v>
      </c>
      <c r="B325" s="61">
        <f>VLOOKUP(Table134[[#This Row],[Date]],database!A:I,8,)</f>
        <v/>
      </c>
      <c r="C325" s="74">
        <f>B325/B324-1</f>
        <v/>
      </c>
      <c r="D325" s="74">
        <f>(Table134[[#This Row],[Index]]-B313)/B313</f>
        <v/>
      </c>
    </row>
    <row r="326">
      <c r="A326" s="19" t="n">
        <v>36008</v>
      </c>
      <c r="B326" s="61">
        <f>VLOOKUP(Table134[[#This Row],[Date]],database!A:I,8,)</f>
        <v/>
      </c>
      <c r="C326" s="74">
        <f>B326/B325-1</f>
        <v/>
      </c>
      <c r="D326" s="74">
        <f>(Table134[[#This Row],[Index]]-B314)/B314</f>
        <v/>
      </c>
    </row>
    <row r="327">
      <c r="A327" s="19" t="n">
        <v>36039</v>
      </c>
      <c r="B327" s="61">
        <f>VLOOKUP(Table134[[#This Row],[Date]],database!A:I,8,)</f>
        <v/>
      </c>
      <c r="C327" s="74">
        <f>B327/B326-1</f>
        <v/>
      </c>
      <c r="D327" s="74">
        <f>(Table134[[#This Row],[Index]]-B315)/B315</f>
        <v/>
      </c>
    </row>
    <row r="328">
      <c r="A328" s="19" t="n">
        <v>36069</v>
      </c>
      <c r="B328" s="61">
        <f>VLOOKUP(Table134[[#This Row],[Date]],database!A:I,8,)</f>
        <v/>
      </c>
      <c r="C328" s="74">
        <f>B328/B327-1</f>
        <v/>
      </c>
      <c r="D328" s="74">
        <f>(Table134[[#This Row],[Index]]-B316)/B316</f>
        <v/>
      </c>
    </row>
    <row r="329">
      <c r="A329" s="19" t="n">
        <v>36100</v>
      </c>
      <c r="B329" s="61">
        <f>VLOOKUP(Table134[[#This Row],[Date]],database!A:I,8,)</f>
        <v/>
      </c>
      <c r="C329" s="74">
        <f>B329/B328-1</f>
        <v/>
      </c>
      <c r="D329" s="74">
        <f>(Table134[[#This Row],[Index]]-B317)/B317</f>
        <v/>
      </c>
    </row>
    <row r="330">
      <c r="A330" s="19" t="n">
        <v>36130</v>
      </c>
      <c r="B330" s="61">
        <f>VLOOKUP(Table134[[#This Row],[Date]],database!A:I,8,)</f>
        <v/>
      </c>
      <c r="C330" s="74">
        <f>B330/B329-1</f>
        <v/>
      </c>
      <c r="D330" s="74">
        <f>(Table134[[#This Row],[Index]]-B318)/B318</f>
        <v/>
      </c>
    </row>
    <row r="331">
      <c r="A331" s="19" t="n">
        <v>36161</v>
      </c>
      <c r="B331" s="61">
        <f>VLOOKUP(Table134[[#This Row],[Date]],database!A:I,8,)</f>
        <v/>
      </c>
      <c r="C331" s="74">
        <f>B331/B330-1</f>
        <v/>
      </c>
      <c r="D331" s="74">
        <f>(Table134[[#This Row],[Index]]-B319)/B319</f>
        <v/>
      </c>
    </row>
    <row r="332">
      <c r="A332" s="19" t="n">
        <v>36192</v>
      </c>
      <c r="B332" s="61">
        <f>VLOOKUP(Table134[[#This Row],[Date]],database!A:I,8,)</f>
        <v/>
      </c>
      <c r="C332" s="74">
        <f>B332/B331-1</f>
        <v/>
      </c>
      <c r="D332" s="74">
        <f>(Table134[[#This Row],[Index]]-B320)/B320</f>
        <v/>
      </c>
    </row>
    <row r="333">
      <c r="A333" s="19" t="n">
        <v>36220</v>
      </c>
      <c r="B333" s="61">
        <f>VLOOKUP(Table134[[#This Row],[Date]],database!A:I,8,)</f>
        <v/>
      </c>
      <c r="C333" s="74">
        <f>B333/B332-1</f>
        <v/>
      </c>
      <c r="D333" s="74">
        <f>(Table134[[#This Row],[Index]]-B321)/B321</f>
        <v/>
      </c>
    </row>
    <row r="334">
      <c r="A334" s="19" t="n">
        <v>36251</v>
      </c>
      <c r="B334" s="61">
        <f>VLOOKUP(Table134[[#This Row],[Date]],database!A:I,8,)</f>
        <v/>
      </c>
      <c r="C334" s="74">
        <f>B334/B333-1</f>
        <v/>
      </c>
      <c r="D334" s="74">
        <f>(Table134[[#This Row],[Index]]-B322)/B322</f>
        <v/>
      </c>
    </row>
    <row r="335">
      <c r="A335" s="19" t="n">
        <v>36281</v>
      </c>
      <c r="B335" s="61">
        <f>VLOOKUP(Table134[[#This Row],[Date]],database!A:I,8,)</f>
        <v/>
      </c>
      <c r="C335" s="74">
        <f>B335/B334-1</f>
        <v/>
      </c>
      <c r="D335" s="74">
        <f>(Table134[[#This Row],[Index]]-B323)/B323</f>
        <v/>
      </c>
    </row>
    <row r="336">
      <c r="A336" s="19" t="n">
        <v>36312</v>
      </c>
      <c r="B336" s="61">
        <f>VLOOKUP(Table134[[#This Row],[Date]],database!A:I,8,)</f>
        <v/>
      </c>
      <c r="C336" s="74">
        <f>B336/B335-1</f>
        <v/>
      </c>
      <c r="D336" s="74">
        <f>(Table134[[#This Row],[Index]]-B324)/B324</f>
        <v/>
      </c>
    </row>
    <row r="337">
      <c r="A337" s="19" t="n">
        <v>36342</v>
      </c>
      <c r="B337" s="61">
        <f>VLOOKUP(Table134[[#This Row],[Date]],database!A:I,8,)</f>
        <v/>
      </c>
      <c r="C337" s="74">
        <f>B337/B336-1</f>
        <v/>
      </c>
      <c r="D337" s="74">
        <f>(Table134[[#This Row],[Index]]-B325)/B325</f>
        <v/>
      </c>
    </row>
    <row r="338">
      <c r="A338" s="19" t="n">
        <v>36373</v>
      </c>
      <c r="B338" s="61">
        <f>VLOOKUP(Table134[[#This Row],[Date]],database!A:I,8,)</f>
        <v/>
      </c>
      <c r="C338" s="74">
        <f>B338/B337-1</f>
        <v/>
      </c>
      <c r="D338" s="74">
        <f>(Table134[[#This Row],[Index]]-B326)/B326</f>
        <v/>
      </c>
    </row>
    <row r="339">
      <c r="A339" s="19" t="n">
        <v>36404</v>
      </c>
      <c r="B339" s="61">
        <f>VLOOKUP(Table134[[#This Row],[Date]],database!A:I,8,)</f>
        <v/>
      </c>
      <c r="C339" s="74">
        <f>B339/B338-1</f>
        <v/>
      </c>
      <c r="D339" s="74">
        <f>(Table134[[#This Row],[Index]]-B327)/B327</f>
        <v/>
      </c>
    </row>
    <row r="340">
      <c r="A340" s="19" t="n">
        <v>36434</v>
      </c>
      <c r="B340" s="61">
        <f>VLOOKUP(Table134[[#This Row],[Date]],database!A:I,8,)</f>
        <v/>
      </c>
      <c r="C340" s="74">
        <f>B340/B339-1</f>
        <v/>
      </c>
      <c r="D340" s="74">
        <f>(Table134[[#This Row],[Index]]-B328)/B328</f>
        <v/>
      </c>
    </row>
    <row r="341">
      <c r="A341" s="19" t="n">
        <v>36465</v>
      </c>
      <c r="B341" s="61">
        <f>VLOOKUP(Table134[[#This Row],[Date]],database!A:I,8,)</f>
        <v/>
      </c>
      <c r="C341" s="74">
        <f>B341/B340-1</f>
        <v/>
      </c>
      <c r="D341" s="74">
        <f>(Table134[[#This Row],[Index]]-B329)/B329</f>
        <v/>
      </c>
    </row>
    <row r="342">
      <c r="A342" s="19" t="n">
        <v>36495</v>
      </c>
      <c r="B342" s="61">
        <f>VLOOKUP(Table134[[#This Row],[Date]],database!A:I,8,)</f>
        <v/>
      </c>
      <c r="C342" s="74">
        <f>B342/B341-1</f>
        <v/>
      </c>
      <c r="D342" s="74">
        <f>(Table134[[#This Row],[Index]]-B330)/B330</f>
        <v/>
      </c>
    </row>
    <row r="343">
      <c r="A343" s="19" t="n">
        <v>36526</v>
      </c>
      <c r="B343" s="61">
        <f>VLOOKUP(Table134[[#This Row],[Date]],database!A:I,8,)</f>
        <v/>
      </c>
      <c r="C343" s="74">
        <f>B343/B342-1</f>
        <v/>
      </c>
      <c r="D343" s="74">
        <f>(Table134[[#This Row],[Index]]-B331)/B331</f>
        <v/>
      </c>
    </row>
    <row r="344">
      <c r="A344" s="19" t="n">
        <v>36557</v>
      </c>
      <c r="B344" s="61">
        <f>VLOOKUP(Table134[[#This Row],[Date]],database!A:I,8,)</f>
        <v/>
      </c>
      <c r="C344" s="74">
        <f>B344/B343-1</f>
        <v/>
      </c>
      <c r="D344" s="74">
        <f>(Table134[[#This Row],[Index]]-B332)/B332</f>
        <v/>
      </c>
    </row>
    <row r="345">
      <c r="A345" s="19" t="n">
        <v>36586</v>
      </c>
      <c r="B345" s="61">
        <f>VLOOKUP(Table134[[#This Row],[Date]],database!A:I,8,)</f>
        <v/>
      </c>
      <c r="C345" s="74">
        <f>B345/B344-1</f>
        <v/>
      </c>
      <c r="D345" s="74">
        <f>(Table134[[#This Row],[Index]]-B333)/B333</f>
        <v/>
      </c>
    </row>
    <row r="346">
      <c r="A346" s="19" t="n">
        <v>36617</v>
      </c>
      <c r="B346" s="61">
        <f>VLOOKUP(Table134[[#This Row],[Date]],database!A:I,8,)</f>
        <v/>
      </c>
      <c r="C346" s="74">
        <f>B346/B345-1</f>
        <v/>
      </c>
      <c r="D346" s="74">
        <f>(Table134[[#This Row],[Index]]-B334)/B334</f>
        <v/>
      </c>
    </row>
    <row r="347">
      <c r="A347" s="19" t="n">
        <v>36647</v>
      </c>
      <c r="B347" s="61">
        <f>VLOOKUP(Table134[[#This Row],[Date]],database!A:I,8,)</f>
        <v/>
      </c>
      <c r="C347" s="74">
        <f>B347/B346-1</f>
        <v/>
      </c>
      <c r="D347" s="74">
        <f>(Table134[[#This Row],[Index]]-B335)/B335</f>
        <v/>
      </c>
    </row>
    <row r="348">
      <c r="A348" s="19" t="n">
        <v>36678</v>
      </c>
      <c r="B348" s="61">
        <f>VLOOKUP(Table134[[#This Row],[Date]],database!A:I,8,)</f>
        <v/>
      </c>
      <c r="C348" s="74">
        <f>B348/B347-1</f>
        <v/>
      </c>
      <c r="D348" s="74">
        <f>(Table134[[#This Row],[Index]]-B336)/B336</f>
        <v/>
      </c>
    </row>
    <row r="349">
      <c r="A349" s="19" t="n">
        <v>36708</v>
      </c>
      <c r="B349" s="61">
        <f>VLOOKUP(Table134[[#This Row],[Date]],database!A:I,8,)</f>
        <v/>
      </c>
      <c r="C349" s="74">
        <f>B349/B348-1</f>
        <v/>
      </c>
      <c r="D349" s="74">
        <f>(Table134[[#This Row],[Index]]-B337)/B337</f>
        <v/>
      </c>
    </row>
    <row r="350">
      <c r="A350" s="19" t="n">
        <v>36739</v>
      </c>
      <c r="B350" s="61">
        <f>VLOOKUP(Table134[[#This Row],[Date]],database!A:I,8,)</f>
        <v/>
      </c>
      <c r="C350" s="74">
        <f>B350/B349-1</f>
        <v/>
      </c>
      <c r="D350" s="74">
        <f>(Table134[[#This Row],[Index]]-B338)/B338</f>
        <v/>
      </c>
    </row>
    <row r="351">
      <c r="A351" s="19" t="n">
        <v>36770</v>
      </c>
      <c r="B351" s="61">
        <f>VLOOKUP(Table134[[#This Row],[Date]],database!A:I,8,)</f>
        <v/>
      </c>
      <c r="C351" s="74">
        <f>B351/B350-1</f>
        <v/>
      </c>
      <c r="D351" s="74">
        <f>(Table134[[#This Row],[Index]]-B339)/B339</f>
        <v/>
      </c>
    </row>
    <row r="352">
      <c r="A352" s="19" t="n">
        <v>36800</v>
      </c>
      <c r="B352" s="61">
        <f>VLOOKUP(Table134[[#This Row],[Date]],database!A:I,8,)</f>
        <v/>
      </c>
      <c r="C352" s="74">
        <f>B352/B351-1</f>
        <v/>
      </c>
      <c r="D352" s="74">
        <f>(Table134[[#This Row],[Index]]-B340)/B340</f>
        <v/>
      </c>
    </row>
    <row r="353">
      <c r="A353" s="19" t="n">
        <v>36831</v>
      </c>
      <c r="B353" s="61">
        <f>VLOOKUP(Table134[[#This Row],[Date]],database!A:I,8,)</f>
        <v/>
      </c>
      <c r="C353" s="74">
        <f>B353/B352-1</f>
        <v/>
      </c>
      <c r="D353" s="74">
        <f>(Table134[[#This Row],[Index]]-B341)/B341</f>
        <v/>
      </c>
    </row>
    <row r="354">
      <c r="A354" s="19" t="n">
        <v>36861</v>
      </c>
      <c r="B354" s="61">
        <f>VLOOKUP(Table134[[#This Row],[Date]],database!A:I,8,)</f>
        <v/>
      </c>
      <c r="C354" s="74">
        <f>B354/B353-1</f>
        <v/>
      </c>
      <c r="D354" s="74">
        <f>(Table134[[#This Row],[Index]]-B342)/B342</f>
        <v/>
      </c>
    </row>
    <row r="355">
      <c r="A355" s="19" t="n">
        <v>36892</v>
      </c>
      <c r="B355" s="61">
        <f>VLOOKUP(Table134[[#This Row],[Date]],database!A:I,8,)</f>
        <v/>
      </c>
      <c r="C355" s="74">
        <f>B355/B354-1</f>
        <v/>
      </c>
      <c r="D355" s="74">
        <f>(Table134[[#This Row],[Index]]-B343)/B343</f>
        <v/>
      </c>
    </row>
    <row r="356">
      <c r="A356" s="19" t="n">
        <v>36923</v>
      </c>
      <c r="B356" s="61">
        <f>VLOOKUP(Table134[[#This Row],[Date]],database!A:I,8,)</f>
        <v/>
      </c>
      <c r="C356" s="74">
        <f>B356/B355-1</f>
        <v/>
      </c>
      <c r="D356" s="74">
        <f>(Table134[[#This Row],[Index]]-B344)/B344</f>
        <v/>
      </c>
    </row>
    <row r="357">
      <c r="A357" s="19" t="n">
        <v>36951</v>
      </c>
      <c r="B357" s="61">
        <f>VLOOKUP(Table134[[#This Row],[Date]],database!A:I,8,)</f>
        <v/>
      </c>
      <c r="C357" s="74">
        <f>B357/B356-1</f>
        <v/>
      </c>
      <c r="D357" s="74">
        <f>(Table134[[#This Row],[Index]]-B345)/B345</f>
        <v/>
      </c>
    </row>
    <row r="358">
      <c r="A358" s="19" t="n">
        <v>36982</v>
      </c>
      <c r="B358" s="61">
        <f>VLOOKUP(Table134[[#This Row],[Date]],database!A:I,8,)</f>
        <v/>
      </c>
      <c r="C358" s="74">
        <f>B358/B357-1</f>
        <v/>
      </c>
      <c r="D358" s="74">
        <f>(Table134[[#This Row],[Index]]-B346)/B346</f>
        <v/>
      </c>
    </row>
    <row r="359">
      <c r="A359" s="19" t="n">
        <v>37012</v>
      </c>
      <c r="B359" s="61">
        <f>VLOOKUP(Table134[[#This Row],[Date]],database!A:I,8,)</f>
        <v/>
      </c>
      <c r="C359" s="74">
        <f>B359/B358-1</f>
        <v/>
      </c>
      <c r="D359" s="74">
        <f>(Table134[[#This Row],[Index]]-B347)/B347</f>
        <v/>
      </c>
    </row>
    <row r="360">
      <c r="A360" s="19" t="n">
        <v>37043</v>
      </c>
      <c r="B360" s="61">
        <f>VLOOKUP(Table134[[#This Row],[Date]],database!A:I,8,)</f>
        <v/>
      </c>
      <c r="C360" s="74">
        <f>B360/B359-1</f>
        <v/>
      </c>
      <c r="D360" s="74">
        <f>(Table134[[#This Row],[Index]]-B348)/B348</f>
        <v/>
      </c>
    </row>
    <row r="361">
      <c r="A361" s="19" t="n">
        <v>37073</v>
      </c>
      <c r="B361" s="61">
        <f>VLOOKUP(Table134[[#This Row],[Date]],database!A:I,8,)</f>
        <v/>
      </c>
      <c r="C361" s="74">
        <f>B361/B360-1</f>
        <v/>
      </c>
      <c r="D361" s="74">
        <f>(Table134[[#This Row],[Index]]-B349)/B349</f>
        <v/>
      </c>
    </row>
    <row r="362">
      <c r="A362" s="19" t="n">
        <v>37104</v>
      </c>
      <c r="B362" s="61">
        <f>VLOOKUP(Table134[[#This Row],[Date]],database!A:I,8,)</f>
        <v/>
      </c>
      <c r="C362" s="74">
        <f>B362/B361-1</f>
        <v/>
      </c>
      <c r="D362" s="74">
        <f>(Table134[[#This Row],[Index]]-B350)/B350</f>
        <v/>
      </c>
    </row>
    <row r="363">
      <c r="A363" s="19" t="n">
        <v>37135</v>
      </c>
      <c r="B363" s="61">
        <f>VLOOKUP(Table134[[#This Row],[Date]],database!A:I,8,)</f>
        <v/>
      </c>
      <c r="C363" s="74">
        <f>B363/B362-1</f>
        <v/>
      </c>
      <c r="D363" s="74">
        <f>(Table134[[#This Row],[Index]]-B351)/B351</f>
        <v/>
      </c>
    </row>
    <row r="364">
      <c r="A364" s="19" t="n">
        <v>37165</v>
      </c>
      <c r="B364" s="61">
        <f>VLOOKUP(Table134[[#This Row],[Date]],database!A:I,8,)</f>
        <v/>
      </c>
      <c r="C364" s="74">
        <f>B364/B363-1</f>
        <v/>
      </c>
      <c r="D364" s="74">
        <f>(Table134[[#This Row],[Index]]-B352)/B352</f>
        <v/>
      </c>
    </row>
    <row r="365">
      <c r="A365" s="19" t="n">
        <v>37196</v>
      </c>
      <c r="B365" s="61">
        <f>VLOOKUP(Table134[[#This Row],[Date]],database!A:I,8,)</f>
        <v/>
      </c>
      <c r="C365" s="74">
        <f>B365/B364-1</f>
        <v/>
      </c>
      <c r="D365" s="74">
        <f>(Table134[[#This Row],[Index]]-B353)/B353</f>
        <v/>
      </c>
    </row>
    <row r="366">
      <c r="A366" s="19" t="n">
        <v>37226</v>
      </c>
      <c r="B366" s="61">
        <f>VLOOKUP(Table134[[#This Row],[Date]],database!A:I,8,)</f>
        <v/>
      </c>
      <c r="C366" s="74">
        <f>B366/B365-1</f>
        <v/>
      </c>
      <c r="D366" s="74">
        <f>(Table134[[#This Row],[Index]]-B354)/B354</f>
        <v/>
      </c>
    </row>
    <row r="367">
      <c r="A367" s="19" t="n">
        <v>37257</v>
      </c>
      <c r="B367" s="61">
        <f>VLOOKUP(Table134[[#This Row],[Date]],database!A:I,8,)</f>
        <v/>
      </c>
      <c r="C367" s="74">
        <f>B367/B366-1</f>
        <v/>
      </c>
      <c r="D367" s="74">
        <f>(Table134[[#This Row],[Index]]-B355)/B355</f>
        <v/>
      </c>
    </row>
    <row r="368">
      <c r="A368" s="19" t="n">
        <v>37288</v>
      </c>
      <c r="B368" s="61">
        <f>VLOOKUP(Table134[[#This Row],[Date]],database!A:I,8,)</f>
        <v/>
      </c>
      <c r="C368" s="74">
        <f>B368/B367-1</f>
        <v/>
      </c>
      <c r="D368" s="74">
        <f>(Table134[[#This Row],[Index]]-B356)/B356</f>
        <v/>
      </c>
    </row>
    <row r="369">
      <c r="A369" s="19" t="n">
        <v>37316</v>
      </c>
      <c r="B369" s="61">
        <f>VLOOKUP(Table134[[#This Row],[Date]],database!A:I,8,)</f>
        <v/>
      </c>
      <c r="C369" s="74">
        <f>B369/B368-1</f>
        <v/>
      </c>
      <c r="D369" s="74">
        <f>(Table134[[#This Row],[Index]]-B357)/B357</f>
        <v/>
      </c>
    </row>
    <row r="370">
      <c r="A370" s="19" t="n">
        <v>37347</v>
      </c>
      <c r="B370" s="61">
        <f>VLOOKUP(Table134[[#This Row],[Date]],database!A:I,8,)</f>
        <v/>
      </c>
      <c r="C370" s="74">
        <f>B370/B369-1</f>
        <v/>
      </c>
      <c r="D370" s="74">
        <f>(Table134[[#This Row],[Index]]-B358)/B358</f>
        <v/>
      </c>
    </row>
    <row r="371">
      <c r="A371" s="19" t="n">
        <v>37377</v>
      </c>
      <c r="B371" s="61">
        <f>VLOOKUP(Table134[[#This Row],[Date]],database!A:I,8,)</f>
        <v/>
      </c>
      <c r="C371" s="74">
        <f>B371/B370-1</f>
        <v/>
      </c>
      <c r="D371" s="74">
        <f>(Table134[[#This Row],[Index]]-B359)/B359</f>
        <v/>
      </c>
    </row>
    <row r="372">
      <c r="A372" s="19" t="n">
        <v>37408</v>
      </c>
      <c r="B372" s="61">
        <f>VLOOKUP(Table134[[#This Row],[Date]],database!A:I,8,)</f>
        <v/>
      </c>
      <c r="C372" s="74">
        <f>B372/B371-1</f>
        <v/>
      </c>
      <c r="D372" s="74">
        <f>(Table134[[#This Row],[Index]]-B360)/B360</f>
        <v/>
      </c>
    </row>
    <row r="373">
      <c r="A373" s="19" t="n">
        <v>37438</v>
      </c>
      <c r="B373" s="61">
        <f>VLOOKUP(Table134[[#This Row],[Date]],database!A:I,8,)</f>
        <v/>
      </c>
      <c r="C373" s="74">
        <f>B373/B372-1</f>
        <v/>
      </c>
      <c r="D373" s="74">
        <f>(Table134[[#This Row],[Index]]-B361)/B361</f>
        <v/>
      </c>
    </row>
    <row r="374">
      <c r="A374" s="19" t="n">
        <v>37469</v>
      </c>
      <c r="B374" s="61">
        <f>VLOOKUP(Table134[[#This Row],[Date]],database!A:I,8,)</f>
        <v/>
      </c>
      <c r="C374" s="74">
        <f>B374/B373-1</f>
        <v/>
      </c>
      <c r="D374" s="74">
        <f>(Table134[[#This Row],[Index]]-B362)/B362</f>
        <v/>
      </c>
    </row>
    <row r="375">
      <c r="A375" s="19" t="n">
        <v>37500</v>
      </c>
      <c r="B375" s="61">
        <f>VLOOKUP(Table134[[#This Row],[Date]],database!A:I,8,)</f>
        <v/>
      </c>
      <c r="C375" s="74">
        <f>B375/B374-1</f>
        <v/>
      </c>
      <c r="D375" s="74">
        <f>(Table134[[#This Row],[Index]]-B363)/B363</f>
        <v/>
      </c>
    </row>
    <row r="376">
      <c r="A376" s="19" t="n">
        <v>37530</v>
      </c>
      <c r="B376" s="61">
        <f>VLOOKUP(Table134[[#This Row],[Date]],database!A:I,8,)</f>
        <v/>
      </c>
      <c r="C376" s="74">
        <f>B376/B375-1</f>
        <v/>
      </c>
      <c r="D376" s="74">
        <f>(Table134[[#This Row],[Index]]-B364)/B364</f>
        <v/>
      </c>
    </row>
    <row r="377">
      <c r="A377" s="19" t="n">
        <v>37561</v>
      </c>
      <c r="B377" s="61">
        <f>VLOOKUP(Table134[[#This Row],[Date]],database!A:I,8,)</f>
        <v/>
      </c>
      <c r="C377" s="74">
        <f>B377/B376-1</f>
        <v/>
      </c>
      <c r="D377" s="74">
        <f>(Table134[[#This Row],[Index]]-B365)/B365</f>
        <v/>
      </c>
    </row>
    <row r="378">
      <c r="A378" s="19" t="n">
        <v>37591</v>
      </c>
      <c r="B378" s="61">
        <f>VLOOKUP(Table134[[#This Row],[Date]],database!A:I,8,)</f>
        <v/>
      </c>
      <c r="C378" s="74">
        <f>B378/B377-1</f>
        <v/>
      </c>
      <c r="D378" s="74">
        <f>(Table134[[#This Row],[Index]]-B366)/B366</f>
        <v/>
      </c>
    </row>
    <row r="379">
      <c r="A379" s="19" t="n">
        <v>37622</v>
      </c>
      <c r="B379" s="61">
        <f>VLOOKUP(Table134[[#This Row],[Date]],database!A:I,8,)</f>
        <v/>
      </c>
      <c r="C379" s="74">
        <f>B379/B378-1</f>
        <v/>
      </c>
      <c r="D379" s="74">
        <f>(Table134[[#This Row],[Index]]-B367)/B367</f>
        <v/>
      </c>
    </row>
    <row r="380">
      <c r="A380" s="19" t="n">
        <v>37653</v>
      </c>
      <c r="B380" s="61">
        <f>VLOOKUP(Table134[[#This Row],[Date]],database!A:I,8,)</f>
        <v/>
      </c>
      <c r="C380" s="74">
        <f>B380/B379-1</f>
        <v/>
      </c>
      <c r="D380" s="74">
        <f>(Table134[[#This Row],[Index]]-B368)/B368</f>
        <v/>
      </c>
    </row>
    <row r="381">
      <c r="A381" s="19" t="n">
        <v>37681</v>
      </c>
      <c r="B381" s="61">
        <f>VLOOKUP(Table134[[#This Row],[Date]],database!A:I,8,)</f>
        <v/>
      </c>
      <c r="C381" s="74">
        <f>B381/B380-1</f>
        <v/>
      </c>
      <c r="D381" s="74">
        <f>(Table134[[#This Row],[Index]]-B369)/B369</f>
        <v/>
      </c>
    </row>
    <row r="382">
      <c r="A382" s="19" t="n">
        <v>37712</v>
      </c>
      <c r="B382" s="61">
        <f>VLOOKUP(Table134[[#This Row],[Date]],database!A:I,8,)</f>
        <v/>
      </c>
      <c r="C382" s="74">
        <f>B382/B381-1</f>
        <v/>
      </c>
      <c r="D382" s="74">
        <f>(Table134[[#This Row],[Index]]-B370)/B370</f>
        <v/>
      </c>
    </row>
    <row r="383">
      <c r="A383" s="19" t="n">
        <v>37742</v>
      </c>
      <c r="B383" s="61">
        <f>VLOOKUP(Table134[[#This Row],[Date]],database!A:I,8,)</f>
        <v/>
      </c>
      <c r="C383" s="74">
        <f>B383/B382-1</f>
        <v/>
      </c>
      <c r="D383" s="74">
        <f>(Table134[[#This Row],[Index]]-B371)/B371</f>
        <v/>
      </c>
    </row>
    <row r="384">
      <c r="A384" s="19" t="n">
        <v>37773</v>
      </c>
      <c r="B384" s="61">
        <f>VLOOKUP(Table134[[#This Row],[Date]],database!A:I,8,)</f>
        <v/>
      </c>
      <c r="C384" s="74">
        <f>B384/B383-1</f>
        <v/>
      </c>
      <c r="D384" s="74">
        <f>(Table134[[#This Row],[Index]]-B372)/B372</f>
        <v/>
      </c>
    </row>
    <row r="385">
      <c r="A385" s="19" t="n">
        <v>37803</v>
      </c>
      <c r="B385" s="61">
        <f>VLOOKUP(Table134[[#This Row],[Date]],database!A:I,8,)</f>
        <v/>
      </c>
      <c r="C385" s="74">
        <f>B385/B384-1</f>
        <v/>
      </c>
      <c r="D385" s="74">
        <f>(Table134[[#This Row],[Index]]-B373)/B373</f>
        <v/>
      </c>
    </row>
    <row r="386">
      <c r="A386" s="19" t="n">
        <v>37834</v>
      </c>
      <c r="B386" s="61">
        <f>VLOOKUP(Table134[[#This Row],[Date]],database!A:I,8,)</f>
        <v/>
      </c>
      <c r="C386" s="74">
        <f>B386/B385-1</f>
        <v/>
      </c>
      <c r="D386" s="74">
        <f>(Table134[[#This Row],[Index]]-B374)/B374</f>
        <v/>
      </c>
    </row>
    <row r="387">
      <c r="A387" s="19" t="n">
        <v>37865</v>
      </c>
      <c r="B387" s="61">
        <f>VLOOKUP(Table134[[#This Row],[Date]],database!A:I,8,)</f>
        <v/>
      </c>
      <c r="C387" s="74">
        <f>B387/B386-1</f>
        <v/>
      </c>
      <c r="D387" s="74">
        <f>(Table134[[#This Row],[Index]]-B375)/B375</f>
        <v/>
      </c>
    </row>
    <row r="388">
      <c r="A388" s="19" t="n">
        <v>37895</v>
      </c>
      <c r="B388" s="61">
        <f>VLOOKUP(Table134[[#This Row],[Date]],database!A:I,8,)</f>
        <v/>
      </c>
      <c r="C388" s="74">
        <f>B388/B387-1</f>
        <v/>
      </c>
      <c r="D388" s="74">
        <f>(Table134[[#This Row],[Index]]-B376)/B376</f>
        <v/>
      </c>
    </row>
    <row r="389">
      <c r="A389" s="19" t="n">
        <v>37926</v>
      </c>
      <c r="B389" s="61">
        <f>VLOOKUP(Table134[[#This Row],[Date]],database!A:I,8,)</f>
        <v/>
      </c>
      <c r="C389" s="74">
        <f>B389/B388-1</f>
        <v/>
      </c>
      <c r="D389" s="74">
        <f>(Table134[[#This Row],[Index]]-B377)/B377</f>
        <v/>
      </c>
    </row>
    <row r="390">
      <c r="A390" s="19" t="n">
        <v>37956</v>
      </c>
      <c r="B390" s="61">
        <f>VLOOKUP(Table134[[#This Row],[Date]],database!A:I,8,)</f>
        <v/>
      </c>
      <c r="C390" s="74">
        <f>B390/B389-1</f>
        <v/>
      </c>
      <c r="D390" s="74">
        <f>(Table134[[#This Row],[Index]]-B378)/B378</f>
        <v/>
      </c>
    </row>
    <row r="391">
      <c r="A391" s="19" t="n">
        <v>37987</v>
      </c>
      <c r="B391" s="61">
        <f>VLOOKUP(Table134[[#This Row],[Date]],database!A:I,8,)</f>
        <v/>
      </c>
      <c r="C391" s="74">
        <f>B391/B390-1</f>
        <v/>
      </c>
      <c r="D391" s="74">
        <f>(Table134[[#This Row],[Index]]-B379)/B379</f>
        <v/>
      </c>
    </row>
    <row r="392">
      <c r="A392" s="19" t="n">
        <v>38018</v>
      </c>
      <c r="B392" s="61">
        <f>VLOOKUP(Table134[[#This Row],[Date]],database!A:I,8,)</f>
        <v/>
      </c>
      <c r="C392" s="74">
        <f>B392/B391-1</f>
        <v/>
      </c>
      <c r="D392" s="74">
        <f>(Table134[[#This Row],[Index]]-B380)/B380</f>
        <v/>
      </c>
    </row>
    <row r="393">
      <c r="A393" s="19" t="n">
        <v>38047</v>
      </c>
      <c r="B393" s="61">
        <f>VLOOKUP(Table134[[#This Row],[Date]],database!A:I,8,)</f>
        <v/>
      </c>
      <c r="C393" s="74">
        <f>B393/B392-1</f>
        <v/>
      </c>
      <c r="D393" s="74">
        <f>(Table134[[#This Row],[Index]]-B381)/B381</f>
        <v/>
      </c>
    </row>
    <row r="394">
      <c r="A394" s="19" t="n">
        <v>38078</v>
      </c>
      <c r="B394" s="61">
        <f>VLOOKUP(Table134[[#This Row],[Date]],database!A:I,8,)</f>
        <v/>
      </c>
      <c r="C394" s="74">
        <f>B394/B393-1</f>
        <v/>
      </c>
      <c r="D394" s="74">
        <f>(Table134[[#This Row],[Index]]-B382)/B382</f>
        <v/>
      </c>
    </row>
    <row r="395">
      <c r="A395" s="19" t="n">
        <v>38108</v>
      </c>
      <c r="B395" s="61">
        <f>VLOOKUP(Table134[[#This Row],[Date]],database!A:I,8,)</f>
        <v/>
      </c>
      <c r="C395" s="74">
        <f>B395/B394-1</f>
        <v/>
      </c>
      <c r="D395" s="74">
        <f>(Table134[[#This Row],[Index]]-B383)/B383</f>
        <v/>
      </c>
    </row>
    <row r="396">
      <c r="A396" s="19" t="n">
        <v>38139</v>
      </c>
      <c r="B396" s="61">
        <f>VLOOKUP(Table134[[#This Row],[Date]],database!A:I,8,)</f>
        <v/>
      </c>
      <c r="C396" s="74">
        <f>B396/B395-1</f>
        <v/>
      </c>
      <c r="D396" s="74">
        <f>(Table134[[#This Row],[Index]]-B384)/B384</f>
        <v/>
      </c>
    </row>
    <row r="397">
      <c r="A397" s="19" t="n">
        <v>38169</v>
      </c>
      <c r="B397" s="61">
        <f>VLOOKUP(Table134[[#This Row],[Date]],database!A:I,8,)</f>
        <v/>
      </c>
      <c r="C397" s="74">
        <f>B397/B396-1</f>
        <v/>
      </c>
      <c r="D397" s="74">
        <f>(Table134[[#This Row],[Index]]-B385)/B385</f>
        <v/>
      </c>
    </row>
    <row r="398">
      <c r="A398" s="19" t="n">
        <v>38200</v>
      </c>
      <c r="B398" s="61">
        <f>VLOOKUP(Table134[[#This Row],[Date]],database!A:I,8,)</f>
        <v/>
      </c>
      <c r="C398" s="74">
        <f>B398/B397-1</f>
        <v/>
      </c>
      <c r="D398" s="74">
        <f>(Table134[[#This Row],[Index]]-B386)/B386</f>
        <v/>
      </c>
    </row>
    <row r="399">
      <c r="A399" s="19" t="n">
        <v>38231</v>
      </c>
      <c r="B399" s="61">
        <f>VLOOKUP(Table134[[#This Row],[Date]],database!A:I,8,)</f>
        <v/>
      </c>
      <c r="C399" s="74">
        <f>B399/B398-1</f>
        <v/>
      </c>
      <c r="D399" s="74">
        <f>(Table134[[#This Row],[Index]]-B387)/B387</f>
        <v/>
      </c>
    </row>
    <row r="400">
      <c r="A400" s="19" t="n">
        <v>38261</v>
      </c>
      <c r="B400" s="61">
        <f>VLOOKUP(Table134[[#This Row],[Date]],database!A:I,8,)</f>
        <v/>
      </c>
      <c r="C400" s="74">
        <f>B400/B399-1</f>
        <v/>
      </c>
      <c r="D400" s="74">
        <f>(Table134[[#This Row],[Index]]-B388)/B388</f>
        <v/>
      </c>
    </row>
    <row r="401">
      <c r="A401" s="19" t="n">
        <v>38292</v>
      </c>
      <c r="B401" s="61">
        <f>VLOOKUP(Table134[[#This Row],[Date]],database!A:I,8,)</f>
        <v/>
      </c>
      <c r="C401" s="74">
        <f>B401/B400-1</f>
        <v/>
      </c>
      <c r="D401" s="74">
        <f>(Table134[[#This Row],[Index]]-B389)/B389</f>
        <v/>
      </c>
    </row>
    <row r="402">
      <c r="A402" s="19" t="n">
        <v>38322</v>
      </c>
      <c r="B402" s="61">
        <f>VLOOKUP(Table134[[#This Row],[Date]],database!A:I,8,)</f>
        <v/>
      </c>
      <c r="C402" s="74">
        <f>B402/B401-1</f>
        <v/>
      </c>
      <c r="D402" s="74">
        <f>(Table134[[#This Row],[Index]]-B390)/B390</f>
        <v/>
      </c>
    </row>
    <row r="403">
      <c r="A403" s="19" t="n">
        <v>38353</v>
      </c>
      <c r="B403" s="61">
        <f>VLOOKUP(Table134[[#This Row],[Date]],database!A:I,8,)</f>
        <v/>
      </c>
      <c r="C403" s="74">
        <f>B403/B402-1</f>
        <v/>
      </c>
      <c r="D403" s="74">
        <f>(Table134[[#This Row],[Index]]-B391)/B391</f>
        <v/>
      </c>
    </row>
    <row r="404">
      <c r="A404" s="19" t="n">
        <v>38384</v>
      </c>
      <c r="B404" s="61">
        <f>VLOOKUP(Table134[[#This Row],[Date]],database!A:I,8,)</f>
        <v/>
      </c>
      <c r="C404" s="74">
        <f>B404/B403-1</f>
        <v/>
      </c>
      <c r="D404" s="74">
        <f>(Table134[[#This Row],[Index]]-B392)/B392</f>
        <v/>
      </c>
    </row>
    <row r="405">
      <c r="A405" s="19" t="n">
        <v>38412</v>
      </c>
      <c r="B405" s="61">
        <f>VLOOKUP(Table134[[#This Row],[Date]],database!A:I,8,)</f>
        <v/>
      </c>
      <c r="C405" s="74">
        <f>B405/B404-1</f>
        <v/>
      </c>
      <c r="D405" s="74">
        <f>(Table134[[#This Row],[Index]]-B393)/B393</f>
        <v/>
      </c>
    </row>
    <row r="406">
      <c r="A406" s="19" t="n">
        <v>38443</v>
      </c>
      <c r="B406" s="61">
        <f>VLOOKUP(Table134[[#This Row],[Date]],database!A:I,8,)</f>
        <v/>
      </c>
      <c r="C406" s="74">
        <f>B406/B405-1</f>
        <v/>
      </c>
      <c r="D406" s="74">
        <f>(Table134[[#This Row],[Index]]-B394)/B394</f>
        <v/>
      </c>
    </row>
    <row r="407">
      <c r="A407" s="19" t="n">
        <v>38473</v>
      </c>
      <c r="B407" s="61">
        <f>VLOOKUP(Table134[[#This Row],[Date]],database!A:I,8,)</f>
        <v/>
      </c>
      <c r="C407" s="74">
        <f>B407/B406-1</f>
        <v/>
      </c>
      <c r="D407" s="74">
        <f>(Table134[[#This Row],[Index]]-B395)/B395</f>
        <v/>
      </c>
    </row>
    <row r="408">
      <c r="A408" s="19" t="n">
        <v>38504</v>
      </c>
      <c r="B408" s="61">
        <f>VLOOKUP(Table134[[#This Row],[Date]],database!A:I,8,)</f>
        <v/>
      </c>
      <c r="C408" s="74">
        <f>B408/B407-1</f>
        <v/>
      </c>
      <c r="D408" s="74">
        <f>(Table134[[#This Row],[Index]]-B396)/B396</f>
        <v/>
      </c>
    </row>
    <row r="409">
      <c r="A409" s="19" t="n">
        <v>38534</v>
      </c>
      <c r="B409" s="61">
        <f>VLOOKUP(Table134[[#This Row],[Date]],database!A:I,8,)</f>
        <v/>
      </c>
      <c r="C409" s="74">
        <f>B409/B408-1</f>
        <v/>
      </c>
      <c r="D409" s="74">
        <f>(Table134[[#This Row],[Index]]-B397)/B397</f>
        <v/>
      </c>
    </row>
    <row r="410">
      <c r="A410" s="19" t="n">
        <v>38565</v>
      </c>
      <c r="B410" s="61">
        <f>VLOOKUP(Table134[[#This Row],[Date]],database!A:I,8,)</f>
        <v/>
      </c>
      <c r="C410" s="74">
        <f>B410/B409-1</f>
        <v/>
      </c>
      <c r="D410" s="74">
        <f>(Table134[[#This Row],[Index]]-B398)/B398</f>
        <v/>
      </c>
    </row>
    <row r="411">
      <c r="A411" s="19" t="n">
        <v>38596</v>
      </c>
      <c r="B411" s="61">
        <f>VLOOKUP(Table134[[#This Row],[Date]],database!A:I,8,)</f>
        <v/>
      </c>
      <c r="C411" s="74">
        <f>B411/B410-1</f>
        <v/>
      </c>
      <c r="D411" s="74">
        <f>(Table134[[#This Row],[Index]]-B399)/B399</f>
        <v/>
      </c>
    </row>
    <row r="412">
      <c r="A412" s="19" t="n">
        <v>38626</v>
      </c>
      <c r="B412" s="61">
        <f>VLOOKUP(Table134[[#This Row],[Date]],database!A:I,8,)</f>
        <v/>
      </c>
      <c r="C412" s="74">
        <f>B412/B411-1</f>
        <v/>
      </c>
      <c r="D412" s="74">
        <f>(Table134[[#This Row],[Index]]-B400)/B400</f>
        <v/>
      </c>
    </row>
    <row r="413">
      <c r="A413" s="19" t="n">
        <v>38657</v>
      </c>
      <c r="B413" s="61">
        <f>VLOOKUP(Table134[[#This Row],[Date]],database!A:I,8,)</f>
        <v/>
      </c>
      <c r="C413" s="74">
        <f>B413/B412-1</f>
        <v/>
      </c>
      <c r="D413" s="74">
        <f>(Table134[[#This Row],[Index]]-B401)/B401</f>
        <v/>
      </c>
    </row>
    <row r="414">
      <c r="A414" s="19" t="n">
        <v>38687</v>
      </c>
      <c r="B414" s="61">
        <f>VLOOKUP(Table134[[#This Row],[Date]],database!A:I,8,)</f>
        <v/>
      </c>
      <c r="C414" s="74">
        <f>B414/B413-1</f>
        <v/>
      </c>
      <c r="D414" s="74">
        <f>(Table134[[#This Row],[Index]]-B402)/B402</f>
        <v/>
      </c>
    </row>
    <row r="415">
      <c r="A415" s="19" t="n">
        <v>38718</v>
      </c>
      <c r="B415" s="61">
        <f>VLOOKUP(Table134[[#This Row],[Date]],database!A:I,8,)</f>
        <v/>
      </c>
      <c r="C415" s="74">
        <f>B415/B414-1</f>
        <v/>
      </c>
      <c r="D415" s="74">
        <f>(Table134[[#This Row],[Index]]-B403)/B403</f>
        <v/>
      </c>
    </row>
    <row r="416">
      <c r="A416" s="19" t="n">
        <v>38749</v>
      </c>
      <c r="B416" s="61">
        <f>VLOOKUP(Table134[[#This Row],[Date]],database!A:I,8,)</f>
        <v/>
      </c>
      <c r="C416" s="74">
        <f>B416/B415-1</f>
        <v/>
      </c>
      <c r="D416" s="74">
        <f>(Table134[[#This Row],[Index]]-B404)/B404</f>
        <v/>
      </c>
    </row>
    <row r="417">
      <c r="A417" s="19" t="n">
        <v>38777</v>
      </c>
      <c r="B417" s="61">
        <f>VLOOKUP(Table134[[#This Row],[Date]],database!A:I,8,)</f>
        <v/>
      </c>
      <c r="C417" s="74">
        <f>B417/B416-1</f>
        <v/>
      </c>
      <c r="D417" s="74">
        <f>(Table134[[#This Row],[Index]]-B405)/B405</f>
        <v/>
      </c>
    </row>
    <row r="418">
      <c r="A418" s="19" t="n">
        <v>38808</v>
      </c>
      <c r="B418" s="61">
        <f>VLOOKUP(Table134[[#This Row],[Date]],database!A:I,8,)</f>
        <v/>
      </c>
      <c r="C418" s="74">
        <f>B418/B417-1</f>
        <v/>
      </c>
      <c r="D418" s="74">
        <f>(Table134[[#This Row],[Index]]-B406)/B406</f>
        <v/>
      </c>
    </row>
    <row r="419">
      <c r="A419" s="19" t="n">
        <v>38838</v>
      </c>
      <c r="B419" s="61">
        <f>VLOOKUP(Table134[[#This Row],[Date]],database!A:I,8,)</f>
        <v/>
      </c>
      <c r="C419" s="74">
        <f>B419/B418-1</f>
        <v/>
      </c>
      <c r="D419" s="74">
        <f>(Table134[[#This Row],[Index]]-B407)/B407</f>
        <v/>
      </c>
    </row>
    <row r="420">
      <c r="A420" s="19" t="n">
        <v>38869</v>
      </c>
      <c r="B420" s="61">
        <f>VLOOKUP(Table134[[#This Row],[Date]],database!A:I,8,)</f>
        <v/>
      </c>
      <c r="C420" s="74">
        <f>B420/B419-1</f>
        <v/>
      </c>
      <c r="D420" s="74">
        <f>(Table134[[#This Row],[Index]]-B408)/B408</f>
        <v/>
      </c>
    </row>
    <row r="421">
      <c r="A421" s="19" t="n">
        <v>38899</v>
      </c>
      <c r="B421" s="61">
        <f>VLOOKUP(Table134[[#This Row],[Date]],database!A:I,8,)</f>
        <v/>
      </c>
      <c r="C421" s="74">
        <f>B421/B420-1</f>
        <v/>
      </c>
      <c r="D421" s="74">
        <f>(Table134[[#This Row],[Index]]-B409)/B409</f>
        <v/>
      </c>
    </row>
    <row r="422">
      <c r="A422" s="19" t="n">
        <v>38930</v>
      </c>
      <c r="B422" s="61">
        <f>VLOOKUP(Table134[[#This Row],[Date]],database!A:I,8,)</f>
        <v/>
      </c>
      <c r="C422" s="74">
        <f>B422/B421-1</f>
        <v/>
      </c>
      <c r="D422" s="74">
        <f>(Table134[[#This Row],[Index]]-B410)/B410</f>
        <v/>
      </c>
    </row>
    <row r="423">
      <c r="A423" s="19" t="n">
        <v>38961</v>
      </c>
      <c r="B423" s="61">
        <f>VLOOKUP(Table134[[#This Row],[Date]],database!A:I,8,)</f>
        <v/>
      </c>
      <c r="C423" s="74">
        <f>B423/B422-1</f>
        <v/>
      </c>
      <c r="D423" s="74">
        <f>(Table134[[#This Row],[Index]]-B411)/B411</f>
        <v/>
      </c>
    </row>
    <row r="424">
      <c r="A424" s="19" t="n">
        <v>38991</v>
      </c>
      <c r="B424" s="61">
        <f>VLOOKUP(Table134[[#This Row],[Date]],database!A:I,8,)</f>
        <v/>
      </c>
      <c r="C424" s="74">
        <f>B424/B423-1</f>
        <v/>
      </c>
      <c r="D424" s="74">
        <f>(Table134[[#This Row],[Index]]-B412)/B412</f>
        <v/>
      </c>
    </row>
    <row r="425">
      <c r="A425" s="19" t="n">
        <v>39022</v>
      </c>
      <c r="B425" s="61">
        <f>VLOOKUP(Table134[[#This Row],[Date]],database!A:I,8,)</f>
        <v/>
      </c>
      <c r="C425" s="74">
        <f>B425/B424-1</f>
        <v/>
      </c>
      <c r="D425" s="74">
        <f>(Table134[[#This Row],[Index]]-B413)/B413</f>
        <v/>
      </c>
    </row>
    <row r="426">
      <c r="A426" s="19" t="n">
        <v>39052</v>
      </c>
      <c r="B426" s="61">
        <f>VLOOKUP(Table134[[#This Row],[Date]],database!A:I,8,)</f>
        <v/>
      </c>
      <c r="C426" s="74">
        <f>B426/B425-1</f>
        <v/>
      </c>
      <c r="D426" s="74">
        <f>(Table134[[#This Row],[Index]]-B414)/B414</f>
        <v/>
      </c>
    </row>
    <row r="427">
      <c r="A427" s="19" t="n">
        <v>39083</v>
      </c>
      <c r="B427" s="61">
        <f>VLOOKUP(Table134[[#This Row],[Date]],database!A:I,8,)</f>
        <v/>
      </c>
      <c r="C427" s="74">
        <f>B427/B426-1</f>
        <v/>
      </c>
      <c r="D427" s="74">
        <f>(Table134[[#This Row],[Index]]-B415)/B415</f>
        <v/>
      </c>
    </row>
    <row r="428">
      <c r="A428" s="19" t="n">
        <v>39114</v>
      </c>
      <c r="B428" s="61">
        <f>VLOOKUP(Table134[[#This Row],[Date]],database!A:I,8,)</f>
        <v/>
      </c>
      <c r="C428" s="74">
        <f>B428/B427-1</f>
        <v/>
      </c>
      <c r="D428" s="74">
        <f>(Table134[[#This Row],[Index]]-B416)/B416</f>
        <v/>
      </c>
    </row>
    <row r="429">
      <c r="A429" s="19" t="n">
        <v>39142</v>
      </c>
      <c r="B429" s="61">
        <f>VLOOKUP(Table134[[#This Row],[Date]],database!A:I,8,)</f>
        <v/>
      </c>
      <c r="C429" s="74">
        <f>B429/B428-1</f>
        <v/>
      </c>
      <c r="D429" s="74">
        <f>(Table134[[#This Row],[Index]]-B417)/B417</f>
        <v/>
      </c>
    </row>
    <row r="430">
      <c r="A430" s="19" t="n">
        <v>39173</v>
      </c>
      <c r="B430" s="61">
        <f>VLOOKUP(Table134[[#This Row],[Date]],database!A:I,8,)</f>
        <v/>
      </c>
      <c r="C430" s="74">
        <f>B430/B429-1</f>
        <v/>
      </c>
      <c r="D430" s="74">
        <f>(Table134[[#This Row],[Index]]-B418)/B418</f>
        <v/>
      </c>
    </row>
    <row r="431">
      <c r="A431" s="19" t="n">
        <v>39203</v>
      </c>
      <c r="B431" s="61">
        <f>VLOOKUP(Table134[[#This Row],[Date]],database!A:I,8,)</f>
        <v/>
      </c>
      <c r="C431" s="74">
        <f>B431/B430-1</f>
        <v/>
      </c>
      <c r="D431" s="74">
        <f>(Table134[[#This Row],[Index]]-B419)/B419</f>
        <v/>
      </c>
    </row>
    <row r="432">
      <c r="A432" s="19" t="n">
        <v>39234</v>
      </c>
      <c r="B432" s="61">
        <f>VLOOKUP(Table134[[#This Row],[Date]],database!A:I,8,)</f>
        <v/>
      </c>
      <c r="C432" s="74">
        <f>B432/B431-1</f>
        <v/>
      </c>
      <c r="D432" s="74">
        <f>(Table134[[#This Row],[Index]]-B420)/B420</f>
        <v/>
      </c>
    </row>
    <row r="433">
      <c r="A433" s="19" t="n">
        <v>39264</v>
      </c>
      <c r="B433" s="61">
        <f>VLOOKUP(Table134[[#This Row],[Date]],database!A:I,8,)</f>
        <v/>
      </c>
      <c r="C433" s="74">
        <f>B433/B432-1</f>
        <v/>
      </c>
      <c r="D433" s="74">
        <f>(Table134[[#This Row],[Index]]-B421)/B421</f>
        <v/>
      </c>
    </row>
    <row r="434">
      <c r="A434" s="19" t="n">
        <v>39295</v>
      </c>
      <c r="B434" s="61">
        <f>VLOOKUP(Table134[[#This Row],[Date]],database!A:I,8,)</f>
        <v/>
      </c>
      <c r="C434" s="74">
        <f>B434/B433-1</f>
        <v/>
      </c>
      <c r="D434" s="74">
        <f>(Table134[[#This Row],[Index]]-B422)/B422</f>
        <v/>
      </c>
    </row>
    <row r="435">
      <c r="A435" s="19" t="n">
        <v>39326</v>
      </c>
      <c r="B435" s="61">
        <f>VLOOKUP(Table134[[#This Row],[Date]],database!A:I,8,)</f>
        <v/>
      </c>
      <c r="C435" s="74">
        <f>B435/B434-1</f>
        <v/>
      </c>
      <c r="D435" s="74">
        <f>(Table134[[#This Row],[Index]]-B423)/B423</f>
        <v/>
      </c>
    </row>
    <row r="436">
      <c r="A436" s="19" t="n">
        <v>39356</v>
      </c>
      <c r="B436" s="61">
        <f>VLOOKUP(Table134[[#This Row],[Date]],database!A:I,8,)</f>
        <v/>
      </c>
      <c r="C436" s="74">
        <f>B436/B435-1</f>
        <v/>
      </c>
      <c r="D436" s="74">
        <f>(Table134[[#This Row],[Index]]-B424)/B424</f>
        <v/>
      </c>
    </row>
    <row r="437">
      <c r="A437" s="19" t="n">
        <v>39387</v>
      </c>
      <c r="B437" s="61">
        <f>VLOOKUP(Table134[[#This Row],[Date]],database!A:I,8,)</f>
        <v/>
      </c>
      <c r="C437" s="74">
        <f>B437/B436-1</f>
        <v/>
      </c>
      <c r="D437" s="74">
        <f>(Table134[[#This Row],[Index]]-B425)/B425</f>
        <v/>
      </c>
    </row>
    <row r="438">
      <c r="A438" s="19" t="n">
        <v>39417</v>
      </c>
      <c r="B438" s="61">
        <f>VLOOKUP(Table134[[#This Row],[Date]],database!A:I,8,)</f>
        <v/>
      </c>
      <c r="C438" s="74">
        <f>B438/B437-1</f>
        <v/>
      </c>
      <c r="D438" s="74">
        <f>(Table134[[#This Row],[Index]]-B426)/B426</f>
        <v/>
      </c>
    </row>
    <row r="439">
      <c r="A439" s="19" t="n">
        <v>39448</v>
      </c>
      <c r="B439" s="61">
        <f>VLOOKUP(Table134[[#This Row],[Date]],database!A:I,8,)</f>
        <v/>
      </c>
      <c r="C439" s="74">
        <f>B439/B438-1</f>
        <v/>
      </c>
      <c r="D439" s="74">
        <f>(Table134[[#This Row],[Index]]-B427)/B427</f>
        <v/>
      </c>
    </row>
    <row r="440">
      <c r="A440" s="19" t="n">
        <v>39479</v>
      </c>
      <c r="B440" s="61">
        <f>VLOOKUP(Table134[[#This Row],[Date]],database!A:I,8,)</f>
        <v/>
      </c>
      <c r="C440" s="74">
        <f>B440/B439-1</f>
        <v/>
      </c>
      <c r="D440" s="74">
        <f>(Table134[[#This Row],[Index]]-B428)/B428</f>
        <v/>
      </c>
    </row>
    <row r="441">
      <c r="A441" s="19" t="n">
        <v>39508</v>
      </c>
      <c r="B441" s="61">
        <f>VLOOKUP(Table134[[#This Row],[Date]],database!A:I,8,)</f>
        <v/>
      </c>
      <c r="C441" s="74">
        <f>B441/B440-1</f>
        <v/>
      </c>
      <c r="D441" s="74">
        <f>(Table134[[#This Row],[Index]]-B429)/B429</f>
        <v/>
      </c>
    </row>
    <row r="442">
      <c r="A442" s="19" t="n">
        <v>39539</v>
      </c>
      <c r="B442" s="61">
        <f>VLOOKUP(Table134[[#This Row],[Date]],database!A:I,8,)</f>
        <v/>
      </c>
      <c r="C442" s="74">
        <f>B442/B441-1</f>
        <v/>
      </c>
      <c r="D442" s="74">
        <f>(Table134[[#This Row],[Index]]-B430)/B430</f>
        <v/>
      </c>
    </row>
    <row r="443">
      <c r="A443" s="19" t="n">
        <v>39569</v>
      </c>
      <c r="B443" s="61">
        <f>VLOOKUP(Table134[[#This Row],[Date]],database!A:I,8,)</f>
        <v/>
      </c>
      <c r="C443" s="74">
        <f>B443/B442-1</f>
        <v/>
      </c>
      <c r="D443" s="74">
        <f>(Table134[[#This Row],[Index]]-B431)/B431</f>
        <v/>
      </c>
    </row>
    <row r="444">
      <c r="A444" s="19" t="n">
        <v>39600</v>
      </c>
      <c r="B444" s="61">
        <f>VLOOKUP(Table134[[#This Row],[Date]],database!A:I,8,)</f>
        <v/>
      </c>
      <c r="C444" s="74">
        <f>B444/B443-1</f>
        <v/>
      </c>
      <c r="D444" s="74">
        <f>(Table134[[#This Row],[Index]]-B432)/B432</f>
        <v/>
      </c>
    </row>
    <row r="445">
      <c r="A445" s="19" t="n">
        <v>39630</v>
      </c>
      <c r="B445" s="61">
        <f>VLOOKUP(Table134[[#This Row],[Date]],database!A:I,8,)</f>
        <v/>
      </c>
      <c r="C445" s="74">
        <f>B445/B444-1</f>
        <v/>
      </c>
      <c r="D445" s="74">
        <f>(Table134[[#This Row],[Index]]-B433)/B433</f>
        <v/>
      </c>
    </row>
    <row r="446">
      <c r="A446" s="19" t="n">
        <v>39661</v>
      </c>
      <c r="B446" s="61">
        <f>VLOOKUP(Table134[[#This Row],[Date]],database!A:I,8,)</f>
        <v/>
      </c>
      <c r="C446" s="74">
        <f>B446/B445-1</f>
        <v/>
      </c>
      <c r="D446" s="74">
        <f>(Table134[[#This Row],[Index]]-B434)/B434</f>
        <v/>
      </c>
    </row>
    <row r="447">
      <c r="A447" s="19" t="n">
        <v>39692</v>
      </c>
      <c r="B447" s="61">
        <f>VLOOKUP(Table134[[#This Row],[Date]],database!A:I,8,)</f>
        <v/>
      </c>
      <c r="C447" s="74">
        <f>B447/B446-1</f>
        <v/>
      </c>
      <c r="D447" s="74">
        <f>(Table134[[#This Row],[Index]]-B435)/B435</f>
        <v/>
      </c>
    </row>
    <row r="448">
      <c r="A448" s="19" t="n">
        <v>39722</v>
      </c>
      <c r="B448" s="61">
        <f>VLOOKUP(Table134[[#This Row],[Date]],database!A:I,8,)</f>
        <v/>
      </c>
      <c r="C448" s="74">
        <f>B448/B447-1</f>
        <v/>
      </c>
      <c r="D448" s="74">
        <f>(Table134[[#This Row],[Index]]-B436)/B436</f>
        <v/>
      </c>
    </row>
    <row r="449">
      <c r="A449" s="19" t="n">
        <v>39753</v>
      </c>
      <c r="B449" s="61">
        <f>VLOOKUP(Table134[[#This Row],[Date]],database!A:I,8,)</f>
        <v/>
      </c>
      <c r="C449" s="74">
        <f>B449/B448-1</f>
        <v/>
      </c>
      <c r="D449" s="74">
        <f>(Table134[[#This Row],[Index]]-B437)/B437</f>
        <v/>
      </c>
    </row>
    <row r="450">
      <c r="A450" s="19" t="n">
        <v>39783</v>
      </c>
      <c r="B450" s="61">
        <f>VLOOKUP(Table134[[#This Row],[Date]],database!A:I,8,)</f>
        <v/>
      </c>
      <c r="C450" s="74">
        <f>B450/B449-1</f>
        <v/>
      </c>
      <c r="D450" s="74">
        <f>(Table134[[#This Row],[Index]]-B438)/B438</f>
        <v/>
      </c>
    </row>
    <row r="451">
      <c r="A451" s="19" t="n">
        <v>39814</v>
      </c>
      <c r="B451" s="61">
        <f>VLOOKUP(Table134[[#This Row],[Date]],database!A:I,8,)</f>
        <v/>
      </c>
      <c r="C451" s="74">
        <f>B451/B450-1</f>
        <v/>
      </c>
      <c r="D451" s="74">
        <f>(Table134[[#This Row],[Index]]-B439)/B439</f>
        <v/>
      </c>
    </row>
    <row r="452">
      <c r="A452" s="19" t="n">
        <v>39845</v>
      </c>
      <c r="B452" s="61">
        <f>VLOOKUP(Table134[[#This Row],[Date]],database!A:I,8,)</f>
        <v/>
      </c>
      <c r="C452" s="74">
        <f>B452/B451-1</f>
        <v/>
      </c>
      <c r="D452" s="74">
        <f>(Table134[[#This Row],[Index]]-B440)/B440</f>
        <v/>
      </c>
    </row>
    <row r="453">
      <c r="A453" s="19" t="n">
        <v>39873</v>
      </c>
      <c r="B453" s="61">
        <f>VLOOKUP(Table134[[#This Row],[Date]],database!A:I,8,)</f>
        <v/>
      </c>
      <c r="C453" s="74">
        <f>B453/B452-1</f>
        <v/>
      </c>
      <c r="D453" s="74">
        <f>(Table134[[#This Row],[Index]]-B441)/B441</f>
        <v/>
      </c>
    </row>
    <row r="454">
      <c r="A454" s="19" t="n">
        <v>39904</v>
      </c>
      <c r="B454" s="61">
        <f>VLOOKUP(Table134[[#This Row],[Date]],database!A:I,8,)</f>
        <v/>
      </c>
      <c r="C454" s="74">
        <f>B454/B453-1</f>
        <v/>
      </c>
      <c r="D454" s="74">
        <f>(Table134[[#This Row],[Index]]-B442)/B442</f>
        <v/>
      </c>
    </row>
    <row r="455">
      <c r="A455" s="19" t="n">
        <v>39934</v>
      </c>
      <c r="B455" s="61">
        <f>VLOOKUP(Table134[[#This Row],[Date]],database!A:I,8,)</f>
        <v/>
      </c>
      <c r="C455" s="74">
        <f>B455/B454-1</f>
        <v/>
      </c>
      <c r="D455" s="74">
        <f>(Table134[[#This Row],[Index]]-B443)/B443</f>
        <v/>
      </c>
    </row>
    <row r="456">
      <c r="A456" s="19" t="n">
        <v>39965</v>
      </c>
      <c r="B456" s="61">
        <f>VLOOKUP(Table134[[#This Row],[Date]],database!A:I,8,)</f>
        <v/>
      </c>
      <c r="C456" s="74">
        <f>B456/B455-1</f>
        <v/>
      </c>
      <c r="D456" s="74">
        <f>(Table134[[#This Row],[Index]]-B444)/B444</f>
        <v/>
      </c>
    </row>
    <row r="457">
      <c r="A457" s="19" t="n">
        <v>39995</v>
      </c>
      <c r="B457" s="61">
        <f>VLOOKUP(Table134[[#This Row],[Date]],database!A:I,8,)</f>
        <v/>
      </c>
      <c r="C457" s="74">
        <f>B457/B456-1</f>
        <v/>
      </c>
      <c r="D457" s="74">
        <f>(Table134[[#This Row],[Index]]-B445)/B445</f>
        <v/>
      </c>
    </row>
    <row r="458">
      <c r="A458" s="19" t="n">
        <v>40026</v>
      </c>
      <c r="B458" s="61">
        <f>VLOOKUP(Table134[[#This Row],[Date]],database!A:I,8,)</f>
        <v/>
      </c>
      <c r="C458" s="74">
        <f>B458/B457-1</f>
        <v/>
      </c>
      <c r="D458" s="74">
        <f>(Table134[[#This Row],[Index]]-B446)/B446</f>
        <v/>
      </c>
    </row>
    <row r="459">
      <c r="A459" s="19" t="n">
        <v>40057</v>
      </c>
      <c r="B459" s="61">
        <f>VLOOKUP(Table134[[#This Row],[Date]],database!A:I,8,)</f>
        <v/>
      </c>
      <c r="C459" s="74">
        <f>B459/B458-1</f>
        <v/>
      </c>
      <c r="D459" s="74">
        <f>(Table134[[#This Row],[Index]]-B447)/B447</f>
        <v/>
      </c>
    </row>
    <row r="460">
      <c r="A460" s="19" t="n">
        <v>40087</v>
      </c>
      <c r="B460" s="61">
        <f>VLOOKUP(Table134[[#This Row],[Date]],database!A:I,8,)</f>
        <v/>
      </c>
      <c r="C460" s="74">
        <f>B460/B459-1</f>
        <v/>
      </c>
      <c r="D460" s="74">
        <f>(Table134[[#This Row],[Index]]-B448)/B448</f>
        <v/>
      </c>
    </row>
    <row r="461">
      <c r="A461" s="19" t="n">
        <v>40118</v>
      </c>
      <c r="B461" s="61">
        <f>VLOOKUP(Table134[[#This Row],[Date]],database!A:I,8,)</f>
        <v/>
      </c>
      <c r="C461" s="74">
        <f>B461/B460-1</f>
        <v/>
      </c>
      <c r="D461" s="74">
        <f>(Table134[[#This Row],[Index]]-B449)/B449</f>
        <v/>
      </c>
    </row>
    <row r="462">
      <c r="A462" s="19" t="n">
        <v>40148</v>
      </c>
      <c r="B462" s="61">
        <f>VLOOKUP(Table134[[#This Row],[Date]],database!A:I,8,)</f>
        <v/>
      </c>
      <c r="C462" s="74">
        <f>B462/B461-1</f>
        <v/>
      </c>
      <c r="D462" s="74">
        <f>(Table134[[#This Row],[Index]]-B450)/B450</f>
        <v/>
      </c>
    </row>
    <row r="463">
      <c r="A463" s="19" t="n">
        <v>40179</v>
      </c>
      <c r="B463" s="61">
        <f>VLOOKUP(Table134[[#This Row],[Date]],database!A:I,8,)</f>
        <v/>
      </c>
      <c r="C463" s="74">
        <f>B463/B462-1</f>
        <v/>
      </c>
      <c r="D463" s="74">
        <f>(Table134[[#This Row],[Index]]-B451)/B451</f>
        <v/>
      </c>
    </row>
    <row r="464">
      <c r="A464" s="19" t="n">
        <v>40210</v>
      </c>
      <c r="B464" s="61">
        <f>VLOOKUP(Table134[[#This Row],[Date]],database!A:I,8,)</f>
        <v/>
      </c>
      <c r="C464" s="74">
        <f>B464/B463-1</f>
        <v/>
      </c>
      <c r="D464" s="74">
        <f>(Table134[[#This Row],[Index]]-B452)/B452</f>
        <v/>
      </c>
    </row>
    <row r="465">
      <c r="A465" s="19" t="n">
        <v>40238</v>
      </c>
      <c r="B465" s="61">
        <f>VLOOKUP(Table134[[#This Row],[Date]],database!A:I,8,)</f>
        <v/>
      </c>
      <c r="C465" s="74">
        <f>B465/B464-1</f>
        <v/>
      </c>
      <c r="D465" s="74">
        <f>(Table134[[#This Row],[Index]]-B453)/B453</f>
        <v/>
      </c>
    </row>
    <row r="466">
      <c r="A466" s="19" t="n">
        <v>40269</v>
      </c>
      <c r="B466" s="61">
        <f>VLOOKUP(Table134[[#This Row],[Date]],database!A:I,8,)</f>
        <v/>
      </c>
      <c r="C466" s="74">
        <f>B466/B465-1</f>
        <v/>
      </c>
      <c r="D466" s="74">
        <f>(Table134[[#This Row],[Index]]-B454)/B454</f>
        <v/>
      </c>
    </row>
    <row r="467">
      <c r="A467" s="19" t="n">
        <v>40299</v>
      </c>
      <c r="B467" s="61">
        <f>VLOOKUP(Table134[[#This Row],[Date]],database!A:I,8,)</f>
        <v/>
      </c>
      <c r="C467" s="74">
        <f>B467/B466-1</f>
        <v/>
      </c>
      <c r="D467" s="74">
        <f>(Table134[[#This Row],[Index]]-B455)/B455</f>
        <v/>
      </c>
    </row>
    <row r="468">
      <c r="A468" s="19" t="n">
        <v>40330</v>
      </c>
      <c r="B468" s="61">
        <f>VLOOKUP(Table134[[#This Row],[Date]],database!A:I,8,)</f>
        <v/>
      </c>
      <c r="C468" s="74">
        <f>B468/B467-1</f>
        <v/>
      </c>
      <c r="D468" s="74">
        <f>(Table134[[#This Row],[Index]]-B456)/B456</f>
        <v/>
      </c>
    </row>
    <row r="469">
      <c r="A469" s="19" t="n">
        <v>40360</v>
      </c>
      <c r="B469" s="61">
        <f>VLOOKUP(Table134[[#This Row],[Date]],database!A:I,8,)</f>
        <v/>
      </c>
      <c r="C469" s="74">
        <f>B469/B468-1</f>
        <v/>
      </c>
      <c r="D469" s="74">
        <f>(Table134[[#This Row],[Index]]-B457)/B457</f>
        <v/>
      </c>
    </row>
    <row r="470">
      <c r="A470" s="19" t="n">
        <v>40391</v>
      </c>
      <c r="B470" s="61">
        <f>VLOOKUP(Table134[[#This Row],[Date]],database!A:I,8,)</f>
        <v/>
      </c>
      <c r="C470" s="74">
        <f>B470/B469-1</f>
        <v/>
      </c>
      <c r="D470" s="74">
        <f>(Table134[[#This Row],[Index]]-B458)/B458</f>
        <v/>
      </c>
    </row>
    <row r="471">
      <c r="A471" s="19" t="n">
        <v>40422</v>
      </c>
      <c r="B471" s="61">
        <f>VLOOKUP(Table134[[#This Row],[Date]],database!A:I,8,)</f>
        <v/>
      </c>
      <c r="C471" s="74">
        <f>B471/B470-1</f>
        <v/>
      </c>
      <c r="D471" s="74">
        <f>(Table134[[#This Row],[Index]]-B459)/B459</f>
        <v/>
      </c>
    </row>
    <row r="472">
      <c r="A472" s="19" t="n">
        <v>40452</v>
      </c>
      <c r="B472" s="61">
        <f>VLOOKUP(Table134[[#This Row],[Date]],database!A:I,8,)</f>
        <v/>
      </c>
      <c r="C472" s="74">
        <f>B472/B471-1</f>
        <v/>
      </c>
      <c r="D472" s="74">
        <f>(Table134[[#This Row],[Index]]-B460)/B460</f>
        <v/>
      </c>
    </row>
    <row r="473">
      <c r="A473" s="19" t="n">
        <v>40483</v>
      </c>
      <c r="B473" s="61">
        <f>VLOOKUP(Table134[[#This Row],[Date]],database!A:I,8,)</f>
        <v/>
      </c>
      <c r="C473" s="74">
        <f>B473/B472-1</f>
        <v/>
      </c>
      <c r="D473" s="74">
        <f>(Table134[[#This Row],[Index]]-B461)/B461</f>
        <v/>
      </c>
    </row>
    <row r="474">
      <c r="A474" s="19" t="n">
        <v>40513</v>
      </c>
      <c r="B474" s="61">
        <f>VLOOKUP(Table134[[#This Row],[Date]],database!A:I,8,)</f>
        <v/>
      </c>
      <c r="C474" s="74">
        <f>B474/B473-1</f>
        <v/>
      </c>
      <c r="D474" s="74">
        <f>(Table134[[#This Row],[Index]]-B462)/B462</f>
        <v/>
      </c>
    </row>
    <row r="475">
      <c r="A475" s="19" t="n">
        <v>40544</v>
      </c>
      <c r="B475" s="61">
        <f>VLOOKUP(Table134[[#This Row],[Date]],database!A:I,8,)</f>
        <v/>
      </c>
      <c r="C475" s="74">
        <f>B475/B474-1</f>
        <v/>
      </c>
      <c r="D475" s="74">
        <f>(Table134[[#This Row],[Index]]-B463)/B463</f>
        <v/>
      </c>
    </row>
    <row r="476">
      <c r="A476" s="19" t="n">
        <v>40575</v>
      </c>
      <c r="B476" s="61">
        <f>VLOOKUP(Table134[[#This Row],[Date]],database!A:I,8,)</f>
        <v/>
      </c>
      <c r="C476" s="74">
        <f>B476/B475-1</f>
        <v/>
      </c>
      <c r="D476" s="74">
        <f>(Table134[[#This Row],[Index]]-B464)/B464</f>
        <v/>
      </c>
    </row>
    <row r="477">
      <c r="A477" s="19" t="n">
        <v>40603</v>
      </c>
      <c r="B477" s="61">
        <f>VLOOKUP(Table134[[#This Row],[Date]],database!A:I,8,)</f>
        <v/>
      </c>
      <c r="C477" s="74">
        <f>B477/B476-1</f>
        <v/>
      </c>
      <c r="D477" s="74">
        <f>(Table134[[#This Row],[Index]]-B465)/B465</f>
        <v/>
      </c>
    </row>
    <row r="478">
      <c r="A478" s="19" t="n">
        <v>40634</v>
      </c>
      <c r="B478" s="61">
        <f>VLOOKUP(Table134[[#This Row],[Date]],database!A:I,8,)</f>
        <v/>
      </c>
      <c r="C478" s="75">
        <f>B478/B477-1</f>
        <v/>
      </c>
      <c r="D478" s="74">
        <f>(Table134[[#This Row],[Index]]-B466)/B466</f>
        <v/>
      </c>
    </row>
    <row r="479">
      <c r="A479" s="19" t="n">
        <v>40664</v>
      </c>
      <c r="B479" s="61">
        <f>VLOOKUP(Table134[[#This Row],[Date]],database!A:I,8,)</f>
        <v/>
      </c>
      <c r="C479" s="74">
        <f>B479/B478-1</f>
        <v/>
      </c>
      <c r="D479" s="74">
        <f>(Table134[[#This Row],[Index]]-B467)/B467</f>
        <v/>
      </c>
    </row>
    <row r="480">
      <c r="A480" s="19" t="n">
        <v>40695</v>
      </c>
      <c r="B480" s="61">
        <f>VLOOKUP(Table134[[#This Row],[Date]],database!A:I,8,)</f>
        <v/>
      </c>
      <c r="C480" s="74">
        <f>B480/B479-1</f>
        <v/>
      </c>
      <c r="D480" s="74">
        <f>(Table134[[#This Row],[Index]]-B468)/B468</f>
        <v/>
      </c>
    </row>
    <row r="481">
      <c r="A481" s="19" t="n">
        <v>40725</v>
      </c>
      <c r="B481" s="61">
        <f>VLOOKUP(Table134[[#This Row],[Date]],database!A:I,8,)</f>
        <v/>
      </c>
      <c r="C481" s="74">
        <f>B481/B480-1</f>
        <v/>
      </c>
      <c r="D481" s="74">
        <f>(Table134[[#This Row],[Index]]-B469)/B469</f>
        <v/>
      </c>
    </row>
    <row r="482">
      <c r="A482" s="19" t="n">
        <v>40756</v>
      </c>
      <c r="B482" s="61">
        <f>VLOOKUP(Table134[[#This Row],[Date]],database!A:I,8,)</f>
        <v/>
      </c>
      <c r="C482" s="74">
        <f>B482/B481-1</f>
        <v/>
      </c>
      <c r="D482" s="74">
        <f>(Table134[[#This Row],[Index]]-B470)/B470</f>
        <v/>
      </c>
    </row>
    <row r="483">
      <c r="A483" s="19" t="n">
        <v>40787</v>
      </c>
      <c r="B483" s="61">
        <f>VLOOKUP(Table134[[#This Row],[Date]],database!A:I,8,)</f>
        <v/>
      </c>
      <c r="C483" s="74">
        <f>B483/B482-1</f>
        <v/>
      </c>
      <c r="D483" s="74">
        <f>(Table134[[#This Row],[Index]]-B471)/B471</f>
        <v/>
      </c>
    </row>
    <row r="484">
      <c r="A484" s="19" t="n">
        <v>40817</v>
      </c>
      <c r="B484" s="61">
        <f>VLOOKUP(Table134[[#This Row],[Date]],database!A:I,8,)</f>
        <v/>
      </c>
      <c r="C484" s="74">
        <f>B484/B483-1</f>
        <v/>
      </c>
      <c r="D484" s="74">
        <f>(Table134[[#This Row],[Index]]-B472)/B472</f>
        <v/>
      </c>
    </row>
    <row r="485">
      <c r="A485" s="19" t="n">
        <v>40848</v>
      </c>
      <c r="B485" s="61">
        <f>VLOOKUP(Table134[[#This Row],[Date]],database!A:I,8,)</f>
        <v/>
      </c>
      <c r="C485" s="74">
        <f>B485/B484-1</f>
        <v/>
      </c>
      <c r="D485" s="74">
        <f>(Table134[[#This Row],[Index]]-B473)/B473</f>
        <v/>
      </c>
    </row>
    <row r="486">
      <c r="A486" s="19" t="n">
        <v>40878</v>
      </c>
      <c r="B486" s="61">
        <f>VLOOKUP(Table134[[#This Row],[Date]],database!A:I,8,)</f>
        <v/>
      </c>
      <c r="C486" s="74">
        <f>B486/B485-1</f>
        <v/>
      </c>
      <c r="D486" s="74">
        <f>(Table134[[#This Row],[Index]]-B474)/B474</f>
        <v/>
      </c>
    </row>
    <row r="487">
      <c r="A487" s="19" t="n">
        <v>40909</v>
      </c>
      <c r="B487" s="61">
        <f>VLOOKUP(Table134[[#This Row],[Date]],database!A:I,8,)</f>
        <v/>
      </c>
      <c r="C487" s="74">
        <f>B487/B486-1</f>
        <v/>
      </c>
      <c r="D487" s="74">
        <f>(Table134[[#This Row],[Index]]-B475)/B475</f>
        <v/>
      </c>
    </row>
    <row r="488">
      <c r="A488" s="19" t="n">
        <v>40940</v>
      </c>
      <c r="B488" s="61">
        <f>VLOOKUP(Table134[[#This Row],[Date]],database!A:I,8,)</f>
        <v/>
      </c>
      <c r="C488" s="74">
        <f>B488/B487-1</f>
        <v/>
      </c>
      <c r="D488" s="74">
        <f>(Table134[[#This Row],[Index]]-B476)/B476</f>
        <v/>
      </c>
    </row>
    <row r="489">
      <c r="A489" s="19" t="n">
        <v>40969</v>
      </c>
      <c r="B489" s="61">
        <f>VLOOKUP(Table134[[#This Row],[Date]],database!A:I,8,)</f>
        <v/>
      </c>
      <c r="C489" s="74">
        <f>B489/B488-1</f>
        <v/>
      </c>
      <c r="D489" s="74">
        <f>(Table134[[#This Row],[Index]]-B477)/B477</f>
        <v/>
      </c>
    </row>
    <row r="490">
      <c r="A490" s="19" t="n">
        <v>41000</v>
      </c>
      <c r="B490" s="61">
        <f>VLOOKUP(Table134[[#This Row],[Date]],database!A:I,8,)</f>
        <v/>
      </c>
      <c r="C490" s="74">
        <f>B490/B489-1</f>
        <v/>
      </c>
      <c r="D490" s="74">
        <f>(Table134[[#This Row],[Index]]-B478)/B478</f>
        <v/>
      </c>
    </row>
    <row r="491">
      <c r="A491" s="19" t="n">
        <v>41030</v>
      </c>
      <c r="B491" s="61">
        <f>VLOOKUP(Table134[[#This Row],[Date]],database!A:I,8,)</f>
        <v/>
      </c>
      <c r="C491" s="74">
        <f>B491/B490-1</f>
        <v/>
      </c>
      <c r="D491" s="74">
        <f>(Table134[[#This Row],[Index]]-B479)/B479</f>
        <v/>
      </c>
    </row>
    <row r="492">
      <c r="A492" s="19" t="n">
        <v>41061</v>
      </c>
      <c r="B492" s="61">
        <f>VLOOKUP(Table134[[#This Row],[Date]],database!A:I,8,)</f>
        <v/>
      </c>
      <c r="C492" s="74">
        <f>B492/B491-1</f>
        <v/>
      </c>
      <c r="D492" s="74">
        <f>(Table134[[#This Row],[Index]]-B480)/B480</f>
        <v/>
      </c>
    </row>
    <row r="493">
      <c r="A493" s="19" t="n">
        <v>41091</v>
      </c>
      <c r="B493" s="61">
        <f>VLOOKUP(Table134[[#This Row],[Date]],database!A:I,8,)</f>
        <v/>
      </c>
      <c r="C493" s="74">
        <f>B493/B492-1</f>
        <v/>
      </c>
      <c r="D493" s="74">
        <f>(Table134[[#This Row],[Index]]-B481)/B481</f>
        <v/>
      </c>
    </row>
    <row r="494">
      <c r="A494" s="19" t="n">
        <v>41122</v>
      </c>
      <c r="B494" s="61">
        <f>VLOOKUP(Table134[[#This Row],[Date]],database!A:I,8,)</f>
        <v/>
      </c>
      <c r="C494" s="74">
        <f>B494/B493-1</f>
        <v/>
      </c>
      <c r="D494" s="74">
        <f>(Table134[[#This Row],[Index]]-B482)/B482</f>
        <v/>
      </c>
    </row>
    <row r="495">
      <c r="A495" s="19" t="n">
        <v>41153</v>
      </c>
      <c r="B495" s="61">
        <f>VLOOKUP(Table134[[#This Row],[Date]],database!A:I,8,)</f>
        <v/>
      </c>
      <c r="C495" s="74">
        <f>B495/B494-1</f>
        <v/>
      </c>
      <c r="D495" s="74">
        <f>(Table134[[#This Row],[Index]]-B483)/B483</f>
        <v/>
      </c>
    </row>
    <row r="496">
      <c r="A496" s="19" t="n">
        <v>41183</v>
      </c>
      <c r="B496" s="61">
        <f>VLOOKUP(Table134[[#This Row],[Date]],database!A:I,8,)</f>
        <v/>
      </c>
      <c r="C496" s="74">
        <f>B496/B495-1</f>
        <v/>
      </c>
      <c r="D496" s="74">
        <f>(Table134[[#This Row],[Index]]-B484)/B484</f>
        <v/>
      </c>
    </row>
    <row r="497">
      <c r="A497" s="19" t="n">
        <v>41214</v>
      </c>
      <c r="B497" s="61">
        <f>VLOOKUP(Table134[[#This Row],[Date]],database!A:I,8,)</f>
        <v/>
      </c>
      <c r="C497" s="74">
        <f>B497/B496-1</f>
        <v/>
      </c>
      <c r="D497" s="74">
        <f>(Table134[[#This Row],[Index]]-B485)/B485</f>
        <v/>
      </c>
    </row>
    <row r="498">
      <c r="A498" s="19" t="n">
        <v>41244</v>
      </c>
      <c r="B498" s="61">
        <f>VLOOKUP(Table134[[#This Row],[Date]],database!A:I,8,)</f>
        <v/>
      </c>
      <c r="C498" s="74">
        <f>B498/B497-1</f>
        <v/>
      </c>
      <c r="D498" s="74">
        <f>(Table134[[#This Row],[Index]]-B486)/B486</f>
        <v/>
      </c>
    </row>
    <row r="499">
      <c r="A499" s="19" t="n">
        <v>41275</v>
      </c>
      <c r="B499" s="61">
        <f>VLOOKUP(Table134[[#This Row],[Date]],database!A:I,8,)</f>
        <v/>
      </c>
      <c r="C499" s="74">
        <f>B499/B498-1</f>
        <v/>
      </c>
      <c r="D499" s="74">
        <f>(Table134[[#This Row],[Index]]-B487)/B487</f>
        <v/>
      </c>
    </row>
    <row r="500">
      <c r="A500" s="19" t="n">
        <v>41306</v>
      </c>
      <c r="B500" s="61">
        <f>VLOOKUP(Table134[[#This Row],[Date]],database!A:I,8,)</f>
        <v/>
      </c>
      <c r="C500" s="74">
        <f>B500/B499-1</f>
        <v/>
      </c>
      <c r="D500" s="74">
        <f>(Table134[[#This Row],[Index]]-B488)/B488</f>
        <v/>
      </c>
    </row>
    <row r="501">
      <c r="A501" s="19" t="n">
        <v>41334</v>
      </c>
      <c r="B501" s="61">
        <f>VLOOKUP(Table134[[#This Row],[Date]],database!A:I,8,)</f>
        <v/>
      </c>
      <c r="C501" s="74">
        <f>B501/B500-1</f>
        <v/>
      </c>
      <c r="D501" s="74">
        <f>(Table134[[#This Row],[Index]]-B489)/B489</f>
        <v/>
      </c>
    </row>
    <row r="502">
      <c r="A502" s="19" t="n">
        <v>41365</v>
      </c>
      <c r="B502" s="61">
        <f>VLOOKUP(Table134[[#This Row],[Date]],database!A:I,8,)</f>
        <v/>
      </c>
      <c r="C502" s="74">
        <f>B502/B501-1</f>
        <v/>
      </c>
      <c r="D502" s="74">
        <f>(Table134[[#This Row],[Index]]-B490)/B490</f>
        <v/>
      </c>
    </row>
    <row r="503">
      <c r="A503" s="19" t="n">
        <v>41395</v>
      </c>
      <c r="B503" s="61">
        <f>VLOOKUP(Table134[[#This Row],[Date]],database!A:I,8,)</f>
        <v/>
      </c>
      <c r="C503" s="74">
        <f>B503/B502-1</f>
        <v/>
      </c>
      <c r="D503" s="74">
        <f>(Table134[[#This Row],[Index]]-B491)/B491</f>
        <v/>
      </c>
    </row>
    <row r="504">
      <c r="A504" s="19" t="n">
        <v>41426</v>
      </c>
      <c r="B504" s="61">
        <f>VLOOKUP(Table134[[#This Row],[Date]],database!A:I,8,)</f>
        <v/>
      </c>
      <c r="C504" s="74">
        <f>B504/B503-1</f>
        <v/>
      </c>
      <c r="D504" s="74">
        <f>(Table134[[#This Row],[Index]]-B492)/B492</f>
        <v/>
      </c>
    </row>
    <row r="505">
      <c r="A505" s="19" t="n">
        <v>41456</v>
      </c>
      <c r="B505" s="61">
        <f>VLOOKUP(Table134[[#This Row],[Date]],database!A:I,8,)</f>
        <v/>
      </c>
      <c r="C505" s="74">
        <f>B505/B504-1</f>
        <v/>
      </c>
      <c r="D505" s="74">
        <f>(Table134[[#This Row],[Index]]-B493)/B493</f>
        <v/>
      </c>
    </row>
    <row r="506">
      <c r="A506" s="19" t="n">
        <v>41487</v>
      </c>
      <c r="B506" s="61">
        <f>VLOOKUP(Table134[[#This Row],[Date]],database!A:I,8,)</f>
        <v/>
      </c>
      <c r="C506" s="74">
        <f>B506/B505-1</f>
        <v/>
      </c>
      <c r="D506" s="74">
        <f>(Table134[[#This Row],[Index]]-B494)/B494</f>
        <v/>
      </c>
    </row>
    <row r="507">
      <c r="A507" s="19" t="n">
        <v>41518</v>
      </c>
      <c r="B507" s="61">
        <f>VLOOKUP(Table134[[#This Row],[Date]],database!A:I,8,)</f>
        <v/>
      </c>
      <c r="C507" s="74">
        <f>B507/B506-1</f>
        <v/>
      </c>
      <c r="D507" s="74">
        <f>(Table134[[#This Row],[Index]]-B495)/B495</f>
        <v/>
      </c>
    </row>
    <row r="508">
      <c r="A508" s="19" t="n">
        <v>41548</v>
      </c>
      <c r="B508" s="61">
        <f>VLOOKUP(Table134[[#This Row],[Date]],database!A:I,8,)</f>
        <v/>
      </c>
      <c r="C508" s="74">
        <f>B508/B507-1</f>
        <v/>
      </c>
      <c r="D508" s="74">
        <f>(Table134[[#This Row],[Index]]-B496)/B496</f>
        <v/>
      </c>
    </row>
    <row r="509">
      <c r="A509" s="19" t="n">
        <v>41579</v>
      </c>
      <c r="B509" s="61">
        <f>VLOOKUP(Table134[[#This Row],[Date]],database!A:I,8,)</f>
        <v/>
      </c>
      <c r="C509" s="74">
        <f>B509/B508-1</f>
        <v/>
      </c>
      <c r="D509" s="74">
        <f>(Table134[[#This Row],[Index]]-B497)/B497</f>
        <v/>
      </c>
    </row>
    <row r="510">
      <c r="A510" s="19" t="n">
        <v>41609</v>
      </c>
      <c r="B510" s="61">
        <f>VLOOKUP(Table134[[#This Row],[Date]],database!A:I,8,)</f>
        <v/>
      </c>
      <c r="C510" s="74">
        <f>B510/B509-1</f>
        <v/>
      </c>
      <c r="D510" s="74">
        <f>(Table134[[#This Row],[Index]]-B498)/B498</f>
        <v/>
      </c>
    </row>
    <row r="511">
      <c r="A511" s="19" t="n">
        <v>41640</v>
      </c>
      <c r="B511" s="61">
        <f>VLOOKUP(Table134[[#This Row],[Date]],database!A:I,8,)</f>
        <v/>
      </c>
      <c r="C511" s="74">
        <f>B511/B510-1</f>
        <v/>
      </c>
      <c r="D511" s="74">
        <f>(Table134[[#This Row],[Index]]-B499)/B499</f>
        <v/>
      </c>
    </row>
    <row r="512">
      <c r="A512" s="19" t="n">
        <v>41671</v>
      </c>
      <c r="B512" s="61">
        <f>VLOOKUP(Table134[[#This Row],[Date]],database!A:I,8,)</f>
        <v/>
      </c>
      <c r="C512" s="74">
        <f>B512/B511-1</f>
        <v/>
      </c>
      <c r="D512" s="74">
        <f>(Table134[[#This Row],[Index]]-B500)/B500</f>
        <v/>
      </c>
    </row>
    <row r="513">
      <c r="A513" s="19" t="n">
        <v>41699</v>
      </c>
      <c r="B513" s="61">
        <f>VLOOKUP(Table134[[#This Row],[Date]],database!A:I,8,)</f>
        <v/>
      </c>
      <c r="C513" s="74">
        <f>B513/B512-1</f>
        <v/>
      </c>
      <c r="D513" s="74">
        <f>(Table134[[#This Row],[Index]]-B501)/B501</f>
        <v/>
      </c>
    </row>
    <row r="514">
      <c r="A514" s="19" t="n">
        <v>41730</v>
      </c>
      <c r="B514" s="61">
        <f>VLOOKUP(Table134[[#This Row],[Date]],database!A:I,8,)</f>
        <v/>
      </c>
      <c r="C514" s="74">
        <f>B514/B513-1</f>
        <v/>
      </c>
      <c r="D514" s="74">
        <f>(Table134[[#This Row],[Index]]-B502)/B502</f>
        <v/>
      </c>
    </row>
    <row r="515">
      <c r="A515" s="19" t="n">
        <v>41760</v>
      </c>
      <c r="B515" s="61">
        <f>VLOOKUP(Table134[[#This Row],[Date]],database!A:I,8,)</f>
        <v/>
      </c>
      <c r="C515" s="74">
        <f>B515/B514-1</f>
        <v/>
      </c>
      <c r="D515" s="74">
        <f>(Table134[[#This Row],[Index]]-B503)/B503</f>
        <v/>
      </c>
    </row>
    <row r="516">
      <c r="A516" s="19" t="n">
        <v>41791</v>
      </c>
      <c r="B516" s="61">
        <f>VLOOKUP(Table134[[#This Row],[Date]],database!A:I,8,)</f>
        <v/>
      </c>
      <c r="C516" s="74">
        <f>B516/B515-1</f>
        <v/>
      </c>
      <c r="D516" s="74">
        <f>(Table134[[#This Row],[Index]]-B504)/B504</f>
        <v/>
      </c>
    </row>
    <row r="517">
      <c r="A517" s="19" t="n">
        <v>41821</v>
      </c>
      <c r="B517" s="61">
        <f>VLOOKUP(Table134[[#This Row],[Date]],database!A:I,8,)</f>
        <v/>
      </c>
      <c r="C517" s="74">
        <f>B517/B516-1</f>
        <v/>
      </c>
      <c r="D517" s="74">
        <f>(Table134[[#This Row],[Index]]-B505)/B505</f>
        <v/>
      </c>
    </row>
    <row r="518">
      <c r="A518" s="19" t="n">
        <v>41852</v>
      </c>
      <c r="B518" s="61">
        <f>VLOOKUP(Table134[[#This Row],[Date]],database!A:I,8,)</f>
        <v/>
      </c>
      <c r="C518" s="74">
        <f>B518/B517-1</f>
        <v/>
      </c>
      <c r="D518" s="74">
        <f>(Table134[[#This Row],[Index]]-B506)/B506</f>
        <v/>
      </c>
    </row>
    <row r="519">
      <c r="A519" s="19" t="n">
        <v>41883</v>
      </c>
      <c r="B519" s="61">
        <f>VLOOKUP(Table134[[#This Row],[Date]],database!A:I,8,)</f>
        <v/>
      </c>
      <c r="C519" s="74">
        <f>B519/B518-1</f>
        <v/>
      </c>
      <c r="D519" s="74">
        <f>(Table134[[#This Row],[Index]]-B507)/B507</f>
        <v/>
      </c>
    </row>
    <row r="520">
      <c r="A520" s="19" t="n">
        <v>41913</v>
      </c>
      <c r="B520" s="61">
        <f>VLOOKUP(Table134[[#This Row],[Date]],database!A:I,8,)</f>
        <v/>
      </c>
      <c r="C520" s="74">
        <f>B520/B519-1</f>
        <v/>
      </c>
      <c r="D520" s="74">
        <f>(Table134[[#This Row],[Index]]-B508)/B508</f>
        <v/>
      </c>
    </row>
    <row r="521">
      <c r="A521" s="19" t="n">
        <v>41944</v>
      </c>
      <c r="B521" s="61">
        <f>VLOOKUP(Table134[[#This Row],[Date]],database!A:I,8,)</f>
        <v/>
      </c>
      <c r="C521" s="75">
        <f>B521/B520-1</f>
        <v/>
      </c>
      <c r="D521" s="74">
        <f>(Table134[[#This Row],[Index]]-B509)/B509</f>
        <v/>
      </c>
    </row>
    <row r="522">
      <c r="A522" s="19" t="n">
        <v>41974</v>
      </c>
      <c r="B522" s="61">
        <f>VLOOKUP(Table134[[#This Row],[Date]],database!A:I,8,)</f>
        <v/>
      </c>
      <c r="C522" s="74">
        <f>B522/B521-1</f>
        <v/>
      </c>
      <c r="D522" s="74">
        <f>(Table134[[#This Row],[Index]]-B510)/B510</f>
        <v/>
      </c>
    </row>
    <row r="523">
      <c r="A523" s="19" t="n">
        <v>42005</v>
      </c>
      <c r="B523" s="61">
        <f>VLOOKUP(Table134[[#This Row],[Date]],database!A:I,8,)</f>
        <v/>
      </c>
      <c r="C523" s="75">
        <f>B523/B522-1</f>
        <v/>
      </c>
      <c r="D523" s="74">
        <f>(Table134[[#This Row],[Index]]-B511)/B511</f>
        <v/>
      </c>
    </row>
    <row r="524">
      <c r="A524" s="19" t="n">
        <v>42036</v>
      </c>
      <c r="B524" s="61">
        <f>VLOOKUP(Table134[[#This Row],[Date]],database!A:I,8,)</f>
        <v/>
      </c>
      <c r="C524" s="74">
        <f>B524/B523-1</f>
        <v/>
      </c>
      <c r="D524" s="74">
        <f>(Table134[[#This Row],[Index]]-B512)/B512</f>
        <v/>
      </c>
    </row>
    <row r="525">
      <c r="A525" s="19" t="n">
        <v>42064</v>
      </c>
      <c r="B525" s="61">
        <f>VLOOKUP(Table134[[#This Row],[Date]],database!A:I,8,)</f>
        <v/>
      </c>
      <c r="C525" s="75">
        <f>B525/B524-1</f>
        <v/>
      </c>
      <c r="D525" s="74">
        <f>(Table134[[#This Row],[Index]]-B513)/B513</f>
        <v/>
      </c>
    </row>
    <row r="526">
      <c r="A526" s="19" t="n">
        <v>42095</v>
      </c>
      <c r="B526" s="61">
        <f>VLOOKUP(Table134[[#This Row],[Date]],database!A:I,8,)</f>
        <v/>
      </c>
      <c r="C526" s="74">
        <f>B526/B525-1</f>
        <v/>
      </c>
      <c r="D526" s="74">
        <f>(Table134[[#This Row],[Index]]-B514)/B514</f>
        <v/>
      </c>
    </row>
    <row r="527">
      <c r="A527" s="19" t="n">
        <v>42125</v>
      </c>
      <c r="B527" s="61">
        <f>VLOOKUP(Table134[[#This Row],[Date]],database!A:I,8,)</f>
        <v/>
      </c>
      <c r="C527" s="74">
        <f>B527/B526-1</f>
        <v/>
      </c>
      <c r="D527" s="74">
        <f>(Table134[[#This Row],[Index]]-B515)/B515</f>
        <v/>
      </c>
    </row>
    <row r="528">
      <c r="A528" s="19" t="n">
        <v>42156</v>
      </c>
      <c r="B528" s="61">
        <f>VLOOKUP(Table134[[#This Row],[Date]],database!A:I,8,)</f>
        <v/>
      </c>
      <c r="C528" s="74">
        <f>B528/B527-1</f>
        <v/>
      </c>
      <c r="D528" s="74">
        <f>(Table134[[#This Row],[Index]]-B516)/B516</f>
        <v/>
      </c>
    </row>
    <row r="529">
      <c r="A529" s="19" t="n">
        <v>42186</v>
      </c>
      <c r="B529" s="61">
        <f>VLOOKUP(Table134[[#This Row],[Date]],database!A:I,8,)</f>
        <v/>
      </c>
      <c r="C529" s="74">
        <f>B529/B528-1</f>
        <v/>
      </c>
      <c r="D529" s="74">
        <f>(Table134[[#This Row],[Index]]-B517)/B517</f>
        <v/>
      </c>
    </row>
    <row r="530">
      <c r="A530" s="19" t="n">
        <v>42217</v>
      </c>
      <c r="B530" s="61">
        <f>VLOOKUP(Table134[[#This Row],[Date]],database!A:I,8,)</f>
        <v/>
      </c>
      <c r="C530" s="74">
        <f>B530/B529-1</f>
        <v/>
      </c>
      <c r="D530" s="74">
        <f>(Table134[[#This Row],[Index]]-B518)/B518</f>
        <v/>
      </c>
    </row>
    <row r="531">
      <c r="A531" s="19" t="n">
        <v>42248</v>
      </c>
      <c r="B531" s="61">
        <f>VLOOKUP(Table134[[#This Row],[Date]],database!A:I,8,)</f>
        <v/>
      </c>
      <c r="C531" s="74">
        <f>B531/B530-1</f>
        <v/>
      </c>
      <c r="D531" s="74">
        <f>(Table134[[#This Row],[Index]]-B519)/B519</f>
        <v/>
      </c>
    </row>
    <row r="532">
      <c r="A532" s="19" t="n">
        <v>42278</v>
      </c>
      <c r="B532" s="61">
        <f>VLOOKUP(Table134[[#This Row],[Date]],database!A:I,8,)</f>
        <v/>
      </c>
      <c r="C532" s="74">
        <f>B532/B531-1</f>
        <v/>
      </c>
      <c r="D532" s="74">
        <f>(Table134[[#This Row],[Index]]-B520)/B520</f>
        <v/>
      </c>
    </row>
    <row r="533">
      <c r="A533" s="19" t="n">
        <v>42309</v>
      </c>
      <c r="B533" s="61">
        <f>VLOOKUP(Table134[[#This Row],[Date]],database!A:I,8,)</f>
        <v/>
      </c>
      <c r="C533" s="74">
        <f>B533/B532-1</f>
        <v/>
      </c>
      <c r="D533" s="74">
        <f>(Table134[[#This Row],[Index]]-B521)/B521</f>
        <v/>
      </c>
    </row>
    <row r="534">
      <c r="A534" s="19" t="n">
        <v>42339</v>
      </c>
      <c r="B534" s="61">
        <f>VLOOKUP(Table134[[#This Row],[Date]],database!A:I,8,)</f>
        <v/>
      </c>
      <c r="C534" s="74">
        <f>B534/B533-1</f>
        <v/>
      </c>
      <c r="D534" s="74">
        <f>(Table134[[#This Row],[Index]]-B522)/B522</f>
        <v/>
      </c>
    </row>
    <row r="535">
      <c r="A535" s="19" t="n">
        <v>42370</v>
      </c>
      <c r="B535" s="61">
        <f>VLOOKUP(Table134[[#This Row],[Date]],database!A:I,8,)</f>
        <v/>
      </c>
      <c r="C535" s="74">
        <f>B535/B534-1</f>
        <v/>
      </c>
      <c r="D535" s="74">
        <f>(Table134[[#This Row],[Index]]-B523)/B523</f>
        <v/>
      </c>
    </row>
    <row r="536">
      <c r="A536" s="19" t="n">
        <v>42401</v>
      </c>
      <c r="B536" s="61">
        <f>VLOOKUP(Table134[[#This Row],[Date]],database!A:I,8,)</f>
        <v/>
      </c>
      <c r="C536" s="74">
        <f>B536/B535-1</f>
        <v/>
      </c>
      <c r="D536" s="74">
        <f>(Table134[[#This Row],[Index]]-B524)/B524</f>
        <v/>
      </c>
    </row>
    <row r="537">
      <c r="A537" s="19" t="n">
        <v>42430</v>
      </c>
      <c r="B537" s="61">
        <f>VLOOKUP(Table134[[#This Row],[Date]],database!A:I,8,)</f>
        <v/>
      </c>
      <c r="C537" s="74">
        <f>B537/B536-1</f>
        <v/>
      </c>
      <c r="D537" s="74">
        <f>(Table134[[#This Row],[Index]]-B525)/B525</f>
        <v/>
      </c>
    </row>
    <row r="538">
      <c r="A538" s="19" t="n">
        <v>42461</v>
      </c>
      <c r="B538" s="61">
        <f>VLOOKUP(Table134[[#This Row],[Date]],database!A:I,8,)</f>
        <v/>
      </c>
      <c r="C538" s="74">
        <f>B538/B537-1</f>
        <v/>
      </c>
      <c r="D538" s="74">
        <f>(Table134[[#This Row],[Index]]-B526)/B526</f>
        <v/>
      </c>
    </row>
    <row r="539">
      <c r="A539" s="19" t="n">
        <v>42491</v>
      </c>
      <c r="B539" s="61">
        <f>VLOOKUP(Table134[[#This Row],[Date]],database!A:I,8,)</f>
        <v/>
      </c>
      <c r="C539" s="74">
        <f>B539/B538-1</f>
        <v/>
      </c>
      <c r="D539" s="74">
        <f>(Table134[[#This Row],[Index]]-B527)/B527</f>
        <v/>
      </c>
    </row>
    <row r="540">
      <c r="A540" s="19" t="n">
        <v>42522</v>
      </c>
      <c r="B540" s="61">
        <f>VLOOKUP(Table134[[#This Row],[Date]],database!A:I,8,)</f>
        <v/>
      </c>
      <c r="C540" s="74">
        <f>B540/B539-1</f>
        <v/>
      </c>
      <c r="D540" s="74">
        <f>(Table134[[#This Row],[Index]]-B528)/B528</f>
        <v/>
      </c>
    </row>
    <row r="541">
      <c r="A541" s="19" t="n">
        <v>42552</v>
      </c>
      <c r="B541" s="61">
        <f>VLOOKUP(Table134[[#This Row],[Date]],database!A:I,8,)</f>
        <v/>
      </c>
      <c r="C541" s="74">
        <f>B541/B540-1</f>
        <v/>
      </c>
      <c r="D541" s="74">
        <f>(Table134[[#This Row],[Index]]-B529)/B529</f>
        <v/>
      </c>
    </row>
    <row r="542">
      <c r="A542" s="19" t="n">
        <v>42583</v>
      </c>
      <c r="B542" s="61">
        <f>VLOOKUP(Table134[[#This Row],[Date]],database!A:I,8,)</f>
        <v/>
      </c>
      <c r="C542" s="74">
        <f>B542/B541-1</f>
        <v/>
      </c>
      <c r="D542" s="74">
        <f>(Table134[[#This Row],[Index]]-B530)/B530</f>
        <v/>
      </c>
    </row>
    <row r="543">
      <c r="A543" s="19" t="n">
        <v>42614</v>
      </c>
      <c r="B543" s="61">
        <f>VLOOKUP(Table134[[#This Row],[Date]],database!A:I,8,)</f>
        <v/>
      </c>
      <c r="C543" s="74">
        <f>B543/B542-1</f>
        <v/>
      </c>
      <c r="D543" s="74">
        <f>(Table134[[#This Row],[Index]]-B531)/B531</f>
        <v/>
      </c>
    </row>
    <row r="544">
      <c r="A544" s="19" t="n">
        <v>42644</v>
      </c>
      <c r="B544" s="61">
        <f>VLOOKUP(Table134[[#This Row],[Date]],database!A:I,8,)</f>
        <v/>
      </c>
      <c r="C544" s="74">
        <f>B544/B543-1</f>
        <v/>
      </c>
      <c r="D544" s="74">
        <f>(Table134[[#This Row],[Index]]-B532)/B532</f>
        <v/>
      </c>
    </row>
    <row r="545">
      <c r="A545" s="19" t="n">
        <v>42675</v>
      </c>
      <c r="B545" s="61">
        <f>VLOOKUP(Table134[[#This Row],[Date]],database!A:I,8,)</f>
        <v/>
      </c>
      <c r="C545" s="74">
        <f>B545/B544-1</f>
        <v/>
      </c>
      <c r="D545" s="74">
        <f>(Table134[[#This Row],[Index]]-B533)/B533</f>
        <v/>
      </c>
    </row>
    <row r="546">
      <c r="A546" s="19" t="n">
        <v>42705</v>
      </c>
      <c r="B546" s="61">
        <f>VLOOKUP(Table134[[#This Row],[Date]],database!A:I,8,)</f>
        <v/>
      </c>
      <c r="C546" s="74">
        <f>B546/B545-1</f>
        <v/>
      </c>
      <c r="D546" s="74">
        <f>(Table134[[#This Row],[Index]]-B534)/B534</f>
        <v/>
      </c>
    </row>
    <row r="547">
      <c r="A547" s="19" t="n">
        <v>42736</v>
      </c>
      <c r="B547" s="61">
        <f>VLOOKUP(Table134[[#This Row],[Date]],database!A:I,8,)</f>
        <v/>
      </c>
      <c r="C547" s="74">
        <f>B547/B546-1</f>
        <v/>
      </c>
      <c r="D547" s="74">
        <f>(Table134[[#This Row],[Index]]-B535)/B535</f>
        <v/>
      </c>
    </row>
    <row r="548">
      <c r="A548" s="19" t="n">
        <v>42767</v>
      </c>
      <c r="B548" s="61">
        <f>VLOOKUP(Table134[[#This Row],[Date]],database!A:I,8,)</f>
        <v/>
      </c>
      <c r="C548" s="74">
        <f>B548/B547-1</f>
        <v/>
      </c>
      <c r="D548" s="74">
        <f>(Table134[[#This Row],[Index]]-B536)/B536</f>
        <v/>
      </c>
    </row>
    <row r="549">
      <c r="A549" s="19" t="n">
        <v>42795</v>
      </c>
      <c r="B549" s="61">
        <f>VLOOKUP(Table134[[#This Row],[Date]],database!A:I,8,)</f>
        <v/>
      </c>
      <c r="C549" s="74">
        <f>B549/B548-1</f>
        <v/>
      </c>
      <c r="D549" s="74">
        <f>(Table134[[#This Row],[Index]]-B537)/B537</f>
        <v/>
      </c>
    </row>
    <row r="550">
      <c r="A550" s="19" t="n">
        <v>42826</v>
      </c>
      <c r="B550" s="61">
        <f>VLOOKUP(Table134[[#This Row],[Date]],database!A:I,8,)</f>
        <v/>
      </c>
      <c r="C550" s="74">
        <f>B550/B549-1</f>
        <v/>
      </c>
      <c r="D550" s="74">
        <f>(Table134[[#This Row],[Index]]-B538)/B538</f>
        <v/>
      </c>
    </row>
    <row r="551">
      <c r="A551" s="19" t="n">
        <v>42856</v>
      </c>
      <c r="B551" s="61">
        <f>VLOOKUP(Table134[[#This Row],[Date]],database!A:I,8,)</f>
        <v/>
      </c>
      <c r="C551" s="74">
        <f>B551/B550-1</f>
        <v/>
      </c>
      <c r="D551" s="74">
        <f>(Table134[[#This Row],[Index]]-B539)/B539</f>
        <v/>
      </c>
    </row>
    <row r="552">
      <c r="A552" s="19" t="n">
        <v>42887</v>
      </c>
      <c r="B552" s="61">
        <f>VLOOKUP(Table134[[#This Row],[Date]],database!A:I,8,)</f>
        <v/>
      </c>
      <c r="C552" s="74">
        <f>B552/B551-1</f>
        <v/>
      </c>
      <c r="D552" s="74">
        <f>(Table134[[#This Row],[Index]]-B540)/B540</f>
        <v/>
      </c>
    </row>
    <row r="553">
      <c r="A553" s="19" t="n">
        <v>42917</v>
      </c>
      <c r="B553" s="61">
        <f>VLOOKUP(Table134[[#This Row],[Date]],database!A:I,8,)</f>
        <v/>
      </c>
      <c r="C553" s="74">
        <f>B553/B552-1</f>
        <v/>
      </c>
      <c r="D553" s="74">
        <f>(Table134[[#This Row],[Index]]-B541)/B541</f>
        <v/>
      </c>
    </row>
    <row r="554">
      <c r="A554" s="19" t="n">
        <v>42948</v>
      </c>
      <c r="B554" s="61">
        <f>VLOOKUP(Table134[[#This Row],[Date]],database!A:I,8,)</f>
        <v/>
      </c>
      <c r="C554" s="74">
        <f>B554/B553-1</f>
        <v/>
      </c>
      <c r="D554" s="74">
        <f>(Table134[[#This Row],[Index]]-B542)/B542</f>
        <v/>
      </c>
    </row>
    <row r="555">
      <c r="A555" s="19" t="n">
        <v>42979</v>
      </c>
      <c r="B555" s="61">
        <f>VLOOKUP(Table134[[#This Row],[Date]],database!A:I,8,)</f>
        <v/>
      </c>
      <c r="C555" s="74">
        <f>B555/B554-1</f>
        <v/>
      </c>
      <c r="D555" s="74">
        <f>(Table134[[#This Row],[Index]]-B543)/B543</f>
        <v/>
      </c>
    </row>
    <row r="556">
      <c r="A556" s="19" t="n">
        <v>43009</v>
      </c>
      <c r="B556" s="61">
        <f>VLOOKUP(Table134[[#This Row],[Date]],database!A:I,8,)</f>
        <v/>
      </c>
      <c r="C556" s="74">
        <f>B556/B555-1</f>
        <v/>
      </c>
      <c r="D556" s="74">
        <f>(Table134[[#This Row],[Index]]-B544)/B544</f>
        <v/>
      </c>
    </row>
    <row r="557">
      <c r="A557" s="19" t="n">
        <v>43040</v>
      </c>
      <c r="B557" s="61">
        <f>VLOOKUP(Table134[[#This Row],[Date]],database!A:I,8,)</f>
        <v/>
      </c>
      <c r="C557" s="74">
        <f>B557/B556-1</f>
        <v/>
      </c>
      <c r="D557" s="74">
        <f>(Table134[[#This Row],[Index]]-B545)/B545</f>
        <v/>
      </c>
    </row>
    <row r="558">
      <c r="A558" s="19" t="n">
        <v>43070</v>
      </c>
      <c r="B558" s="61">
        <f>VLOOKUP(Table134[[#This Row],[Date]],database!A:I,8,)</f>
        <v/>
      </c>
      <c r="C558" s="74">
        <f>B558/B557-1</f>
        <v/>
      </c>
      <c r="D558" s="74">
        <f>(Table134[[#This Row],[Index]]-B546)/B546</f>
        <v/>
      </c>
    </row>
    <row r="559">
      <c r="A559" s="19" t="n">
        <v>43101</v>
      </c>
      <c r="B559" s="61">
        <f>VLOOKUP(Table134[[#This Row],[Date]],database!A:I,8,)</f>
        <v/>
      </c>
      <c r="C559" s="74">
        <f>B559/B558-1</f>
        <v/>
      </c>
      <c r="D559" s="74">
        <f>(Table134[[#This Row],[Index]]-B547)/B547</f>
        <v/>
      </c>
    </row>
    <row r="560">
      <c r="A560" s="19" t="n">
        <v>43132</v>
      </c>
      <c r="B560" s="61">
        <f>VLOOKUP(Table134[[#This Row],[Date]],database!A:I,8,)</f>
        <v/>
      </c>
      <c r="C560" s="74">
        <f>B560/B559-1</f>
        <v/>
      </c>
      <c r="D560" s="74">
        <f>(Table134[[#This Row],[Index]]-B548)/B548</f>
        <v/>
      </c>
    </row>
    <row r="561">
      <c r="A561" s="19" t="n">
        <v>43160</v>
      </c>
      <c r="B561" s="61">
        <f>VLOOKUP(Table134[[#This Row],[Date]],database!A:I,8,)</f>
        <v/>
      </c>
      <c r="C561" s="74">
        <f>B561/B560-1</f>
        <v/>
      </c>
      <c r="D561" s="74">
        <f>(Table134[[#This Row],[Index]]-B549)/B549</f>
        <v/>
      </c>
    </row>
    <row r="562">
      <c r="A562" s="19" t="n">
        <v>43191</v>
      </c>
      <c r="B562" s="61">
        <f>VLOOKUP(Table134[[#This Row],[Date]],database!A:I,8,)</f>
        <v/>
      </c>
      <c r="C562" s="74">
        <f>B562/B561-1</f>
        <v/>
      </c>
      <c r="D562" s="74">
        <f>(Table134[[#This Row],[Index]]-B550)/B550</f>
        <v/>
      </c>
    </row>
    <row r="563">
      <c r="A563" s="19" t="n">
        <v>43221</v>
      </c>
      <c r="B563" s="61">
        <f>VLOOKUP(Table134[[#This Row],[Date]],database!A:I,8,)</f>
        <v/>
      </c>
      <c r="C563" s="74">
        <f>B563/B562-1</f>
        <v/>
      </c>
      <c r="D563" s="74">
        <f>(Table134[[#This Row],[Index]]-B551)/B551</f>
        <v/>
      </c>
    </row>
    <row r="564">
      <c r="A564" s="19" t="n">
        <v>43252</v>
      </c>
      <c r="B564" s="61">
        <f>VLOOKUP(Table134[[#This Row],[Date]],database!A:I,8,)</f>
        <v/>
      </c>
      <c r="C564" s="74">
        <f>B564/B563-1</f>
        <v/>
      </c>
      <c r="D564" s="74">
        <f>(Table134[[#This Row],[Index]]-B552)/B552</f>
        <v/>
      </c>
    </row>
    <row r="565">
      <c r="A565" s="19" t="n">
        <v>43282</v>
      </c>
      <c r="B565" s="61">
        <f>VLOOKUP(Table134[[#This Row],[Date]],database!A:I,8,)</f>
        <v/>
      </c>
      <c r="C565" s="74">
        <f>B565/B564-1</f>
        <v/>
      </c>
      <c r="D565" s="74">
        <f>(Table134[[#This Row],[Index]]-B553)/B553</f>
        <v/>
      </c>
    </row>
    <row r="566">
      <c r="A566" s="19" t="n">
        <v>43313</v>
      </c>
      <c r="B566" s="61">
        <f>VLOOKUP(Table134[[#This Row],[Date]],database!A:I,8,)</f>
        <v/>
      </c>
      <c r="C566" s="74">
        <f>B566/B565-1</f>
        <v/>
      </c>
      <c r="D566" s="74">
        <f>(Table134[[#This Row],[Index]]-B554)/B554</f>
        <v/>
      </c>
    </row>
    <row r="567">
      <c r="A567" s="19" t="n">
        <v>43344</v>
      </c>
      <c r="B567" s="61">
        <f>VLOOKUP(Table134[[#This Row],[Date]],database!A:I,8,)</f>
        <v/>
      </c>
      <c r="C567" s="74">
        <f>B567/B566-1</f>
        <v/>
      </c>
      <c r="D567" s="74">
        <f>(Table134[[#This Row],[Index]]-B555)/B555</f>
        <v/>
      </c>
    </row>
    <row r="568">
      <c r="A568" s="19" t="n">
        <v>43374</v>
      </c>
      <c r="B568" s="61">
        <f>VLOOKUP(Table134[[#This Row],[Date]],database!A:I,8,)</f>
        <v/>
      </c>
      <c r="C568" s="74">
        <f>B568/B567-1</f>
        <v/>
      </c>
      <c r="D568" s="74">
        <f>(Table134[[#This Row],[Index]]-B556)/B556</f>
        <v/>
      </c>
    </row>
    <row r="569">
      <c r="A569" s="19" t="n">
        <v>43405</v>
      </c>
      <c r="B569" s="61">
        <f>VLOOKUP(Table134[[#This Row],[Date]],database!A:I,8,)</f>
        <v/>
      </c>
      <c r="C569" s="74">
        <f>B569/B568-1</f>
        <v/>
      </c>
      <c r="D569" s="74">
        <f>(Table134[[#This Row],[Index]]-B557)/B557</f>
        <v/>
      </c>
    </row>
    <row r="570">
      <c r="A570" s="19" t="n">
        <v>43435</v>
      </c>
      <c r="B570" s="61">
        <f>VLOOKUP(Table134[[#This Row],[Date]],database!A:I,8,)</f>
        <v/>
      </c>
      <c r="C570" s="74">
        <f>B570/B569-1</f>
        <v/>
      </c>
      <c r="D570" s="74">
        <f>(Table134[[#This Row],[Index]]-B558)/B558</f>
        <v/>
      </c>
    </row>
    <row r="571">
      <c r="A571" s="19" t="n">
        <v>43466</v>
      </c>
      <c r="B571" s="61">
        <f>VLOOKUP(Table134[[#This Row],[Date]],database!A:I,8,)</f>
        <v/>
      </c>
      <c r="C571" s="74">
        <f>B571/B570-1</f>
        <v/>
      </c>
      <c r="D571" s="74">
        <f>(Table134[[#This Row],[Index]]-B559)/B559</f>
        <v/>
      </c>
    </row>
    <row r="572">
      <c r="A572" s="19" t="n">
        <v>43497</v>
      </c>
      <c r="B572" s="61">
        <f>VLOOKUP(Table134[[#This Row],[Date]],database!A:I,8,)</f>
        <v/>
      </c>
      <c r="C572" s="74">
        <f>B572/B571-1</f>
        <v/>
      </c>
      <c r="D572" s="74">
        <f>(Table134[[#This Row],[Index]]-B560)/B560</f>
        <v/>
      </c>
    </row>
    <row r="573">
      <c r="A573" s="19" t="n">
        <v>43525</v>
      </c>
      <c r="B573" s="61">
        <f>VLOOKUP(Table134[[#This Row],[Date]],database!A:I,8,)</f>
        <v/>
      </c>
      <c r="C573" s="74">
        <f>B573/B572-1</f>
        <v/>
      </c>
      <c r="D573" s="74">
        <f>(Table134[[#This Row],[Index]]-B561)/B561</f>
        <v/>
      </c>
    </row>
    <row r="574">
      <c r="A574" s="19" t="n">
        <v>43556</v>
      </c>
      <c r="B574" s="61">
        <f>VLOOKUP(Table134[[#This Row],[Date]],database!A:I,8,)</f>
        <v/>
      </c>
      <c r="C574" s="74">
        <f>B574/B573-1</f>
        <v/>
      </c>
      <c r="D574" s="74">
        <f>(Table134[[#This Row],[Index]]-B562)/B562</f>
        <v/>
      </c>
    </row>
    <row r="575">
      <c r="A575" s="19" t="n">
        <v>43586</v>
      </c>
      <c r="B575" s="61">
        <f>VLOOKUP(Table134[[#This Row],[Date]],database!A:I,8,)</f>
        <v/>
      </c>
      <c r="C575" s="74">
        <f>B575/B574-1</f>
        <v/>
      </c>
      <c r="D575" s="74">
        <f>(Table134[[#This Row],[Index]]-B563)/B563</f>
        <v/>
      </c>
    </row>
    <row r="576">
      <c r="A576" s="19" t="n">
        <v>43617</v>
      </c>
      <c r="B576" s="61">
        <f>VLOOKUP(Table134[[#This Row],[Date]],database!A:I,8,)</f>
        <v/>
      </c>
      <c r="C576" s="74">
        <f>B576/B575-1</f>
        <v/>
      </c>
      <c r="D576" s="74">
        <f>(Table134[[#This Row],[Index]]-B564)/B564</f>
        <v/>
      </c>
    </row>
    <row r="577">
      <c r="A577" s="19" t="n">
        <v>43647</v>
      </c>
      <c r="B577" s="61">
        <f>VLOOKUP(Table134[[#This Row],[Date]],database!A:I,8,)</f>
        <v/>
      </c>
      <c r="C577" s="74">
        <f>B577/B576-1</f>
        <v/>
      </c>
      <c r="D577" s="74">
        <f>(Table134[[#This Row],[Index]]-B565)/B565</f>
        <v/>
      </c>
    </row>
    <row r="578">
      <c r="A578" s="19" t="n">
        <v>43678</v>
      </c>
      <c r="B578" s="61">
        <f>VLOOKUP(Table134[[#This Row],[Date]],database!A:I,8,)</f>
        <v/>
      </c>
      <c r="C578" s="74">
        <f>B578/B577-1</f>
        <v/>
      </c>
      <c r="D578" s="74">
        <f>(Table134[[#This Row],[Index]]-B566)/B566</f>
        <v/>
      </c>
    </row>
    <row r="579">
      <c r="A579" s="19" t="n">
        <v>43709</v>
      </c>
      <c r="B579" s="61">
        <f>VLOOKUP(Table134[[#This Row],[Date]],database!A:I,8,)</f>
        <v/>
      </c>
      <c r="C579" s="74">
        <f>B579/B578-1</f>
        <v/>
      </c>
      <c r="D579" s="74">
        <f>(Table134[[#This Row],[Index]]-B567)/B567</f>
        <v/>
      </c>
    </row>
    <row r="580">
      <c r="A580" s="19" t="n">
        <v>43739</v>
      </c>
      <c r="B580" s="61">
        <f>VLOOKUP(Table134[[#This Row],[Date]],database!A:I,8,)</f>
        <v/>
      </c>
      <c r="C580" s="74">
        <f>B580/B579-1</f>
        <v/>
      </c>
      <c r="D580" s="74">
        <f>(Table134[[#This Row],[Index]]-B568)/B568</f>
        <v/>
      </c>
    </row>
    <row r="581">
      <c r="A581" s="19" t="n">
        <v>43770</v>
      </c>
      <c r="B581" s="61">
        <f>VLOOKUP(Table134[[#This Row],[Date]],database!A:I,8,)</f>
        <v/>
      </c>
      <c r="C581" s="74">
        <f>B581/B580-1</f>
        <v/>
      </c>
      <c r="D581" s="74">
        <f>(Table134[[#This Row],[Index]]-B569)/B569</f>
        <v/>
      </c>
    </row>
    <row r="582">
      <c r="A582" s="19" t="n">
        <v>43800</v>
      </c>
      <c r="B582" s="61">
        <f>VLOOKUP(Table134[[#This Row],[Date]],database!A:I,8,)</f>
        <v/>
      </c>
      <c r="C582" s="74">
        <f>B582/B581-1</f>
        <v/>
      </c>
      <c r="D582" s="74">
        <f>(Table134[[#This Row],[Index]]-B570)/B570</f>
        <v/>
      </c>
    </row>
    <row r="583">
      <c r="A583" s="19" t="n">
        <v>43831</v>
      </c>
      <c r="B583" s="61">
        <f>VLOOKUP(Table134[[#This Row],[Date]],database!A:I,8,)</f>
        <v/>
      </c>
      <c r="C583" s="74">
        <f>B583/B582-1</f>
        <v/>
      </c>
      <c r="D583" s="74">
        <f>(Table134[[#This Row],[Index]]-B571)/B571</f>
        <v/>
      </c>
    </row>
    <row r="584">
      <c r="A584" s="19" t="n">
        <v>43862</v>
      </c>
      <c r="B584" s="61">
        <f>VLOOKUP(Table134[[#This Row],[Date]],database!A:I,8,)</f>
        <v/>
      </c>
      <c r="C584" s="74">
        <f>B584/B583-1</f>
        <v/>
      </c>
      <c r="D584" s="74">
        <f>(Table134[[#This Row],[Index]]-B572)/B572</f>
        <v/>
      </c>
    </row>
    <row r="585">
      <c r="A585" s="19" t="n">
        <v>43891</v>
      </c>
      <c r="B585" s="61">
        <f>VLOOKUP(Table134[[#This Row],[Date]],database!A:I,8,)</f>
        <v/>
      </c>
      <c r="C585" s="74">
        <f>B585/B584-1</f>
        <v/>
      </c>
      <c r="D585" s="74">
        <f>(Table134[[#This Row],[Index]]-B573)/B573</f>
        <v/>
      </c>
    </row>
    <row r="586">
      <c r="A586" s="19" t="n">
        <v>43922</v>
      </c>
      <c r="B586" s="61">
        <f>VLOOKUP(Table134[[#This Row],[Date]],database!A:I,8,)</f>
        <v/>
      </c>
      <c r="C586" s="74">
        <f>B586/B585-1</f>
        <v/>
      </c>
      <c r="D586" s="74">
        <f>(Table134[[#This Row],[Index]]-B574)/B574</f>
        <v/>
      </c>
    </row>
    <row r="587">
      <c r="A587" s="19" t="n">
        <v>43952</v>
      </c>
      <c r="B587" s="61">
        <f>VLOOKUP(Table134[[#This Row],[Date]],database!A:I,8,)</f>
        <v/>
      </c>
      <c r="C587" s="74">
        <f>B587/B586-1</f>
        <v/>
      </c>
      <c r="D587" s="74">
        <f>(Table134[[#This Row],[Index]]-B575)/B575</f>
        <v/>
      </c>
    </row>
    <row r="588">
      <c r="A588" s="19" t="n">
        <v>43983</v>
      </c>
      <c r="B588" s="61">
        <f>VLOOKUP(Table134[[#This Row],[Date]],database!A:I,8,)</f>
        <v/>
      </c>
      <c r="C588" s="74">
        <f>B588/B587-1</f>
        <v/>
      </c>
      <c r="D588" s="74">
        <f>(Table134[[#This Row],[Index]]-B576)/B576</f>
        <v/>
      </c>
    </row>
    <row r="589">
      <c r="A589" s="19" t="n">
        <v>44013</v>
      </c>
      <c r="B589" s="61">
        <f>VLOOKUP(Table134[[#This Row],[Date]],database!A:I,8,)</f>
        <v/>
      </c>
      <c r="C589" s="74">
        <f>B589/B588-1</f>
        <v/>
      </c>
      <c r="D589" s="74">
        <f>(Table134[[#This Row],[Index]]-B577)/B577</f>
        <v/>
      </c>
    </row>
    <row r="590">
      <c r="A590" s="19" t="n">
        <v>44044</v>
      </c>
      <c r="B590" s="61">
        <f>VLOOKUP(Table134[[#This Row],[Date]],database!A:I,8,)</f>
        <v/>
      </c>
      <c r="C590" s="74">
        <f>B590/B589-1</f>
        <v/>
      </c>
      <c r="D590" s="74">
        <f>(Table134[[#This Row],[Index]]-B578)/B578</f>
        <v/>
      </c>
    </row>
    <row r="591">
      <c r="A591" s="19" t="n">
        <v>44075</v>
      </c>
      <c r="B591" s="61">
        <f>VLOOKUP(Table134[[#This Row],[Date]],database!A:I,8,)</f>
        <v/>
      </c>
      <c r="C591" s="74">
        <f>B591/B590-1</f>
        <v/>
      </c>
      <c r="D591" s="74">
        <f>(Table134[[#This Row],[Index]]-B579)/B579</f>
        <v/>
      </c>
    </row>
    <row r="592">
      <c r="A592" s="19" t="n">
        <v>44105</v>
      </c>
      <c r="B592" s="61">
        <f>VLOOKUP(Table134[[#This Row],[Date]],database!A:I,8,)</f>
        <v/>
      </c>
      <c r="C592" s="74">
        <f>B592/B591-1</f>
        <v/>
      </c>
      <c r="D592" s="74">
        <f>(Table134[[#This Row],[Index]]-B580)/B580</f>
        <v/>
      </c>
    </row>
    <row r="593">
      <c r="A593" s="19" t="n">
        <v>44136</v>
      </c>
      <c r="B593" s="61">
        <f>VLOOKUP(Table134[[#This Row],[Date]],database!A:I,8,)</f>
        <v/>
      </c>
      <c r="C593" s="74">
        <f>B593/B592-1</f>
        <v/>
      </c>
      <c r="D593" s="74">
        <f>(Table134[[#This Row],[Index]]-B581)/B581</f>
        <v/>
      </c>
    </row>
    <row r="594">
      <c r="A594" s="19" t="n">
        <v>44166</v>
      </c>
      <c r="B594" s="61">
        <f>VLOOKUP(Table134[[#This Row],[Date]],database!A:I,8,)</f>
        <v/>
      </c>
      <c r="C594" s="74">
        <f>B594/B593-1</f>
        <v/>
      </c>
      <c r="D594" s="74">
        <f>(Table134[[#This Row],[Index]]-B582)/B582</f>
        <v/>
      </c>
    </row>
    <row r="595">
      <c r="A595" s="19" t="n">
        <v>44197</v>
      </c>
      <c r="B595" s="61">
        <f>VLOOKUP(Table134[[#This Row],[Date]],database!A:I,8,)</f>
        <v/>
      </c>
      <c r="C595" s="74">
        <f>B595/B594-1</f>
        <v/>
      </c>
      <c r="D595" s="74">
        <f>(Table134[[#This Row],[Index]]-B583)/B583</f>
        <v/>
      </c>
    </row>
    <row r="596">
      <c r="A596" s="19" t="n">
        <v>44228</v>
      </c>
      <c r="B596" s="61">
        <f>VLOOKUP(Table134[[#This Row],[Date]],database!A:I,8,)</f>
        <v/>
      </c>
      <c r="C596" s="74">
        <f>B596/B595-1</f>
        <v/>
      </c>
      <c r="D596" s="74">
        <f>(Table134[[#This Row],[Index]]-B584)/B584</f>
        <v/>
      </c>
    </row>
    <row r="597">
      <c r="A597" s="19" t="n">
        <v>44256</v>
      </c>
      <c r="B597" s="61">
        <f>VLOOKUP(Table134[[#This Row],[Date]],database!A:I,8,)</f>
        <v/>
      </c>
      <c r="C597" s="74">
        <f>B597/B596-1</f>
        <v/>
      </c>
      <c r="D597" s="74">
        <f>(Table134[[#This Row],[Index]]-B585)/B585</f>
        <v/>
      </c>
    </row>
    <row r="598">
      <c r="A598" s="19" t="n">
        <v>44287</v>
      </c>
      <c r="B598" s="61">
        <f>VLOOKUP(Table134[[#This Row],[Date]],database!A:I,8,)</f>
        <v/>
      </c>
      <c r="C598" s="74">
        <f>B598/B597-1</f>
        <v/>
      </c>
      <c r="D598" s="74">
        <f>(Table134[[#This Row],[Index]]-B586)/B586</f>
        <v/>
      </c>
    </row>
    <row r="599">
      <c r="A599" s="19" t="n">
        <v>44317</v>
      </c>
      <c r="B599" s="61">
        <f>VLOOKUP(Table134[[#This Row],[Date]],database!A:I,8,)</f>
        <v/>
      </c>
      <c r="C599" s="74">
        <f>B599/B598-1</f>
        <v/>
      </c>
      <c r="D599" s="74">
        <f>(Table134[[#This Row],[Index]]-B587)/B587</f>
        <v/>
      </c>
    </row>
    <row r="600">
      <c r="A600" s="19" t="n">
        <v>44348</v>
      </c>
      <c r="B600" s="61">
        <f>VLOOKUP(Table134[[#This Row],[Date]],database!A:I,8,)</f>
        <v/>
      </c>
      <c r="C600" s="74">
        <f>B600/B599-1</f>
        <v/>
      </c>
      <c r="D600" s="74">
        <f>(Table134[[#This Row],[Index]]-B588)/B588</f>
        <v/>
      </c>
    </row>
    <row r="601">
      <c r="A601" s="19" t="n">
        <v>44378</v>
      </c>
      <c r="B601" s="61">
        <f>VLOOKUP(Table134[[#This Row],[Date]],database!A:I,8,)</f>
        <v/>
      </c>
      <c r="C601" s="74">
        <f>B601/B600-1</f>
        <v/>
      </c>
      <c r="D601" s="74">
        <f>(Table134[[#This Row],[Index]]-B589)/B589</f>
        <v/>
      </c>
    </row>
    <row r="602">
      <c r="A602" s="19" t="n">
        <v>44409</v>
      </c>
      <c r="B602" s="61">
        <f>VLOOKUP(Table134[[#This Row],[Date]],database!A:I,8,)</f>
        <v/>
      </c>
      <c r="C602" s="74">
        <f>B602/B601-1</f>
        <v/>
      </c>
      <c r="D602" s="74">
        <f>(Table134[[#This Row],[Index]]-B590)/B590</f>
        <v/>
      </c>
    </row>
    <row r="603">
      <c r="A603" s="19" t="n">
        <v>44440</v>
      </c>
      <c r="B603" s="61">
        <f>VLOOKUP(Table134[[#This Row],[Date]],database!A:I,8,)</f>
        <v/>
      </c>
      <c r="C603" s="74">
        <f>B603/B602-1</f>
        <v/>
      </c>
      <c r="D603" s="74">
        <f>(Table134[[#This Row],[Index]]-B591)/B591</f>
        <v/>
      </c>
    </row>
    <row r="604">
      <c r="A604" s="19" t="n">
        <v>44470</v>
      </c>
      <c r="B604" s="61">
        <f>VLOOKUP(Table134[[#This Row],[Date]],database!A:I,8,)</f>
        <v/>
      </c>
      <c r="C604" s="74">
        <f>B604/B603-1</f>
        <v/>
      </c>
      <c r="D604" s="74">
        <f>(Table134[[#This Row],[Index]]-B592)/B592</f>
        <v/>
      </c>
    </row>
    <row r="605">
      <c r="A605" s="19" t="n">
        <v>44501</v>
      </c>
      <c r="B605" s="61">
        <f>VLOOKUP(Table134[[#This Row],[Date]],database!A:I,8,)</f>
        <v/>
      </c>
      <c r="C605" s="74">
        <f>B605/B604-1</f>
        <v/>
      </c>
      <c r="D605" s="74">
        <f>(Table134[[#This Row],[Index]]-B593)/B593</f>
        <v/>
      </c>
    </row>
    <row r="606">
      <c r="A606" s="19" t="n">
        <v>44531</v>
      </c>
      <c r="B606" s="61">
        <f>VLOOKUP(Table134[[#This Row],[Date]],database!A:I,8,)</f>
        <v/>
      </c>
      <c r="C606" s="74">
        <f>B606/B605-1</f>
        <v/>
      </c>
      <c r="D606" s="74">
        <f>(Table134[[#This Row],[Index]]-B594)/B594</f>
        <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6"/>
  <sheetViews>
    <sheetView zoomScale="160" zoomScaleNormal="160" workbookViewId="0">
      <pane ySplit="6" topLeftCell="A567" activePane="bottomLeft" state="frozen"/>
      <selection activeCell="A572" sqref="A572:D575"/>
      <selection pane="bottomLeft" activeCell="Y586" sqref="Y586"/>
    </sheetView>
  </sheetViews>
  <sheetFormatPr baseColWidth="10" defaultColWidth="9.1640625" defaultRowHeight="15"/>
  <cols>
    <col width="9.6640625" customWidth="1" style="20" min="1" max="1"/>
    <col width="9.6640625" customWidth="1" style="57" min="2" max="2"/>
    <col width="14" customWidth="1" style="69" min="3" max="3"/>
    <col width="14.6640625" customWidth="1" style="81" min="4" max="4"/>
    <col width="9.1640625" customWidth="1" style="81" min="5" max="8"/>
    <col width="9.1640625" customWidth="1" style="81" min="9" max="16384"/>
  </cols>
  <sheetData>
    <row r="1">
      <c r="A1" s="81" t="inlineStr">
        <is>
          <t>IPUTIL</t>
        </is>
      </c>
      <c r="B1" s="81" t="n"/>
      <c r="C1" s="81" t="n"/>
      <c r="S1" s="22" t="inlineStr">
        <is>
          <t>Industrial Production: Electric and gas utilities</t>
        </is>
      </c>
      <c r="T1" s="70" t="inlineStr">
        <is>
          <t xml:space="preserve"> since 2000 - </t>
        </is>
      </c>
      <c r="U1" s="81">
        <f>S1&amp;T1</f>
        <v/>
      </c>
      <c r="Y1" s="66">
        <f>U2&amp; T1</f>
        <v/>
      </c>
    </row>
    <row r="2">
      <c r="A2" s="18" t="n"/>
      <c r="B2" s="81" t="n"/>
      <c r="C2" s="81" t="n"/>
      <c r="S2" s="58" t="n"/>
      <c r="T2" s="70" t="n"/>
      <c r="U2" s="81">
        <f>S1&amp;Table1345[[#Headers],[ yoy]]</f>
        <v/>
      </c>
    </row>
    <row r="3">
      <c r="A3" s="18" t="n"/>
      <c r="B3" s="58" t="n"/>
      <c r="C3" s="70" t="n"/>
    </row>
    <row r="4">
      <c r="A4" s="18" t="n"/>
      <c r="B4" s="58" t="n"/>
      <c r="C4" s="70" t="n"/>
    </row>
    <row r="5">
      <c r="A5" s="18" t="n"/>
      <c r="B5" s="58" t="n"/>
      <c r="C5" s="70" t="n"/>
    </row>
    <row r="6">
      <c r="A6" s="21" t="inlineStr">
        <is>
          <t>Date</t>
        </is>
      </c>
      <c r="B6" s="62" t="inlineStr">
        <is>
          <t>Index</t>
        </is>
      </c>
      <c r="C6" s="77" t="inlineStr">
        <is>
          <t>mom</t>
        </is>
      </c>
      <c r="D6" s="78" t="inlineStr">
        <is>
          <t xml:space="preserve"> yoy</t>
        </is>
      </c>
    </row>
    <row r="7">
      <c r="A7" s="19" t="n">
        <v>26299</v>
      </c>
      <c r="B7" s="61">
        <f>VLOOKUP(Table1345[[#This Row],[Date]],database!A:I,9,)</f>
        <v/>
      </c>
      <c r="C7" s="74" t="n"/>
      <c r="D7" s="74" t="n"/>
    </row>
    <row r="8">
      <c r="A8" s="19" t="n">
        <v>26330</v>
      </c>
      <c r="B8" s="61">
        <f>VLOOKUP(Table1345[[#This Row],[Date]],database!A:I,9,)</f>
        <v/>
      </c>
      <c r="C8" s="74">
        <f>B8/B7-1</f>
        <v/>
      </c>
      <c r="D8" s="74" t="n"/>
    </row>
    <row r="9">
      <c r="A9" s="19" t="n">
        <v>26359</v>
      </c>
      <c r="B9" s="61">
        <f>VLOOKUP(Table1345[[#This Row],[Date]],database!A:I,9,)</f>
        <v/>
      </c>
      <c r="C9" s="74">
        <f>B9/B8-1</f>
        <v/>
      </c>
      <c r="D9" s="74" t="n"/>
    </row>
    <row r="10">
      <c r="A10" s="19" t="n">
        <v>26390</v>
      </c>
      <c r="B10" s="61">
        <f>VLOOKUP(Table1345[[#This Row],[Date]],database!A:I,9,)</f>
        <v/>
      </c>
      <c r="C10" s="74">
        <f>B10/B9-1</f>
        <v/>
      </c>
      <c r="D10" s="74" t="n"/>
    </row>
    <row r="11">
      <c r="A11" s="19" t="n">
        <v>26420</v>
      </c>
      <c r="B11" s="61">
        <f>VLOOKUP(Table1345[[#This Row],[Date]],database!A:I,9,)</f>
        <v/>
      </c>
      <c r="C11" s="74">
        <f>B11/B10-1</f>
        <v/>
      </c>
      <c r="D11" s="74" t="n"/>
    </row>
    <row r="12">
      <c r="A12" s="19" t="n">
        <v>26451</v>
      </c>
      <c r="B12" s="61">
        <f>VLOOKUP(Table1345[[#This Row],[Date]],database!A:I,9,)</f>
        <v/>
      </c>
      <c r="C12" s="74">
        <f>B12/B11-1</f>
        <v/>
      </c>
      <c r="D12" s="74" t="n"/>
    </row>
    <row r="13">
      <c r="A13" s="19" t="n">
        <v>26481</v>
      </c>
      <c r="B13" s="61">
        <f>VLOOKUP(Table1345[[#This Row],[Date]],database!A:I,9,)</f>
        <v/>
      </c>
      <c r="C13" s="74">
        <f>B13/B12-1</f>
        <v/>
      </c>
      <c r="D13" s="74" t="n"/>
    </row>
    <row r="14">
      <c r="A14" s="19" t="n">
        <v>26512</v>
      </c>
      <c r="B14" s="61">
        <f>VLOOKUP(Table1345[[#This Row],[Date]],database!A:I,9,)</f>
        <v/>
      </c>
      <c r="C14" s="74">
        <f>B14/B13-1</f>
        <v/>
      </c>
      <c r="D14" s="74" t="n"/>
    </row>
    <row r="15">
      <c r="A15" s="19" t="n">
        <v>26543</v>
      </c>
      <c r="B15" s="61">
        <f>VLOOKUP(Table1345[[#This Row],[Date]],database!A:I,9,)</f>
        <v/>
      </c>
      <c r="C15" s="74">
        <f>B15/B14-1</f>
        <v/>
      </c>
      <c r="D15" s="74" t="n"/>
    </row>
    <row r="16">
      <c r="A16" s="19" t="n">
        <v>26573</v>
      </c>
      <c r="B16" s="61">
        <f>VLOOKUP(Table1345[[#This Row],[Date]],database!A:I,9,)</f>
        <v/>
      </c>
      <c r="C16" s="74">
        <f>B16/B15-1</f>
        <v/>
      </c>
      <c r="D16" s="74" t="n"/>
    </row>
    <row r="17">
      <c r="A17" s="19" t="n">
        <v>26604</v>
      </c>
      <c r="B17" s="61">
        <f>VLOOKUP(Table1345[[#This Row],[Date]],database!A:I,9,)</f>
        <v/>
      </c>
      <c r="C17" s="74">
        <f>B17/B16-1</f>
        <v/>
      </c>
      <c r="D17" s="74" t="n"/>
    </row>
    <row r="18">
      <c r="A18" s="19" t="n">
        <v>26634</v>
      </c>
      <c r="B18" s="61">
        <f>VLOOKUP(Table1345[[#This Row],[Date]],database!A:I,9,)</f>
        <v/>
      </c>
      <c r="C18" s="74">
        <f>B18/B17-1</f>
        <v/>
      </c>
      <c r="D18" s="74" t="n"/>
    </row>
    <row r="19">
      <c r="A19" s="19" t="n">
        <v>26665</v>
      </c>
      <c r="B19" s="61">
        <f>VLOOKUP(Table1345[[#This Row],[Date]],database!A:I,9,)</f>
        <v/>
      </c>
      <c r="C19" s="74">
        <f>B19/B18-1</f>
        <v/>
      </c>
      <c r="D19" s="74" t="n"/>
    </row>
    <row r="20">
      <c r="A20" s="19" t="n">
        <v>26696</v>
      </c>
      <c r="B20" s="61">
        <f>VLOOKUP(Table1345[[#This Row],[Date]],database!A:I,9,)</f>
        <v/>
      </c>
      <c r="C20" s="74">
        <f>B20/B19-1</f>
        <v/>
      </c>
      <c r="D20" s="74">
        <f>(Table1345[[#This Row],[Index]]-B8)/B8</f>
        <v/>
      </c>
    </row>
    <row r="21">
      <c r="A21" s="19" t="n">
        <v>26724</v>
      </c>
      <c r="B21" s="61">
        <f>VLOOKUP(Table1345[[#This Row],[Date]],database!A:I,9,)</f>
        <v/>
      </c>
      <c r="C21" s="74">
        <f>B21/B20-1</f>
        <v/>
      </c>
      <c r="D21" s="74">
        <f>(Table1345[[#This Row],[Index]]-B9)/B9</f>
        <v/>
      </c>
    </row>
    <row r="22">
      <c r="A22" s="19" t="n">
        <v>26755</v>
      </c>
      <c r="B22" s="61">
        <f>VLOOKUP(Table1345[[#This Row],[Date]],database!A:I,9,)</f>
        <v/>
      </c>
      <c r="C22" s="74">
        <f>B22/B21-1</f>
        <v/>
      </c>
      <c r="D22" s="74">
        <f>(Table1345[[#This Row],[Index]]-B10)/B10</f>
        <v/>
      </c>
    </row>
    <row r="23">
      <c r="A23" s="19" t="n">
        <v>26785</v>
      </c>
      <c r="B23" s="61">
        <f>VLOOKUP(Table1345[[#This Row],[Date]],database!A:I,9,)</f>
        <v/>
      </c>
      <c r="C23" s="74">
        <f>B23/B22-1</f>
        <v/>
      </c>
      <c r="D23" s="74">
        <f>(Table1345[[#This Row],[Index]]-B11)/B11</f>
        <v/>
      </c>
    </row>
    <row r="24">
      <c r="A24" s="19" t="n">
        <v>26816</v>
      </c>
      <c r="B24" s="61">
        <f>VLOOKUP(Table1345[[#This Row],[Date]],database!A:I,9,)</f>
        <v/>
      </c>
      <c r="C24" s="74">
        <f>B24/B23-1</f>
        <v/>
      </c>
      <c r="D24" s="74">
        <f>(Table1345[[#This Row],[Index]]-B12)/B12</f>
        <v/>
      </c>
    </row>
    <row r="25">
      <c r="A25" s="19" t="n">
        <v>26846</v>
      </c>
      <c r="B25" s="61">
        <f>VLOOKUP(Table1345[[#This Row],[Date]],database!A:I,9,)</f>
        <v/>
      </c>
      <c r="C25" s="74">
        <f>B25/B24-1</f>
        <v/>
      </c>
      <c r="D25" s="74">
        <f>(Table1345[[#This Row],[Index]]-B13)/B13</f>
        <v/>
      </c>
    </row>
    <row r="26">
      <c r="A26" s="19" t="n">
        <v>26877</v>
      </c>
      <c r="B26" s="61">
        <f>VLOOKUP(Table1345[[#This Row],[Date]],database!A:I,9,)</f>
        <v/>
      </c>
      <c r="C26" s="74">
        <f>B26/B25-1</f>
        <v/>
      </c>
      <c r="D26" s="74">
        <f>(Table1345[[#This Row],[Index]]-B14)/B14</f>
        <v/>
      </c>
    </row>
    <row r="27">
      <c r="A27" s="19" t="n">
        <v>26908</v>
      </c>
      <c r="B27" s="61">
        <f>VLOOKUP(Table1345[[#This Row],[Date]],database!A:I,9,)</f>
        <v/>
      </c>
      <c r="C27" s="74">
        <f>B27/B26-1</f>
        <v/>
      </c>
      <c r="D27" s="74">
        <f>(Table1345[[#This Row],[Index]]-B15)/B15</f>
        <v/>
      </c>
    </row>
    <row r="28">
      <c r="A28" s="19" t="n">
        <v>26938</v>
      </c>
      <c r="B28" s="61">
        <f>VLOOKUP(Table1345[[#This Row],[Date]],database!A:I,9,)</f>
        <v/>
      </c>
      <c r="C28" s="74">
        <f>B28/B27-1</f>
        <v/>
      </c>
      <c r="D28" s="74">
        <f>(Table1345[[#This Row],[Index]]-B16)/B16</f>
        <v/>
      </c>
    </row>
    <row r="29">
      <c r="A29" s="19" t="n">
        <v>26969</v>
      </c>
      <c r="B29" s="61">
        <f>VLOOKUP(Table1345[[#This Row],[Date]],database!A:I,9,)</f>
        <v/>
      </c>
      <c r="C29" s="74">
        <f>B29/B28-1</f>
        <v/>
      </c>
      <c r="D29" s="74">
        <f>(Table1345[[#This Row],[Index]]-B17)/B17</f>
        <v/>
      </c>
    </row>
    <row r="30">
      <c r="A30" s="19" t="n">
        <v>26999</v>
      </c>
      <c r="B30" s="61">
        <f>VLOOKUP(Table1345[[#This Row],[Date]],database!A:I,9,)</f>
        <v/>
      </c>
      <c r="C30" s="74">
        <f>B30/B29-1</f>
        <v/>
      </c>
      <c r="D30" s="74">
        <f>(Table1345[[#This Row],[Index]]-B18)/B18</f>
        <v/>
      </c>
    </row>
    <row r="31">
      <c r="A31" s="19" t="n">
        <v>27030</v>
      </c>
      <c r="B31" s="61">
        <f>VLOOKUP(Table1345[[#This Row],[Date]],database!A:I,9,)</f>
        <v/>
      </c>
      <c r="C31" s="74">
        <f>B31/B30-1</f>
        <v/>
      </c>
      <c r="D31" s="74">
        <f>(Table1345[[#This Row],[Index]]-B19)/B19</f>
        <v/>
      </c>
    </row>
    <row r="32">
      <c r="A32" s="19" t="n">
        <v>27061</v>
      </c>
      <c r="B32" s="61">
        <f>VLOOKUP(Table1345[[#This Row],[Date]],database!A:I,9,)</f>
        <v/>
      </c>
      <c r="C32" s="74">
        <f>B32/B31-1</f>
        <v/>
      </c>
      <c r="D32" s="74">
        <f>(Table1345[[#This Row],[Index]]-B20)/B20</f>
        <v/>
      </c>
    </row>
    <row r="33">
      <c r="A33" s="19" t="n">
        <v>27089</v>
      </c>
      <c r="B33" s="61">
        <f>VLOOKUP(Table1345[[#This Row],[Date]],database!A:I,9,)</f>
        <v/>
      </c>
      <c r="C33" s="74">
        <f>B33/B32-1</f>
        <v/>
      </c>
      <c r="D33" s="74">
        <f>(Table1345[[#This Row],[Index]]-B21)/B21</f>
        <v/>
      </c>
    </row>
    <row r="34">
      <c r="A34" s="19" t="n">
        <v>27120</v>
      </c>
      <c r="B34" s="61">
        <f>VLOOKUP(Table1345[[#This Row],[Date]],database!A:I,9,)</f>
        <v/>
      </c>
      <c r="C34" s="74">
        <f>B34/B33-1</f>
        <v/>
      </c>
      <c r="D34" s="74">
        <f>(Table1345[[#This Row],[Index]]-B22)/B22</f>
        <v/>
      </c>
    </row>
    <row r="35">
      <c r="A35" s="19" t="n">
        <v>27150</v>
      </c>
      <c r="B35" s="61">
        <f>VLOOKUP(Table1345[[#This Row],[Date]],database!A:I,9,)</f>
        <v/>
      </c>
      <c r="C35" s="74">
        <f>B35/B34-1</f>
        <v/>
      </c>
      <c r="D35" s="74">
        <f>(Table1345[[#This Row],[Index]]-B23)/B23</f>
        <v/>
      </c>
    </row>
    <row r="36">
      <c r="A36" s="19" t="n">
        <v>27181</v>
      </c>
      <c r="B36" s="61">
        <f>VLOOKUP(Table1345[[#This Row],[Date]],database!A:I,9,)</f>
        <v/>
      </c>
      <c r="C36" s="74">
        <f>B36/B35-1</f>
        <v/>
      </c>
      <c r="D36" s="74">
        <f>(Table1345[[#This Row],[Index]]-B24)/B24</f>
        <v/>
      </c>
    </row>
    <row r="37">
      <c r="A37" s="19" t="n">
        <v>27211</v>
      </c>
      <c r="B37" s="61">
        <f>VLOOKUP(Table1345[[#This Row],[Date]],database!A:I,9,)</f>
        <v/>
      </c>
      <c r="C37" s="74">
        <f>B37/B36-1</f>
        <v/>
      </c>
      <c r="D37" s="74">
        <f>(Table1345[[#This Row],[Index]]-B25)/B25</f>
        <v/>
      </c>
    </row>
    <row r="38">
      <c r="A38" s="19" t="n">
        <v>27242</v>
      </c>
      <c r="B38" s="61">
        <f>VLOOKUP(Table1345[[#This Row],[Date]],database!A:I,9,)</f>
        <v/>
      </c>
      <c r="C38" s="74">
        <f>B38/B37-1</f>
        <v/>
      </c>
      <c r="D38" s="74">
        <f>(Table1345[[#This Row],[Index]]-B26)/B26</f>
        <v/>
      </c>
    </row>
    <row r="39">
      <c r="A39" s="19" t="n">
        <v>27273</v>
      </c>
      <c r="B39" s="61">
        <f>VLOOKUP(Table1345[[#This Row],[Date]],database!A:I,9,)</f>
        <v/>
      </c>
      <c r="C39" s="74">
        <f>B39/B38-1</f>
        <v/>
      </c>
      <c r="D39" s="74">
        <f>(Table1345[[#This Row],[Index]]-B27)/B27</f>
        <v/>
      </c>
    </row>
    <row r="40">
      <c r="A40" s="19" t="n">
        <v>27303</v>
      </c>
      <c r="B40" s="61">
        <f>VLOOKUP(Table1345[[#This Row],[Date]],database!A:I,9,)</f>
        <v/>
      </c>
      <c r="C40" s="74">
        <f>B40/B39-1</f>
        <v/>
      </c>
      <c r="D40" s="74">
        <f>(Table1345[[#This Row],[Index]]-B28)/B28</f>
        <v/>
      </c>
    </row>
    <row r="41">
      <c r="A41" s="19" t="n">
        <v>27334</v>
      </c>
      <c r="B41" s="61">
        <f>VLOOKUP(Table1345[[#This Row],[Date]],database!A:I,9,)</f>
        <v/>
      </c>
      <c r="C41" s="74">
        <f>B41/B40-1</f>
        <v/>
      </c>
      <c r="D41" s="74">
        <f>(Table1345[[#This Row],[Index]]-B29)/B29</f>
        <v/>
      </c>
    </row>
    <row r="42">
      <c r="A42" s="19" t="n">
        <v>27364</v>
      </c>
      <c r="B42" s="61">
        <f>VLOOKUP(Table1345[[#This Row],[Date]],database!A:I,9,)</f>
        <v/>
      </c>
      <c r="C42" s="74">
        <f>B42/B41-1</f>
        <v/>
      </c>
      <c r="D42" s="74">
        <f>(Table1345[[#This Row],[Index]]-B30)/B30</f>
        <v/>
      </c>
    </row>
    <row r="43">
      <c r="A43" s="19" t="n">
        <v>27395</v>
      </c>
      <c r="B43" s="61">
        <f>VLOOKUP(Table1345[[#This Row],[Date]],database!A:I,9,)</f>
        <v/>
      </c>
      <c r="C43" s="74">
        <f>B43/B42-1</f>
        <v/>
      </c>
      <c r="D43" s="74">
        <f>(Table1345[[#This Row],[Index]]-B31)/B31</f>
        <v/>
      </c>
    </row>
    <row r="44">
      <c r="A44" s="19" t="n">
        <v>27426</v>
      </c>
      <c r="B44" s="61">
        <f>VLOOKUP(Table1345[[#This Row],[Date]],database!A:I,9,)</f>
        <v/>
      </c>
      <c r="C44" s="74">
        <f>B44/B43-1</f>
        <v/>
      </c>
      <c r="D44" s="74">
        <f>(Table1345[[#This Row],[Index]]-B32)/B32</f>
        <v/>
      </c>
    </row>
    <row r="45">
      <c r="A45" s="19" t="n">
        <v>27454</v>
      </c>
      <c r="B45" s="61">
        <f>VLOOKUP(Table1345[[#This Row],[Date]],database!A:I,9,)</f>
        <v/>
      </c>
      <c r="C45" s="74">
        <f>B45/B44-1</f>
        <v/>
      </c>
      <c r="D45" s="74">
        <f>(Table1345[[#This Row],[Index]]-B33)/B33</f>
        <v/>
      </c>
    </row>
    <row r="46">
      <c r="A46" s="19" t="n">
        <v>27485</v>
      </c>
      <c r="B46" s="61">
        <f>VLOOKUP(Table1345[[#This Row],[Date]],database!A:I,9,)</f>
        <v/>
      </c>
      <c r="C46" s="74">
        <f>B46/B45-1</f>
        <v/>
      </c>
      <c r="D46" s="74">
        <f>(Table1345[[#This Row],[Index]]-B34)/B34</f>
        <v/>
      </c>
    </row>
    <row r="47">
      <c r="A47" s="19" t="n">
        <v>27515</v>
      </c>
      <c r="B47" s="61">
        <f>VLOOKUP(Table1345[[#This Row],[Date]],database!A:I,9,)</f>
        <v/>
      </c>
      <c r="C47" s="74">
        <f>B47/B46-1</f>
        <v/>
      </c>
      <c r="D47" s="74">
        <f>(Table1345[[#This Row],[Index]]-B35)/B35</f>
        <v/>
      </c>
    </row>
    <row r="48">
      <c r="A48" s="19" t="n">
        <v>27546</v>
      </c>
      <c r="B48" s="61">
        <f>VLOOKUP(Table1345[[#This Row],[Date]],database!A:I,9,)</f>
        <v/>
      </c>
      <c r="C48" s="74">
        <f>B48/B47-1</f>
        <v/>
      </c>
      <c r="D48" s="74">
        <f>(Table1345[[#This Row],[Index]]-B36)/B36</f>
        <v/>
      </c>
    </row>
    <row r="49">
      <c r="A49" s="19" t="n">
        <v>27576</v>
      </c>
      <c r="B49" s="61">
        <f>VLOOKUP(Table1345[[#This Row],[Date]],database!A:I,9,)</f>
        <v/>
      </c>
      <c r="C49" s="74">
        <f>B49/B48-1</f>
        <v/>
      </c>
      <c r="D49" s="74">
        <f>(Table1345[[#This Row],[Index]]-B37)/B37</f>
        <v/>
      </c>
    </row>
    <row r="50">
      <c r="A50" s="19" t="n">
        <v>27607</v>
      </c>
      <c r="B50" s="61">
        <f>VLOOKUP(Table1345[[#This Row],[Date]],database!A:I,9,)</f>
        <v/>
      </c>
      <c r="C50" s="74">
        <f>B50/B49-1</f>
        <v/>
      </c>
      <c r="D50" s="74">
        <f>(Table1345[[#This Row],[Index]]-B38)/B38</f>
        <v/>
      </c>
    </row>
    <row r="51">
      <c r="A51" s="19" t="n">
        <v>27638</v>
      </c>
      <c r="B51" s="61">
        <f>VLOOKUP(Table1345[[#This Row],[Date]],database!A:I,9,)</f>
        <v/>
      </c>
      <c r="C51" s="74">
        <f>B51/B50-1</f>
        <v/>
      </c>
      <c r="D51" s="74">
        <f>(Table1345[[#This Row],[Index]]-B39)/B39</f>
        <v/>
      </c>
    </row>
    <row r="52">
      <c r="A52" s="19" t="n">
        <v>27668</v>
      </c>
      <c r="B52" s="61">
        <f>VLOOKUP(Table1345[[#This Row],[Date]],database!A:I,9,)</f>
        <v/>
      </c>
      <c r="C52" s="74">
        <f>B52/B51-1</f>
        <v/>
      </c>
      <c r="D52" s="74">
        <f>(Table1345[[#This Row],[Index]]-B40)/B40</f>
        <v/>
      </c>
    </row>
    <row r="53">
      <c r="A53" s="19" t="n">
        <v>27699</v>
      </c>
      <c r="B53" s="61">
        <f>VLOOKUP(Table1345[[#This Row],[Date]],database!A:I,9,)</f>
        <v/>
      </c>
      <c r="C53" s="74">
        <f>B53/B52-1</f>
        <v/>
      </c>
      <c r="D53" s="74">
        <f>(Table1345[[#This Row],[Index]]-B41)/B41</f>
        <v/>
      </c>
    </row>
    <row r="54">
      <c r="A54" s="19" t="n">
        <v>27729</v>
      </c>
      <c r="B54" s="61">
        <f>VLOOKUP(Table1345[[#This Row],[Date]],database!A:I,9,)</f>
        <v/>
      </c>
      <c r="C54" s="74">
        <f>B54/B53-1</f>
        <v/>
      </c>
      <c r="D54" s="74">
        <f>(Table1345[[#This Row],[Index]]-B42)/B42</f>
        <v/>
      </c>
    </row>
    <row r="55">
      <c r="A55" s="19" t="n">
        <v>27760</v>
      </c>
      <c r="B55" s="61">
        <f>VLOOKUP(Table1345[[#This Row],[Date]],database!A:I,9,)</f>
        <v/>
      </c>
      <c r="C55" s="74">
        <f>B55/B54-1</f>
        <v/>
      </c>
      <c r="D55" s="74">
        <f>(Table1345[[#This Row],[Index]]-B43)/B43</f>
        <v/>
      </c>
    </row>
    <row r="56">
      <c r="A56" s="19" t="n">
        <v>27791</v>
      </c>
      <c r="B56" s="61">
        <f>VLOOKUP(Table1345[[#This Row],[Date]],database!A:I,9,)</f>
        <v/>
      </c>
      <c r="C56" s="74">
        <f>B56/B55-1</f>
        <v/>
      </c>
      <c r="D56" s="74">
        <f>(Table1345[[#This Row],[Index]]-B44)/B44</f>
        <v/>
      </c>
    </row>
    <row r="57">
      <c r="A57" s="19" t="n">
        <v>27820</v>
      </c>
      <c r="B57" s="61">
        <f>VLOOKUP(Table1345[[#This Row],[Date]],database!A:I,9,)</f>
        <v/>
      </c>
      <c r="C57" s="74">
        <f>B57/B56-1</f>
        <v/>
      </c>
      <c r="D57" s="74">
        <f>(Table1345[[#This Row],[Index]]-B45)/B45</f>
        <v/>
      </c>
    </row>
    <row r="58">
      <c r="A58" s="19" t="n">
        <v>27851</v>
      </c>
      <c r="B58" s="61">
        <f>VLOOKUP(Table1345[[#This Row],[Date]],database!A:I,9,)</f>
        <v/>
      </c>
      <c r="C58" s="74">
        <f>B58/B57-1</f>
        <v/>
      </c>
      <c r="D58" s="74">
        <f>(Table1345[[#This Row],[Index]]-B46)/B46</f>
        <v/>
      </c>
    </row>
    <row r="59">
      <c r="A59" s="19" t="n">
        <v>27881</v>
      </c>
      <c r="B59" s="61">
        <f>VLOOKUP(Table1345[[#This Row],[Date]],database!A:I,9,)</f>
        <v/>
      </c>
      <c r="C59" s="74">
        <f>B59/B58-1</f>
        <v/>
      </c>
      <c r="D59" s="74">
        <f>(Table1345[[#This Row],[Index]]-B47)/B47</f>
        <v/>
      </c>
    </row>
    <row r="60">
      <c r="A60" s="19" t="n">
        <v>27912</v>
      </c>
      <c r="B60" s="61">
        <f>VLOOKUP(Table1345[[#This Row],[Date]],database!A:I,9,)</f>
        <v/>
      </c>
      <c r="C60" s="74">
        <f>B60/B59-1</f>
        <v/>
      </c>
      <c r="D60" s="74">
        <f>(Table1345[[#This Row],[Index]]-B48)/B48</f>
        <v/>
      </c>
    </row>
    <row r="61">
      <c r="A61" s="19" t="n">
        <v>27942</v>
      </c>
      <c r="B61" s="61">
        <f>VLOOKUP(Table1345[[#This Row],[Date]],database!A:I,9,)</f>
        <v/>
      </c>
      <c r="C61" s="74">
        <f>B61/B60-1</f>
        <v/>
      </c>
      <c r="D61" s="74">
        <f>(Table1345[[#This Row],[Index]]-B49)/B49</f>
        <v/>
      </c>
    </row>
    <row r="62">
      <c r="A62" s="19" t="n">
        <v>27973</v>
      </c>
      <c r="B62" s="61">
        <f>VLOOKUP(Table1345[[#This Row],[Date]],database!A:I,9,)</f>
        <v/>
      </c>
      <c r="C62" s="74">
        <f>B62/B61-1</f>
        <v/>
      </c>
      <c r="D62" s="74">
        <f>(Table1345[[#This Row],[Index]]-B50)/B50</f>
        <v/>
      </c>
    </row>
    <row r="63">
      <c r="A63" s="19" t="n">
        <v>28004</v>
      </c>
      <c r="B63" s="61">
        <f>VLOOKUP(Table1345[[#This Row],[Date]],database!A:I,9,)</f>
        <v/>
      </c>
      <c r="C63" s="74">
        <f>B63/B62-1</f>
        <v/>
      </c>
      <c r="D63" s="74">
        <f>(Table1345[[#This Row],[Index]]-B51)/B51</f>
        <v/>
      </c>
    </row>
    <row r="64">
      <c r="A64" s="19" t="n">
        <v>28034</v>
      </c>
      <c r="B64" s="61">
        <f>VLOOKUP(Table1345[[#This Row],[Date]],database!A:I,9,)</f>
        <v/>
      </c>
      <c r="C64" s="74">
        <f>B64/B63-1</f>
        <v/>
      </c>
      <c r="D64" s="74">
        <f>(Table1345[[#This Row],[Index]]-B52)/B52</f>
        <v/>
      </c>
    </row>
    <row r="65">
      <c r="A65" s="19" t="n">
        <v>28065</v>
      </c>
      <c r="B65" s="61">
        <f>VLOOKUP(Table1345[[#This Row],[Date]],database!A:I,9,)</f>
        <v/>
      </c>
      <c r="C65" s="74">
        <f>B65/B64-1</f>
        <v/>
      </c>
      <c r="D65" s="74">
        <f>(Table1345[[#This Row],[Index]]-B53)/B53</f>
        <v/>
      </c>
    </row>
    <row r="66">
      <c r="A66" s="19" t="n">
        <v>28095</v>
      </c>
      <c r="B66" s="61">
        <f>VLOOKUP(Table1345[[#This Row],[Date]],database!A:I,9,)</f>
        <v/>
      </c>
      <c r="C66" s="74">
        <f>B66/B65-1</f>
        <v/>
      </c>
      <c r="D66" s="74">
        <f>(Table1345[[#This Row],[Index]]-B54)/B54</f>
        <v/>
      </c>
    </row>
    <row r="67">
      <c r="A67" s="19" t="n">
        <v>28126</v>
      </c>
      <c r="B67" s="61">
        <f>VLOOKUP(Table1345[[#This Row],[Date]],database!A:I,9,)</f>
        <v/>
      </c>
      <c r="C67" s="74">
        <f>B67/B66-1</f>
        <v/>
      </c>
      <c r="D67" s="74">
        <f>(Table1345[[#This Row],[Index]]-B55)/B55</f>
        <v/>
      </c>
    </row>
    <row r="68">
      <c r="A68" s="19" t="n">
        <v>28157</v>
      </c>
      <c r="B68" s="61">
        <f>VLOOKUP(Table1345[[#This Row],[Date]],database!A:I,9,)</f>
        <v/>
      </c>
      <c r="C68" s="74">
        <f>B68/B67-1</f>
        <v/>
      </c>
      <c r="D68" s="74">
        <f>(Table1345[[#This Row],[Index]]-B56)/B56</f>
        <v/>
      </c>
    </row>
    <row r="69">
      <c r="A69" s="19" t="n">
        <v>28185</v>
      </c>
      <c r="B69" s="61">
        <f>VLOOKUP(Table1345[[#This Row],[Date]],database!A:I,9,)</f>
        <v/>
      </c>
      <c r="C69" s="74">
        <f>B69/B68-1</f>
        <v/>
      </c>
      <c r="D69" s="74">
        <f>(Table1345[[#This Row],[Index]]-B57)/B57</f>
        <v/>
      </c>
    </row>
    <row r="70">
      <c r="A70" s="19" t="n">
        <v>28216</v>
      </c>
      <c r="B70" s="61">
        <f>VLOOKUP(Table1345[[#This Row],[Date]],database!A:I,9,)</f>
        <v/>
      </c>
      <c r="C70" s="74">
        <f>B70/B69-1</f>
        <v/>
      </c>
      <c r="D70" s="74">
        <f>(Table1345[[#This Row],[Index]]-B58)/B58</f>
        <v/>
      </c>
    </row>
    <row r="71">
      <c r="A71" s="19" t="n">
        <v>28246</v>
      </c>
      <c r="B71" s="61">
        <f>VLOOKUP(Table1345[[#This Row],[Date]],database!A:I,9,)</f>
        <v/>
      </c>
      <c r="C71" s="74">
        <f>B71/B70-1</f>
        <v/>
      </c>
      <c r="D71" s="74">
        <f>(Table1345[[#This Row],[Index]]-B59)/B59</f>
        <v/>
      </c>
    </row>
    <row r="72">
      <c r="A72" s="19" t="n">
        <v>28277</v>
      </c>
      <c r="B72" s="61">
        <f>VLOOKUP(Table1345[[#This Row],[Date]],database!A:I,9,)</f>
        <v/>
      </c>
      <c r="C72" s="74">
        <f>B72/B71-1</f>
        <v/>
      </c>
      <c r="D72" s="74">
        <f>(Table1345[[#This Row],[Index]]-B60)/B60</f>
        <v/>
      </c>
    </row>
    <row r="73">
      <c r="A73" s="19" t="n">
        <v>28307</v>
      </c>
      <c r="B73" s="61">
        <f>VLOOKUP(Table1345[[#This Row],[Date]],database!A:I,9,)</f>
        <v/>
      </c>
      <c r="C73" s="74">
        <f>B73/B72-1</f>
        <v/>
      </c>
      <c r="D73" s="74">
        <f>(Table1345[[#This Row],[Index]]-B61)/B61</f>
        <v/>
      </c>
    </row>
    <row r="74">
      <c r="A74" s="19" t="n">
        <v>28338</v>
      </c>
      <c r="B74" s="61">
        <f>VLOOKUP(Table1345[[#This Row],[Date]],database!A:I,9,)</f>
        <v/>
      </c>
      <c r="C74" s="74">
        <f>B74/B73-1</f>
        <v/>
      </c>
      <c r="D74" s="74">
        <f>(Table1345[[#This Row],[Index]]-B62)/B62</f>
        <v/>
      </c>
    </row>
    <row r="75">
      <c r="A75" s="19" t="n">
        <v>28369</v>
      </c>
      <c r="B75" s="61">
        <f>VLOOKUP(Table1345[[#This Row],[Date]],database!A:I,9,)</f>
        <v/>
      </c>
      <c r="C75" s="74">
        <f>B75/B74-1</f>
        <v/>
      </c>
      <c r="D75" s="74">
        <f>(Table1345[[#This Row],[Index]]-B63)/B63</f>
        <v/>
      </c>
    </row>
    <row r="76">
      <c r="A76" s="19" t="n">
        <v>28399</v>
      </c>
      <c r="B76" s="61">
        <f>VLOOKUP(Table1345[[#This Row],[Date]],database!A:I,9,)</f>
        <v/>
      </c>
      <c r="C76" s="74">
        <f>B76/B75-1</f>
        <v/>
      </c>
      <c r="D76" s="74">
        <f>(Table1345[[#This Row],[Index]]-B64)/B64</f>
        <v/>
      </c>
    </row>
    <row r="77">
      <c r="A77" s="19" t="n">
        <v>28430</v>
      </c>
      <c r="B77" s="61">
        <f>VLOOKUP(Table1345[[#This Row],[Date]],database!A:I,9,)</f>
        <v/>
      </c>
      <c r="C77" s="74">
        <f>B77/B76-1</f>
        <v/>
      </c>
      <c r="D77" s="74">
        <f>(Table1345[[#This Row],[Index]]-B65)/B65</f>
        <v/>
      </c>
    </row>
    <row r="78">
      <c r="A78" s="19" t="n">
        <v>28460</v>
      </c>
      <c r="B78" s="61">
        <f>VLOOKUP(Table1345[[#This Row],[Date]],database!A:I,9,)</f>
        <v/>
      </c>
      <c r="C78" s="74">
        <f>B78/B77-1</f>
        <v/>
      </c>
      <c r="D78" s="74">
        <f>(Table1345[[#This Row],[Index]]-B66)/B66</f>
        <v/>
      </c>
    </row>
    <row r="79">
      <c r="A79" s="19" t="n">
        <v>28491</v>
      </c>
      <c r="B79" s="61">
        <f>VLOOKUP(Table1345[[#This Row],[Date]],database!A:I,9,)</f>
        <v/>
      </c>
      <c r="C79" s="74">
        <f>B79/B78-1</f>
        <v/>
      </c>
      <c r="D79" s="74">
        <f>(Table1345[[#This Row],[Index]]-B67)/B67</f>
        <v/>
      </c>
    </row>
    <row r="80">
      <c r="A80" s="19" t="n">
        <v>28522</v>
      </c>
      <c r="B80" s="61">
        <f>VLOOKUP(Table1345[[#This Row],[Date]],database!A:I,9,)</f>
        <v/>
      </c>
      <c r="C80" s="74">
        <f>B80/B79-1</f>
        <v/>
      </c>
      <c r="D80" s="74">
        <f>(Table1345[[#This Row],[Index]]-B68)/B68</f>
        <v/>
      </c>
    </row>
    <row r="81">
      <c r="A81" s="19" t="n">
        <v>28550</v>
      </c>
      <c r="B81" s="61">
        <f>VLOOKUP(Table1345[[#This Row],[Date]],database!A:I,9,)</f>
        <v/>
      </c>
      <c r="C81" s="74">
        <f>B81/B80-1</f>
        <v/>
      </c>
      <c r="D81" s="74">
        <f>(Table1345[[#This Row],[Index]]-B69)/B69</f>
        <v/>
      </c>
    </row>
    <row r="82">
      <c r="A82" s="19" t="n">
        <v>28581</v>
      </c>
      <c r="B82" s="61">
        <f>VLOOKUP(Table1345[[#This Row],[Date]],database!A:I,9,)</f>
        <v/>
      </c>
      <c r="C82" s="74">
        <f>B82/B81-1</f>
        <v/>
      </c>
      <c r="D82" s="74">
        <f>(Table1345[[#This Row],[Index]]-B70)/B70</f>
        <v/>
      </c>
    </row>
    <row r="83">
      <c r="A83" s="19" t="n">
        <v>28611</v>
      </c>
      <c r="B83" s="61">
        <f>VLOOKUP(Table1345[[#This Row],[Date]],database!A:I,9,)</f>
        <v/>
      </c>
      <c r="C83" s="74">
        <f>B83/B82-1</f>
        <v/>
      </c>
      <c r="D83" s="74">
        <f>(Table1345[[#This Row],[Index]]-B71)/B71</f>
        <v/>
      </c>
    </row>
    <row r="84">
      <c r="A84" s="19" t="n">
        <v>28642</v>
      </c>
      <c r="B84" s="61">
        <f>VLOOKUP(Table1345[[#This Row],[Date]],database!A:I,9,)</f>
        <v/>
      </c>
      <c r="C84" s="74">
        <f>B84/B83-1</f>
        <v/>
      </c>
      <c r="D84" s="74">
        <f>(Table1345[[#This Row],[Index]]-B72)/B72</f>
        <v/>
      </c>
    </row>
    <row r="85">
      <c r="A85" s="19" t="n">
        <v>28672</v>
      </c>
      <c r="B85" s="61">
        <f>VLOOKUP(Table1345[[#This Row],[Date]],database!A:I,9,)</f>
        <v/>
      </c>
      <c r="C85" s="74">
        <f>B85/B84-1</f>
        <v/>
      </c>
      <c r="D85" s="74">
        <f>(Table1345[[#This Row],[Index]]-B73)/B73</f>
        <v/>
      </c>
    </row>
    <row r="86">
      <c r="A86" s="19" t="n">
        <v>28703</v>
      </c>
      <c r="B86" s="61">
        <f>VLOOKUP(Table1345[[#This Row],[Date]],database!A:I,9,)</f>
        <v/>
      </c>
      <c r="C86" s="74">
        <f>B86/B85-1</f>
        <v/>
      </c>
      <c r="D86" s="74">
        <f>(Table1345[[#This Row],[Index]]-B74)/B74</f>
        <v/>
      </c>
    </row>
    <row r="87">
      <c r="A87" s="19" t="n">
        <v>28734</v>
      </c>
      <c r="B87" s="61">
        <f>VLOOKUP(Table1345[[#This Row],[Date]],database!A:I,9,)</f>
        <v/>
      </c>
      <c r="C87" s="74">
        <f>B87/B86-1</f>
        <v/>
      </c>
      <c r="D87" s="74">
        <f>(Table1345[[#This Row],[Index]]-B75)/B75</f>
        <v/>
      </c>
    </row>
    <row r="88">
      <c r="A88" s="19" t="n">
        <v>28764</v>
      </c>
      <c r="B88" s="61">
        <f>VLOOKUP(Table1345[[#This Row],[Date]],database!A:I,9,)</f>
        <v/>
      </c>
      <c r="C88" s="74">
        <f>B88/B87-1</f>
        <v/>
      </c>
      <c r="D88" s="74">
        <f>(Table1345[[#This Row],[Index]]-B76)/B76</f>
        <v/>
      </c>
    </row>
    <row r="89">
      <c r="A89" s="19" t="n">
        <v>28795</v>
      </c>
      <c r="B89" s="61">
        <f>VLOOKUP(Table1345[[#This Row],[Date]],database!A:I,9,)</f>
        <v/>
      </c>
      <c r="C89" s="74">
        <f>B89/B88-1</f>
        <v/>
      </c>
      <c r="D89" s="74">
        <f>(Table1345[[#This Row],[Index]]-B77)/B77</f>
        <v/>
      </c>
    </row>
    <row r="90">
      <c r="A90" s="19" t="n">
        <v>28825</v>
      </c>
      <c r="B90" s="61">
        <f>VLOOKUP(Table1345[[#This Row],[Date]],database!A:I,9,)</f>
        <v/>
      </c>
      <c r="C90" s="74">
        <f>B90/B89-1</f>
        <v/>
      </c>
      <c r="D90" s="74">
        <f>(Table1345[[#This Row],[Index]]-B78)/B78</f>
        <v/>
      </c>
    </row>
    <row r="91">
      <c r="A91" s="19" t="n">
        <v>28856</v>
      </c>
      <c r="B91" s="61">
        <f>VLOOKUP(Table1345[[#This Row],[Date]],database!A:I,9,)</f>
        <v/>
      </c>
      <c r="C91" s="74">
        <f>B91/B90-1</f>
        <v/>
      </c>
      <c r="D91" s="74">
        <f>(Table1345[[#This Row],[Index]]-B79)/B79</f>
        <v/>
      </c>
    </row>
    <row r="92">
      <c r="A92" s="19" t="n">
        <v>28887</v>
      </c>
      <c r="B92" s="61">
        <f>VLOOKUP(Table1345[[#This Row],[Date]],database!A:I,9,)</f>
        <v/>
      </c>
      <c r="C92" s="74">
        <f>B92/B91-1</f>
        <v/>
      </c>
      <c r="D92" s="74">
        <f>(Table1345[[#This Row],[Index]]-B80)/B80</f>
        <v/>
      </c>
    </row>
    <row r="93">
      <c r="A93" s="19" t="n">
        <v>28915</v>
      </c>
      <c r="B93" s="61">
        <f>VLOOKUP(Table1345[[#This Row],[Date]],database!A:I,9,)</f>
        <v/>
      </c>
      <c r="C93" s="74">
        <f>B93/B92-1</f>
        <v/>
      </c>
      <c r="D93" s="74">
        <f>(Table1345[[#This Row],[Index]]-B81)/B81</f>
        <v/>
      </c>
    </row>
    <row r="94">
      <c r="A94" s="19" t="n">
        <v>28946</v>
      </c>
      <c r="B94" s="61">
        <f>VLOOKUP(Table1345[[#This Row],[Date]],database!A:I,9,)</f>
        <v/>
      </c>
      <c r="C94" s="74">
        <f>B94/B93-1</f>
        <v/>
      </c>
      <c r="D94" s="74">
        <f>(Table1345[[#This Row],[Index]]-B82)/B82</f>
        <v/>
      </c>
    </row>
    <row r="95">
      <c r="A95" s="19" t="n">
        <v>28976</v>
      </c>
      <c r="B95" s="61">
        <f>VLOOKUP(Table1345[[#This Row],[Date]],database!A:I,9,)</f>
        <v/>
      </c>
      <c r="C95" s="74">
        <f>B95/B94-1</f>
        <v/>
      </c>
      <c r="D95" s="74">
        <f>(Table1345[[#This Row],[Index]]-B83)/B83</f>
        <v/>
      </c>
    </row>
    <row r="96">
      <c r="A96" s="19" t="n">
        <v>29007</v>
      </c>
      <c r="B96" s="61">
        <f>VLOOKUP(Table1345[[#This Row],[Date]],database!A:I,9,)</f>
        <v/>
      </c>
      <c r="C96" s="74">
        <f>B96/B95-1</f>
        <v/>
      </c>
      <c r="D96" s="74">
        <f>(Table1345[[#This Row],[Index]]-B84)/B84</f>
        <v/>
      </c>
    </row>
    <row r="97">
      <c r="A97" s="19" t="n">
        <v>29037</v>
      </c>
      <c r="B97" s="61">
        <f>VLOOKUP(Table1345[[#This Row],[Date]],database!A:I,9,)</f>
        <v/>
      </c>
      <c r="C97" s="74">
        <f>B97/B96-1</f>
        <v/>
      </c>
      <c r="D97" s="74">
        <f>(Table1345[[#This Row],[Index]]-B85)/B85</f>
        <v/>
      </c>
    </row>
    <row r="98">
      <c r="A98" s="19" t="n">
        <v>29068</v>
      </c>
      <c r="B98" s="61">
        <f>VLOOKUP(Table1345[[#This Row],[Date]],database!A:I,9,)</f>
        <v/>
      </c>
      <c r="C98" s="74">
        <f>B98/B97-1</f>
        <v/>
      </c>
      <c r="D98" s="74">
        <f>(Table1345[[#This Row],[Index]]-B86)/B86</f>
        <v/>
      </c>
    </row>
    <row r="99">
      <c r="A99" s="19" t="n">
        <v>29099</v>
      </c>
      <c r="B99" s="61">
        <f>VLOOKUP(Table1345[[#This Row],[Date]],database!A:I,9,)</f>
        <v/>
      </c>
      <c r="C99" s="74">
        <f>B99/B98-1</f>
        <v/>
      </c>
      <c r="D99" s="74">
        <f>(Table1345[[#This Row],[Index]]-B87)/B87</f>
        <v/>
      </c>
    </row>
    <row r="100">
      <c r="A100" s="19" t="n">
        <v>29129</v>
      </c>
      <c r="B100" s="61">
        <f>VLOOKUP(Table1345[[#This Row],[Date]],database!A:I,9,)</f>
        <v/>
      </c>
      <c r="C100" s="74">
        <f>B100/B99-1</f>
        <v/>
      </c>
      <c r="D100" s="74">
        <f>(Table1345[[#This Row],[Index]]-B88)/B88</f>
        <v/>
      </c>
    </row>
    <row r="101">
      <c r="A101" s="19" t="n">
        <v>29160</v>
      </c>
      <c r="B101" s="61">
        <f>VLOOKUP(Table1345[[#This Row],[Date]],database!A:I,9,)</f>
        <v/>
      </c>
      <c r="C101" s="74">
        <f>B101/B100-1</f>
        <v/>
      </c>
      <c r="D101" s="74">
        <f>(Table1345[[#This Row],[Index]]-B89)/B89</f>
        <v/>
      </c>
    </row>
    <row r="102">
      <c r="A102" s="19" t="n">
        <v>29190</v>
      </c>
      <c r="B102" s="61">
        <f>VLOOKUP(Table1345[[#This Row],[Date]],database!A:I,9,)</f>
        <v/>
      </c>
      <c r="C102" s="74">
        <f>B102/B101-1</f>
        <v/>
      </c>
      <c r="D102" s="74">
        <f>(Table1345[[#This Row],[Index]]-B90)/B90</f>
        <v/>
      </c>
    </row>
    <row r="103">
      <c r="A103" s="19" t="n">
        <v>29221</v>
      </c>
      <c r="B103" s="61">
        <f>VLOOKUP(Table1345[[#This Row],[Date]],database!A:I,9,)</f>
        <v/>
      </c>
      <c r="C103" s="74">
        <f>B103/B102-1</f>
        <v/>
      </c>
      <c r="D103" s="74">
        <f>(Table1345[[#This Row],[Index]]-B91)/B91</f>
        <v/>
      </c>
    </row>
    <row r="104">
      <c r="A104" s="19" t="n">
        <v>29252</v>
      </c>
      <c r="B104" s="61">
        <f>VLOOKUP(Table1345[[#This Row],[Date]],database!A:I,9,)</f>
        <v/>
      </c>
      <c r="C104" s="74">
        <f>B104/B103-1</f>
        <v/>
      </c>
      <c r="D104" s="74">
        <f>(Table1345[[#This Row],[Index]]-B92)/B92</f>
        <v/>
      </c>
    </row>
    <row r="105">
      <c r="A105" s="19" t="n">
        <v>29281</v>
      </c>
      <c r="B105" s="61">
        <f>VLOOKUP(Table1345[[#This Row],[Date]],database!A:I,9,)</f>
        <v/>
      </c>
      <c r="C105" s="74">
        <f>B105/B104-1</f>
        <v/>
      </c>
      <c r="D105" s="74">
        <f>(Table1345[[#This Row],[Index]]-B93)/B93</f>
        <v/>
      </c>
    </row>
    <row r="106">
      <c r="A106" s="19" t="n">
        <v>29312</v>
      </c>
      <c r="B106" s="61">
        <f>VLOOKUP(Table1345[[#This Row],[Date]],database!A:I,9,)</f>
        <v/>
      </c>
      <c r="C106" s="74">
        <f>B106/B105-1</f>
        <v/>
      </c>
      <c r="D106" s="74">
        <f>(Table1345[[#This Row],[Index]]-B94)/B94</f>
        <v/>
      </c>
    </row>
    <row r="107">
      <c r="A107" s="19" t="n">
        <v>29342</v>
      </c>
      <c r="B107" s="61">
        <f>VLOOKUP(Table1345[[#This Row],[Date]],database!A:I,9,)</f>
        <v/>
      </c>
      <c r="C107" s="74">
        <f>B107/B106-1</f>
        <v/>
      </c>
      <c r="D107" s="74">
        <f>(Table1345[[#This Row],[Index]]-B95)/B95</f>
        <v/>
      </c>
    </row>
    <row r="108">
      <c r="A108" s="19" t="n">
        <v>29373</v>
      </c>
      <c r="B108" s="61">
        <f>VLOOKUP(Table1345[[#This Row],[Date]],database!A:I,9,)</f>
        <v/>
      </c>
      <c r="C108" s="74">
        <f>B108/B107-1</f>
        <v/>
      </c>
      <c r="D108" s="74">
        <f>(Table1345[[#This Row],[Index]]-B96)/B96</f>
        <v/>
      </c>
    </row>
    <row r="109">
      <c r="A109" s="19" t="n">
        <v>29403</v>
      </c>
      <c r="B109" s="61">
        <f>VLOOKUP(Table1345[[#This Row],[Date]],database!A:I,9,)</f>
        <v/>
      </c>
      <c r="C109" s="74">
        <f>B109/B108-1</f>
        <v/>
      </c>
      <c r="D109" s="74">
        <f>(Table1345[[#This Row],[Index]]-B97)/B97</f>
        <v/>
      </c>
    </row>
    <row r="110">
      <c r="A110" s="19" t="n">
        <v>29434</v>
      </c>
      <c r="B110" s="61">
        <f>VLOOKUP(Table1345[[#This Row],[Date]],database!A:I,9,)</f>
        <v/>
      </c>
      <c r="C110" s="74">
        <f>B110/B109-1</f>
        <v/>
      </c>
      <c r="D110" s="74">
        <f>(Table1345[[#This Row],[Index]]-B98)/B98</f>
        <v/>
      </c>
    </row>
    <row r="111">
      <c r="A111" s="19" t="n">
        <v>29465</v>
      </c>
      <c r="B111" s="61">
        <f>VLOOKUP(Table1345[[#This Row],[Date]],database!A:I,9,)</f>
        <v/>
      </c>
      <c r="C111" s="74">
        <f>B111/B110-1</f>
        <v/>
      </c>
      <c r="D111" s="74">
        <f>(Table1345[[#This Row],[Index]]-B99)/B99</f>
        <v/>
      </c>
    </row>
    <row r="112">
      <c r="A112" s="19" t="n">
        <v>29495</v>
      </c>
      <c r="B112" s="61">
        <f>VLOOKUP(Table1345[[#This Row],[Date]],database!A:I,9,)</f>
        <v/>
      </c>
      <c r="C112" s="74">
        <f>B112/B111-1</f>
        <v/>
      </c>
      <c r="D112" s="74">
        <f>(Table1345[[#This Row],[Index]]-B100)/B100</f>
        <v/>
      </c>
    </row>
    <row r="113">
      <c r="A113" s="19" t="n">
        <v>29526</v>
      </c>
      <c r="B113" s="61">
        <f>VLOOKUP(Table1345[[#This Row],[Date]],database!A:I,9,)</f>
        <v/>
      </c>
      <c r="C113" s="74">
        <f>B113/B112-1</f>
        <v/>
      </c>
      <c r="D113" s="74">
        <f>(Table1345[[#This Row],[Index]]-B101)/B101</f>
        <v/>
      </c>
    </row>
    <row r="114">
      <c r="A114" s="19" t="n">
        <v>29556</v>
      </c>
      <c r="B114" s="61">
        <f>VLOOKUP(Table1345[[#This Row],[Date]],database!A:I,9,)</f>
        <v/>
      </c>
      <c r="C114" s="74">
        <f>B114/B113-1</f>
        <v/>
      </c>
      <c r="D114" s="74">
        <f>(Table1345[[#This Row],[Index]]-B102)/B102</f>
        <v/>
      </c>
    </row>
    <row r="115">
      <c r="A115" s="19" t="n">
        <v>29587</v>
      </c>
      <c r="B115" s="61">
        <f>VLOOKUP(Table1345[[#This Row],[Date]],database!A:I,9,)</f>
        <v/>
      </c>
      <c r="C115" s="74">
        <f>B115/B114-1</f>
        <v/>
      </c>
      <c r="D115" s="74">
        <f>(Table1345[[#This Row],[Index]]-B103)/B103</f>
        <v/>
      </c>
    </row>
    <row r="116">
      <c r="A116" s="19" t="n">
        <v>29618</v>
      </c>
      <c r="B116" s="61">
        <f>VLOOKUP(Table1345[[#This Row],[Date]],database!A:I,9,)</f>
        <v/>
      </c>
      <c r="C116" s="74">
        <f>B116/B115-1</f>
        <v/>
      </c>
      <c r="D116" s="74">
        <f>(Table1345[[#This Row],[Index]]-B104)/B104</f>
        <v/>
      </c>
    </row>
    <row r="117">
      <c r="A117" s="19" t="n">
        <v>29646</v>
      </c>
      <c r="B117" s="61">
        <f>VLOOKUP(Table1345[[#This Row],[Date]],database!A:I,9,)</f>
        <v/>
      </c>
      <c r="C117" s="74">
        <f>B117/B116-1</f>
        <v/>
      </c>
      <c r="D117" s="74">
        <f>(Table1345[[#This Row],[Index]]-B105)/B105</f>
        <v/>
      </c>
    </row>
    <row r="118">
      <c r="A118" s="19" t="n">
        <v>29677</v>
      </c>
      <c r="B118" s="61">
        <f>VLOOKUP(Table1345[[#This Row],[Date]],database!A:I,9,)</f>
        <v/>
      </c>
      <c r="C118" s="74">
        <f>B118/B117-1</f>
        <v/>
      </c>
      <c r="D118" s="74">
        <f>(Table1345[[#This Row],[Index]]-B106)/B106</f>
        <v/>
      </c>
    </row>
    <row r="119">
      <c r="A119" s="19" t="n">
        <v>29707</v>
      </c>
      <c r="B119" s="61">
        <f>VLOOKUP(Table1345[[#This Row],[Date]],database!A:I,9,)</f>
        <v/>
      </c>
      <c r="C119" s="74">
        <f>B119/B118-1</f>
        <v/>
      </c>
      <c r="D119" s="74">
        <f>(Table1345[[#This Row],[Index]]-B107)/B107</f>
        <v/>
      </c>
    </row>
    <row r="120">
      <c r="A120" s="19" t="n">
        <v>29738</v>
      </c>
      <c r="B120" s="61">
        <f>VLOOKUP(Table1345[[#This Row],[Date]],database!A:I,9,)</f>
        <v/>
      </c>
      <c r="C120" s="74">
        <f>B120/B119-1</f>
        <v/>
      </c>
      <c r="D120" s="74">
        <f>(Table1345[[#This Row],[Index]]-B108)/B108</f>
        <v/>
      </c>
    </row>
    <row r="121">
      <c r="A121" s="19" t="n">
        <v>29768</v>
      </c>
      <c r="B121" s="61">
        <f>VLOOKUP(Table1345[[#This Row],[Date]],database!A:I,9,)</f>
        <v/>
      </c>
      <c r="C121" s="74">
        <f>B121/B120-1</f>
        <v/>
      </c>
      <c r="D121" s="74">
        <f>(Table1345[[#This Row],[Index]]-B109)/B109</f>
        <v/>
      </c>
    </row>
    <row r="122">
      <c r="A122" s="19" t="n">
        <v>29799</v>
      </c>
      <c r="B122" s="61">
        <f>VLOOKUP(Table1345[[#This Row],[Date]],database!A:I,9,)</f>
        <v/>
      </c>
      <c r="C122" s="74">
        <f>B122/B121-1</f>
        <v/>
      </c>
      <c r="D122" s="74">
        <f>(Table1345[[#This Row],[Index]]-B110)/B110</f>
        <v/>
      </c>
    </row>
    <row r="123">
      <c r="A123" s="19" t="n">
        <v>29830</v>
      </c>
      <c r="B123" s="61">
        <f>VLOOKUP(Table1345[[#This Row],[Date]],database!A:I,9,)</f>
        <v/>
      </c>
      <c r="C123" s="74">
        <f>B123/B122-1</f>
        <v/>
      </c>
      <c r="D123" s="74">
        <f>(Table1345[[#This Row],[Index]]-B111)/B111</f>
        <v/>
      </c>
    </row>
    <row r="124">
      <c r="A124" s="19" t="n">
        <v>29860</v>
      </c>
      <c r="B124" s="61">
        <f>VLOOKUP(Table1345[[#This Row],[Date]],database!A:I,9,)</f>
        <v/>
      </c>
      <c r="C124" s="74">
        <f>B124/B123-1</f>
        <v/>
      </c>
      <c r="D124" s="74">
        <f>(Table1345[[#This Row],[Index]]-B112)/B112</f>
        <v/>
      </c>
    </row>
    <row r="125">
      <c r="A125" s="19" t="n">
        <v>29891</v>
      </c>
      <c r="B125" s="61">
        <f>VLOOKUP(Table1345[[#This Row],[Date]],database!A:I,9,)</f>
        <v/>
      </c>
      <c r="C125" s="74">
        <f>B125/B124-1</f>
        <v/>
      </c>
      <c r="D125" s="74">
        <f>(Table1345[[#This Row],[Index]]-B113)/B113</f>
        <v/>
      </c>
    </row>
    <row r="126">
      <c r="A126" s="19" t="n">
        <v>29921</v>
      </c>
      <c r="B126" s="61">
        <f>VLOOKUP(Table1345[[#This Row],[Date]],database!A:I,9,)</f>
        <v/>
      </c>
      <c r="C126" s="74">
        <f>B126/B125-1</f>
        <v/>
      </c>
      <c r="D126" s="74">
        <f>(Table1345[[#This Row],[Index]]-B114)/B114</f>
        <v/>
      </c>
    </row>
    <row r="127">
      <c r="A127" s="19" t="n">
        <v>29952</v>
      </c>
      <c r="B127" s="61">
        <f>VLOOKUP(Table1345[[#This Row],[Date]],database!A:I,9,)</f>
        <v/>
      </c>
      <c r="C127" s="74">
        <f>B127/B126-1</f>
        <v/>
      </c>
      <c r="D127" s="74">
        <f>(Table1345[[#This Row],[Index]]-B115)/B115</f>
        <v/>
      </c>
    </row>
    <row r="128">
      <c r="A128" s="19" t="n">
        <v>29983</v>
      </c>
      <c r="B128" s="61">
        <f>VLOOKUP(Table1345[[#This Row],[Date]],database!A:I,9,)</f>
        <v/>
      </c>
      <c r="C128" s="74">
        <f>B128/B127-1</f>
        <v/>
      </c>
      <c r="D128" s="74">
        <f>(Table1345[[#This Row],[Index]]-B116)/B116</f>
        <v/>
      </c>
    </row>
    <row r="129">
      <c r="A129" s="19" t="n">
        <v>30011</v>
      </c>
      <c r="B129" s="61">
        <f>VLOOKUP(Table1345[[#This Row],[Date]],database!A:I,9,)</f>
        <v/>
      </c>
      <c r="C129" s="74">
        <f>B129/B128-1</f>
        <v/>
      </c>
      <c r="D129" s="74">
        <f>(Table1345[[#This Row],[Index]]-B117)/B117</f>
        <v/>
      </c>
    </row>
    <row r="130">
      <c r="A130" s="19" t="n">
        <v>30042</v>
      </c>
      <c r="B130" s="61">
        <f>VLOOKUP(Table1345[[#This Row],[Date]],database!A:I,9,)</f>
        <v/>
      </c>
      <c r="C130" s="74">
        <f>B130/B129-1</f>
        <v/>
      </c>
      <c r="D130" s="74">
        <f>(Table1345[[#This Row],[Index]]-B118)/B118</f>
        <v/>
      </c>
    </row>
    <row r="131">
      <c r="A131" s="19" t="n">
        <v>30072</v>
      </c>
      <c r="B131" s="61">
        <f>VLOOKUP(Table1345[[#This Row],[Date]],database!A:I,9,)</f>
        <v/>
      </c>
      <c r="C131" s="74">
        <f>B131/B130-1</f>
        <v/>
      </c>
      <c r="D131" s="74">
        <f>(Table1345[[#This Row],[Index]]-B119)/B119</f>
        <v/>
      </c>
    </row>
    <row r="132">
      <c r="A132" s="19" t="n">
        <v>30103</v>
      </c>
      <c r="B132" s="61">
        <f>VLOOKUP(Table1345[[#This Row],[Date]],database!A:I,9,)</f>
        <v/>
      </c>
      <c r="C132" s="74">
        <f>B132/B131-1</f>
        <v/>
      </c>
      <c r="D132" s="74">
        <f>(Table1345[[#This Row],[Index]]-B120)/B120</f>
        <v/>
      </c>
    </row>
    <row r="133">
      <c r="A133" s="19" t="n">
        <v>30133</v>
      </c>
      <c r="B133" s="61">
        <f>VLOOKUP(Table1345[[#This Row],[Date]],database!A:I,9,)</f>
        <v/>
      </c>
      <c r="C133" s="74">
        <f>B133/B132-1</f>
        <v/>
      </c>
      <c r="D133" s="74">
        <f>(Table1345[[#This Row],[Index]]-B121)/B121</f>
        <v/>
      </c>
    </row>
    <row r="134">
      <c r="A134" s="19" t="n">
        <v>30164</v>
      </c>
      <c r="B134" s="61">
        <f>VLOOKUP(Table1345[[#This Row],[Date]],database!A:I,9,)</f>
        <v/>
      </c>
      <c r="C134" s="74">
        <f>B134/B133-1</f>
        <v/>
      </c>
      <c r="D134" s="74">
        <f>(Table1345[[#This Row],[Index]]-B122)/B122</f>
        <v/>
      </c>
    </row>
    <row r="135">
      <c r="A135" s="19" t="n">
        <v>30195</v>
      </c>
      <c r="B135" s="61">
        <f>VLOOKUP(Table1345[[#This Row],[Date]],database!A:I,9,)</f>
        <v/>
      </c>
      <c r="C135" s="74">
        <f>B135/B134-1</f>
        <v/>
      </c>
      <c r="D135" s="74">
        <f>(Table1345[[#This Row],[Index]]-B123)/B123</f>
        <v/>
      </c>
    </row>
    <row r="136">
      <c r="A136" s="19" t="n">
        <v>30225</v>
      </c>
      <c r="B136" s="61">
        <f>VLOOKUP(Table1345[[#This Row],[Date]],database!A:I,9,)</f>
        <v/>
      </c>
      <c r="C136" s="74">
        <f>B136/B135-1</f>
        <v/>
      </c>
      <c r="D136" s="74">
        <f>(Table1345[[#This Row],[Index]]-B124)/B124</f>
        <v/>
      </c>
    </row>
    <row r="137">
      <c r="A137" s="19" t="n">
        <v>30256</v>
      </c>
      <c r="B137" s="61">
        <f>VLOOKUP(Table1345[[#This Row],[Date]],database!A:I,9,)</f>
        <v/>
      </c>
      <c r="C137" s="74">
        <f>B137/B136-1</f>
        <v/>
      </c>
      <c r="D137" s="74">
        <f>(Table1345[[#This Row],[Index]]-B125)/B125</f>
        <v/>
      </c>
    </row>
    <row r="138">
      <c r="A138" s="19" t="n">
        <v>30286</v>
      </c>
      <c r="B138" s="61">
        <f>VLOOKUP(Table1345[[#This Row],[Date]],database!A:I,9,)</f>
        <v/>
      </c>
      <c r="C138" s="74">
        <f>B138/B137-1</f>
        <v/>
      </c>
      <c r="D138" s="74">
        <f>(Table1345[[#This Row],[Index]]-B126)/B126</f>
        <v/>
      </c>
    </row>
    <row r="139">
      <c r="A139" s="19" t="n">
        <v>30317</v>
      </c>
      <c r="B139" s="61">
        <f>VLOOKUP(Table1345[[#This Row],[Date]],database!A:I,9,)</f>
        <v/>
      </c>
      <c r="C139" s="74">
        <f>B139/B138-1</f>
        <v/>
      </c>
      <c r="D139" s="74">
        <f>(Table1345[[#This Row],[Index]]-B127)/B127</f>
        <v/>
      </c>
    </row>
    <row r="140">
      <c r="A140" s="19" t="n">
        <v>30348</v>
      </c>
      <c r="B140" s="61">
        <f>VLOOKUP(Table1345[[#This Row],[Date]],database!A:I,9,)</f>
        <v/>
      </c>
      <c r="C140" s="74">
        <f>B140/B139-1</f>
        <v/>
      </c>
      <c r="D140" s="74">
        <f>(Table1345[[#This Row],[Index]]-B128)/B128</f>
        <v/>
      </c>
    </row>
    <row r="141">
      <c r="A141" s="19" t="n">
        <v>30376</v>
      </c>
      <c r="B141" s="61">
        <f>VLOOKUP(Table1345[[#This Row],[Date]],database!A:I,9,)</f>
        <v/>
      </c>
      <c r="C141" s="74">
        <f>B141/B140-1</f>
        <v/>
      </c>
      <c r="D141" s="74">
        <f>(Table1345[[#This Row],[Index]]-B129)/B129</f>
        <v/>
      </c>
    </row>
    <row r="142">
      <c r="A142" s="19" t="n">
        <v>30407</v>
      </c>
      <c r="B142" s="61">
        <f>VLOOKUP(Table1345[[#This Row],[Date]],database!A:I,9,)</f>
        <v/>
      </c>
      <c r="C142" s="74">
        <f>B142/B141-1</f>
        <v/>
      </c>
      <c r="D142" s="74">
        <f>(Table1345[[#This Row],[Index]]-B130)/B130</f>
        <v/>
      </c>
    </row>
    <row r="143">
      <c r="A143" s="19" t="n">
        <v>30437</v>
      </c>
      <c r="B143" s="61">
        <f>VLOOKUP(Table1345[[#This Row],[Date]],database!A:I,9,)</f>
        <v/>
      </c>
      <c r="C143" s="74">
        <f>B143/B142-1</f>
        <v/>
      </c>
      <c r="D143" s="74">
        <f>(Table1345[[#This Row],[Index]]-B131)/B131</f>
        <v/>
      </c>
    </row>
    <row r="144">
      <c r="A144" s="19" t="n">
        <v>30468</v>
      </c>
      <c r="B144" s="61">
        <f>VLOOKUP(Table1345[[#This Row],[Date]],database!A:I,9,)</f>
        <v/>
      </c>
      <c r="C144" s="74">
        <f>B144/B143-1</f>
        <v/>
      </c>
      <c r="D144" s="74">
        <f>(Table1345[[#This Row],[Index]]-B132)/B132</f>
        <v/>
      </c>
    </row>
    <row r="145">
      <c r="A145" s="19" t="n">
        <v>30498</v>
      </c>
      <c r="B145" s="61">
        <f>VLOOKUP(Table1345[[#This Row],[Date]],database!A:I,9,)</f>
        <v/>
      </c>
      <c r="C145" s="74">
        <f>B145/B144-1</f>
        <v/>
      </c>
      <c r="D145" s="74">
        <f>(Table1345[[#This Row],[Index]]-B133)/B133</f>
        <v/>
      </c>
    </row>
    <row r="146">
      <c r="A146" s="19" t="n">
        <v>30529</v>
      </c>
      <c r="B146" s="61">
        <f>VLOOKUP(Table1345[[#This Row],[Date]],database!A:I,9,)</f>
        <v/>
      </c>
      <c r="C146" s="74">
        <f>B146/B145-1</f>
        <v/>
      </c>
      <c r="D146" s="74">
        <f>(Table1345[[#This Row],[Index]]-B134)/B134</f>
        <v/>
      </c>
    </row>
    <row r="147">
      <c r="A147" s="19" t="n">
        <v>30560</v>
      </c>
      <c r="B147" s="61">
        <f>VLOOKUP(Table1345[[#This Row],[Date]],database!A:I,9,)</f>
        <v/>
      </c>
      <c r="C147" s="74">
        <f>B147/B146-1</f>
        <v/>
      </c>
      <c r="D147" s="74">
        <f>(Table1345[[#This Row],[Index]]-B135)/B135</f>
        <v/>
      </c>
    </row>
    <row r="148">
      <c r="A148" s="19" t="n">
        <v>30590</v>
      </c>
      <c r="B148" s="61">
        <f>VLOOKUP(Table1345[[#This Row],[Date]],database!A:I,9,)</f>
        <v/>
      </c>
      <c r="C148" s="74">
        <f>B148/B147-1</f>
        <v/>
      </c>
      <c r="D148" s="74">
        <f>(Table1345[[#This Row],[Index]]-B136)/B136</f>
        <v/>
      </c>
    </row>
    <row r="149">
      <c r="A149" s="19" t="n">
        <v>30621</v>
      </c>
      <c r="B149" s="61">
        <f>VLOOKUP(Table1345[[#This Row],[Date]],database!A:I,9,)</f>
        <v/>
      </c>
      <c r="C149" s="74">
        <f>B149/B148-1</f>
        <v/>
      </c>
      <c r="D149" s="74">
        <f>(Table1345[[#This Row],[Index]]-B137)/B137</f>
        <v/>
      </c>
    </row>
    <row r="150">
      <c r="A150" s="19" t="n">
        <v>30651</v>
      </c>
      <c r="B150" s="61">
        <f>VLOOKUP(Table1345[[#This Row],[Date]],database!A:I,9,)</f>
        <v/>
      </c>
      <c r="C150" s="74">
        <f>B150/B149-1</f>
        <v/>
      </c>
      <c r="D150" s="74">
        <f>(Table1345[[#This Row],[Index]]-B138)/B138</f>
        <v/>
      </c>
    </row>
    <row r="151">
      <c r="A151" s="19" t="n">
        <v>30682</v>
      </c>
      <c r="B151" s="61">
        <f>VLOOKUP(Table1345[[#This Row],[Date]],database!A:I,9,)</f>
        <v/>
      </c>
      <c r="C151" s="74">
        <f>B151/B150-1</f>
        <v/>
      </c>
      <c r="D151" s="74">
        <f>(Table1345[[#This Row],[Index]]-B139)/B139</f>
        <v/>
      </c>
    </row>
    <row r="152">
      <c r="A152" s="19" t="n">
        <v>30713</v>
      </c>
      <c r="B152" s="61">
        <f>VLOOKUP(Table1345[[#This Row],[Date]],database!A:I,9,)</f>
        <v/>
      </c>
      <c r="C152" s="74">
        <f>B152/B151-1</f>
        <v/>
      </c>
      <c r="D152" s="74">
        <f>(Table1345[[#This Row],[Index]]-B140)/B140</f>
        <v/>
      </c>
    </row>
    <row r="153">
      <c r="A153" s="19" t="n">
        <v>30742</v>
      </c>
      <c r="B153" s="61">
        <f>VLOOKUP(Table1345[[#This Row],[Date]],database!A:I,9,)</f>
        <v/>
      </c>
      <c r="C153" s="74">
        <f>B153/B152-1</f>
        <v/>
      </c>
      <c r="D153" s="74">
        <f>(Table1345[[#This Row],[Index]]-B141)/B141</f>
        <v/>
      </c>
    </row>
    <row r="154">
      <c r="A154" s="19" t="n">
        <v>30773</v>
      </c>
      <c r="B154" s="61">
        <f>VLOOKUP(Table1345[[#This Row],[Date]],database!A:I,9,)</f>
        <v/>
      </c>
      <c r="C154" s="74">
        <f>B154/B153-1</f>
        <v/>
      </c>
      <c r="D154" s="74">
        <f>(Table1345[[#This Row],[Index]]-B142)/B142</f>
        <v/>
      </c>
    </row>
    <row r="155">
      <c r="A155" s="19" t="n">
        <v>30803</v>
      </c>
      <c r="B155" s="61">
        <f>VLOOKUP(Table1345[[#This Row],[Date]],database!A:I,9,)</f>
        <v/>
      </c>
      <c r="C155" s="74">
        <f>B155/B154-1</f>
        <v/>
      </c>
      <c r="D155" s="74">
        <f>(Table1345[[#This Row],[Index]]-B143)/B143</f>
        <v/>
      </c>
    </row>
    <row r="156">
      <c r="A156" s="19" t="n">
        <v>30834</v>
      </c>
      <c r="B156" s="61">
        <f>VLOOKUP(Table1345[[#This Row],[Date]],database!A:I,9,)</f>
        <v/>
      </c>
      <c r="C156" s="74">
        <f>B156/B155-1</f>
        <v/>
      </c>
      <c r="D156" s="74">
        <f>(Table1345[[#This Row],[Index]]-B144)/B144</f>
        <v/>
      </c>
    </row>
    <row r="157">
      <c r="A157" s="19" t="n">
        <v>30864</v>
      </c>
      <c r="B157" s="61">
        <f>VLOOKUP(Table1345[[#This Row],[Date]],database!A:I,9,)</f>
        <v/>
      </c>
      <c r="C157" s="74">
        <f>B157/B156-1</f>
        <v/>
      </c>
      <c r="D157" s="74">
        <f>(Table1345[[#This Row],[Index]]-B145)/B145</f>
        <v/>
      </c>
    </row>
    <row r="158">
      <c r="A158" s="19" t="n">
        <v>30895</v>
      </c>
      <c r="B158" s="61">
        <f>VLOOKUP(Table1345[[#This Row],[Date]],database!A:I,9,)</f>
        <v/>
      </c>
      <c r="C158" s="74">
        <f>B158/B157-1</f>
        <v/>
      </c>
      <c r="D158" s="74">
        <f>(Table1345[[#This Row],[Index]]-B146)/B146</f>
        <v/>
      </c>
    </row>
    <row r="159">
      <c r="A159" s="19" t="n">
        <v>30926</v>
      </c>
      <c r="B159" s="61">
        <f>VLOOKUP(Table1345[[#This Row],[Date]],database!A:I,9,)</f>
        <v/>
      </c>
      <c r="C159" s="74">
        <f>B159/B158-1</f>
        <v/>
      </c>
      <c r="D159" s="74">
        <f>(Table1345[[#This Row],[Index]]-B147)/B147</f>
        <v/>
      </c>
    </row>
    <row r="160">
      <c r="A160" s="19" t="n">
        <v>30956</v>
      </c>
      <c r="B160" s="61">
        <f>VLOOKUP(Table1345[[#This Row],[Date]],database!A:I,9,)</f>
        <v/>
      </c>
      <c r="C160" s="74">
        <f>B160/B159-1</f>
        <v/>
      </c>
      <c r="D160" s="74">
        <f>(Table1345[[#This Row],[Index]]-B148)/B148</f>
        <v/>
      </c>
    </row>
    <row r="161">
      <c r="A161" s="19" t="n">
        <v>30987</v>
      </c>
      <c r="B161" s="61">
        <f>VLOOKUP(Table1345[[#This Row],[Date]],database!A:I,9,)</f>
        <v/>
      </c>
      <c r="C161" s="74">
        <f>B161/B160-1</f>
        <v/>
      </c>
      <c r="D161" s="74">
        <f>(Table1345[[#This Row],[Index]]-B149)/B149</f>
        <v/>
      </c>
    </row>
    <row r="162">
      <c r="A162" s="19" t="n">
        <v>31017</v>
      </c>
      <c r="B162" s="61">
        <f>VLOOKUP(Table1345[[#This Row],[Date]],database!A:I,9,)</f>
        <v/>
      </c>
      <c r="C162" s="74">
        <f>B162/B161-1</f>
        <v/>
      </c>
      <c r="D162" s="74">
        <f>(Table1345[[#This Row],[Index]]-B150)/B150</f>
        <v/>
      </c>
    </row>
    <row r="163">
      <c r="A163" s="19" t="n">
        <v>31048</v>
      </c>
      <c r="B163" s="61">
        <f>VLOOKUP(Table1345[[#This Row],[Date]],database!A:I,9,)</f>
        <v/>
      </c>
      <c r="C163" s="74">
        <f>B163/B162-1</f>
        <v/>
      </c>
      <c r="D163" s="74">
        <f>(Table1345[[#This Row],[Index]]-B151)/B151</f>
        <v/>
      </c>
    </row>
    <row r="164">
      <c r="A164" s="19" t="n">
        <v>31079</v>
      </c>
      <c r="B164" s="61">
        <f>VLOOKUP(Table1345[[#This Row],[Date]],database!A:I,9,)</f>
        <v/>
      </c>
      <c r="C164" s="74">
        <f>B164/B163-1</f>
        <v/>
      </c>
      <c r="D164" s="74">
        <f>(Table1345[[#This Row],[Index]]-B152)/B152</f>
        <v/>
      </c>
    </row>
    <row r="165">
      <c r="A165" s="19" t="n">
        <v>31107</v>
      </c>
      <c r="B165" s="61">
        <f>VLOOKUP(Table1345[[#This Row],[Date]],database!A:I,9,)</f>
        <v/>
      </c>
      <c r="C165" s="74">
        <f>B165/B164-1</f>
        <v/>
      </c>
      <c r="D165" s="74">
        <f>(Table1345[[#This Row],[Index]]-B153)/B153</f>
        <v/>
      </c>
    </row>
    <row r="166">
      <c r="A166" s="19" t="n">
        <v>31138</v>
      </c>
      <c r="B166" s="61">
        <f>VLOOKUP(Table1345[[#This Row],[Date]],database!A:I,9,)</f>
        <v/>
      </c>
      <c r="C166" s="74">
        <f>B166/B165-1</f>
        <v/>
      </c>
      <c r="D166" s="74">
        <f>(Table1345[[#This Row],[Index]]-B154)/B154</f>
        <v/>
      </c>
    </row>
    <row r="167">
      <c r="A167" s="19" t="n">
        <v>31168</v>
      </c>
      <c r="B167" s="61">
        <f>VLOOKUP(Table1345[[#This Row],[Date]],database!A:I,9,)</f>
        <v/>
      </c>
      <c r="C167" s="74">
        <f>B167/B166-1</f>
        <v/>
      </c>
      <c r="D167" s="74">
        <f>(Table1345[[#This Row],[Index]]-B155)/B155</f>
        <v/>
      </c>
    </row>
    <row r="168">
      <c r="A168" s="19" t="n">
        <v>31199</v>
      </c>
      <c r="B168" s="61">
        <f>VLOOKUP(Table1345[[#This Row],[Date]],database!A:I,9,)</f>
        <v/>
      </c>
      <c r="C168" s="74">
        <f>B168/B167-1</f>
        <v/>
      </c>
      <c r="D168" s="74">
        <f>(Table1345[[#This Row],[Index]]-B156)/B156</f>
        <v/>
      </c>
    </row>
    <row r="169">
      <c r="A169" s="19" t="n">
        <v>31229</v>
      </c>
      <c r="B169" s="61">
        <f>VLOOKUP(Table1345[[#This Row],[Date]],database!A:I,9,)</f>
        <v/>
      </c>
      <c r="C169" s="74">
        <f>B169/B168-1</f>
        <v/>
      </c>
      <c r="D169" s="74">
        <f>(Table1345[[#This Row],[Index]]-B157)/B157</f>
        <v/>
      </c>
    </row>
    <row r="170">
      <c r="A170" s="19" t="n">
        <v>31260</v>
      </c>
      <c r="B170" s="61">
        <f>VLOOKUP(Table1345[[#This Row],[Date]],database!A:I,9,)</f>
        <v/>
      </c>
      <c r="C170" s="74">
        <f>B170/B169-1</f>
        <v/>
      </c>
      <c r="D170" s="74">
        <f>(Table1345[[#This Row],[Index]]-B158)/B158</f>
        <v/>
      </c>
    </row>
    <row r="171">
      <c r="A171" s="19" t="n">
        <v>31291</v>
      </c>
      <c r="B171" s="61">
        <f>VLOOKUP(Table1345[[#This Row],[Date]],database!A:I,9,)</f>
        <v/>
      </c>
      <c r="C171" s="74">
        <f>B171/B170-1</f>
        <v/>
      </c>
      <c r="D171" s="74">
        <f>(Table1345[[#This Row],[Index]]-B159)/B159</f>
        <v/>
      </c>
    </row>
    <row r="172">
      <c r="A172" s="19" t="n">
        <v>31321</v>
      </c>
      <c r="B172" s="61">
        <f>VLOOKUP(Table1345[[#This Row],[Date]],database!A:I,9,)</f>
        <v/>
      </c>
      <c r="C172" s="74">
        <f>B172/B171-1</f>
        <v/>
      </c>
      <c r="D172" s="74">
        <f>(Table1345[[#This Row],[Index]]-B160)/B160</f>
        <v/>
      </c>
    </row>
    <row r="173">
      <c r="A173" s="19" t="n">
        <v>31352</v>
      </c>
      <c r="B173" s="61">
        <f>VLOOKUP(Table1345[[#This Row],[Date]],database!A:I,9,)</f>
        <v/>
      </c>
      <c r="C173" s="74">
        <f>B173/B172-1</f>
        <v/>
      </c>
      <c r="D173" s="74">
        <f>(Table1345[[#This Row],[Index]]-B161)/B161</f>
        <v/>
      </c>
    </row>
    <row r="174">
      <c r="A174" s="19" t="n">
        <v>31382</v>
      </c>
      <c r="B174" s="61">
        <f>VLOOKUP(Table1345[[#This Row],[Date]],database!A:I,9,)</f>
        <v/>
      </c>
      <c r="C174" s="74">
        <f>B174/B173-1</f>
        <v/>
      </c>
      <c r="D174" s="74">
        <f>(Table1345[[#This Row],[Index]]-B162)/B162</f>
        <v/>
      </c>
    </row>
    <row r="175">
      <c r="A175" s="19" t="n">
        <v>31413</v>
      </c>
      <c r="B175" s="61">
        <f>VLOOKUP(Table1345[[#This Row],[Date]],database!A:I,9,)</f>
        <v/>
      </c>
      <c r="C175" s="74">
        <f>B175/B174-1</f>
        <v/>
      </c>
      <c r="D175" s="74">
        <f>(Table1345[[#This Row],[Index]]-B163)/B163</f>
        <v/>
      </c>
    </row>
    <row r="176">
      <c r="A176" s="19" t="n">
        <v>31444</v>
      </c>
      <c r="B176" s="61">
        <f>VLOOKUP(Table1345[[#This Row],[Date]],database!A:I,9,)</f>
        <v/>
      </c>
      <c r="C176" s="74">
        <f>B176/B175-1</f>
        <v/>
      </c>
      <c r="D176" s="74">
        <f>(Table1345[[#This Row],[Index]]-B164)/B164</f>
        <v/>
      </c>
    </row>
    <row r="177">
      <c r="A177" s="19" t="n">
        <v>31472</v>
      </c>
      <c r="B177" s="61">
        <f>VLOOKUP(Table1345[[#This Row],[Date]],database!A:I,9,)</f>
        <v/>
      </c>
      <c r="C177" s="74">
        <f>B177/B176-1</f>
        <v/>
      </c>
      <c r="D177" s="74">
        <f>(Table1345[[#This Row],[Index]]-B165)/B165</f>
        <v/>
      </c>
    </row>
    <row r="178">
      <c r="A178" s="19" t="n">
        <v>31503</v>
      </c>
      <c r="B178" s="61">
        <f>VLOOKUP(Table1345[[#This Row],[Date]],database!A:I,9,)</f>
        <v/>
      </c>
      <c r="C178" s="74">
        <f>B178/B177-1</f>
        <v/>
      </c>
      <c r="D178" s="74">
        <f>(Table1345[[#This Row],[Index]]-B166)/B166</f>
        <v/>
      </c>
    </row>
    <row r="179">
      <c r="A179" s="19" t="n">
        <v>31533</v>
      </c>
      <c r="B179" s="61">
        <f>VLOOKUP(Table1345[[#This Row],[Date]],database!A:I,9,)</f>
        <v/>
      </c>
      <c r="C179" s="74">
        <f>B179/B178-1</f>
        <v/>
      </c>
      <c r="D179" s="74">
        <f>(Table1345[[#This Row],[Index]]-B167)/B167</f>
        <v/>
      </c>
    </row>
    <row r="180">
      <c r="A180" s="19" t="n">
        <v>31564</v>
      </c>
      <c r="B180" s="61">
        <f>VLOOKUP(Table1345[[#This Row],[Date]],database!A:I,9,)</f>
        <v/>
      </c>
      <c r="C180" s="74">
        <f>B180/B179-1</f>
        <v/>
      </c>
      <c r="D180" s="74">
        <f>(Table1345[[#This Row],[Index]]-B168)/B168</f>
        <v/>
      </c>
    </row>
    <row r="181">
      <c r="A181" s="19" t="n">
        <v>31594</v>
      </c>
      <c r="B181" s="61">
        <f>VLOOKUP(Table1345[[#This Row],[Date]],database!A:I,9,)</f>
        <v/>
      </c>
      <c r="C181" s="74">
        <f>B181/B180-1</f>
        <v/>
      </c>
      <c r="D181" s="74">
        <f>(Table1345[[#This Row],[Index]]-B169)/B169</f>
        <v/>
      </c>
    </row>
    <row r="182">
      <c r="A182" s="19" t="n">
        <v>31625</v>
      </c>
      <c r="B182" s="61">
        <f>VLOOKUP(Table1345[[#This Row],[Date]],database!A:I,9,)</f>
        <v/>
      </c>
      <c r="C182" s="74">
        <f>B182/B181-1</f>
        <v/>
      </c>
      <c r="D182" s="74">
        <f>(Table1345[[#This Row],[Index]]-B170)/B170</f>
        <v/>
      </c>
    </row>
    <row r="183">
      <c r="A183" s="19" t="n">
        <v>31656</v>
      </c>
      <c r="B183" s="61">
        <f>VLOOKUP(Table1345[[#This Row],[Date]],database!A:I,9,)</f>
        <v/>
      </c>
      <c r="C183" s="74">
        <f>B183/B182-1</f>
        <v/>
      </c>
      <c r="D183" s="74">
        <f>(Table1345[[#This Row],[Index]]-B171)/B171</f>
        <v/>
      </c>
    </row>
    <row r="184">
      <c r="A184" s="19" t="n">
        <v>31686</v>
      </c>
      <c r="B184" s="61">
        <f>VLOOKUP(Table1345[[#This Row],[Date]],database!A:I,9,)</f>
        <v/>
      </c>
      <c r="C184" s="74">
        <f>B184/B183-1</f>
        <v/>
      </c>
      <c r="D184" s="74">
        <f>(Table1345[[#This Row],[Index]]-B172)/B172</f>
        <v/>
      </c>
    </row>
    <row r="185">
      <c r="A185" s="19" t="n">
        <v>31717</v>
      </c>
      <c r="B185" s="61">
        <f>VLOOKUP(Table1345[[#This Row],[Date]],database!A:I,9,)</f>
        <v/>
      </c>
      <c r="C185" s="74">
        <f>B185/B184-1</f>
        <v/>
      </c>
      <c r="D185" s="74">
        <f>(Table1345[[#This Row],[Index]]-B173)/B173</f>
        <v/>
      </c>
    </row>
    <row r="186">
      <c r="A186" s="19" t="n">
        <v>31747</v>
      </c>
      <c r="B186" s="61">
        <f>VLOOKUP(Table1345[[#This Row],[Date]],database!A:I,9,)</f>
        <v/>
      </c>
      <c r="C186" s="74">
        <f>B186/B185-1</f>
        <v/>
      </c>
      <c r="D186" s="74">
        <f>(Table1345[[#This Row],[Index]]-B174)/B174</f>
        <v/>
      </c>
    </row>
    <row r="187">
      <c r="A187" s="19" t="n">
        <v>31778</v>
      </c>
      <c r="B187" s="61">
        <f>VLOOKUP(Table1345[[#This Row],[Date]],database!A:I,9,)</f>
        <v/>
      </c>
      <c r="C187" s="74">
        <f>B187/B186-1</f>
        <v/>
      </c>
      <c r="D187" s="74">
        <f>(Table1345[[#This Row],[Index]]-B175)/B175</f>
        <v/>
      </c>
    </row>
    <row r="188">
      <c r="A188" s="19" t="n">
        <v>31809</v>
      </c>
      <c r="B188" s="61">
        <f>VLOOKUP(Table1345[[#This Row],[Date]],database!A:I,9,)</f>
        <v/>
      </c>
      <c r="C188" s="74">
        <f>B188/B187-1</f>
        <v/>
      </c>
      <c r="D188" s="74">
        <f>(Table1345[[#This Row],[Index]]-B176)/B176</f>
        <v/>
      </c>
    </row>
    <row r="189">
      <c r="A189" s="19" t="n">
        <v>31837</v>
      </c>
      <c r="B189" s="61">
        <f>VLOOKUP(Table1345[[#This Row],[Date]],database!A:I,9,)</f>
        <v/>
      </c>
      <c r="C189" s="74">
        <f>B189/B188-1</f>
        <v/>
      </c>
      <c r="D189" s="74">
        <f>(Table1345[[#This Row],[Index]]-B177)/B177</f>
        <v/>
      </c>
    </row>
    <row r="190">
      <c r="A190" s="19" t="n">
        <v>31868</v>
      </c>
      <c r="B190" s="61">
        <f>VLOOKUP(Table1345[[#This Row],[Date]],database!A:I,9,)</f>
        <v/>
      </c>
      <c r="C190" s="74">
        <f>B190/B189-1</f>
        <v/>
      </c>
      <c r="D190" s="74">
        <f>(Table1345[[#This Row],[Index]]-B178)/B178</f>
        <v/>
      </c>
    </row>
    <row r="191">
      <c r="A191" s="19" t="n">
        <v>31898</v>
      </c>
      <c r="B191" s="61">
        <f>VLOOKUP(Table1345[[#This Row],[Date]],database!A:I,9,)</f>
        <v/>
      </c>
      <c r="C191" s="74">
        <f>B191/B190-1</f>
        <v/>
      </c>
      <c r="D191" s="74">
        <f>(Table1345[[#This Row],[Index]]-B179)/B179</f>
        <v/>
      </c>
    </row>
    <row r="192">
      <c r="A192" s="19" t="n">
        <v>31929</v>
      </c>
      <c r="B192" s="61">
        <f>VLOOKUP(Table1345[[#This Row],[Date]],database!A:I,9,)</f>
        <v/>
      </c>
      <c r="C192" s="74">
        <f>B192/B191-1</f>
        <v/>
      </c>
      <c r="D192" s="74">
        <f>(Table1345[[#This Row],[Index]]-B180)/B180</f>
        <v/>
      </c>
    </row>
    <row r="193">
      <c r="A193" s="19" t="n">
        <v>31959</v>
      </c>
      <c r="B193" s="61">
        <f>VLOOKUP(Table1345[[#This Row],[Date]],database!A:I,9,)</f>
        <v/>
      </c>
      <c r="C193" s="74">
        <f>B193/B192-1</f>
        <v/>
      </c>
      <c r="D193" s="74">
        <f>(Table1345[[#This Row],[Index]]-B181)/B181</f>
        <v/>
      </c>
    </row>
    <row r="194">
      <c r="A194" s="19" t="n">
        <v>31990</v>
      </c>
      <c r="B194" s="61">
        <f>VLOOKUP(Table1345[[#This Row],[Date]],database!A:I,9,)</f>
        <v/>
      </c>
      <c r="C194" s="74">
        <f>B194/B193-1</f>
        <v/>
      </c>
      <c r="D194" s="74">
        <f>(Table1345[[#This Row],[Index]]-B182)/B182</f>
        <v/>
      </c>
    </row>
    <row r="195">
      <c r="A195" s="19" t="n">
        <v>32021</v>
      </c>
      <c r="B195" s="61">
        <f>VLOOKUP(Table1345[[#This Row],[Date]],database!A:I,9,)</f>
        <v/>
      </c>
      <c r="C195" s="74">
        <f>B195/B194-1</f>
        <v/>
      </c>
      <c r="D195" s="74">
        <f>(Table1345[[#This Row],[Index]]-B183)/B183</f>
        <v/>
      </c>
    </row>
    <row r="196">
      <c r="A196" s="19" t="n">
        <v>32051</v>
      </c>
      <c r="B196" s="61">
        <f>VLOOKUP(Table1345[[#This Row],[Date]],database!A:I,9,)</f>
        <v/>
      </c>
      <c r="C196" s="74">
        <f>B196/B195-1</f>
        <v/>
      </c>
      <c r="D196" s="74">
        <f>(Table1345[[#This Row],[Index]]-B184)/B184</f>
        <v/>
      </c>
    </row>
    <row r="197">
      <c r="A197" s="19" t="n">
        <v>32082</v>
      </c>
      <c r="B197" s="61">
        <f>VLOOKUP(Table1345[[#This Row],[Date]],database!A:I,9,)</f>
        <v/>
      </c>
      <c r="C197" s="74">
        <f>B197/B196-1</f>
        <v/>
      </c>
      <c r="D197" s="74">
        <f>(Table1345[[#This Row],[Index]]-B185)/B185</f>
        <v/>
      </c>
    </row>
    <row r="198">
      <c r="A198" s="19" t="n">
        <v>32112</v>
      </c>
      <c r="B198" s="61">
        <f>VLOOKUP(Table1345[[#This Row],[Date]],database!A:I,9,)</f>
        <v/>
      </c>
      <c r="C198" s="74">
        <f>B198/B197-1</f>
        <v/>
      </c>
      <c r="D198" s="74">
        <f>(Table1345[[#This Row],[Index]]-B186)/B186</f>
        <v/>
      </c>
    </row>
    <row r="199">
      <c r="A199" s="19" t="n">
        <v>32143</v>
      </c>
      <c r="B199" s="61">
        <f>VLOOKUP(Table1345[[#This Row],[Date]],database!A:I,9,)</f>
        <v/>
      </c>
      <c r="C199" s="74">
        <f>B199/B198-1</f>
        <v/>
      </c>
      <c r="D199" s="74">
        <f>(Table1345[[#This Row],[Index]]-B187)/B187</f>
        <v/>
      </c>
    </row>
    <row r="200">
      <c r="A200" s="19" t="n">
        <v>32174</v>
      </c>
      <c r="B200" s="61">
        <f>VLOOKUP(Table1345[[#This Row],[Date]],database!A:I,9,)</f>
        <v/>
      </c>
      <c r="C200" s="74">
        <f>B200/B199-1</f>
        <v/>
      </c>
      <c r="D200" s="74">
        <f>(Table1345[[#This Row],[Index]]-B188)/B188</f>
        <v/>
      </c>
    </row>
    <row r="201">
      <c r="A201" s="19" t="n">
        <v>32203</v>
      </c>
      <c r="B201" s="61">
        <f>VLOOKUP(Table1345[[#This Row],[Date]],database!A:I,9,)</f>
        <v/>
      </c>
      <c r="C201" s="74">
        <f>B201/B200-1</f>
        <v/>
      </c>
      <c r="D201" s="74">
        <f>(Table1345[[#This Row],[Index]]-B189)/B189</f>
        <v/>
      </c>
    </row>
    <row r="202">
      <c r="A202" s="19" t="n">
        <v>32234</v>
      </c>
      <c r="B202" s="61">
        <f>VLOOKUP(Table1345[[#This Row],[Date]],database!A:I,9,)</f>
        <v/>
      </c>
      <c r="C202" s="74">
        <f>B202/B201-1</f>
        <v/>
      </c>
      <c r="D202" s="74">
        <f>(Table1345[[#This Row],[Index]]-B190)/B190</f>
        <v/>
      </c>
    </row>
    <row r="203">
      <c r="A203" s="19" t="n">
        <v>32264</v>
      </c>
      <c r="B203" s="61">
        <f>VLOOKUP(Table1345[[#This Row],[Date]],database!A:I,9,)</f>
        <v/>
      </c>
      <c r="C203" s="74">
        <f>B203/B202-1</f>
        <v/>
      </c>
      <c r="D203" s="74">
        <f>(Table1345[[#This Row],[Index]]-B191)/B191</f>
        <v/>
      </c>
    </row>
    <row r="204">
      <c r="A204" s="19" t="n">
        <v>32295</v>
      </c>
      <c r="B204" s="61">
        <f>VLOOKUP(Table1345[[#This Row],[Date]],database!A:I,9,)</f>
        <v/>
      </c>
      <c r="C204" s="74">
        <f>B204/B203-1</f>
        <v/>
      </c>
      <c r="D204" s="74">
        <f>(Table1345[[#This Row],[Index]]-B192)/B192</f>
        <v/>
      </c>
    </row>
    <row r="205">
      <c r="A205" s="19" t="n">
        <v>32325</v>
      </c>
      <c r="B205" s="61">
        <f>VLOOKUP(Table1345[[#This Row],[Date]],database!A:I,9,)</f>
        <v/>
      </c>
      <c r="C205" s="74">
        <f>B205/B204-1</f>
        <v/>
      </c>
      <c r="D205" s="74">
        <f>(Table1345[[#This Row],[Index]]-B193)/B193</f>
        <v/>
      </c>
    </row>
    <row r="206">
      <c r="A206" s="19" t="n">
        <v>32356</v>
      </c>
      <c r="B206" s="61">
        <f>VLOOKUP(Table1345[[#This Row],[Date]],database!A:I,9,)</f>
        <v/>
      </c>
      <c r="C206" s="74">
        <f>B206/B205-1</f>
        <v/>
      </c>
      <c r="D206" s="74">
        <f>(Table1345[[#This Row],[Index]]-B194)/B194</f>
        <v/>
      </c>
    </row>
    <row r="207">
      <c r="A207" s="19" t="n">
        <v>32387</v>
      </c>
      <c r="B207" s="61">
        <f>VLOOKUP(Table1345[[#This Row],[Date]],database!A:I,9,)</f>
        <v/>
      </c>
      <c r="C207" s="74">
        <f>B207/B206-1</f>
        <v/>
      </c>
      <c r="D207" s="74">
        <f>(Table1345[[#This Row],[Index]]-B195)/B195</f>
        <v/>
      </c>
    </row>
    <row r="208">
      <c r="A208" s="19" t="n">
        <v>32417</v>
      </c>
      <c r="B208" s="61">
        <f>VLOOKUP(Table1345[[#This Row],[Date]],database!A:I,9,)</f>
        <v/>
      </c>
      <c r="C208" s="74">
        <f>B208/B207-1</f>
        <v/>
      </c>
      <c r="D208" s="74">
        <f>(Table1345[[#This Row],[Index]]-B196)/B196</f>
        <v/>
      </c>
    </row>
    <row r="209">
      <c r="A209" s="19" t="n">
        <v>32448</v>
      </c>
      <c r="B209" s="61">
        <f>VLOOKUP(Table1345[[#This Row],[Date]],database!A:I,9,)</f>
        <v/>
      </c>
      <c r="C209" s="74">
        <f>B209/B208-1</f>
        <v/>
      </c>
      <c r="D209" s="74">
        <f>(Table1345[[#This Row],[Index]]-B197)/B197</f>
        <v/>
      </c>
    </row>
    <row r="210">
      <c r="A210" s="19" t="n">
        <v>32478</v>
      </c>
      <c r="B210" s="61">
        <f>VLOOKUP(Table1345[[#This Row],[Date]],database!A:I,9,)</f>
        <v/>
      </c>
      <c r="C210" s="74">
        <f>B210/B209-1</f>
        <v/>
      </c>
      <c r="D210" s="74">
        <f>(Table1345[[#This Row],[Index]]-B198)/B198</f>
        <v/>
      </c>
    </row>
    <row r="211">
      <c r="A211" s="19" t="n">
        <v>32509</v>
      </c>
      <c r="B211" s="61">
        <f>VLOOKUP(Table1345[[#This Row],[Date]],database!A:I,9,)</f>
        <v/>
      </c>
      <c r="C211" s="74">
        <f>B211/B210-1</f>
        <v/>
      </c>
      <c r="D211" s="74">
        <f>(Table1345[[#This Row],[Index]]-B199)/B199</f>
        <v/>
      </c>
    </row>
    <row r="212">
      <c r="A212" s="19" t="n">
        <v>32540</v>
      </c>
      <c r="B212" s="61">
        <f>VLOOKUP(Table1345[[#This Row],[Date]],database!A:I,9,)</f>
        <v/>
      </c>
      <c r="C212" s="74">
        <f>B212/B211-1</f>
        <v/>
      </c>
      <c r="D212" s="74">
        <f>(Table1345[[#This Row],[Index]]-B200)/B200</f>
        <v/>
      </c>
    </row>
    <row r="213">
      <c r="A213" s="19" t="n">
        <v>32568</v>
      </c>
      <c r="B213" s="61">
        <f>VLOOKUP(Table1345[[#This Row],[Date]],database!A:I,9,)</f>
        <v/>
      </c>
      <c r="C213" s="74">
        <f>B213/B212-1</f>
        <v/>
      </c>
      <c r="D213" s="74">
        <f>(Table1345[[#This Row],[Index]]-B201)/B201</f>
        <v/>
      </c>
    </row>
    <row r="214">
      <c r="A214" s="19" t="n">
        <v>32599</v>
      </c>
      <c r="B214" s="61">
        <f>VLOOKUP(Table1345[[#This Row],[Date]],database!A:I,9,)</f>
        <v/>
      </c>
      <c r="C214" s="74">
        <f>B214/B213-1</f>
        <v/>
      </c>
      <c r="D214" s="74">
        <f>(Table1345[[#This Row],[Index]]-B202)/B202</f>
        <v/>
      </c>
    </row>
    <row r="215">
      <c r="A215" s="19" t="n">
        <v>32629</v>
      </c>
      <c r="B215" s="61">
        <f>VLOOKUP(Table1345[[#This Row],[Date]],database!A:I,9,)</f>
        <v/>
      </c>
      <c r="C215" s="74">
        <f>B215/B214-1</f>
        <v/>
      </c>
      <c r="D215" s="74">
        <f>(Table1345[[#This Row],[Index]]-B203)/B203</f>
        <v/>
      </c>
    </row>
    <row r="216">
      <c r="A216" s="19" t="n">
        <v>32660</v>
      </c>
      <c r="B216" s="61">
        <f>VLOOKUP(Table1345[[#This Row],[Date]],database!A:I,9,)</f>
        <v/>
      </c>
      <c r="C216" s="74">
        <f>B216/B215-1</f>
        <v/>
      </c>
      <c r="D216" s="74">
        <f>(Table1345[[#This Row],[Index]]-B204)/B204</f>
        <v/>
      </c>
    </row>
    <row r="217">
      <c r="A217" s="19" t="n">
        <v>32690</v>
      </c>
      <c r="B217" s="61">
        <f>VLOOKUP(Table1345[[#This Row],[Date]],database!A:I,9,)</f>
        <v/>
      </c>
      <c r="C217" s="74">
        <f>B217/B216-1</f>
        <v/>
      </c>
      <c r="D217" s="74">
        <f>(Table1345[[#This Row],[Index]]-B205)/B205</f>
        <v/>
      </c>
    </row>
    <row r="218">
      <c r="A218" s="19" t="n">
        <v>32721</v>
      </c>
      <c r="B218" s="61">
        <f>VLOOKUP(Table1345[[#This Row],[Date]],database!A:I,9,)</f>
        <v/>
      </c>
      <c r="C218" s="74">
        <f>B218/B217-1</f>
        <v/>
      </c>
      <c r="D218" s="74">
        <f>(Table1345[[#This Row],[Index]]-B206)/B206</f>
        <v/>
      </c>
    </row>
    <row r="219">
      <c r="A219" s="19" t="n">
        <v>32752</v>
      </c>
      <c r="B219" s="61">
        <f>VLOOKUP(Table1345[[#This Row],[Date]],database!A:I,9,)</f>
        <v/>
      </c>
      <c r="C219" s="74">
        <f>B219/B218-1</f>
        <v/>
      </c>
      <c r="D219" s="74">
        <f>(Table1345[[#This Row],[Index]]-B207)/B207</f>
        <v/>
      </c>
    </row>
    <row r="220">
      <c r="A220" s="19" t="n">
        <v>32782</v>
      </c>
      <c r="B220" s="61">
        <f>VLOOKUP(Table1345[[#This Row],[Date]],database!A:I,9,)</f>
        <v/>
      </c>
      <c r="C220" s="74">
        <f>B220/B219-1</f>
        <v/>
      </c>
      <c r="D220" s="74">
        <f>(Table1345[[#This Row],[Index]]-B208)/B208</f>
        <v/>
      </c>
    </row>
    <row r="221">
      <c r="A221" s="19" t="n">
        <v>32813</v>
      </c>
      <c r="B221" s="61">
        <f>VLOOKUP(Table1345[[#This Row],[Date]],database!A:I,9,)</f>
        <v/>
      </c>
      <c r="C221" s="74">
        <f>B221/B220-1</f>
        <v/>
      </c>
      <c r="D221" s="74">
        <f>(Table1345[[#This Row],[Index]]-B209)/B209</f>
        <v/>
      </c>
    </row>
    <row r="222">
      <c r="A222" s="19" t="n">
        <v>32843</v>
      </c>
      <c r="B222" s="61">
        <f>VLOOKUP(Table1345[[#This Row],[Date]],database!A:I,9,)</f>
        <v/>
      </c>
      <c r="C222" s="74">
        <f>B222/B221-1</f>
        <v/>
      </c>
      <c r="D222" s="74">
        <f>(Table1345[[#This Row],[Index]]-B210)/B210</f>
        <v/>
      </c>
    </row>
    <row r="223">
      <c r="A223" s="19" t="n">
        <v>32874</v>
      </c>
      <c r="B223" s="61">
        <f>VLOOKUP(Table1345[[#This Row],[Date]],database!A:I,9,)</f>
        <v/>
      </c>
      <c r="C223" s="74">
        <f>B223/B222-1</f>
        <v/>
      </c>
      <c r="D223" s="74">
        <f>(Table1345[[#This Row],[Index]]-B211)/B211</f>
        <v/>
      </c>
    </row>
    <row r="224">
      <c r="A224" s="19" t="n">
        <v>32905</v>
      </c>
      <c r="B224" s="61">
        <f>VLOOKUP(Table1345[[#This Row],[Date]],database!A:I,9,)</f>
        <v/>
      </c>
      <c r="C224" s="74">
        <f>B224/B223-1</f>
        <v/>
      </c>
      <c r="D224" s="74">
        <f>(Table1345[[#This Row],[Index]]-B212)/B212</f>
        <v/>
      </c>
    </row>
    <row r="225">
      <c r="A225" s="19" t="n">
        <v>32933</v>
      </c>
      <c r="B225" s="61">
        <f>VLOOKUP(Table1345[[#This Row],[Date]],database!A:I,9,)</f>
        <v/>
      </c>
      <c r="C225" s="74">
        <f>B225/B224-1</f>
        <v/>
      </c>
      <c r="D225" s="74">
        <f>(Table1345[[#This Row],[Index]]-B213)/B213</f>
        <v/>
      </c>
    </row>
    <row r="226">
      <c r="A226" s="19" t="n">
        <v>32964</v>
      </c>
      <c r="B226" s="61">
        <f>VLOOKUP(Table1345[[#This Row],[Date]],database!A:I,9,)</f>
        <v/>
      </c>
      <c r="C226" s="74">
        <f>B226/B225-1</f>
        <v/>
      </c>
      <c r="D226" s="74">
        <f>(Table1345[[#This Row],[Index]]-B214)/B214</f>
        <v/>
      </c>
    </row>
    <row r="227">
      <c r="A227" s="19" t="n">
        <v>32994</v>
      </c>
      <c r="B227" s="61">
        <f>VLOOKUP(Table1345[[#This Row],[Date]],database!A:I,9,)</f>
        <v/>
      </c>
      <c r="C227" s="74">
        <f>B227/B226-1</f>
        <v/>
      </c>
      <c r="D227" s="74">
        <f>(Table1345[[#This Row],[Index]]-B215)/B215</f>
        <v/>
      </c>
    </row>
    <row r="228">
      <c r="A228" s="19" t="n">
        <v>33025</v>
      </c>
      <c r="B228" s="61">
        <f>VLOOKUP(Table1345[[#This Row],[Date]],database!A:I,9,)</f>
        <v/>
      </c>
      <c r="C228" s="74">
        <f>B228/B227-1</f>
        <v/>
      </c>
      <c r="D228" s="74">
        <f>(Table1345[[#This Row],[Index]]-B216)/B216</f>
        <v/>
      </c>
    </row>
    <row r="229">
      <c r="A229" s="19" t="n">
        <v>33055</v>
      </c>
      <c r="B229" s="61">
        <f>VLOOKUP(Table1345[[#This Row],[Date]],database!A:I,9,)</f>
        <v/>
      </c>
      <c r="C229" s="74">
        <f>B229/B228-1</f>
        <v/>
      </c>
      <c r="D229" s="74">
        <f>(Table1345[[#This Row],[Index]]-B217)/B217</f>
        <v/>
      </c>
    </row>
    <row r="230">
      <c r="A230" s="19" t="n">
        <v>33086</v>
      </c>
      <c r="B230" s="61">
        <f>VLOOKUP(Table1345[[#This Row],[Date]],database!A:I,9,)</f>
        <v/>
      </c>
      <c r="C230" s="74">
        <f>B230/B229-1</f>
        <v/>
      </c>
      <c r="D230" s="74">
        <f>(Table1345[[#This Row],[Index]]-B218)/B218</f>
        <v/>
      </c>
    </row>
    <row r="231">
      <c r="A231" s="19" t="n">
        <v>33117</v>
      </c>
      <c r="B231" s="61">
        <f>VLOOKUP(Table1345[[#This Row],[Date]],database!A:I,9,)</f>
        <v/>
      </c>
      <c r="C231" s="74">
        <f>B231/B230-1</f>
        <v/>
      </c>
      <c r="D231" s="74">
        <f>(Table1345[[#This Row],[Index]]-B219)/B219</f>
        <v/>
      </c>
    </row>
    <row r="232">
      <c r="A232" s="19" t="n">
        <v>33147</v>
      </c>
      <c r="B232" s="61">
        <f>VLOOKUP(Table1345[[#This Row],[Date]],database!A:I,9,)</f>
        <v/>
      </c>
      <c r="C232" s="74">
        <f>B232/B231-1</f>
        <v/>
      </c>
      <c r="D232" s="74">
        <f>(Table1345[[#This Row],[Index]]-B220)/B220</f>
        <v/>
      </c>
    </row>
    <row r="233">
      <c r="A233" s="19" t="n">
        <v>33178</v>
      </c>
      <c r="B233" s="61">
        <f>VLOOKUP(Table1345[[#This Row],[Date]],database!A:I,9,)</f>
        <v/>
      </c>
      <c r="C233" s="74">
        <f>B233/B232-1</f>
        <v/>
      </c>
      <c r="D233" s="74">
        <f>(Table1345[[#This Row],[Index]]-B221)/B221</f>
        <v/>
      </c>
    </row>
    <row r="234">
      <c r="A234" s="19" t="n">
        <v>33208</v>
      </c>
      <c r="B234" s="61">
        <f>VLOOKUP(Table1345[[#This Row],[Date]],database!A:I,9,)</f>
        <v/>
      </c>
      <c r="C234" s="74">
        <f>B234/B233-1</f>
        <v/>
      </c>
      <c r="D234" s="74">
        <f>(Table1345[[#This Row],[Index]]-B222)/B222</f>
        <v/>
      </c>
    </row>
    <row r="235">
      <c r="A235" s="19" t="n">
        <v>33239</v>
      </c>
      <c r="B235" s="61">
        <f>VLOOKUP(Table1345[[#This Row],[Date]],database!A:I,9,)</f>
        <v/>
      </c>
      <c r="C235" s="74">
        <f>B235/B234-1</f>
        <v/>
      </c>
      <c r="D235" s="74">
        <f>(Table1345[[#This Row],[Index]]-B223)/B223</f>
        <v/>
      </c>
    </row>
    <row r="236">
      <c r="A236" s="19" t="n">
        <v>33270</v>
      </c>
      <c r="B236" s="61">
        <f>VLOOKUP(Table1345[[#This Row],[Date]],database!A:I,9,)</f>
        <v/>
      </c>
      <c r="C236" s="74">
        <f>B236/B235-1</f>
        <v/>
      </c>
      <c r="D236" s="74">
        <f>(Table1345[[#This Row],[Index]]-B224)/B224</f>
        <v/>
      </c>
    </row>
    <row r="237">
      <c r="A237" s="19" t="n">
        <v>33298</v>
      </c>
      <c r="B237" s="61">
        <f>VLOOKUP(Table1345[[#This Row],[Date]],database!A:I,9,)</f>
        <v/>
      </c>
      <c r="C237" s="74">
        <f>B237/B236-1</f>
        <v/>
      </c>
      <c r="D237" s="74">
        <f>(Table1345[[#This Row],[Index]]-B225)/B225</f>
        <v/>
      </c>
    </row>
    <row r="238">
      <c r="A238" s="19" t="n">
        <v>33329</v>
      </c>
      <c r="B238" s="61">
        <f>VLOOKUP(Table1345[[#This Row],[Date]],database!A:I,9,)</f>
        <v/>
      </c>
      <c r="C238" s="74">
        <f>B238/B237-1</f>
        <v/>
      </c>
      <c r="D238" s="74">
        <f>(Table1345[[#This Row],[Index]]-B226)/B226</f>
        <v/>
      </c>
    </row>
    <row r="239">
      <c r="A239" s="19" t="n">
        <v>33359</v>
      </c>
      <c r="B239" s="61">
        <f>VLOOKUP(Table1345[[#This Row],[Date]],database!A:I,9,)</f>
        <v/>
      </c>
      <c r="C239" s="74">
        <f>B239/B238-1</f>
        <v/>
      </c>
      <c r="D239" s="74">
        <f>(Table1345[[#This Row],[Index]]-B227)/B227</f>
        <v/>
      </c>
    </row>
    <row r="240">
      <c r="A240" s="19" t="n">
        <v>33390</v>
      </c>
      <c r="B240" s="61">
        <f>VLOOKUP(Table1345[[#This Row],[Date]],database!A:I,9,)</f>
        <v/>
      </c>
      <c r="C240" s="74">
        <f>B240/B239-1</f>
        <v/>
      </c>
      <c r="D240" s="74">
        <f>(Table1345[[#This Row],[Index]]-B228)/B228</f>
        <v/>
      </c>
    </row>
    <row r="241">
      <c r="A241" s="19" t="n">
        <v>33420</v>
      </c>
      <c r="B241" s="61">
        <f>VLOOKUP(Table1345[[#This Row],[Date]],database!A:I,9,)</f>
        <v/>
      </c>
      <c r="C241" s="74">
        <f>B241/B240-1</f>
        <v/>
      </c>
      <c r="D241" s="74">
        <f>(Table1345[[#This Row],[Index]]-B229)/B229</f>
        <v/>
      </c>
    </row>
    <row r="242">
      <c r="A242" s="19" t="n">
        <v>33451</v>
      </c>
      <c r="B242" s="61">
        <f>VLOOKUP(Table1345[[#This Row],[Date]],database!A:I,9,)</f>
        <v/>
      </c>
      <c r="C242" s="74">
        <f>B242/B241-1</f>
        <v/>
      </c>
      <c r="D242" s="74">
        <f>(Table1345[[#This Row],[Index]]-B230)/B230</f>
        <v/>
      </c>
    </row>
    <row r="243">
      <c r="A243" s="19" t="n">
        <v>33482</v>
      </c>
      <c r="B243" s="61">
        <f>VLOOKUP(Table1345[[#This Row],[Date]],database!A:I,9,)</f>
        <v/>
      </c>
      <c r="C243" s="74">
        <f>B243/B242-1</f>
        <v/>
      </c>
      <c r="D243" s="74">
        <f>(Table1345[[#This Row],[Index]]-B231)/B231</f>
        <v/>
      </c>
    </row>
    <row r="244">
      <c r="A244" s="19" t="n">
        <v>33512</v>
      </c>
      <c r="B244" s="61">
        <f>VLOOKUP(Table1345[[#This Row],[Date]],database!A:I,9,)</f>
        <v/>
      </c>
      <c r="C244" s="74">
        <f>B244/B243-1</f>
        <v/>
      </c>
      <c r="D244" s="74">
        <f>(Table1345[[#This Row],[Index]]-B232)/B232</f>
        <v/>
      </c>
    </row>
    <row r="245">
      <c r="A245" s="19" t="n">
        <v>33543</v>
      </c>
      <c r="B245" s="61">
        <f>VLOOKUP(Table1345[[#This Row],[Date]],database!A:I,9,)</f>
        <v/>
      </c>
      <c r="C245" s="74">
        <f>B245/B244-1</f>
        <v/>
      </c>
      <c r="D245" s="74">
        <f>(Table1345[[#This Row],[Index]]-B233)/B233</f>
        <v/>
      </c>
    </row>
    <row r="246">
      <c r="A246" s="19" t="n">
        <v>33573</v>
      </c>
      <c r="B246" s="61">
        <f>VLOOKUP(Table1345[[#This Row],[Date]],database!A:I,9,)</f>
        <v/>
      </c>
      <c r="C246" s="74">
        <f>B246/B245-1</f>
        <v/>
      </c>
      <c r="D246" s="74">
        <f>(Table1345[[#This Row],[Index]]-B234)/B234</f>
        <v/>
      </c>
    </row>
    <row r="247">
      <c r="A247" s="19" t="n">
        <v>33604</v>
      </c>
      <c r="B247" s="61">
        <f>VLOOKUP(Table1345[[#This Row],[Date]],database!A:I,9,)</f>
        <v/>
      </c>
      <c r="C247" s="74">
        <f>B247/B246-1</f>
        <v/>
      </c>
      <c r="D247" s="74">
        <f>(Table1345[[#This Row],[Index]]-B235)/B235</f>
        <v/>
      </c>
    </row>
    <row r="248">
      <c r="A248" s="19" t="n">
        <v>33635</v>
      </c>
      <c r="B248" s="61">
        <f>VLOOKUP(Table1345[[#This Row],[Date]],database!A:I,9,)</f>
        <v/>
      </c>
      <c r="C248" s="74">
        <f>B248/B247-1</f>
        <v/>
      </c>
      <c r="D248" s="74">
        <f>(Table1345[[#This Row],[Index]]-B236)/B236</f>
        <v/>
      </c>
    </row>
    <row r="249">
      <c r="A249" s="19" t="n">
        <v>33664</v>
      </c>
      <c r="B249" s="61">
        <f>VLOOKUP(Table1345[[#This Row],[Date]],database!A:I,9,)</f>
        <v/>
      </c>
      <c r="C249" s="74">
        <f>B249/B248-1</f>
        <v/>
      </c>
      <c r="D249" s="74">
        <f>(Table1345[[#This Row],[Index]]-B237)/B237</f>
        <v/>
      </c>
    </row>
    <row r="250">
      <c r="A250" s="19" t="n">
        <v>33695</v>
      </c>
      <c r="B250" s="61">
        <f>VLOOKUP(Table1345[[#This Row],[Date]],database!A:I,9,)</f>
        <v/>
      </c>
      <c r="C250" s="74">
        <f>B250/B249-1</f>
        <v/>
      </c>
      <c r="D250" s="74">
        <f>(Table1345[[#This Row],[Index]]-B238)/B238</f>
        <v/>
      </c>
    </row>
    <row r="251">
      <c r="A251" s="19" t="n">
        <v>33725</v>
      </c>
      <c r="B251" s="61">
        <f>VLOOKUP(Table1345[[#This Row],[Date]],database!A:I,9,)</f>
        <v/>
      </c>
      <c r="C251" s="74">
        <f>B251/B250-1</f>
        <v/>
      </c>
      <c r="D251" s="74">
        <f>(Table1345[[#This Row],[Index]]-B239)/B239</f>
        <v/>
      </c>
    </row>
    <row r="252">
      <c r="A252" s="19" t="n">
        <v>33756</v>
      </c>
      <c r="B252" s="61">
        <f>VLOOKUP(Table1345[[#This Row],[Date]],database!A:I,9,)</f>
        <v/>
      </c>
      <c r="C252" s="74">
        <f>B252/B251-1</f>
        <v/>
      </c>
      <c r="D252" s="74">
        <f>(Table1345[[#This Row],[Index]]-B240)/B240</f>
        <v/>
      </c>
    </row>
    <row r="253">
      <c r="A253" s="19" t="n">
        <v>33786</v>
      </c>
      <c r="B253" s="61">
        <f>VLOOKUP(Table1345[[#This Row],[Date]],database!A:I,9,)</f>
        <v/>
      </c>
      <c r="C253" s="74">
        <f>B253/B252-1</f>
        <v/>
      </c>
      <c r="D253" s="74">
        <f>(Table1345[[#This Row],[Index]]-B241)/B241</f>
        <v/>
      </c>
    </row>
    <row r="254">
      <c r="A254" s="19" t="n">
        <v>33817</v>
      </c>
      <c r="B254" s="61">
        <f>VLOOKUP(Table1345[[#This Row],[Date]],database!A:I,9,)</f>
        <v/>
      </c>
      <c r="C254" s="74">
        <f>B254/B253-1</f>
        <v/>
      </c>
      <c r="D254" s="74">
        <f>(Table1345[[#This Row],[Index]]-B242)/B242</f>
        <v/>
      </c>
    </row>
    <row r="255">
      <c r="A255" s="19" t="n">
        <v>33848</v>
      </c>
      <c r="B255" s="61">
        <f>VLOOKUP(Table1345[[#This Row],[Date]],database!A:I,9,)</f>
        <v/>
      </c>
      <c r="C255" s="74">
        <f>B255/B254-1</f>
        <v/>
      </c>
      <c r="D255" s="74">
        <f>(Table1345[[#This Row],[Index]]-B243)/B243</f>
        <v/>
      </c>
    </row>
    <row r="256">
      <c r="A256" s="19" t="n">
        <v>33878</v>
      </c>
      <c r="B256" s="61">
        <f>VLOOKUP(Table1345[[#This Row],[Date]],database!A:I,9,)</f>
        <v/>
      </c>
      <c r="C256" s="74">
        <f>B256/B255-1</f>
        <v/>
      </c>
      <c r="D256" s="74">
        <f>(Table1345[[#This Row],[Index]]-B244)/B244</f>
        <v/>
      </c>
    </row>
    <row r="257">
      <c r="A257" s="19" t="n">
        <v>33909</v>
      </c>
      <c r="B257" s="61">
        <f>VLOOKUP(Table1345[[#This Row],[Date]],database!A:I,9,)</f>
        <v/>
      </c>
      <c r="C257" s="74">
        <f>B257/B256-1</f>
        <v/>
      </c>
      <c r="D257" s="74">
        <f>(Table1345[[#This Row],[Index]]-B245)/B245</f>
        <v/>
      </c>
    </row>
    <row r="258">
      <c r="A258" s="19" t="n">
        <v>33939</v>
      </c>
      <c r="B258" s="61">
        <f>VLOOKUP(Table1345[[#This Row],[Date]],database!A:I,9,)</f>
        <v/>
      </c>
      <c r="C258" s="74">
        <f>B258/B257-1</f>
        <v/>
      </c>
      <c r="D258" s="74">
        <f>(Table1345[[#This Row],[Index]]-B246)/B246</f>
        <v/>
      </c>
    </row>
    <row r="259">
      <c r="A259" s="19" t="n">
        <v>33970</v>
      </c>
      <c r="B259" s="61">
        <f>VLOOKUP(Table1345[[#This Row],[Date]],database!A:I,9,)</f>
        <v/>
      </c>
      <c r="C259" s="74">
        <f>B259/B258-1</f>
        <v/>
      </c>
      <c r="D259" s="74">
        <f>(Table1345[[#This Row],[Index]]-B247)/B247</f>
        <v/>
      </c>
    </row>
    <row r="260">
      <c r="A260" s="19" t="n">
        <v>34001</v>
      </c>
      <c r="B260" s="61">
        <f>VLOOKUP(Table1345[[#This Row],[Date]],database!A:I,9,)</f>
        <v/>
      </c>
      <c r="C260" s="74">
        <f>B260/B259-1</f>
        <v/>
      </c>
      <c r="D260" s="74">
        <f>(Table1345[[#This Row],[Index]]-B248)/B248</f>
        <v/>
      </c>
    </row>
    <row r="261">
      <c r="A261" s="19" t="n">
        <v>34029</v>
      </c>
      <c r="B261" s="61">
        <f>VLOOKUP(Table1345[[#This Row],[Date]],database!A:I,9,)</f>
        <v/>
      </c>
      <c r="C261" s="74">
        <f>B261/B260-1</f>
        <v/>
      </c>
      <c r="D261" s="74">
        <f>(Table1345[[#This Row],[Index]]-B249)/B249</f>
        <v/>
      </c>
    </row>
    <row r="262">
      <c r="A262" s="19" t="n">
        <v>34060</v>
      </c>
      <c r="B262" s="61">
        <f>VLOOKUP(Table1345[[#This Row],[Date]],database!A:I,9,)</f>
        <v/>
      </c>
      <c r="C262" s="74">
        <f>B262/B261-1</f>
        <v/>
      </c>
      <c r="D262" s="74">
        <f>(Table1345[[#This Row],[Index]]-B250)/B250</f>
        <v/>
      </c>
    </row>
    <row r="263">
      <c r="A263" s="19" t="n">
        <v>34090</v>
      </c>
      <c r="B263" s="61">
        <f>VLOOKUP(Table1345[[#This Row],[Date]],database!A:I,9,)</f>
        <v/>
      </c>
      <c r="C263" s="74">
        <f>B263/B262-1</f>
        <v/>
      </c>
      <c r="D263" s="74">
        <f>(Table1345[[#This Row],[Index]]-B251)/B251</f>
        <v/>
      </c>
    </row>
    <row r="264">
      <c r="A264" s="19" t="n">
        <v>34121</v>
      </c>
      <c r="B264" s="61">
        <f>VLOOKUP(Table1345[[#This Row],[Date]],database!A:I,9,)</f>
        <v/>
      </c>
      <c r="C264" s="74">
        <f>B264/B263-1</f>
        <v/>
      </c>
      <c r="D264" s="74">
        <f>(Table1345[[#This Row],[Index]]-B252)/B252</f>
        <v/>
      </c>
    </row>
    <row r="265">
      <c r="A265" s="19" t="n">
        <v>34151</v>
      </c>
      <c r="B265" s="61">
        <f>VLOOKUP(Table1345[[#This Row],[Date]],database!A:I,9,)</f>
        <v/>
      </c>
      <c r="C265" s="74">
        <f>B265/B264-1</f>
        <v/>
      </c>
      <c r="D265" s="74">
        <f>(Table1345[[#This Row],[Index]]-B253)/B253</f>
        <v/>
      </c>
    </row>
    <row r="266">
      <c r="A266" s="19" t="n">
        <v>34182</v>
      </c>
      <c r="B266" s="61">
        <f>VLOOKUP(Table1345[[#This Row],[Date]],database!A:I,9,)</f>
        <v/>
      </c>
      <c r="C266" s="74">
        <f>B266/B265-1</f>
        <v/>
      </c>
      <c r="D266" s="74">
        <f>(Table1345[[#This Row],[Index]]-B254)/B254</f>
        <v/>
      </c>
    </row>
    <row r="267">
      <c r="A267" s="19" t="n">
        <v>34213</v>
      </c>
      <c r="B267" s="61">
        <f>VLOOKUP(Table1345[[#This Row],[Date]],database!A:I,9,)</f>
        <v/>
      </c>
      <c r="C267" s="74">
        <f>B267/B266-1</f>
        <v/>
      </c>
      <c r="D267" s="74">
        <f>(Table1345[[#This Row],[Index]]-B255)/B255</f>
        <v/>
      </c>
    </row>
    <row r="268">
      <c r="A268" s="19" t="n">
        <v>34243</v>
      </c>
      <c r="B268" s="61">
        <f>VLOOKUP(Table1345[[#This Row],[Date]],database!A:I,9,)</f>
        <v/>
      </c>
      <c r="C268" s="74">
        <f>B268/B267-1</f>
        <v/>
      </c>
      <c r="D268" s="74">
        <f>(Table1345[[#This Row],[Index]]-B256)/B256</f>
        <v/>
      </c>
    </row>
    <row r="269">
      <c r="A269" s="19" t="n">
        <v>34274</v>
      </c>
      <c r="B269" s="61">
        <f>VLOOKUP(Table1345[[#This Row],[Date]],database!A:I,9,)</f>
        <v/>
      </c>
      <c r="C269" s="74">
        <f>B269/B268-1</f>
        <v/>
      </c>
      <c r="D269" s="74">
        <f>(Table1345[[#This Row],[Index]]-B257)/B257</f>
        <v/>
      </c>
    </row>
    <row r="270">
      <c r="A270" s="19" t="n">
        <v>34304</v>
      </c>
      <c r="B270" s="61">
        <f>VLOOKUP(Table1345[[#This Row],[Date]],database!A:I,9,)</f>
        <v/>
      </c>
      <c r="C270" s="74">
        <f>B270/B269-1</f>
        <v/>
      </c>
      <c r="D270" s="74">
        <f>(Table1345[[#This Row],[Index]]-B258)/B258</f>
        <v/>
      </c>
    </row>
    <row r="271">
      <c r="A271" s="19" t="n">
        <v>34335</v>
      </c>
      <c r="B271" s="61">
        <f>VLOOKUP(Table1345[[#This Row],[Date]],database!A:I,9,)</f>
        <v/>
      </c>
      <c r="C271" s="74">
        <f>B271/B270-1</f>
        <v/>
      </c>
      <c r="D271" s="74">
        <f>(Table1345[[#This Row],[Index]]-B259)/B259</f>
        <v/>
      </c>
    </row>
    <row r="272">
      <c r="A272" s="19" t="n">
        <v>34366</v>
      </c>
      <c r="B272" s="61">
        <f>VLOOKUP(Table1345[[#This Row],[Date]],database!A:I,9,)</f>
        <v/>
      </c>
      <c r="C272" s="74">
        <f>B272/B271-1</f>
        <v/>
      </c>
      <c r="D272" s="74">
        <f>(Table1345[[#This Row],[Index]]-B260)/B260</f>
        <v/>
      </c>
    </row>
    <row r="273">
      <c r="A273" s="19" t="n">
        <v>34394</v>
      </c>
      <c r="B273" s="61">
        <f>VLOOKUP(Table1345[[#This Row],[Date]],database!A:I,9,)</f>
        <v/>
      </c>
      <c r="C273" s="74">
        <f>B273/B272-1</f>
        <v/>
      </c>
      <c r="D273" s="74">
        <f>(Table1345[[#This Row],[Index]]-B261)/B261</f>
        <v/>
      </c>
    </row>
    <row r="274">
      <c r="A274" s="19" t="n">
        <v>34425</v>
      </c>
      <c r="B274" s="61">
        <f>VLOOKUP(Table1345[[#This Row],[Date]],database!A:I,9,)</f>
        <v/>
      </c>
      <c r="C274" s="74">
        <f>B274/B273-1</f>
        <v/>
      </c>
      <c r="D274" s="74">
        <f>(Table1345[[#This Row],[Index]]-B262)/B262</f>
        <v/>
      </c>
    </row>
    <row r="275">
      <c r="A275" s="19" t="n">
        <v>34455</v>
      </c>
      <c r="B275" s="61">
        <f>VLOOKUP(Table1345[[#This Row],[Date]],database!A:I,9,)</f>
        <v/>
      </c>
      <c r="C275" s="74">
        <f>B275/B274-1</f>
        <v/>
      </c>
      <c r="D275" s="74">
        <f>(Table1345[[#This Row],[Index]]-B263)/B263</f>
        <v/>
      </c>
    </row>
    <row r="276">
      <c r="A276" s="19" t="n">
        <v>34486</v>
      </c>
      <c r="B276" s="61">
        <f>VLOOKUP(Table1345[[#This Row],[Date]],database!A:I,9,)</f>
        <v/>
      </c>
      <c r="C276" s="74">
        <f>B276/B275-1</f>
        <v/>
      </c>
      <c r="D276" s="74">
        <f>(Table1345[[#This Row],[Index]]-B264)/B264</f>
        <v/>
      </c>
    </row>
    <row r="277">
      <c r="A277" s="19" t="n">
        <v>34516</v>
      </c>
      <c r="B277" s="61">
        <f>VLOOKUP(Table1345[[#This Row],[Date]],database!A:I,9,)</f>
        <v/>
      </c>
      <c r="C277" s="74">
        <f>B277/B276-1</f>
        <v/>
      </c>
      <c r="D277" s="74">
        <f>(Table1345[[#This Row],[Index]]-B265)/B265</f>
        <v/>
      </c>
    </row>
    <row r="278">
      <c r="A278" s="19" t="n">
        <v>34547</v>
      </c>
      <c r="B278" s="61">
        <f>VLOOKUP(Table1345[[#This Row],[Date]],database!A:I,9,)</f>
        <v/>
      </c>
      <c r="C278" s="74">
        <f>B278/B277-1</f>
        <v/>
      </c>
      <c r="D278" s="74">
        <f>(Table1345[[#This Row],[Index]]-B266)/B266</f>
        <v/>
      </c>
    </row>
    <row r="279">
      <c r="A279" s="19" t="n">
        <v>34578</v>
      </c>
      <c r="B279" s="61">
        <f>VLOOKUP(Table1345[[#This Row],[Date]],database!A:I,9,)</f>
        <v/>
      </c>
      <c r="C279" s="74">
        <f>B279/B278-1</f>
        <v/>
      </c>
      <c r="D279" s="74">
        <f>(Table1345[[#This Row],[Index]]-B267)/B267</f>
        <v/>
      </c>
    </row>
    <row r="280">
      <c r="A280" s="19" t="n">
        <v>34608</v>
      </c>
      <c r="B280" s="61">
        <f>VLOOKUP(Table1345[[#This Row],[Date]],database!A:I,9,)</f>
        <v/>
      </c>
      <c r="C280" s="74">
        <f>B280/B279-1</f>
        <v/>
      </c>
      <c r="D280" s="74">
        <f>(Table1345[[#This Row],[Index]]-B268)/B268</f>
        <v/>
      </c>
    </row>
    <row r="281">
      <c r="A281" s="19" t="n">
        <v>34639</v>
      </c>
      <c r="B281" s="61">
        <f>VLOOKUP(Table1345[[#This Row],[Date]],database!A:I,9,)</f>
        <v/>
      </c>
      <c r="C281" s="74">
        <f>B281/B280-1</f>
        <v/>
      </c>
      <c r="D281" s="74">
        <f>(Table1345[[#This Row],[Index]]-B269)/B269</f>
        <v/>
      </c>
    </row>
    <row r="282">
      <c r="A282" s="19" t="n">
        <v>34669</v>
      </c>
      <c r="B282" s="61">
        <f>VLOOKUP(Table1345[[#This Row],[Date]],database!A:I,9,)</f>
        <v/>
      </c>
      <c r="C282" s="74">
        <f>B282/B281-1</f>
        <v/>
      </c>
      <c r="D282" s="74">
        <f>(Table1345[[#This Row],[Index]]-B270)/B270</f>
        <v/>
      </c>
    </row>
    <row r="283">
      <c r="A283" s="19" t="n">
        <v>34700</v>
      </c>
      <c r="B283" s="61">
        <f>VLOOKUP(Table1345[[#This Row],[Date]],database!A:I,9,)</f>
        <v/>
      </c>
      <c r="C283" s="74">
        <f>B283/B282-1</f>
        <v/>
      </c>
      <c r="D283" s="74">
        <f>(Table1345[[#This Row],[Index]]-B271)/B271</f>
        <v/>
      </c>
    </row>
    <row r="284">
      <c r="A284" s="19" t="n">
        <v>34731</v>
      </c>
      <c r="B284" s="61">
        <f>VLOOKUP(Table1345[[#This Row],[Date]],database!A:I,9,)</f>
        <v/>
      </c>
      <c r="C284" s="74">
        <f>B284/B283-1</f>
        <v/>
      </c>
      <c r="D284" s="74">
        <f>(Table1345[[#This Row],[Index]]-B272)/B272</f>
        <v/>
      </c>
    </row>
    <row r="285">
      <c r="A285" s="19" t="n">
        <v>34759</v>
      </c>
      <c r="B285" s="61">
        <f>VLOOKUP(Table1345[[#This Row],[Date]],database!A:I,9,)</f>
        <v/>
      </c>
      <c r="C285" s="74">
        <f>B285/B284-1</f>
        <v/>
      </c>
      <c r="D285" s="74">
        <f>(Table1345[[#This Row],[Index]]-B273)/B273</f>
        <v/>
      </c>
    </row>
    <row r="286">
      <c r="A286" s="19" t="n">
        <v>34790</v>
      </c>
      <c r="B286" s="61">
        <f>VLOOKUP(Table1345[[#This Row],[Date]],database!A:I,9,)</f>
        <v/>
      </c>
      <c r="C286" s="74">
        <f>B286/B285-1</f>
        <v/>
      </c>
      <c r="D286" s="74">
        <f>(Table1345[[#This Row],[Index]]-B274)/B274</f>
        <v/>
      </c>
    </row>
    <row r="287">
      <c r="A287" s="19" t="n">
        <v>34820</v>
      </c>
      <c r="B287" s="61">
        <f>VLOOKUP(Table1345[[#This Row],[Date]],database!A:I,9,)</f>
        <v/>
      </c>
      <c r="C287" s="74">
        <f>B287/B286-1</f>
        <v/>
      </c>
      <c r="D287" s="74">
        <f>(Table1345[[#This Row],[Index]]-B275)/B275</f>
        <v/>
      </c>
    </row>
    <row r="288">
      <c r="A288" s="19" t="n">
        <v>34851</v>
      </c>
      <c r="B288" s="61">
        <f>VLOOKUP(Table1345[[#This Row],[Date]],database!A:I,9,)</f>
        <v/>
      </c>
      <c r="C288" s="74">
        <f>B288/B287-1</f>
        <v/>
      </c>
      <c r="D288" s="74">
        <f>(Table1345[[#This Row],[Index]]-B276)/B276</f>
        <v/>
      </c>
    </row>
    <row r="289">
      <c r="A289" s="19" t="n">
        <v>34881</v>
      </c>
      <c r="B289" s="61">
        <f>VLOOKUP(Table1345[[#This Row],[Date]],database!A:I,9,)</f>
        <v/>
      </c>
      <c r="C289" s="74">
        <f>B289/B288-1</f>
        <v/>
      </c>
      <c r="D289" s="74">
        <f>(Table1345[[#This Row],[Index]]-B277)/B277</f>
        <v/>
      </c>
    </row>
    <row r="290">
      <c r="A290" s="19" t="n">
        <v>34912</v>
      </c>
      <c r="B290" s="61">
        <f>VLOOKUP(Table1345[[#This Row],[Date]],database!A:I,9,)</f>
        <v/>
      </c>
      <c r="C290" s="74">
        <f>B290/B289-1</f>
        <v/>
      </c>
      <c r="D290" s="74">
        <f>(Table1345[[#This Row],[Index]]-B278)/B278</f>
        <v/>
      </c>
    </row>
    <row r="291">
      <c r="A291" s="19" t="n">
        <v>34943</v>
      </c>
      <c r="B291" s="61">
        <f>VLOOKUP(Table1345[[#This Row],[Date]],database!A:I,9,)</f>
        <v/>
      </c>
      <c r="C291" s="74">
        <f>B291/B290-1</f>
        <v/>
      </c>
      <c r="D291" s="74">
        <f>(Table1345[[#This Row],[Index]]-B279)/B279</f>
        <v/>
      </c>
    </row>
    <row r="292">
      <c r="A292" s="19" t="n">
        <v>34973</v>
      </c>
      <c r="B292" s="61">
        <f>VLOOKUP(Table1345[[#This Row],[Date]],database!A:I,9,)</f>
        <v/>
      </c>
      <c r="C292" s="74">
        <f>B292/B291-1</f>
        <v/>
      </c>
      <c r="D292" s="74">
        <f>(Table1345[[#This Row],[Index]]-B280)/B280</f>
        <v/>
      </c>
    </row>
    <row r="293">
      <c r="A293" s="19" t="n">
        <v>35004</v>
      </c>
      <c r="B293" s="61">
        <f>VLOOKUP(Table1345[[#This Row],[Date]],database!A:I,9,)</f>
        <v/>
      </c>
      <c r="C293" s="74">
        <f>B293/B292-1</f>
        <v/>
      </c>
      <c r="D293" s="74">
        <f>(Table1345[[#This Row],[Index]]-B281)/B281</f>
        <v/>
      </c>
    </row>
    <row r="294">
      <c r="A294" s="19" t="n">
        <v>35034</v>
      </c>
      <c r="B294" s="61">
        <f>VLOOKUP(Table1345[[#This Row],[Date]],database!A:I,9,)</f>
        <v/>
      </c>
      <c r="C294" s="74">
        <f>B294/B293-1</f>
        <v/>
      </c>
      <c r="D294" s="74">
        <f>(Table1345[[#This Row],[Index]]-B282)/B282</f>
        <v/>
      </c>
    </row>
    <row r="295">
      <c r="A295" s="19" t="n">
        <v>35065</v>
      </c>
      <c r="B295" s="61">
        <f>VLOOKUP(Table1345[[#This Row],[Date]],database!A:I,9,)</f>
        <v/>
      </c>
      <c r="C295" s="74">
        <f>B295/B294-1</f>
        <v/>
      </c>
      <c r="D295" s="74">
        <f>(Table1345[[#This Row],[Index]]-B283)/B283</f>
        <v/>
      </c>
    </row>
    <row r="296">
      <c r="A296" s="19" t="n">
        <v>35096</v>
      </c>
      <c r="B296" s="61">
        <f>VLOOKUP(Table1345[[#This Row],[Date]],database!A:I,9,)</f>
        <v/>
      </c>
      <c r="C296" s="74">
        <f>B296/B295-1</f>
        <v/>
      </c>
      <c r="D296" s="74">
        <f>(Table1345[[#This Row],[Index]]-B284)/B284</f>
        <v/>
      </c>
    </row>
    <row r="297">
      <c r="A297" s="19" t="n">
        <v>35125</v>
      </c>
      <c r="B297" s="61">
        <f>VLOOKUP(Table1345[[#This Row],[Date]],database!A:I,9,)</f>
        <v/>
      </c>
      <c r="C297" s="74">
        <f>B297/B296-1</f>
        <v/>
      </c>
      <c r="D297" s="74">
        <f>(Table1345[[#This Row],[Index]]-B285)/B285</f>
        <v/>
      </c>
    </row>
    <row r="298">
      <c r="A298" s="19" t="n">
        <v>35156</v>
      </c>
      <c r="B298" s="61">
        <f>VLOOKUP(Table1345[[#This Row],[Date]],database!A:I,9,)</f>
        <v/>
      </c>
      <c r="C298" s="74">
        <f>B298/B297-1</f>
        <v/>
      </c>
      <c r="D298" s="74">
        <f>(Table1345[[#This Row],[Index]]-B286)/B286</f>
        <v/>
      </c>
    </row>
    <row r="299">
      <c r="A299" s="19" t="n">
        <v>35186</v>
      </c>
      <c r="B299" s="61">
        <f>VLOOKUP(Table1345[[#This Row],[Date]],database!A:I,9,)</f>
        <v/>
      </c>
      <c r="C299" s="74">
        <f>B299/B298-1</f>
        <v/>
      </c>
      <c r="D299" s="74">
        <f>(Table1345[[#This Row],[Index]]-B287)/B287</f>
        <v/>
      </c>
    </row>
    <row r="300">
      <c r="A300" s="19" t="n">
        <v>35217</v>
      </c>
      <c r="B300" s="61">
        <f>VLOOKUP(Table1345[[#This Row],[Date]],database!A:I,9,)</f>
        <v/>
      </c>
      <c r="C300" s="74">
        <f>B300/B299-1</f>
        <v/>
      </c>
      <c r="D300" s="74">
        <f>(Table1345[[#This Row],[Index]]-B288)/B288</f>
        <v/>
      </c>
    </row>
    <row r="301">
      <c r="A301" s="19" t="n">
        <v>35247</v>
      </c>
      <c r="B301" s="61">
        <f>VLOOKUP(Table1345[[#This Row],[Date]],database!A:I,9,)</f>
        <v/>
      </c>
      <c r="C301" s="74">
        <f>B301/B300-1</f>
        <v/>
      </c>
      <c r="D301" s="74">
        <f>(Table1345[[#This Row],[Index]]-B289)/B289</f>
        <v/>
      </c>
    </row>
    <row r="302">
      <c r="A302" s="19" t="n">
        <v>35278</v>
      </c>
      <c r="B302" s="61">
        <f>VLOOKUP(Table1345[[#This Row],[Date]],database!A:I,9,)</f>
        <v/>
      </c>
      <c r="C302" s="74">
        <f>B302/B301-1</f>
        <v/>
      </c>
      <c r="D302" s="74">
        <f>(Table1345[[#This Row],[Index]]-B290)/B290</f>
        <v/>
      </c>
    </row>
    <row r="303">
      <c r="A303" s="19" t="n">
        <v>35309</v>
      </c>
      <c r="B303" s="61">
        <f>VLOOKUP(Table1345[[#This Row],[Date]],database!A:I,9,)</f>
        <v/>
      </c>
      <c r="C303" s="74">
        <f>B303/B302-1</f>
        <v/>
      </c>
      <c r="D303" s="74">
        <f>(Table1345[[#This Row],[Index]]-B291)/B291</f>
        <v/>
      </c>
    </row>
    <row r="304">
      <c r="A304" s="19" t="n">
        <v>35339</v>
      </c>
      <c r="B304" s="61">
        <f>VLOOKUP(Table1345[[#This Row],[Date]],database!A:I,9,)</f>
        <v/>
      </c>
      <c r="C304" s="74">
        <f>B304/B303-1</f>
        <v/>
      </c>
      <c r="D304" s="74">
        <f>(Table1345[[#This Row],[Index]]-B292)/B292</f>
        <v/>
      </c>
    </row>
    <row r="305">
      <c r="A305" s="19" t="n">
        <v>35370</v>
      </c>
      <c r="B305" s="61">
        <f>VLOOKUP(Table1345[[#This Row],[Date]],database!A:I,9,)</f>
        <v/>
      </c>
      <c r="C305" s="74">
        <f>B305/B304-1</f>
        <v/>
      </c>
      <c r="D305" s="74">
        <f>(Table1345[[#This Row],[Index]]-B293)/B293</f>
        <v/>
      </c>
    </row>
    <row r="306">
      <c r="A306" s="19" t="n">
        <v>35400</v>
      </c>
      <c r="B306" s="61">
        <f>VLOOKUP(Table1345[[#This Row],[Date]],database!A:I,9,)</f>
        <v/>
      </c>
      <c r="C306" s="74">
        <f>B306/B305-1</f>
        <v/>
      </c>
      <c r="D306" s="74">
        <f>(Table1345[[#This Row],[Index]]-B294)/B294</f>
        <v/>
      </c>
    </row>
    <row r="307">
      <c r="A307" s="19" t="n">
        <v>35431</v>
      </c>
      <c r="B307" s="61">
        <f>VLOOKUP(Table1345[[#This Row],[Date]],database!A:I,9,)</f>
        <v/>
      </c>
      <c r="C307" s="74">
        <f>B307/B306-1</f>
        <v/>
      </c>
      <c r="D307" s="74">
        <f>(Table1345[[#This Row],[Index]]-B295)/B295</f>
        <v/>
      </c>
    </row>
    <row r="308">
      <c r="A308" s="19" t="n">
        <v>35462</v>
      </c>
      <c r="B308" s="61">
        <f>VLOOKUP(Table1345[[#This Row],[Date]],database!A:I,9,)</f>
        <v/>
      </c>
      <c r="C308" s="74">
        <f>B308/B307-1</f>
        <v/>
      </c>
      <c r="D308" s="74">
        <f>(Table1345[[#This Row],[Index]]-B296)/B296</f>
        <v/>
      </c>
    </row>
    <row r="309">
      <c r="A309" s="19" t="n">
        <v>35490</v>
      </c>
      <c r="B309" s="61">
        <f>VLOOKUP(Table1345[[#This Row],[Date]],database!A:I,9,)</f>
        <v/>
      </c>
      <c r="C309" s="74">
        <f>B309/B308-1</f>
        <v/>
      </c>
      <c r="D309" s="74">
        <f>(Table1345[[#This Row],[Index]]-B297)/B297</f>
        <v/>
      </c>
    </row>
    <row r="310">
      <c r="A310" s="19" t="n">
        <v>35521</v>
      </c>
      <c r="B310" s="61">
        <f>VLOOKUP(Table1345[[#This Row],[Date]],database!A:I,9,)</f>
        <v/>
      </c>
      <c r="C310" s="74">
        <f>B310/B309-1</f>
        <v/>
      </c>
      <c r="D310" s="74">
        <f>(Table1345[[#This Row],[Index]]-B298)/B298</f>
        <v/>
      </c>
    </row>
    <row r="311">
      <c r="A311" s="19" t="n">
        <v>35551</v>
      </c>
      <c r="B311" s="61">
        <f>VLOOKUP(Table1345[[#This Row],[Date]],database!A:I,9,)</f>
        <v/>
      </c>
      <c r="C311" s="74">
        <f>B311/B310-1</f>
        <v/>
      </c>
      <c r="D311" s="74">
        <f>(Table1345[[#This Row],[Index]]-B299)/B299</f>
        <v/>
      </c>
    </row>
    <row r="312">
      <c r="A312" s="19" t="n">
        <v>35582</v>
      </c>
      <c r="B312" s="61">
        <f>VLOOKUP(Table1345[[#This Row],[Date]],database!A:I,9,)</f>
        <v/>
      </c>
      <c r="C312" s="74">
        <f>B312/B311-1</f>
        <v/>
      </c>
      <c r="D312" s="74">
        <f>(Table1345[[#This Row],[Index]]-B300)/B300</f>
        <v/>
      </c>
    </row>
    <row r="313">
      <c r="A313" s="19" t="n">
        <v>35612</v>
      </c>
      <c r="B313" s="61">
        <f>VLOOKUP(Table1345[[#This Row],[Date]],database!A:I,9,)</f>
        <v/>
      </c>
      <c r="C313" s="74">
        <f>B313/B312-1</f>
        <v/>
      </c>
      <c r="D313" s="74">
        <f>(Table1345[[#This Row],[Index]]-B301)/B301</f>
        <v/>
      </c>
    </row>
    <row r="314">
      <c r="A314" s="19" t="n">
        <v>35643</v>
      </c>
      <c r="B314" s="61">
        <f>VLOOKUP(Table1345[[#This Row],[Date]],database!A:I,9,)</f>
        <v/>
      </c>
      <c r="C314" s="74">
        <f>B314/B313-1</f>
        <v/>
      </c>
      <c r="D314" s="74">
        <f>(Table1345[[#This Row],[Index]]-B302)/B302</f>
        <v/>
      </c>
    </row>
    <row r="315">
      <c r="A315" s="19" t="n">
        <v>35674</v>
      </c>
      <c r="B315" s="61">
        <f>VLOOKUP(Table1345[[#This Row],[Date]],database!A:I,9,)</f>
        <v/>
      </c>
      <c r="C315" s="74">
        <f>B315/B314-1</f>
        <v/>
      </c>
      <c r="D315" s="74">
        <f>(Table1345[[#This Row],[Index]]-B303)/B303</f>
        <v/>
      </c>
    </row>
    <row r="316">
      <c r="A316" s="19" t="n">
        <v>35704</v>
      </c>
      <c r="B316" s="61">
        <f>VLOOKUP(Table1345[[#This Row],[Date]],database!A:I,9,)</f>
        <v/>
      </c>
      <c r="C316" s="74">
        <f>B316/B315-1</f>
        <v/>
      </c>
      <c r="D316" s="74">
        <f>(Table1345[[#This Row],[Index]]-B304)/B304</f>
        <v/>
      </c>
    </row>
    <row r="317">
      <c r="A317" s="19" t="n">
        <v>35735</v>
      </c>
      <c r="B317" s="61">
        <f>VLOOKUP(Table1345[[#This Row],[Date]],database!A:I,9,)</f>
        <v/>
      </c>
      <c r="C317" s="74">
        <f>B317/B316-1</f>
        <v/>
      </c>
      <c r="D317" s="74">
        <f>(Table1345[[#This Row],[Index]]-B305)/B305</f>
        <v/>
      </c>
    </row>
    <row r="318">
      <c r="A318" s="19" t="n">
        <v>35765</v>
      </c>
      <c r="B318" s="61">
        <f>VLOOKUP(Table1345[[#This Row],[Date]],database!A:I,9,)</f>
        <v/>
      </c>
      <c r="C318" s="74">
        <f>B318/B317-1</f>
        <v/>
      </c>
      <c r="D318" s="74">
        <f>(Table1345[[#This Row],[Index]]-B306)/B306</f>
        <v/>
      </c>
    </row>
    <row r="319">
      <c r="A319" s="19" t="n">
        <v>35796</v>
      </c>
      <c r="B319" s="61">
        <f>VLOOKUP(Table1345[[#This Row],[Date]],database!A:I,9,)</f>
        <v/>
      </c>
      <c r="C319" s="74">
        <f>B319/B318-1</f>
        <v/>
      </c>
      <c r="D319" s="74">
        <f>(Table1345[[#This Row],[Index]]-B307)/B307</f>
        <v/>
      </c>
    </row>
    <row r="320">
      <c r="A320" s="19" t="n">
        <v>35827</v>
      </c>
      <c r="B320" s="61">
        <f>VLOOKUP(Table1345[[#This Row],[Date]],database!A:I,9,)</f>
        <v/>
      </c>
      <c r="C320" s="74">
        <f>B320/B319-1</f>
        <v/>
      </c>
      <c r="D320" s="74">
        <f>(Table1345[[#This Row],[Index]]-B308)/B308</f>
        <v/>
      </c>
    </row>
    <row r="321">
      <c r="A321" s="19" t="n">
        <v>35855</v>
      </c>
      <c r="B321" s="61">
        <f>VLOOKUP(Table1345[[#This Row],[Date]],database!A:I,9,)</f>
        <v/>
      </c>
      <c r="C321" s="74">
        <f>B321/B320-1</f>
        <v/>
      </c>
      <c r="D321" s="74">
        <f>(Table1345[[#This Row],[Index]]-B309)/B309</f>
        <v/>
      </c>
    </row>
    <row r="322">
      <c r="A322" s="19" t="n">
        <v>35886</v>
      </c>
      <c r="B322" s="61">
        <f>VLOOKUP(Table1345[[#This Row],[Date]],database!A:I,9,)</f>
        <v/>
      </c>
      <c r="C322" s="74">
        <f>B322/B321-1</f>
        <v/>
      </c>
      <c r="D322" s="74">
        <f>(Table1345[[#This Row],[Index]]-B310)/B310</f>
        <v/>
      </c>
    </row>
    <row r="323">
      <c r="A323" s="19" t="n">
        <v>35916</v>
      </c>
      <c r="B323" s="61">
        <f>VLOOKUP(Table1345[[#This Row],[Date]],database!A:I,9,)</f>
        <v/>
      </c>
      <c r="C323" s="74">
        <f>B323/B322-1</f>
        <v/>
      </c>
      <c r="D323" s="74">
        <f>(Table1345[[#This Row],[Index]]-B311)/B311</f>
        <v/>
      </c>
    </row>
    <row r="324">
      <c r="A324" s="19" t="n">
        <v>35947</v>
      </c>
      <c r="B324" s="61">
        <f>VLOOKUP(Table1345[[#This Row],[Date]],database!A:I,9,)</f>
        <v/>
      </c>
      <c r="C324" s="74">
        <f>B324/B323-1</f>
        <v/>
      </c>
      <c r="D324" s="74">
        <f>(Table1345[[#This Row],[Index]]-B312)/B312</f>
        <v/>
      </c>
    </row>
    <row r="325">
      <c r="A325" s="19" t="n">
        <v>35977</v>
      </c>
      <c r="B325" s="61">
        <f>VLOOKUP(Table1345[[#This Row],[Date]],database!A:I,9,)</f>
        <v/>
      </c>
      <c r="C325" s="74">
        <f>B325/B324-1</f>
        <v/>
      </c>
      <c r="D325" s="74">
        <f>(Table1345[[#This Row],[Index]]-B313)/B313</f>
        <v/>
      </c>
    </row>
    <row r="326">
      <c r="A326" s="19" t="n">
        <v>36008</v>
      </c>
      <c r="B326" s="61">
        <f>VLOOKUP(Table1345[[#This Row],[Date]],database!A:I,9,)</f>
        <v/>
      </c>
      <c r="C326" s="74">
        <f>B326/B325-1</f>
        <v/>
      </c>
      <c r="D326" s="74">
        <f>(Table1345[[#This Row],[Index]]-B314)/B314</f>
        <v/>
      </c>
    </row>
    <row r="327">
      <c r="A327" s="19" t="n">
        <v>36039</v>
      </c>
      <c r="B327" s="61">
        <f>VLOOKUP(Table1345[[#This Row],[Date]],database!A:I,9,)</f>
        <v/>
      </c>
      <c r="C327" s="74">
        <f>B327/B326-1</f>
        <v/>
      </c>
      <c r="D327" s="74">
        <f>(Table1345[[#This Row],[Index]]-B315)/B315</f>
        <v/>
      </c>
    </row>
    <row r="328">
      <c r="A328" s="19" t="n">
        <v>36069</v>
      </c>
      <c r="B328" s="61">
        <f>VLOOKUP(Table1345[[#This Row],[Date]],database!A:I,9,)</f>
        <v/>
      </c>
      <c r="C328" s="74">
        <f>B328/B327-1</f>
        <v/>
      </c>
      <c r="D328" s="74">
        <f>(Table1345[[#This Row],[Index]]-B316)/B316</f>
        <v/>
      </c>
    </row>
    <row r="329">
      <c r="A329" s="19" t="n">
        <v>36100</v>
      </c>
      <c r="B329" s="61">
        <f>VLOOKUP(Table1345[[#This Row],[Date]],database!A:I,9,)</f>
        <v/>
      </c>
      <c r="C329" s="74">
        <f>B329/B328-1</f>
        <v/>
      </c>
      <c r="D329" s="74">
        <f>(Table1345[[#This Row],[Index]]-B317)/B317</f>
        <v/>
      </c>
    </row>
    <row r="330">
      <c r="A330" s="19" t="n">
        <v>36130</v>
      </c>
      <c r="B330" s="61">
        <f>VLOOKUP(Table1345[[#This Row],[Date]],database!A:I,9,)</f>
        <v/>
      </c>
      <c r="C330" s="74">
        <f>B330/B329-1</f>
        <v/>
      </c>
      <c r="D330" s="74">
        <f>(Table1345[[#This Row],[Index]]-B318)/B318</f>
        <v/>
      </c>
    </row>
    <row r="331">
      <c r="A331" s="19" t="n">
        <v>36161</v>
      </c>
      <c r="B331" s="61">
        <f>VLOOKUP(Table1345[[#This Row],[Date]],database!A:I,9,)</f>
        <v/>
      </c>
      <c r="C331" s="74">
        <f>B331/B330-1</f>
        <v/>
      </c>
      <c r="D331" s="74">
        <f>(Table1345[[#This Row],[Index]]-B319)/B319</f>
        <v/>
      </c>
    </row>
    <row r="332">
      <c r="A332" s="19" t="n">
        <v>36192</v>
      </c>
      <c r="B332" s="61">
        <f>VLOOKUP(Table1345[[#This Row],[Date]],database!A:I,9,)</f>
        <v/>
      </c>
      <c r="C332" s="74">
        <f>B332/B331-1</f>
        <v/>
      </c>
      <c r="D332" s="74">
        <f>(Table1345[[#This Row],[Index]]-B320)/B320</f>
        <v/>
      </c>
    </row>
    <row r="333">
      <c r="A333" s="19" t="n">
        <v>36220</v>
      </c>
      <c r="B333" s="61">
        <f>VLOOKUP(Table1345[[#This Row],[Date]],database!A:I,9,)</f>
        <v/>
      </c>
      <c r="C333" s="74">
        <f>B333/B332-1</f>
        <v/>
      </c>
      <c r="D333" s="74">
        <f>(Table1345[[#This Row],[Index]]-B321)/B321</f>
        <v/>
      </c>
    </row>
    <row r="334">
      <c r="A334" s="19" t="n">
        <v>36251</v>
      </c>
      <c r="B334" s="61">
        <f>VLOOKUP(Table1345[[#This Row],[Date]],database!A:I,9,)</f>
        <v/>
      </c>
      <c r="C334" s="74">
        <f>B334/B333-1</f>
        <v/>
      </c>
      <c r="D334" s="74">
        <f>(Table1345[[#This Row],[Index]]-B322)/B322</f>
        <v/>
      </c>
    </row>
    <row r="335">
      <c r="A335" s="19" t="n">
        <v>36281</v>
      </c>
      <c r="B335" s="61">
        <f>VLOOKUP(Table1345[[#This Row],[Date]],database!A:I,9,)</f>
        <v/>
      </c>
      <c r="C335" s="74">
        <f>B335/B334-1</f>
        <v/>
      </c>
      <c r="D335" s="74">
        <f>(Table1345[[#This Row],[Index]]-B323)/B323</f>
        <v/>
      </c>
    </row>
    <row r="336">
      <c r="A336" s="19" t="n">
        <v>36312</v>
      </c>
      <c r="B336" s="61">
        <f>VLOOKUP(Table1345[[#This Row],[Date]],database!A:I,9,)</f>
        <v/>
      </c>
      <c r="C336" s="74">
        <f>B336/B335-1</f>
        <v/>
      </c>
      <c r="D336" s="74">
        <f>(Table1345[[#This Row],[Index]]-B324)/B324</f>
        <v/>
      </c>
    </row>
    <row r="337">
      <c r="A337" s="19" t="n">
        <v>36342</v>
      </c>
      <c r="B337" s="61">
        <f>VLOOKUP(Table1345[[#This Row],[Date]],database!A:I,9,)</f>
        <v/>
      </c>
      <c r="C337" s="74">
        <f>B337/B336-1</f>
        <v/>
      </c>
      <c r="D337" s="74">
        <f>(Table1345[[#This Row],[Index]]-B325)/B325</f>
        <v/>
      </c>
    </row>
    <row r="338">
      <c r="A338" s="19" t="n">
        <v>36373</v>
      </c>
      <c r="B338" s="61">
        <f>VLOOKUP(Table1345[[#This Row],[Date]],database!A:I,9,)</f>
        <v/>
      </c>
      <c r="C338" s="74">
        <f>B338/B337-1</f>
        <v/>
      </c>
      <c r="D338" s="74">
        <f>(Table1345[[#This Row],[Index]]-B326)/B326</f>
        <v/>
      </c>
    </row>
    <row r="339">
      <c r="A339" s="19" t="n">
        <v>36404</v>
      </c>
      <c r="B339" s="61">
        <f>VLOOKUP(Table1345[[#This Row],[Date]],database!A:I,9,)</f>
        <v/>
      </c>
      <c r="C339" s="74">
        <f>B339/B338-1</f>
        <v/>
      </c>
      <c r="D339" s="74">
        <f>(Table1345[[#This Row],[Index]]-B327)/B327</f>
        <v/>
      </c>
    </row>
    <row r="340">
      <c r="A340" s="19" t="n">
        <v>36434</v>
      </c>
      <c r="B340" s="61">
        <f>VLOOKUP(Table1345[[#This Row],[Date]],database!A:I,9,)</f>
        <v/>
      </c>
      <c r="C340" s="74">
        <f>B340/B339-1</f>
        <v/>
      </c>
      <c r="D340" s="74">
        <f>(Table1345[[#This Row],[Index]]-B328)/B328</f>
        <v/>
      </c>
    </row>
    <row r="341">
      <c r="A341" s="19" t="n">
        <v>36465</v>
      </c>
      <c r="B341" s="61">
        <f>VLOOKUP(Table1345[[#This Row],[Date]],database!A:I,9,)</f>
        <v/>
      </c>
      <c r="C341" s="74">
        <f>B341/B340-1</f>
        <v/>
      </c>
      <c r="D341" s="74">
        <f>(Table1345[[#This Row],[Index]]-B329)/B329</f>
        <v/>
      </c>
    </row>
    <row r="342">
      <c r="A342" s="19" t="n">
        <v>36495</v>
      </c>
      <c r="B342" s="61">
        <f>VLOOKUP(Table1345[[#This Row],[Date]],database!A:I,9,)</f>
        <v/>
      </c>
      <c r="C342" s="74">
        <f>B342/B341-1</f>
        <v/>
      </c>
      <c r="D342" s="74">
        <f>(Table1345[[#This Row],[Index]]-B330)/B330</f>
        <v/>
      </c>
    </row>
    <row r="343">
      <c r="A343" s="19" t="n">
        <v>36526</v>
      </c>
      <c r="B343" s="61">
        <f>VLOOKUP(Table1345[[#This Row],[Date]],database!A:I,9,)</f>
        <v/>
      </c>
      <c r="C343" s="74">
        <f>B343/B342-1</f>
        <v/>
      </c>
      <c r="D343" s="74">
        <f>(Table1345[[#This Row],[Index]]-B331)/B331</f>
        <v/>
      </c>
    </row>
    <row r="344">
      <c r="A344" s="19" t="n">
        <v>36557</v>
      </c>
      <c r="B344" s="61">
        <f>VLOOKUP(Table1345[[#This Row],[Date]],database!A:I,9,)</f>
        <v/>
      </c>
      <c r="C344" s="74">
        <f>B344/B343-1</f>
        <v/>
      </c>
      <c r="D344" s="74">
        <f>(Table1345[[#This Row],[Index]]-B332)/B332</f>
        <v/>
      </c>
    </row>
    <row r="345">
      <c r="A345" s="19" t="n">
        <v>36586</v>
      </c>
      <c r="B345" s="61">
        <f>VLOOKUP(Table1345[[#This Row],[Date]],database!A:I,9,)</f>
        <v/>
      </c>
      <c r="C345" s="74">
        <f>B345/B344-1</f>
        <v/>
      </c>
      <c r="D345" s="74">
        <f>(Table1345[[#This Row],[Index]]-B333)/B333</f>
        <v/>
      </c>
    </row>
    <row r="346">
      <c r="A346" s="19" t="n">
        <v>36617</v>
      </c>
      <c r="B346" s="61">
        <f>VLOOKUP(Table1345[[#This Row],[Date]],database!A:I,9,)</f>
        <v/>
      </c>
      <c r="C346" s="74">
        <f>B346/B345-1</f>
        <v/>
      </c>
      <c r="D346" s="74">
        <f>(Table1345[[#This Row],[Index]]-B334)/B334</f>
        <v/>
      </c>
    </row>
    <row r="347">
      <c r="A347" s="19" t="n">
        <v>36647</v>
      </c>
      <c r="B347" s="61">
        <f>VLOOKUP(Table1345[[#This Row],[Date]],database!A:I,9,)</f>
        <v/>
      </c>
      <c r="C347" s="74">
        <f>B347/B346-1</f>
        <v/>
      </c>
      <c r="D347" s="74">
        <f>(Table1345[[#This Row],[Index]]-B335)/B335</f>
        <v/>
      </c>
    </row>
    <row r="348">
      <c r="A348" s="19" t="n">
        <v>36678</v>
      </c>
      <c r="B348" s="61">
        <f>VLOOKUP(Table1345[[#This Row],[Date]],database!A:I,9,)</f>
        <v/>
      </c>
      <c r="C348" s="74">
        <f>B348/B347-1</f>
        <v/>
      </c>
      <c r="D348" s="74">
        <f>(Table1345[[#This Row],[Index]]-B336)/B336</f>
        <v/>
      </c>
    </row>
    <row r="349">
      <c r="A349" s="19" t="n">
        <v>36708</v>
      </c>
      <c r="B349" s="61">
        <f>VLOOKUP(Table1345[[#This Row],[Date]],database!A:I,9,)</f>
        <v/>
      </c>
      <c r="C349" s="74">
        <f>B349/B348-1</f>
        <v/>
      </c>
      <c r="D349" s="74">
        <f>(Table1345[[#This Row],[Index]]-B337)/B337</f>
        <v/>
      </c>
    </row>
    <row r="350">
      <c r="A350" s="19" t="n">
        <v>36739</v>
      </c>
      <c r="B350" s="61">
        <f>VLOOKUP(Table1345[[#This Row],[Date]],database!A:I,9,)</f>
        <v/>
      </c>
      <c r="C350" s="74">
        <f>B350/B349-1</f>
        <v/>
      </c>
      <c r="D350" s="74">
        <f>(Table1345[[#This Row],[Index]]-B338)/B338</f>
        <v/>
      </c>
    </row>
    <row r="351">
      <c r="A351" s="19" t="n">
        <v>36770</v>
      </c>
      <c r="B351" s="61">
        <f>VLOOKUP(Table1345[[#This Row],[Date]],database!A:I,9,)</f>
        <v/>
      </c>
      <c r="C351" s="74">
        <f>B351/B350-1</f>
        <v/>
      </c>
      <c r="D351" s="74">
        <f>(Table1345[[#This Row],[Index]]-B339)/B339</f>
        <v/>
      </c>
    </row>
    <row r="352">
      <c r="A352" s="19" t="n">
        <v>36800</v>
      </c>
      <c r="B352" s="61">
        <f>VLOOKUP(Table1345[[#This Row],[Date]],database!A:I,9,)</f>
        <v/>
      </c>
      <c r="C352" s="74">
        <f>B352/B351-1</f>
        <v/>
      </c>
      <c r="D352" s="74">
        <f>(Table1345[[#This Row],[Index]]-B340)/B340</f>
        <v/>
      </c>
    </row>
    <row r="353">
      <c r="A353" s="19" t="n">
        <v>36831</v>
      </c>
      <c r="B353" s="61">
        <f>VLOOKUP(Table1345[[#This Row],[Date]],database!A:I,9,)</f>
        <v/>
      </c>
      <c r="C353" s="74">
        <f>B353/B352-1</f>
        <v/>
      </c>
      <c r="D353" s="74">
        <f>(Table1345[[#This Row],[Index]]-B341)/B341</f>
        <v/>
      </c>
    </row>
    <row r="354">
      <c r="A354" s="19" t="n">
        <v>36861</v>
      </c>
      <c r="B354" s="61">
        <f>VLOOKUP(Table1345[[#This Row],[Date]],database!A:I,9,)</f>
        <v/>
      </c>
      <c r="C354" s="74">
        <f>B354/B353-1</f>
        <v/>
      </c>
      <c r="D354" s="74">
        <f>(Table1345[[#This Row],[Index]]-B342)/B342</f>
        <v/>
      </c>
    </row>
    <row r="355">
      <c r="A355" s="19" t="n">
        <v>36892</v>
      </c>
      <c r="B355" s="61">
        <f>VLOOKUP(Table1345[[#This Row],[Date]],database!A:I,9,)</f>
        <v/>
      </c>
      <c r="C355" s="74">
        <f>B355/B354-1</f>
        <v/>
      </c>
      <c r="D355" s="74">
        <f>(Table1345[[#This Row],[Index]]-B343)/B343</f>
        <v/>
      </c>
    </row>
    <row r="356">
      <c r="A356" s="19" t="n">
        <v>36923</v>
      </c>
      <c r="B356" s="61">
        <f>VLOOKUP(Table1345[[#This Row],[Date]],database!A:I,9,)</f>
        <v/>
      </c>
      <c r="C356" s="74">
        <f>B356/B355-1</f>
        <v/>
      </c>
      <c r="D356" s="74">
        <f>(Table1345[[#This Row],[Index]]-B344)/B344</f>
        <v/>
      </c>
    </row>
    <row r="357">
      <c r="A357" s="19" t="n">
        <v>36951</v>
      </c>
      <c r="B357" s="61">
        <f>VLOOKUP(Table1345[[#This Row],[Date]],database!A:I,9,)</f>
        <v/>
      </c>
      <c r="C357" s="74">
        <f>B357/B356-1</f>
        <v/>
      </c>
      <c r="D357" s="74">
        <f>(Table1345[[#This Row],[Index]]-B345)/B345</f>
        <v/>
      </c>
    </row>
    <row r="358">
      <c r="A358" s="19" t="n">
        <v>36982</v>
      </c>
      <c r="B358" s="61">
        <f>VLOOKUP(Table1345[[#This Row],[Date]],database!A:I,9,)</f>
        <v/>
      </c>
      <c r="C358" s="74">
        <f>B358/B357-1</f>
        <v/>
      </c>
      <c r="D358" s="74">
        <f>(Table1345[[#This Row],[Index]]-B346)/B346</f>
        <v/>
      </c>
    </row>
    <row r="359">
      <c r="A359" s="19" t="n">
        <v>37012</v>
      </c>
      <c r="B359" s="61">
        <f>VLOOKUP(Table1345[[#This Row],[Date]],database!A:I,9,)</f>
        <v/>
      </c>
      <c r="C359" s="74">
        <f>B359/B358-1</f>
        <v/>
      </c>
      <c r="D359" s="74">
        <f>(Table1345[[#This Row],[Index]]-B347)/B347</f>
        <v/>
      </c>
    </row>
    <row r="360">
      <c r="A360" s="19" t="n">
        <v>37043</v>
      </c>
      <c r="B360" s="61">
        <f>VLOOKUP(Table1345[[#This Row],[Date]],database!A:I,9,)</f>
        <v/>
      </c>
      <c r="C360" s="74">
        <f>B360/B359-1</f>
        <v/>
      </c>
      <c r="D360" s="74">
        <f>(Table1345[[#This Row],[Index]]-B348)/B348</f>
        <v/>
      </c>
    </row>
    <row r="361">
      <c r="A361" s="19" t="n">
        <v>37073</v>
      </c>
      <c r="B361" s="61">
        <f>VLOOKUP(Table1345[[#This Row],[Date]],database!A:I,9,)</f>
        <v/>
      </c>
      <c r="C361" s="74">
        <f>B361/B360-1</f>
        <v/>
      </c>
      <c r="D361" s="74">
        <f>(Table1345[[#This Row],[Index]]-B349)/B349</f>
        <v/>
      </c>
    </row>
    <row r="362">
      <c r="A362" s="19" t="n">
        <v>37104</v>
      </c>
      <c r="B362" s="61">
        <f>VLOOKUP(Table1345[[#This Row],[Date]],database!A:I,9,)</f>
        <v/>
      </c>
      <c r="C362" s="74">
        <f>B362/B361-1</f>
        <v/>
      </c>
      <c r="D362" s="74">
        <f>(Table1345[[#This Row],[Index]]-B350)/B350</f>
        <v/>
      </c>
    </row>
    <row r="363">
      <c r="A363" s="19" t="n">
        <v>37135</v>
      </c>
      <c r="B363" s="61">
        <f>VLOOKUP(Table1345[[#This Row],[Date]],database!A:I,9,)</f>
        <v/>
      </c>
      <c r="C363" s="74">
        <f>B363/B362-1</f>
        <v/>
      </c>
      <c r="D363" s="74">
        <f>(Table1345[[#This Row],[Index]]-B351)/B351</f>
        <v/>
      </c>
    </row>
    <row r="364">
      <c r="A364" s="19" t="n">
        <v>37165</v>
      </c>
      <c r="B364" s="61">
        <f>VLOOKUP(Table1345[[#This Row],[Date]],database!A:I,9,)</f>
        <v/>
      </c>
      <c r="C364" s="74">
        <f>B364/B363-1</f>
        <v/>
      </c>
      <c r="D364" s="74">
        <f>(Table1345[[#This Row],[Index]]-B352)/B352</f>
        <v/>
      </c>
    </row>
    <row r="365">
      <c r="A365" s="19" t="n">
        <v>37196</v>
      </c>
      <c r="B365" s="61">
        <f>VLOOKUP(Table1345[[#This Row],[Date]],database!A:I,9,)</f>
        <v/>
      </c>
      <c r="C365" s="74">
        <f>B365/B364-1</f>
        <v/>
      </c>
      <c r="D365" s="74">
        <f>(Table1345[[#This Row],[Index]]-B353)/B353</f>
        <v/>
      </c>
    </row>
    <row r="366">
      <c r="A366" s="19" t="n">
        <v>37226</v>
      </c>
      <c r="B366" s="61">
        <f>VLOOKUP(Table1345[[#This Row],[Date]],database!A:I,9,)</f>
        <v/>
      </c>
      <c r="C366" s="74">
        <f>B366/B365-1</f>
        <v/>
      </c>
      <c r="D366" s="74">
        <f>(Table1345[[#This Row],[Index]]-B354)/B354</f>
        <v/>
      </c>
    </row>
    <row r="367">
      <c r="A367" s="19" t="n">
        <v>37257</v>
      </c>
      <c r="B367" s="61">
        <f>VLOOKUP(Table1345[[#This Row],[Date]],database!A:I,9,)</f>
        <v/>
      </c>
      <c r="C367" s="74">
        <f>B367/B366-1</f>
        <v/>
      </c>
      <c r="D367" s="74">
        <f>(Table1345[[#This Row],[Index]]-B355)/B355</f>
        <v/>
      </c>
    </row>
    <row r="368">
      <c r="A368" s="19" t="n">
        <v>37288</v>
      </c>
      <c r="B368" s="61">
        <f>VLOOKUP(Table1345[[#This Row],[Date]],database!A:I,9,)</f>
        <v/>
      </c>
      <c r="C368" s="74">
        <f>B368/B367-1</f>
        <v/>
      </c>
      <c r="D368" s="74">
        <f>(Table1345[[#This Row],[Index]]-B356)/B356</f>
        <v/>
      </c>
    </row>
    <row r="369">
      <c r="A369" s="19" t="n">
        <v>37316</v>
      </c>
      <c r="B369" s="61">
        <f>VLOOKUP(Table1345[[#This Row],[Date]],database!A:I,9,)</f>
        <v/>
      </c>
      <c r="C369" s="74">
        <f>B369/B368-1</f>
        <v/>
      </c>
      <c r="D369" s="74">
        <f>(Table1345[[#This Row],[Index]]-B357)/B357</f>
        <v/>
      </c>
    </row>
    <row r="370">
      <c r="A370" s="19" t="n">
        <v>37347</v>
      </c>
      <c r="B370" s="61">
        <f>VLOOKUP(Table1345[[#This Row],[Date]],database!A:I,9,)</f>
        <v/>
      </c>
      <c r="C370" s="74">
        <f>B370/B369-1</f>
        <v/>
      </c>
      <c r="D370" s="74">
        <f>(Table1345[[#This Row],[Index]]-B358)/B358</f>
        <v/>
      </c>
    </row>
    <row r="371">
      <c r="A371" s="19" t="n">
        <v>37377</v>
      </c>
      <c r="B371" s="61">
        <f>VLOOKUP(Table1345[[#This Row],[Date]],database!A:I,9,)</f>
        <v/>
      </c>
      <c r="C371" s="74">
        <f>B371/B370-1</f>
        <v/>
      </c>
      <c r="D371" s="74">
        <f>(Table1345[[#This Row],[Index]]-B359)/B359</f>
        <v/>
      </c>
    </row>
    <row r="372">
      <c r="A372" s="19" t="n">
        <v>37408</v>
      </c>
      <c r="B372" s="61">
        <f>VLOOKUP(Table1345[[#This Row],[Date]],database!A:I,9,)</f>
        <v/>
      </c>
      <c r="C372" s="74">
        <f>B372/B371-1</f>
        <v/>
      </c>
      <c r="D372" s="74">
        <f>(Table1345[[#This Row],[Index]]-B360)/B360</f>
        <v/>
      </c>
    </row>
    <row r="373">
      <c r="A373" s="19" t="n">
        <v>37438</v>
      </c>
      <c r="B373" s="61">
        <f>VLOOKUP(Table1345[[#This Row],[Date]],database!A:I,9,)</f>
        <v/>
      </c>
      <c r="C373" s="74">
        <f>B373/B372-1</f>
        <v/>
      </c>
      <c r="D373" s="74">
        <f>(Table1345[[#This Row],[Index]]-B361)/B361</f>
        <v/>
      </c>
    </row>
    <row r="374">
      <c r="A374" s="19" t="n">
        <v>37469</v>
      </c>
      <c r="B374" s="61">
        <f>VLOOKUP(Table1345[[#This Row],[Date]],database!A:I,9,)</f>
        <v/>
      </c>
      <c r="C374" s="74">
        <f>B374/B373-1</f>
        <v/>
      </c>
      <c r="D374" s="74">
        <f>(Table1345[[#This Row],[Index]]-B362)/B362</f>
        <v/>
      </c>
    </row>
    <row r="375">
      <c r="A375" s="19" t="n">
        <v>37500</v>
      </c>
      <c r="B375" s="61">
        <f>VLOOKUP(Table1345[[#This Row],[Date]],database!A:I,9,)</f>
        <v/>
      </c>
      <c r="C375" s="74">
        <f>B375/B374-1</f>
        <v/>
      </c>
      <c r="D375" s="74">
        <f>(Table1345[[#This Row],[Index]]-B363)/B363</f>
        <v/>
      </c>
    </row>
    <row r="376">
      <c r="A376" s="19" t="n">
        <v>37530</v>
      </c>
      <c r="B376" s="61">
        <f>VLOOKUP(Table1345[[#This Row],[Date]],database!A:I,9,)</f>
        <v/>
      </c>
      <c r="C376" s="74">
        <f>B376/B375-1</f>
        <v/>
      </c>
      <c r="D376" s="74">
        <f>(Table1345[[#This Row],[Index]]-B364)/B364</f>
        <v/>
      </c>
    </row>
    <row r="377">
      <c r="A377" s="19" t="n">
        <v>37561</v>
      </c>
      <c r="B377" s="61">
        <f>VLOOKUP(Table1345[[#This Row],[Date]],database!A:I,9,)</f>
        <v/>
      </c>
      <c r="C377" s="74">
        <f>B377/B376-1</f>
        <v/>
      </c>
      <c r="D377" s="74">
        <f>(Table1345[[#This Row],[Index]]-B365)/B365</f>
        <v/>
      </c>
    </row>
    <row r="378">
      <c r="A378" s="19" t="n">
        <v>37591</v>
      </c>
      <c r="B378" s="61">
        <f>VLOOKUP(Table1345[[#This Row],[Date]],database!A:I,9,)</f>
        <v/>
      </c>
      <c r="C378" s="74">
        <f>B378/B377-1</f>
        <v/>
      </c>
      <c r="D378" s="74">
        <f>(Table1345[[#This Row],[Index]]-B366)/B366</f>
        <v/>
      </c>
    </row>
    <row r="379">
      <c r="A379" s="19" t="n">
        <v>37622</v>
      </c>
      <c r="B379" s="61">
        <f>VLOOKUP(Table1345[[#This Row],[Date]],database!A:I,9,)</f>
        <v/>
      </c>
      <c r="C379" s="74">
        <f>B379/B378-1</f>
        <v/>
      </c>
      <c r="D379" s="74">
        <f>(Table1345[[#This Row],[Index]]-B367)/B367</f>
        <v/>
      </c>
    </row>
    <row r="380">
      <c r="A380" s="19" t="n">
        <v>37653</v>
      </c>
      <c r="B380" s="61">
        <f>VLOOKUP(Table1345[[#This Row],[Date]],database!A:I,9,)</f>
        <v/>
      </c>
      <c r="C380" s="74">
        <f>B380/B379-1</f>
        <v/>
      </c>
      <c r="D380" s="74">
        <f>(Table1345[[#This Row],[Index]]-B368)/B368</f>
        <v/>
      </c>
    </row>
    <row r="381">
      <c r="A381" s="19" t="n">
        <v>37681</v>
      </c>
      <c r="B381" s="61">
        <f>VLOOKUP(Table1345[[#This Row],[Date]],database!A:I,9,)</f>
        <v/>
      </c>
      <c r="C381" s="74">
        <f>B381/B380-1</f>
        <v/>
      </c>
      <c r="D381" s="74">
        <f>(Table1345[[#This Row],[Index]]-B369)/B369</f>
        <v/>
      </c>
    </row>
    <row r="382">
      <c r="A382" s="19" t="n">
        <v>37712</v>
      </c>
      <c r="B382" s="61">
        <f>VLOOKUP(Table1345[[#This Row],[Date]],database!A:I,9,)</f>
        <v/>
      </c>
      <c r="C382" s="74">
        <f>B382/B381-1</f>
        <v/>
      </c>
      <c r="D382" s="74">
        <f>(Table1345[[#This Row],[Index]]-B370)/B370</f>
        <v/>
      </c>
    </row>
    <row r="383">
      <c r="A383" s="19" t="n">
        <v>37742</v>
      </c>
      <c r="B383" s="61">
        <f>VLOOKUP(Table1345[[#This Row],[Date]],database!A:I,9,)</f>
        <v/>
      </c>
      <c r="C383" s="74">
        <f>B383/B382-1</f>
        <v/>
      </c>
      <c r="D383" s="74">
        <f>(Table1345[[#This Row],[Index]]-B371)/B371</f>
        <v/>
      </c>
    </row>
    <row r="384">
      <c r="A384" s="19" t="n">
        <v>37773</v>
      </c>
      <c r="B384" s="61">
        <f>VLOOKUP(Table1345[[#This Row],[Date]],database!A:I,9,)</f>
        <v/>
      </c>
      <c r="C384" s="74">
        <f>B384/B383-1</f>
        <v/>
      </c>
      <c r="D384" s="74">
        <f>(Table1345[[#This Row],[Index]]-B372)/B372</f>
        <v/>
      </c>
    </row>
    <row r="385">
      <c r="A385" s="19" t="n">
        <v>37803</v>
      </c>
      <c r="B385" s="61">
        <f>VLOOKUP(Table1345[[#This Row],[Date]],database!A:I,9,)</f>
        <v/>
      </c>
      <c r="C385" s="74">
        <f>B385/B384-1</f>
        <v/>
      </c>
      <c r="D385" s="74">
        <f>(Table1345[[#This Row],[Index]]-B373)/B373</f>
        <v/>
      </c>
    </row>
    <row r="386">
      <c r="A386" s="19" t="n">
        <v>37834</v>
      </c>
      <c r="B386" s="61">
        <f>VLOOKUP(Table1345[[#This Row],[Date]],database!A:I,9,)</f>
        <v/>
      </c>
      <c r="C386" s="74">
        <f>B386/B385-1</f>
        <v/>
      </c>
      <c r="D386" s="74">
        <f>(Table1345[[#This Row],[Index]]-B374)/B374</f>
        <v/>
      </c>
    </row>
    <row r="387">
      <c r="A387" s="19" t="n">
        <v>37865</v>
      </c>
      <c r="B387" s="61">
        <f>VLOOKUP(Table1345[[#This Row],[Date]],database!A:I,9,)</f>
        <v/>
      </c>
      <c r="C387" s="74">
        <f>B387/B386-1</f>
        <v/>
      </c>
      <c r="D387" s="74">
        <f>(Table1345[[#This Row],[Index]]-B375)/B375</f>
        <v/>
      </c>
    </row>
    <row r="388">
      <c r="A388" s="19" t="n">
        <v>37895</v>
      </c>
      <c r="B388" s="61">
        <f>VLOOKUP(Table1345[[#This Row],[Date]],database!A:I,9,)</f>
        <v/>
      </c>
      <c r="C388" s="74">
        <f>B388/B387-1</f>
        <v/>
      </c>
      <c r="D388" s="74">
        <f>(Table1345[[#This Row],[Index]]-B376)/B376</f>
        <v/>
      </c>
    </row>
    <row r="389">
      <c r="A389" s="19" t="n">
        <v>37926</v>
      </c>
      <c r="B389" s="61">
        <f>VLOOKUP(Table1345[[#This Row],[Date]],database!A:I,9,)</f>
        <v/>
      </c>
      <c r="C389" s="74">
        <f>B389/B388-1</f>
        <v/>
      </c>
      <c r="D389" s="74">
        <f>(Table1345[[#This Row],[Index]]-B377)/B377</f>
        <v/>
      </c>
    </row>
    <row r="390">
      <c r="A390" s="19" t="n">
        <v>37956</v>
      </c>
      <c r="B390" s="61">
        <f>VLOOKUP(Table1345[[#This Row],[Date]],database!A:I,9,)</f>
        <v/>
      </c>
      <c r="C390" s="74">
        <f>B390/B389-1</f>
        <v/>
      </c>
      <c r="D390" s="74">
        <f>(Table1345[[#This Row],[Index]]-B378)/B378</f>
        <v/>
      </c>
    </row>
    <row r="391">
      <c r="A391" s="19" t="n">
        <v>37987</v>
      </c>
      <c r="B391" s="61">
        <f>VLOOKUP(Table1345[[#This Row],[Date]],database!A:I,9,)</f>
        <v/>
      </c>
      <c r="C391" s="74">
        <f>B391/B390-1</f>
        <v/>
      </c>
      <c r="D391" s="74">
        <f>(Table1345[[#This Row],[Index]]-B379)/B379</f>
        <v/>
      </c>
    </row>
    <row r="392">
      <c r="A392" s="19" t="n">
        <v>38018</v>
      </c>
      <c r="B392" s="61">
        <f>VLOOKUP(Table1345[[#This Row],[Date]],database!A:I,9,)</f>
        <v/>
      </c>
      <c r="C392" s="74">
        <f>B392/B391-1</f>
        <v/>
      </c>
      <c r="D392" s="74">
        <f>(Table1345[[#This Row],[Index]]-B380)/B380</f>
        <v/>
      </c>
    </row>
    <row r="393">
      <c r="A393" s="19" t="n">
        <v>38047</v>
      </c>
      <c r="B393" s="61">
        <f>VLOOKUP(Table1345[[#This Row],[Date]],database!A:I,9,)</f>
        <v/>
      </c>
      <c r="C393" s="74">
        <f>B393/B392-1</f>
        <v/>
      </c>
      <c r="D393" s="74">
        <f>(Table1345[[#This Row],[Index]]-B381)/B381</f>
        <v/>
      </c>
    </row>
    <row r="394">
      <c r="A394" s="19" t="n">
        <v>38078</v>
      </c>
      <c r="B394" s="61">
        <f>VLOOKUP(Table1345[[#This Row],[Date]],database!A:I,9,)</f>
        <v/>
      </c>
      <c r="C394" s="74">
        <f>B394/B393-1</f>
        <v/>
      </c>
      <c r="D394" s="74">
        <f>(Table1345[[#This Row],[Index]]-B382)/B382</f>
        <v/>
      </c>
    </row>
    <row r="395">
      <c r="A395" s="19" t="n">
        <v>38108</v>
      </c>
      <c r="B395" s="61">
        <f>VLOOKUP(Table1345[[#This Row],[Date]],database!A:I,9,)</f>
        <v/>
      </c>
      <c r="C395" s="74">
        <f>B395/B394-1</f>
        <v/>
      </c>
      <c r="D395" s="74">
        <f>(Table1345[[#This Row],[Index]]-B383)/B383</f>
        <v/>
      </c>
    </row>
    <row r="396">
      <c r="A396" s="19" t="n">
        <v>38139</v>
      </c>
      <c r="B396" s="61">
        <f>VLOOKUP(Table1345[[#This Row],[Date]],database!A:I,9,)</f>
        <v/>
      </c>
      <c r="C396" s="74">
        <f>B396/B395-1</f>
        <v/>
      </c>
      <c r="D396" s="74">
        <f>(Table1345[[#This Row],[Index]]-B384)/B384</f>
        <v/>
      </c>
    </row>
    <row r="397">
      <c r="A397" s="19" t="n">
        <v>38169</v>
      </c>
      <c r="B397" s="61">
        <f>VLOOKUP(Table1345[[#This Row],[Date]],database!A:I,9,)</f>
        <v/>
      </c>
      <c r="C397" s="74">
        <f>B397/B396-1</f>
        <v/>
      </c>
      <c r="D397" s="74">
        <f>(Table1345[[#This Row],[Index]]-B385)/B385</f>
        <v/>
      </c>
    </row>
    <row r="398">
      <c r="A398" s="19" t="n">
        <v>38200</v>
      </c>
      <c r="B398" s="61">
        <f>VLOOKUP(Table1345[[#This Row],[Date]],database!A:I,9,)</f>
        <v/>
      </c>
      <c r="C398" s="74">
        <f>B398/B397-1</f>
        <v/>
      </c>
      <c r="D398" s="74">
        <f>(Table1345[[#This Row],[Index]]-B386)/B386</f>
        <v/>
      </c>
    </row>
    <row r="399">
      <c r="A399" s="19" t="n">
        <v>38231</v>
      </c>
      <c r="B399" s="61">
        <f>VLOOKUP(Table1345[[#This Row],[Date]],database!A:I,9,)</f>
        <v/>
      </c>
      <c r="C399" s="74">
        <f>B399/B398-1</f>
        <v/>
      </c>
      <c r="D399" s="74">
        <f>(Table1345[[#This Row],[Index]]-B387)/B387</f>
        <v/>
      </c>
    </row>
    <row r="400">
      <c r="A400" s="19" t="n">
        <v>38261</v>
      </c>
      <c r="B400" s="61">
        <f>VLOOKUP(Table1345[[#This Row],[Date]],database!A:I,9,)</f>
        <v/>
      </c>
      <c r="C400" s="74">
        <f>B400/B399-1</f>
        <v/>
      </c>
      <c r="D400" s="74">
        <f>(Table1345[[#This Row],[Index]]-B388)/B388</f>
        <v/>
      </c>
    </row>
    <row r="401">
      <c r="A401" s="19" t="n">
        <v>38292</v>
      </c>
      <c r="B401" s="61">
        <f>VLOOKUP(Table1345[[#This Row],[Date]],database!A:I,9,)</f>
        <v/>
      </c>
      <c r="C401" s="74">
        <f>B401/B400-1</f>
        <v/>
      </c>
      <c r="D401" s="74">
        <f>(Table1345[[#This Row],[Index]]-B389)/B389</f>
        <v/>
      </c>
    </row>
    <row r="402">
      <c r="A402" s="19" t="n">
        <v>38322</v>
      </c>
      <c r="B402" s="61">
        <f>VLOOKUP(Table1345[[#This Row],[Date]],database!A:I,9,)</f>
        <v/>
      </c>
      <c r="C402" s="74">
        <f>B402/B401-1</f>
        <v/>
      </c>
      <c r="D402" s="74">
        <f>(Table1345[[#This Row],[Index]]-B390)/B390</f>
        <v/>
      </c>
    </row>
    <row r="403">
      <c r="A403" s="19" t="n">
        <v>38353</v>
      </c>
      <c r="B403" s="61">
        <f>VLOOKUP(Table1345[[#This Row],[Date]],database!A:I,9,)</f>
        <v/>
      </c>
      <c r="C403" s="74">
        <f>B403/B402-1</f>
        <v/>
      </c>
      <c r="D403" s="74">
        <f>(Table1345[[#This Row],[Index]]-B391)/B391</f>
        <v/>
      </c>
    </row>
    <row r="404">
      <c r="A404" s="19" t="n">
        <v>38384</v>
      </c>
      <c r="B404" s="61">
        <f>VLOOKUP(Table1345[[#This Row],[Date]],database!A:I,9,)</f>
        <v/>
      </c>
      <c r="C404" s="74">
        <f>B404/B403-1</f>
        <v/>
      </c>
      <c r="D404" s="74">
        <f>(Table1345[[#This Row],[Index]]-B392)/B392</f>
        <v/>
      </c>
    </row>
    <row r="405">
      <c r="A405" s="19" t="n">
        <v>38412</v>
      </c>
      <c r="B405" s="61">
        <f>VLOOKUP(Table1345[[#This Row],[Date]],database!A:I,9,)</f>
        <v/>
      </c>
      <c r="C405" s="74">
        <f>B405/B404-1</f>
        <v/>
      </c>
      <c r="D405" s="74">
        <f>(Table1345[[#This Row],[Index]]-B393)/B393</f>
        <v/>
      </c>
    </row>
    <row r="406">
      <c r="A406" s="19" t="n">
        <v>38443</v>
      </c>
      <c r="B406" s="61">
        <f>VLOOKUP(Table1345[[#This Row],[Date]],database!A:I,9,)</f>
        <v/>
      </c>
      <c r="C406" s="74">
        <f>B406/B405-1</f>
        <v/>
      </c>
      <c r="D406" s="74">
        <f>(Table1345[[#This Row],[Index]]-B394)/B394</f>
        <v/>
      </c>
    </row>
    <row r="407">
      <c r="A407" s="19" t="n">
        <v>38473</v>
      </c>
      <c r="B407" s="61">
        <f>VLOOKUP(Table1345[[#This Row],[Date]],database!A:I,9,)</f>
        <v/>
      </c>
      <c r="C407" s="74">
        <f>B407/B406-1</f>
        <v/>
      </c>
      <c r="D407" s="74">
        <f>(Table1345[[#This Row],[Index]]-B395)/B395</f>
        <v/>
      </c>
    </row>
    <row r="408">
      <c r="A408" s="19" t="n">
        <v>38504</v>
      </c>
      <c r="B408" s="61">
        <f>VLOOKUP(Table1345[[#This Row],[Date]],database!A:I,9,)</f>
        <v/>
      </c>
      <c r="C408" s="74">
        <f>B408/B407-1</f>
        <v/>
      </c>
      <c r="D408" s="74">
        <f>(Table1345[[#This Row],[Index]]-B396)/B396</f>
        <v/>
      </c>
    </row>
    <row r="409">
      <c r="A409" s="19" t="n">
        <v>38534</v>
      </c>
      <c r="B409" s="61">
        <f>VLOOKUP(Table1345[[#This Row],[Date]],database!A:I,9,)</f>
        <v/>
      </c>
      <c r="C409" s="74">
        <f>B409/B408-1</f>
        <v/>
      </c>
      <c r="D409" s="74">
        <f>(Table1345[[#This Row],[Index]]-B397)/B397</f>
        <v/>
      </c>
    </row>
    <row r="410">
      <c r="A410" s="19" t="n">
        <v>38565</v>
      </c>
      <c r="B410" s="61">
        <f>VLOOKUP(Table1345[[#This Row],[Date]],database!A:I,9,)</f>
        <v/>
      </c>
      <c r="C410" s="74">
        <f>B410/B409-1</f>
        <v/>
      </c>
      <c r="D410" s="74">
        <f>(Table1345[[#This Row],[Index]]-B398)/B398</f>
        <v/>
      </c>
    </row>
    <row r="411">
      <c r="A411" s="19" t="n">
        <v>38596</v>
      </c>
      <c r="B411" s="61">
        <f>VLOOKUP(Table1345[[#This Row],[Date]],database!A:I,9,)</f>
        <v/>
      </c>
      <c r="C411" s="74">
        <f>B411/B410-1</f>
        <v/>
      </c>
      <c r="D411" s="74">
        <f>(Table1345[[#This Row],[Index]]-B399)/B399</f>
        <v/>
      </c>
    </row>
    <row r="412">
      <c r="A412" s="19" t="n">
        <v>38626</v>
      </c>
      <c r="B412" s="61">
        <f>VLOOKUP(Table1345[[#This Row],[Date]],database!A:I,9,)</f>
        <v/>
      </c>
      <c r="C412" s="74">
        <f>B412/B411-1</f>
        <v/>
      </c>
      <c r="D412" s="74">
        <f>(Table1345[[#This Row],[Index]]-B400)/B400</f>
        <v/>
      </c>
    </row>
    <row r="413">
      <c r="A413" s="19" t="n">
        <v>38657</v>
      </c>
      <c r="B413" s="61">
        <f>VLOOKUP(Table1345[[#This Row],[Date]],database!A:I,9,)</f>
        <v/>
      </c>
      <c r="C413" s="74">
        <f>B413/B412-1</f>
        <v/>
      </c>
      <c r="D413" s="74">
        <f>(Table1345[[#This Row],[Index]]-B401)/B401</f>
        <v/>
      </c>
    </row>
    <row r="414">
      <c r="A414" s="19" t="n">
        <v>38687</v>
      </c>
      <c r="B414" s="61">
        <f>VLOOKUP(Table1345[[#This Row],[Date]],database!A:I,9,)</f>
        <v/>
      </c>
      <c r="C414" s="74">
        <f>B414/B413-1</f>
        <v/>
      </c>
      <c r="D414" s="74">
        <f>(Table1345[[#This Row],[Index]]-B402)/B402</f>
        <v/>
      </c>
    </row>
    <row r="415">
      <c r="A415" s="19" t="n">
        <v>38718</v>
      </c>
      <c r="B415" s="61">
        <f>VLOOKUP(Table1345[[#This Row],[Date]],database!A:I,9,)</f>
        <v/>
      </c>
      <c r="C415" s="74">
        <f>B415/B414-1</f>
        <v/>
      </c>
      <c r="D415" s="74">
        <f>(Table1345[[#This Row],[Index]]-B403)/B403</f>
        <v/>
      </c>
    </row>
    <row r="416">
      <c r="A416" s="19" t="n">
        <v>38749</v>
      </c>
      <c r="B416" s="61">
        <f>VLOOKUP(Table1345[[#This Row],[Date]],database!A:I,9,)</f>
        <v/>
      </c>
      <c r="C416" s="74">
        <f>B416/B415-1</f>
        <v/>
      </c>
      <c r="D416" s="74">
        <f>(Table1345[[#This Row],[Index]]-B404)/B404</f>
        <v/>
      </c>
    </row>
    <row r="417">
      <c r="A417" s="19" t="n">
        <v>38777</v>
      </c>
      <c r="B417" s="61">
        <f>VLOOKUP(Table1345[[#This Row],[Date]],database!A:I,9,)</f>
        <v/>
      </c>
      <c r="C417" s="74">
        <f>B417/B416-1</f>
        <v/>
      </c>
      <c r="D417" s="74">
        <f>(Table1345[[#This Row],[Index]]-B405)/B405</f>
        <v/>
      </c>
    </row>
    <row r="418">
      <c r="A418" s="19" t="n">
        <v>38808</v>
      </c>
      <c r="B418" s="61">
        <f>VLOOKUP(Table1345[[#This Row],[Date]],database!A:I,9,)</f>
        <v/>
      </c>
      <c r="C418" s="74">
        <f>B418/B417-1</f>
        <v/>
      </c>
      <c r="D418" s="74">
        <f>(Table1345[[#This Row],[Index]]-B406)/B406</f>
        <v/>
      </c>
    </row>
    <row r="419">
      <c r="A419" s="19" t="n">
        <v>38838</v>
      </c>
      <c r="B419" s="61">
        <f>VLOOKUP(Table1345[[#This Row],[Date]],database!A:I,9,)</f>
        <v/>
      </c>
      <c r="C419" s="74">
        <f>B419/B418-1</f>
        <v/>
      </c>
      <c r="D419" s="74">
        <f>(Table1345[[#This Row],[Index]]-B407)/B407</f>
        <v/>
      </c>
    </row>
    <row r="420">
      <c r="A420" s="19" t="n">
        <v>38869</v>
      </c>
      <c r="B420" s="61">
        <f>VLOOKUP(Table1345[[#This Row],[Date]],database!A:I,9,)</f>
        <v/>
      </c>
      <c r="C420" s="74">
        <f>B420/B419-1</f>
        <v/>
      </c>
      <c r="D420" s="74">
        <f>(Table1345[[#This Row],[Index]]-B408)/B408</f>
        <v/>
      </c>
    </row>
    <row r="421">
      <c r="A421" s="19" t="n">
        <v>38899</v>
      </c>
      <c r="B421" s="61">
        <f>VLOOKUP(Table1345[[#This Row],[Date]],database!A:I,9,)</f>
        <v/>
      </c>
      <c r="C421" s="74">
        <f>B421/B420-1</f>
        <v/>
      </c>
      <c r="D421" s="74">
        <f>(Table1345[[#This Row],[Index]]-B409)/B409</f>
        <v/>
      </c>
    </row>
    <row r="422">
      <c r="A422" s="19" t="n">
        <v>38930</v>
      </c>
      <c r="B422" s="61">
        <f>VLOOKUP(Table1345[[#This Row],[Date]],database!A:I,9,)</f>
        <v/>
      </c>
      <c r="C422" s="74">
        <f>B422/B421-1</f>
        <v/>
      </c>
      <c r="D422" s="74">
        <f>(Table1345[[#This Row],[Index]]-B410)/B410</f>
        <v/>
      </c>
    </row>
    <row r="423">
      <c r="A423" s="19" t="n">
        <v>38961</v>
      </c>
      <c r="B423" s="61">
        <f>VLOOKUP(Table1345[[#This Row],[Date]],database!A:I,9,)</f>
        <v/>
      </c>
      <c r="C423" s="74">
        <f>B423/B422-1</f>
        <v/>
      </c>
      <c r="D423" s="74">
        <f>(Table1345[[#This Row],[Index]]-B411)/B411</f>
        <v/>
      </c>
    </row>
    <row r="424">
      <c r="A424" s="19" t="n">
        <v>38991</v>
      </c>
      <c r="B424" s="61">
        <f>VLOOKUP(Table1345[[#This Row],[Date]],database!A:I,9,)</f>
        <v/>
      </c>
      <c r="C424" s="74">
        <f>B424/B423-1</f>
        <v/>
      </c>
      <c r="D424" s="74">
        <f>(Table1345[[#This Row],[Index]]-B412)/B412</f>
        <v/>
      </c>
    </row>
    <row r="425">
      <c r="A425" s="19" t="n">
        <v>39022</v>
      </c>
      <c r="B425" s="61">
        <f>VLOOKUP(Table1345[[#This Row],[Date]],database!A:I,9,)</f>
        <v/>
      </c>
      <c r="C425" s="74">
        <f>B425/B424-1</f>
        <v/>
      </c>
      <c r="D425" s="74">
        <f>(Table1345[[#This Row],[Index]]-B413)/B413</f>
        <v/>
      </c>
    </row>
    <row r="426">
      <c r="A426" s="19" t="n">
        <v>39052</v>
      </c>
      <c r="B426" s="61">
        <f>VLOOKUP(Table1345[[#This Row],[Date]],database!A:I,9,)</f>
        <v/>
      </c>
      <c r="C426" s="74">
        <f>B426/B425-1</f>
        <v/>
      </c>
      <c r="D426" s="74">
        <f>(Table1345[[#This Row],[Index]]-B414)/B414</f>
        <v/>
      </c>
    </row>
    <row r="427">
      <c r="A427" s="19" t="n">
        <v>39083</v>
      </c>
      <c r="B427" s="61">
        <f>VLOOKUP(Table1345[[#This Row],[Date]],database!A:I,9,)</f>
        <v/>
      </c>
      <c r="C427" s="74">
        <f>B427/B426-1</f>
        <v/>
      </c>
      <c r="D427" s="74">
        <f>(Table1345[[#This Row],[Index]]-B415)/B415</f>
        <v/>
      </c>
    </row>
    <row r="428">
      <c r="A428" s="19" t="n">
        <v>39114</v>
      </c>
      <c r="B428" s="61">
        <f>VLOOKUP(Table1345[[#This Row],[Date]],database!A:I,9,)</f>
        <v/>
      </c>
      <c r="C428" s="74">
        <f>B428/B427-1</f>
        <v/>
      </c>
      <c r="D428" s="74">
        <f>(Table1345[[#This Row],[Index]]-B416)/B416</f>
        <v/>
      </c>
    </row>
    <row r="429">
      <c r="A429" s="19" t="n">
        <v>39142</v>
      </c>
      <c r="B429" s="61">
        <f>VLOOKUP(Table1345[[#This Row],[Date]],database!A:I,9,)</f>
        <v/>
      </c>
      <c r="C429" s="74">
        <f>B429/B428-1</f>
        <v/>
      </c>
      <c r="D429" s="74">
        <f>(Table1345[[#This Row],[Index]]-B417)/B417</f>
        <v/>
      </c>
    </row>
    <row r="430">
      <c r="A430" s="19" t="n">
        <v>39173</v>
      </c>
      <c r="B430" s="61">
        <f>VLOOKUP(Table1345[[#This Row],[Date]],database!A:I,9,)</f>
        <v/>
      </c>
      <c r="C430" s="74">
        <f>B430/B429-1</f>
        <v/>
      </c>
      <c r="D430" s="74">
        <f>(Table1345[[#This Row],[Index]]-B418)/B418</f>
        <v/>
      </c>
    </row>
    <row r="431">
      <c r="A431" s="19" t="n">
        <v>39203</v>
      </c>
      <c r="B431" s="61">
        <f>VLOOKUP(Table1345[[#This Row],[Date]],database!A:I,9,)</f>
        <v/>
      </c>
      <c r="C431" s="74">
        <f>B431/B430-1</f>
        <v/>
      </c>
      <c r="D431" s="74">
        <f>(Table1345[[#This Row],[Index]]-B419)/B419</f>
        <v/>
      </c>
    </row>
    <row r="432">
      <c r="A432" s="19" t="n">
        <v>39234</v>
      </c>
      <c r="B432" s="61">
        <f>VLOOKUP(Table1345[[#This Row],[Date]],database!A:I,9,)</f>
        <v/>
      </c>
      <c r="C432" s="74">
        <f>B432/B431-1</f>
        <v/>
      </c>
      <c r="D432" s="74">
        <f>(Table1345[[#This Row],[Index]]-B420)/B420</f>
        <v/>
      </c>
    </row>
    <row r="433">
      <c r="A433" s="19" t="n">
        <v>39264</v>
      </c>
      <c r="B433" s="61">
        <f>VLOOKUP(Table1345[[#This Row],[Date]],database!A:I,9,)</f>
        <v/>
      </c>
      <c r="C433" s="74">
        <f>B433/B432-1</f>
        <v/>
      </c>
      <c r="D433" s="74">
        <f>(Table1345[[#This Row],[Index]]-B421)/B421</f>
        <v/>
      </c>
    </row>
    <row r="434">
      <c r="A434" s="19" t="n">
        <v>39295</v>
      </c>
      <c r="B434" s="61">
        <f>VLOOKUP(Table1345[[#This Row],[Date]],database!A:I,9,)</f>
        <v/>
      </c>
      <c r="C434" s="74">
        <f>B434/B433-1</f>
        <v/>
      </c>
      <c r="D434" s="74">
        <f>(Table1345[[#This Row],[Index]]-B422)/B422</f>
        <v/>
      </c>
    </row>
    <row r="435">
      <c r="A435" s="19" t="n">
        <v>39326</v>
      </c>
      <c r="B435" s="61">
        <f>VLOOKUP(Table1345[[#This Row],[Date]],database!A:I,9,)</f>
        <v/>
      </c>
      <c r="C435" s="74">
        <f>B435/B434-1</f>
        <v/>
      </c>
      <c r="D435" s="74">
        <f>(Table1345[[#This Row],[Index]]-B423)/B423</f>
        <v/>
      </c>
    </row>
    <row r="436">
      <c r="A436" s="19" t="n">
        <v>39356</v>
      </c>
      <c r="B436" s="61">
        <f>VLOOKUP(Table1345[[#This Row],[Date]],database!A:I,9,)</f>
        <v/>
      </c>
      <c r="C436" s="74">
        <f>B436/B435-1</f>
        <v/>
      </c>
      <c r="D436" s="74">
        <f>(Table1345[[#This Row],[Index]]-B424)/B424</f>
        <v/>
      </c>
    </row>
    <row r="437">
      <c r="A437" s="19" t="n">
        <v>39387</v>
      </c>
      <c r="B437" s="61">
        <f>VLOOKUP(Table1345[[#This Row],[Date]],database!A:I,9,)</f>
        <v/>
      </c>
      <c r="C437" s="74">
        <f>B437/B436-1</f>
        <v/>
      </c>
      <c r="D437" s="74">
        <f>(Table1345[[#This Row],[Index]]-B425)/B425</f>
        <v/>
      </c>
    </row>
    <row r="438">
      <c r="A438" s="19" t="n">
        <v>39417</v>
      </c>
      <c r="B438" s="61">
        <f>VLOOKUP(Table1345[[#This Row],[Date]],database!A:I,9,)</f>
        <v/>
      </c>
      <c r="C438" s="74">
        <f>B438/B437-1</f>
        <v/>
      </c>
      <c r="D438" s="74">
        <f>(Table1345[[#This Row],[Index]]-B426)/B426</f>
        <v/>
      </c>
    </row>
    <row r="439">
      <c r="A439" s="19" t="n">
        <v>39448</v>
      </c>
      <c r="B439" s="61">
        <f>VLOOKUP(Table1345[[#This Row],[Date]],database!A:I,9,)</f>
        <v/>
      </c>
      <c r="C439" s="74">
        <f>B439/B438-1</f>
        <v/>
      </c>
      <c r="D439" s="74">
        <f>(Table1345[[#This Row],[Index]]-B427)/B427</f>
        <v/>
      </c>
    </row>
    <row r="440">
      <c r="A440" s="19" t="n">
        <v>39479</v>
      </c>
      <c r="B440" s="61">
        <f>VLOOKUP(Table1345[[#This Row],[Date]],database!A:I,9,)</f>
        <v/>
      </c>
      <c r="C440" s="74">
        <f>B440/B439-1</f>
        <v/>
      </c>
      <c r="D440" s="74">
        <f>(Table1345[[#This Row],[Index]]-B428)/B428</f>
        <v/>
      </c>
    </row>
    <row r="441">
      <c r="A441" s="19" t="n">
        <v>39508</v>
      </c>
      <c r="B441" s="61">
        <f>VLOOKUP(Table1345[[#This Row],[Date]],database!A:I,9,)</f>
        <v/>
      </c>
      <c r="C441" s="74">
        <f>B441/B440-1</f>
        <v/>
      </c>
      <c r="D441" s="74">
        <f>(Table1345[[#This Row],[Index]]-B429)/B429</f>
        <v/>
      </c>
    </row>
    <row r="442">
      <c r="A442" s="19" t="n">
        <v>39539</v>
      </c>
      <c r="B442" s="61">
        <f>VLOOKUP(Table1345[[#This Row],[Date]],database!A:I,9,)</f>
        <v/>
      </c>
      <c r="C442" s="74">
        <f>B442/B441-1</f>
        <v/>
      </c>
      <c r="D442" s="74">
        <f>(Table1345[[#This Row],[Index]]-B430)/B430</f>
        <v/>
      </c>
    </row>
    <row r="443">
      <c r="A443" s="19" t="n">
        <v>39569</v>
      </c>
      <c r="B443" s="61">
        <f>VLOOKUP(Table1345[[#This Row],[Date]],database!A:I,9,)</f>
        <v/>
      </c>
      <c r="C443" s="74">
        <f>B443/B442-1</f>
        <v/>
      </c>
      <c r="D443" s="74">
        <f>(Table1345[[#This Row],[Index]]-B431)/B431</f>
        <v/>
      </c>
    </row>
    <row r="444">
      <c r="A444" s="19" t="n">
        <v>39600</v>
      </c>
      <c r="B444" s="61">
        <f>VLOOKUP(Table1345[[#This Row],[Date]],database!A:I,9,)</f>
        <v/>
      </c>
      <c r="C444" s="74">
        <f>B444/B443-1</f>
        <v/>
      </c>
      <c r="D444" s="74">
        <f>(Table1345[[#This Row],[Index]]-B432)/B432</f>
        <v/>
      </c>
    </row>
    <row r="445">
      <c r="A445" s="19" t="n">
        <v>39630</v>
      </c>
      <c r="B445" s="61">
        <f>VLOOKUP(Table1345[[#This Row],[Date]],database!A:I,9,)</f>
        <v/>
      </c>
      <c r="C445" s="74">
        <f>B445/B444-1</f>
        <v/>
      </c>
      <c r="D445" s="74">
        <f>(Table1345[[#This Row],[Index]]-B433)/B433</f>
        <v/>
      </c>
    </row>
    <row r="446">
      <c r="A446" s="19" t="n">
        <v>39661</v>
      </c>
      <c r="B446" s="61">
        <f>VLOOKUP(Table1345[[#This Row],[Date]],database!A:I,9,)</f>
        <v/>
      </c>
      <c r="C446" s="74">
        <f>B446/B445-1</f>
        <v/>
      </c>
      <c r="D446" s="74">
        <f>(Table1345[[#This Row],[Index]]-B434)/B434</f>
        <v/>
      </c>
    </row>
    <row r="447">
      <c r="A447" s="19" t="n">
        <v>39692</v>
      </c>
      <c r="B447" s="61">
        <f>VLOOKUP(Table1345[[#This Row],[Date]],database!A:I,9,)</f>
        <v/>
      </c>
      <c r="C447" s="74">
        <f>B447/B446-1</f>
        <v/>
      </c>
      <c r="D447" s="74">
        <f>(Table1345[[#This Row],[Index]]-B435)/B435</f>
        <v/>
      </c>
    </row>
    <row r="448">
      <c r="A448" s="19" t="n">
        <v>39722</v>
      </c>
      <c r="B448" s="61">
        <f>VLOOKUP(Table1345[[#This Row],[Date]],database!A:I,9,)</f>
        <v/>
      </c>
      <c r="C448" s="74">
        <f>B448/B447-1</f>
        <v/>
      </c>
      <c r="D448" s="74">
        <f>(Table1345[[#This Row],[Index]]-B436)/B436</f>
        <v/>
      </c>
    </row>
    <row r="449">
      <c r="A449" s="19" t="n">
        <v>39753</v>
      </c>
      <c r="B449" s="61">
        <f>VLOOKUP(Table1345[[#This Row],[Date]],database!A:I,9,)</f>
        <v/>
      </c>
      <c r="C449" s="74">
        <f>B449/B448-1</f>
        <v/>
      </c>
      <c r="D449" s="74">
        <f>(Table1345[[#This Row],[Index]]-B437)/B437</f>
        <v/>
      </c>
    </row>
    <row r="450">
      <c r="A450" s="19" t="n">
        <v>39783</v>
      </c>
      <c r="B450" s="61">
        <f>VLOOKUP(Table1345[[#This Row],[Date]],database!A:I,9,)</f>
        <v/>
      </c>
      <c r="C450" s="74">
        <f>B450/B449-1</f>
        <v/>
      </c>
      <c r="D450" s="74">
        <f>(Table1345[[#This Row],[Index]]-B438)/B438</f>
        <v/>
      </c>
    </row>
    <row r="451">
      <c r="A451" s="19" t="n">
        <v>39814</v>
      </c>
      <c r="B451" s="61">
        <f>VLOOKUP(Table1345[[#This Row],[Date]],database!A:I,9,)</f>
        <v/>
      </c>
      <c r="C451" s="74">
        <f>B451/B450-1</f>
        <v/>
      </c>
      <c r="D451" s="74">
        <f>(Table1345[[#This Row],[Index]]-B439)/B439</f>
        <v/>
      </c>
    </row>
    <row r="452">
      <c r="A452" s="19" t="n">
        <v>39845</v>
      </c>
      <c r="B452" s="61">
        <f>VLOOKUP(Table1345[[#This Row],[Date]],database!A:I,9,)</f>
        <v/>
      </c>
      <c r="C452" s="74">
        <f>B452/B451-1</f>
        <v/>
      </c>
      <c r="D452" s="74">
        <f>(Table1345[[#This Row],[Index]]-B440)/B440</f>
        <v/>
      </c>
    </row>
    <row r="453">
      <c r="A453" s="19" t="n">
        <v>39873</v>
      </c>
      <c r="B453" s="61">
        <f>VLOOKUP(Table1345[[#This Row],[Date]],database!A:I,9,)</f>
        <v/>
      </c>
      <c r="C453" s="74">
        <f>B453/B452-1</f>
        <v/>
      </c>
      <c r="D453" s="74">
        <f>(Table1345[[#This Row],[Index]]-B441)/B441</f>
        <v/>
      </c>
    </row>
    <row r="454">
      <c r="A454" s="19" t="n">
        <v>39904</v>
      </c>
      <c r="B454" s="61">
        <f>VLOOKUP(Table1345[[#This Row],[Date]],database!A:I,9,)</f>
        <v/>
      </c>
      <c r="C454" s="74">
        <f>B454/B453-1</f>
        <v/>
      </c>
      <c r="D454" s="74">
        <f>(Table1345[[#This Row],[Index]]-B442)/B442</f>
        <v/>
      </c>
    </row>
    <row r="455">
      <c r="A455" s="19" t="n">
        <v>39934</v>
      </c>
      <c r="B455" s="61">
        <f>VLOOKUP(Table1345[[#This Row],[Date]],database!A:I,9,)</f>
        <v/>
      </c>
      <c r="C455" s="74">
        <f>B455/B454-1</f>
        <v/>
      </c>
      <c r="D455" s="74">
        <f>(Table1345[[#This Row],[Index]]-B443)/B443</f>
        <v/>
      </c>
    </row>
    <row r="456">
      <c r="A456" s="19" t="n">
        <v>39965</v>
      </c>
      <c r="B456" s="61">
        <f>VLOOKUP(Table1345[[#This Row],[Date]],database!A:I,9,)</f>
        <v/>
      </c>
      <c r="C456" s="74">
        <f>B456/B455-1</f>
        <v/>
      </c>
      <c r="D456" s="74">
        <f>(Table1345[[#This Row],[Index]]-B444)/B444</f>
        <v/>
      </c>
    </row>
    <row r="457">
      <c r="A457" s="19" t="n">
        <v>39995</v>
      </c>
      <c r="B457" s="61">
        <f>VLOOKUP(Table1345[[#This Row],[Date]],database!A:I,9,)</f>
        <v/>
      </c>
      <c r="C457" s="74">
        <f>B457/B456-1</f>
        <v/>
      </c>
      <c r="D457" s="74">
        <f>(Table1345[[#This Row],[Index]]-B445)/B445</f>
        <v/>
      </c>
    </row>
    <row r="458">
      <c r="A458" s="19" t="n">
        <v>40026</v>
      </c>
      <c r="B458" s="61">
        <f>VLOOKUP(Table1345[[#This Row],[Date]],database!A:I,9,)</f>
        <v/>
      </c>
      <c r="C458" s="74">
        <f>B458/B457-1</f>
        <v/>
      </c>
      <c r="D458" s="74">
        <f>(Table1345[[#This Row],[Index]]-B446)/B446</f>
        <v/>
      </c>
    </row>
    <row r="459">
      <c r="A459" s="19" t="n">
        <v>40057</v>
      </c>
      <c r="B459" s="61">
        <f>VLOOKUP(Table1345[[#This Row],[Date]],database!A:I,9,)</f>
        <v/>
      </c>
      <c r="C459" s="74">
        <f>B459/B458-1</f>
        <v/>
      </c>
      <c r="D459" s="74">
        <f>(Table1345[[#This Row],[Index]]-B447)/B447</f>
        <v/>
      </c>
    </row>
    <row r="460">
      <c r="A460" s="19" t="n">
        <v>40087</v>
      </c>
      <c r="B460" s="61">
        <f>VLOOKUP(Table1345[[#This Row],[Date]],database!A:I,9,)</f>
        <v/>
      </c>
      <c r="C460" s="74">
        <f>B460/B459-1</f>
        <v/>
      </c>
      <c r="D460" s="74">
        <f>(Table1345[[#This Row],[Index]]-B448)/B448</f>
        <v/>
      </c>
    </row>
    <row r="461">
      <c r="A461" s="19" t="n">
        <v>40118</v>
      </c>
      <c r="B461" s="61">
        <f>VLOOKUP(Table1345[[#This Row],[Date]],database!A:I,9,)</f>
        <v/>
      </c>
      <c r="C461" s="74">
        <f>B461/B460-1</f>
        <v/>
      </c>
      <c r="D461" s="74">
        <f>(Table1345[[#This Row],[Index]]-B449)/B449</f>
        <v/>
      </c>
    </row>
    <row r="462">
      <c r="A462" s="19" t="n">
        <v>40148</v>
      </c>
      <c r="B462" s="61">
        <f>VLOOKUP(Table1345[[#This Row],[Date]],database!A:I,9,)</f>
        <v/>
      </c>
      <c r="C462" s="74">
        <f>B462/B461-1</f>
        <v/>
      </c>
      <c r="D462" s="74">
        <f>(Table1345[[#This Row],[Index]]-B450)/B450</f>
        <v/>
      </c>
    </row>
    <row r="463">
      <c r="A463" s="19" t="n">
        <v>40179</v>
      </c>
      <c r="B463" s="61">
        <f>VLOOKUP(Table1345[[#This Row],[Date]],database!A:I,9,)</f>
        <v/>
      </c>
      <c r="C463" s="74">
        <f>B463/B462-1</f>
        <v/>
      </c>
      <c r="D463" s="74">
        <f>(Table1345[[#This Row],[Index]]-B451)/B451</f>
        <v/>
      </c>
    </row>
    <row r="464">
      <c r="A464" s="19" t="n">
        <v>40210</v>
      </c>
      <c r="B464" s="61">
        <f>VLOOKUP(Table1345[[#This Row],[Date]],database!A:I,9,)</f>
        <v/>
      </c>
      <c r="C464" s="74">
        <f>B464/B463-1</f>
        <v/>
      </c>
      <c r="D464" s="74">
        <f>(Table1345[[#This Row],[Index]]-B452)/B452</f>
        <v/>
      </c>
    </row>
    <row r="465">
      <c r="A465" s="19" t="n">
        <v>40238</v>
      </c>
      <c r="B465" s="61">
        <f>VLOOKUP(Table1345[[#This Row],[Date]],database!A:I,9,)</f>
        <v/>
      </c>
      <c r="C465" s="74">
        <f>B465/B464-1</f>
        <v/>
      </c>
      <c r="D465" s="74">
        <f>(Table1345[[#This Row],[Index]]-B453)/B453</f>
        <v/>
      </c>
    </row>
    <row r="466">
      <c r="A466" s="19" t="n">
        <v>40269</v>
      </c>
      <c r="B466" s="61">
        <f>VLOOKUP(Table1345[[#This Row],[Date]],database!A:I,9,)</f>
        <v/>
      </c>
      <c r="C466" s="74">
        <f>B466/B465-1</f>
        <v/>
      </c>
      <c r="D466" s="74">
        <f>(Table1345[[#This Row],[Index]]-B454)/B454</f>
        <v/>
      </c>
    </row>
    <row r="467">
      <c r="A467" s="19" t="n">
        <v>40299</v>
      </c>
      <c r="B467" s="61">
        <f>VLOOKUP(Table1345[[#This Row],[Date]],database!A:I,9,)</f>
        <v/>
      </c>
      <c r="C467" s="74">
        <f>B467/B466-1</f>
        <v/>
      </c>
      <c r="D467" s="74">
        <f>(Table1345[[#This Row],[Index]]-B455)/B455</f>
        <v/>
      </c>
    </row>
    <row r="468">
      <c r="A468" s="19" t="n">
        <v>40330</v>
      </c>
      <c r="B468" s="61">
        <f>VLOOKUP(Table1345[[#This Row],[Date]],database!A:I,9,)</f>
        <v/>
      </c>
      <c r="C468" s="74">
        <f>B468/B467-1</f>
        <v/>
      </c>
      <c r="D468" s="74">
        <f>(Table1345[[#This Row],[Index]]-B456)/B456</f>
        <v/>
      </c>
    </row>
    <row r="469">
      <c r="A469" s="19" t="n">
        <v>40360</v>
      </c>
      <c r="B469" s="61">
        <f>VLOOKUP(Table1345[[#This Row],[Date]],database!A:I,9,)</f>
        <v/>
      </c>
      <c r="C469" s="74">
        <f>B469/B468-1</f>
        <v/>
      </c>
      <c r="D469" s="74">
        <f>(Table1345[[#This Row],[Index]]-B457)/B457</f>
        <v/>
      </c>
    </row>
    <row r="470">
      <c r="A470" s="19" t="n">
        <v>40391</v>
      </c>
      <c r="B470" s="61">
        <f>VLOOKUP(Table1345[[#This Row],[Date]],database!A:I,9,)</f>
        <v/>
      </c>
      <c r="C470" s="74">
        <f>B470/B469-1</f>
        <v/>
      </c>
      <c r="D470" s="74">
        <f>(Table1345[[#This Row],[Index]]-B458)/B458</f>
        <v/>
      </c>
    </row>
    <row r="471">
      <c r="A471" s="19" t="n">
        <v>40422</v>
      </c>
      <c r="B471" s="61">
        <f>VLOOKUP(Table1345[[#This Row],[Date]],database!A:I,9,)</f>
        <v/>
      </c>
      <c r="C471" s="74">
        <f>B471/B470-1</f>
        <v/>
      </c>
      <c r="D471" s="74">
        <f>(Table1345[[#This Row],[Index]]-B459)/B459</f>
        <v/>
      </c>
    </row>
    <row r="472">
      <c r="A472" s="19" t="n">
        <v>40452</v>
      </c>
      <c r="B472" s="61">
        <f>VLOOKUP(Table1345[[#This Row],[Date]],database!A:I,9,)</f>
        <v/>
      </c>
      <c r="C472" s="74">
        <f>B472/B471-1</f>
        <v/>
      </c>
      <c r="D472" s="74">
        <f>(Table1345[[#This Row],[Index]]-B460)/B460</f>
        <v/>
      </c>
    </row>
    <row r="473">
      <c r="A473" s="19" t="n">
        <v>40483</v>
      </c>
      <c r="B473" s="61">
        <f>VLOOKUP(Table1345[[#This Row],[Date]],database!A:I,9,)</f>
        <v/>
      </c>
      <c r="C473" s="74">
        <f>B473/B472-1</f>
        <v/>
      </c>
      <c r="D473" s="74">
        <f>(Table1345[[#This Row],[Index]]-B461)/B461</f>
        <v/>
      </c>
    </row>
    <row r="474">
      <c r="A474" s="19" t="n">
        <v>40513</v>
      </c>
      <c r="B474" s="61">
        <f>VLOOKUP(Table1345[[#This Row],[Date]],database!A:I,9,)</f>
        <v/>
      </c>
      <c r="C474" s="74">
        <f>B474/B473-1</f>
        <v/>
      </c>
      <c r="D474" s="74">
        <f>(Table1345[[#This Row],[Index]]-B462)/B462</f>
        <v/>
      </c>
    </row>
    <row r="475">
      <c r="A475" s="19" t="n">
        <v>40544</v>
      </c>
      <c r="B475" s="61">
        <f>VLOOKUP(Table1345[[#This Row],[Date]],database!A:I,9,)</f>
        <v/>
      </c>
      <c r="C475" s="74">
        <f>B475/B474-1</f>
        <v/>
      </c>
      <c r="D475" s="74">
        <f>(Table1345[[#This Row],[Index]]-B463)/B463</f>
        <v/>
      </c>
    </row>
    <row r="476">
      <c r="A476" s="19" t="n">
        <v>40575</v>
      </c>
      <c r="B476" s="61">
        <f>VLOOKUP(Table1345[[#This Row],[Date]],database!A:I,9,)</f>
        <v/>
      </c>
      <c r="C476" s="74">
        <f>B476/B475-1</f>
        <v/>
      </c>
      <c r="D476" s="74">
        <f>(Table1345[[#This Row],[Index]]-B464)/B464</f>
        <v/>
      </c>
    </row>
    <row r="477">
      <c r="A477" s="19" t="n">
        <v>40603</v>
      </c>
      <c r="B477" s="61">
        <f>VLOOKUP(Table1345[[#This Row],[Date]],database!A:I,9,)</f>
        <v/>
      </c>
      <c r="C477" s="74">
        <f>B477/B476-1</f>
        <v/>
      </c>
      <c r="D477" s="74">
        <f>(Table1345[[#This Row],[Index]]-B465)/B465</f>
        <v/>
      </c>
    </row>
    <row r="478">
      <c r="A478" s="19" t="n">
        <v>40634</v>
      </c>
      <c r="B478" s="61">
        <f>VLOOKUP(Table1345[[#This Row],[Date]],database!A:I,9,)</f>
        <v/>
      </c>
      <c r="C478" s="75">
        <f>B478/B477-1</f>
        <v/>
      </c>
      <c r="D478" s="74">
        <f>(Table1345[[#This Row],[Index]]-B466)/B466</f>
        <v/>
      </c>
    </row>
    <row r="479">
      <c r="A479" s="19" t="n">
        <v>40664</v>
      </c>
      <c r="B479" s="61">
        <f>VLOOKUP(Table1345[[#This Row],[Date]],database!A:I,9,)</f>
        <v/>
      </c>
      <c r="C479" s="74">
        <f>B479/B478-1</f>
        <v/>
      </c>
      <c r="D479" s="74">
        <f>(Table1345[[#This Row],[Index]]-B467)/B467</f>
        <v/>
      </c>
    </row>
    <row r="480">
      <c r="A480" s="19" t="n">
        <v>40695</v>
      </c>
      <c r="B480" s="61">
        <f>VLOOKUP(Table1345[[#This Row],[Date]],database!A:I,9,)</f>
        <v/>
      </c>
      <c r="C480" s="74">
        <f>B480/B479-1</f>
        <v/>
      </c>
      <c r="D480" s="74">
        <f>(Table1345[[#This Row],[Index]]-B468)/B468</f>
        <v/>
      </c>
    </row>
    <row r="481">
      <c r="A481" s="19" t="n">
        <v>40725</v>
      </c>
      <c r="B481" s="61">
        <f>VLOOKUP(Table1345[[#This Row],[Date]],database!A:I,9,)</f>
        <v/>
      </c>
      <c r="C481" s="74">
        <f>B481/B480-1</f>
        <v/>
      </c>
      <c r="D481" s="74">
        <f>(Table1345[[#This Row],[Index]]-B469)/B469</f>
        <v/>
      </c>
    </row>
    <row r="482">
      <c r="A482" s="19" t="n">
        <v>40756</v>
      </c>
      <c r="B482" s="61">
        <f>VLOOKUP(Table1345[[#This Row],[Date]],database!A:I,9,)</f>
        <v/>
      </c>
      <c r="C482" s="74">
        <f>B482/B481-1</f>
        <v/>
      </c>
      <c r="D482" s="74">
        <f>(Table1345[[#This Row],[Index]]-B470)/B470</f>
        <v/>
      </c>
    </row>
    <row r="483">
      <c r="A483" s="19" t="n">
        <v>40787</v>
      </c>
      <c r="B483" s="61">
        <f>VLOOKUP(Table1345[[#This Row],[Date]],database!A:I,9,)</f>
        <v/>
      </c>
      <c r="C483" s="74">
        <f>B483/B482-1</f>
        <v/>
      </c>
      <c r="D483" s="74">
        <f>(Table1345[[#This Row],[Index]]-B471)/B471</f>
        <v/>
      </c>
    </row>
    <row r="484">
      <c r="A484" s="19" t="n">
        <v>40817</v>
      </c>
      <c r="B484" s="61">
        <f>VLOOKUP(Table1345[[#This Row],[Date]],database!A:I,9,)</f>
        <v/>
      </c>
      <c r="C484" s="74">
        <f>B484/B483-1</f>
        <v/>
      </c>
      <c r="D484" s="74">
        <f>(Table1345[[#This Row],[Index]]-B472)/B472</f>
        <v/>
      </c>
    </row>
    <row r="485">
      <c r="A485" s="19" t="n">
        <v>40848</v>
      </c>
      <c r="B485" s="61">
        <f>VLOOKUP(Table1345[[#This Row],[Date]],database!A:I,9,)</f>
        <v/>
      </c>
      <c r="C485" s="74">
        <f>B485/B484-1</f>
        <v/>
      </c>
      <c r="D485" s="74">
        <f>(Table1345[[#This Row],[Index]]-B473)/B473</f>
        <v/>
      </c>
    </row>
    <row r="486">
      <c r="A486" s="19" t="n">
        <v>40878</v>
      </c>
      <c r="B486" s="61">
        <f>VLOOKUP(Table1345[[#This Row],[Date]],database!A:I,9,)</f>
        <v/>
      </c>
      <c r="C486" s="74">
        <f>B486/B485-1</f>
        <v/>
      </c>
      <c r="D486" s="74">
        <f>(Table1345[[#This Row],[Index]]-B474)/B474</f>
        <v/>
      </c>
    </row>
    <row r="487">
      <c r="A487" s="19" t="n">
        <v>40909</v>
      </c>
      <c r="B487" s="61">
        <f>VLOOKUP(Table1345[[#This Row],[Date]],database!A:I,9,)</f>
        <v/>
      </c>
      <c r="C487" s="74">
        <f>B487/B486-1</f>
        <v/>
      </c>
      <c r="D487" s="74">
        <f>(Table1345[[#This Row],[Index]]-B475)/B475</f>
        <v/>
      </c>
    </row>
    <row r="488">
      <c r="A488" s="19" t="n">
        <v>40940</v>
      </c>
      <c r="B488" s="61">
        <f>VLOOKUP(Table1345[[#This Row],[Date]],database!A:I,9,)</f>
        <v/>
      </c>
      <c r="C488" s="74">
        <f>B488/B487-1</f>
        <v/>
      </c>
      <c r="D488" s="74">
        <f>(Table1345[[#This Row],[Index]]-B476)/B476</f>
        <v/>
      </c>
    </row>
    <row r="489">
      <c r="A489" s="19" t="n">
        <v>40969</v>
      </c>
      <c r="B489" s="61">
        <f>VLOOKUP(Table1345[[#This Row],[Date]],database!A:I,9,)</f>
        <v/>
      </c>
      <c r="C489" s="74">
        <f>B489/B488-1</f>
        <v/>
      </c>
      <c r="D489" s="74">
        <f>(Table1345[[#This Row],[Index]]-B477)/B477</f>
        <v/>
      </c>
    </row>
    <row r="490">
      <c r="A490" s="19" t="n">
        <v>41000</v>
      </c>
      <c r="B490" s="61">
        <f>VLOOKUP(Table1345[[#This Row],[Date]],database!A:I,9,)</f>
        <v/>
      </c>
      <c r="C490" s="74">
        <f>B490/B489-1</f>
        <v/>
      </c>
      <c r="D490" s="74">
        <f>(Table1345[[#This Row],[Index]]-B478)/B478</f>
        <v/>
      </c>
    </row>
    <row r="491">
      <c r="A491" s="19" t="n">
        <v>41030</v>
      </c>
      <c r="B491" s="61">
        <f>VLOOKUP(Table1345[[#This Row],[Date]],database!A:I,9,)</f>
        <v/>
      </c>
      <c r="C491" s="74">
        <f>B491/B490-1</f>
        <v/>
      </c>
      <c r="D491" s="74">
        <f>(Table1345[[#This Row],[Index]]-B479)/B479</f>
        <v/>
      </c>
    </row>
    <row r="492">
      <c r="A492" s="19" t="n">
        <v>41061</v>
      </c>
      <c r="B492" s="61">
        <f>VLOOKUP(Table1345[[#This Row],[Date]],database!A:I,9,)</f>
        <v/>
      </c>
      <c r="C492" s="74">
        <f>B492/B491-1</f>
        <v/>
      </c>
      <c r="D492" s="74">
        <f>(Table1345[[#This Row],[Index]]-B480)/B480</f>
        <v/>
      </c>
    </row>
    <row r="493">
      <c r="A493" s="19" t="n">
        <v>41091</v>
      </c>
      <c r="B493" s="61">
        <f>VLOOKUP(Table1345[[#This Row],[Date]],database!A:I,9,)</f>
        <v/>
      </c>
      <c r="C493" s="74">
        <f>B493/B492-1</f>
        <v/>
      </c>
      <c r="D493" s="74">
        <f>(Table1345[[#This Row],[Index]]-B481)/B481</f>
        <v/>
      </c>
    </row>
    <row r="494">
      <c r="A494" s="19" t="n">
        <v>41122</v>
      </c>
      <c r="B494" s="61">
        <f>VLOOKUP(Table1345[[#This Row],[Date]],database!A:I,9,)</f>
        <v/>
      </c>
      <c r="C494" s="74">
        <f>B494/B493-1</f>
        <v/>
      </c>
      <c r="D494" s="74">
        <f>(Table1345[[#This Row],[Index]]-B482)/B482</f>
        <v/>
      </c>
    </row>
    <row r="495">
      <c r="A495" s="19" t="n">
        <v>41153</v>
      </c>
      <c r="B495" s="61">
        <f>VLOOKUP(Table1345[[#This Row],[Date]],database!A:I,9,)</f>
        <v/>
      </c>
      <c r="C495" s="74">
        <f>B495/B494-1</f>
        <v/>
      </c>
      <c r="D495" s="74">
        <f>(Table1345[[#This Row],[Index]]-B483)/B483</f>
        <v/>
      </c>
    </row>
    <row r="496">
      <c r="A496" s="19" t="n">
        <v>41183</v>
      </c>
      <c r="B496" s="61">
        <f>VLOOKUP(Table1345[[#This Row],[Date]],database!A:I,9,)</f>
        <v/>
      </c>
      <c r="C496" s="74">
        <f>B496/B495-1</f>
        <v/>
      </c>
      <c r="D496" s="74">
        <f>(Table1345[[#This Row],[Index]]-B484)/B484</f>
        <v/>
      </c>
    </row>
    <row r="497">
      <c r="A497" s="19" t="n">
        <v>41214</v>
      </c>
      <c r="B497" s="61">
        <f>VLOOKUP(Table1345[[#This Row],[Date]],database!A:I,9,)</f>
        <v/>
      </c>
      <c r="C497" s="74">
        <f>B497/B496-1</f>
        <v/>
      </c>
      <c r="D497" s="74">
        <f>(Table1345[[#This Row],[Index]]-B485)/B485</f>
        <v/>
      </c>
    </row>
    <row r="498">
      <c r="A498" s="19" t="n">
        <v>41244</v>
      </c>
      <c r="B498" s="61">
        <f>VLOOKUP(Table1345[[#This Row],[Date]],database!A:I,9,)</f>
        <v/>
      </c>
      <c r="C498" s="74">
        <f>B498/B497-1</f>
        <v/>
      </c>
      <c r="D498" s="74">
        <f>(Table1345[[#This Row],[Index]]-B486)/B486</f>
        <v/>
      </c>
    </row>
    <row r="499">
      <c r="A499" s="19" t="n">
        <v>41275</v>
      </c>
      <c r="B499" s="61">
        <f>VLOOKUP(Table1345[[#This Row],[Date]],database!A:I,9,)</f>
        <v/>
      </c>
      <c r="C499" s="74">
        <f>B499/B498-1</f>
        <v/>
      </c>
      <c r="D499" s="74">
        <f>(Table1345[[#This Row],[Index]]-B487)/B487</f>
        <v/>
      </c>
    </row>
    <row r="500">
      <c r="A500" s="19" t="n">
        <v>41306</v>
      </c>
      <c r="B500" s="61">
        <f>VLOOKUP(Table1345[[#This Row],[Date]],database!A:I,9,)</f>
        <v/>
      </c>
      <c r="C500" s="74">
        <f>B500/B499-1</f>
        <v/>
      </c>
      <c r="D500" s="74">
        <f>(Table1345[[#This Row],[Index]]-B488)/B488</f>
        <v/>
      </c>
    </row>
    <row r="501">
      <c r="A501" s="19" t="n">
        <v>41334</v>
      </c>
      <c r="B501" s="61">
        <f>VLOOKUP(Table1345[[#This Row],[Date]],database!A:I,9,)</f>
        <v/>
      </c>
      <c r="C501" s="74">
        <f>B501/B500-1</f>
        <v/>
      </c>
      <c r="D501" s="74">
        <f>(Table1345[[#This Row],[Index]]-B489)/B489</f>
        <v/>
      </c>
    </row>
    <row r="502">
      <c r="A502" s="19" t="n">
        <v>41365</v>
      </c>
      <c r="B502" s="61">
        <f>VLOOKUP(Table1345[[#This Row],[Date]],database!A:I,9,)</f>
        <v/>
      </c>
      <c r="C502" s="74">
        <f>B502/B501-1</f>
        <v/>
      </c>
      <c r="D502" s="74">
        <f>(Table1345[[#This Row],[Index]]-B490)/B490</f>
        <v/>
      </c>
    </row>
    <row r="503">
      <c r="A503" s="19" t="n">
        <v>41395</v>
      </c>
      <c r="B503" s="61">
        <f>VLOOKUP(Table1345[[#This Row],[Date]],database!A:I,9,)</f>
        <v/>
      </c>
      <c r="C503" s="74">
        <f>B503/B502-1</f>
        <v/>
      </c>
      <c r="D503" s="74">
        <f>(Table1345[[#This Row],[Index]]-B491)/B491</f>
        <v/>
      </c>
    </row>
    <row r="504">
      <c r="A504" s="19" t="n">
        <v>41426</v>
      </c>
      <c r="B504" s="61">
        <f>VLOOKUP(Table1345[[#This Row],[Date]],database!A:I,9,)</f>
        <v/>
      </c>
      <c r="C504" s="74">
        <f>B504/B503-1</f>
        <v/>
      </c>
      <c r="D504" s="74">
        <f>(Table1345[[#This Row],[Index]]-B492)/B492</f>
        <v/>
      </c>
    </row>
    <row r="505">
      <c r="A505" s="19" t="n">
        <v>41456</v>
      </c>
      <c r="B505" s="61">
        <f>VLOOKUP(Table1345[[#This Row],[Date]],database!A:I,9,)</f>
        <v/>
      </c>
      <c r="C505" s="74">
        <f>B505/B504-1</f>
        <v/>
      </c>
      <c r="D505" s="74">
        <f>(Table1345[[#This Row],[Index]]-B493)/B493</f>
        <v/>
      </c>
    </row>
    <row r="506">
      <c r="A506" s="19" t="n">
        <v>41487</v>
      </c>
      <c r="B506" s="61">
        <f>VLOOKUP(Table1345[[#This Row],[Date]],database!A:I,9,)</f>
        <v/>
      </c>
      <c r="C506" s="74">
        <f>B506/B505-1</f>
        <v/>
      </c>
      <c r="D506" s="74">
        <f>(Table1345[[#This Row],[Index]]-B494)/B494</f>
        <v/>
      </c>
    </row>
    <row r="507">
      <c r="A507" s="19" t="n">
        <v>41518</v>
      </c>
      <c r="B507" s="61">
        <f>VLOOKUP(Table1345[[#This Row],[Date]],database!A:I,9,)</f>
        <v/>
      </c>
      <c r="C507" s="74">
        <f>B507/B506-1</f>
        <v/>
      </c>
      <c r="D507" s="74">
        <f>(Table1345[[#This Row],[Index]]-B495)/B495</f>
        <v/>
      </c>
    </row>
    <row r="508">
      <c r="A508" s="19" t="n">
        <v>41548</v>
      </c>
      <c r="B508" s="61">
        <f>VLOOKUP(Table1345[[#This Row],[Date]],database!A:I,9,)</f>
        <v/>
      </c>
      <c r="C508" s="74">
        <f>B508/B507-1</f>
        <v/>
      </c>
      <c r="D508" s="74">
        <f>(Table1345[[#This Row],[Index]]-B496)/B496</f>
        <v/>
      </c>
    </row>
    <row r="509">
      <c r="A509" s="19" t="n">
        <v>41579</v>
      </c>
      <c r="B509" s="61">
        <f>VLOOKUP(Table1345[[#This Row],[Date]],database!A:I,9,)</f>
        <v/>
      </c>
      <c r="C509" s="74">
        <f>B509/B508-1</f>
        <v/>
      </c>
      <c r="D509" s="74">
        <f>(Table1345[[#This Row],[Index]]-B497)/B497</f>
        <v/>
      </c>
    </row>
    <row r="510">
      <c r="A510" s="19" t="n">
        <v>41609</v>
      </c>
      <c r="B510" s="61">
        <f>VLOOKUP(Table1345[[#This Row],[Date]],database!A:I,9,)</f>
        <v/>
      </c>
      <c r="C510" s="74">
        <f>B510/B509-1</f>
        <v/>
      </c>
      <c r="D510" s="74">
        <f>(Table1345[[#This Row],[Index]]-B498)/B498</f>
        <v/>
      </c>
    </row>
    <row r="511">
      <c r="A511" s="19" t="n">
        <v>41640</v>
      </c>
      <c r="B511" s="61">
        <f>VLOOKUP(Table1345[[#This Row],[Date]],database!A:I,9,)</f>
        <v/>
      </c>
      <c r="C511" s="74">
        <f>B511/B510-1</f>
        <v/>
      </c>
      <c r="D511" s="74">
        <f>(Table1345[[#This Row],[Index]]-B499)/B499</f>
        <v/>
      </c>
    </row>
    <row r="512">
      <c r="A512" s="19" t="n">
        <v>41671</v>
      </c>
      <c r="B512" s="61">
        <f>VLOOKUP(Table1345[[#This Row],[Date]],database!A:I,9,)</f>
        <v/>
      </c>
      <c r="C512" s="74">
        <f>B512/B511-1</f>
        <v/>
      </c>
      <c r="D512" s="74">
        <f>(Table1345[[#This Row],[Index]]-B500)/B500</f>
        <v/>
      </c>
    </row>
    <row r="513">
      <c r="A513" s="19" t="n">
        <v>41699</v>
      </c>
      <c r="B513" s="61">
        <f>VLOOKUP(Table1345[[#This Row],[Date]],database!A:I,9,)</f>
        <v/>
      </c>
      <c r="C513" s="74">
        <f>B513/B512-1</f>
        <v/>
      </c>
      <c r="D513" s="74">
        <f>(Table1345[[#This Row],[Index]]-B501)/B501</f>
        <v/>
      </c>
    </row>
    <row r="514">
      <c r="A514" s="19" t="n">
        <v>41730</v>
      </c>
      <c r="B514" s="61">
        <f>VLOOKUP(Table1345[[#This Row],[Date]],database!A:I,9,)</f>
        <v/>
      </c>
      <c r="C514" s="74">
        <f>B514/B513-1</f>
        <v/>
      </c>
      <c r="D514" s="74">
        <f>(Table1345[[#This Row],[Index]]-B502)/B502</f>
        <v/>
      </c>
    </row>
    <row r="515">
      <c r="A515" s="19" t="n">
        <v>41760</v>
      </c>
      <c r="B515" s="61">
        <f>VLOOKUP(Table1345[[#This Row],[Date]],database!A:I,9,)</f>
        <v/>
      </c>
      <c r="C515" s="74">
        <f>B515/B514-1</f>
        <v/>
      </c>
      <c r="D515" s="74">
        <f>(Table1345[[#This Row],[Index]]-B503)/B503</f>
        <v/>
      </c>
    </row>
    <row r="516">
      <c r="A516" s="19" t="n">
        <v>41791</v>
      </c>
      <c r="B516" s="61">
        <f>VLOOKUP(Table1345[[#This Row],[Date]],database!A:I,9,)</f>
        <v/>
      </c>
      <c r="C516" s="74">
        <f>B516/B515-1</f>
        <v/>
      </c>
      <c r="D516" s="74">
        <f>(Table1345[[#This Row],[Index]]-B504)/B504</f>
        <v/>
      </c>
    </row>
    <row r="517">
      <c r="A517" s="19" t="n">
        <v>41821</v>
      </c>
      <c r="B517" s="61">
        <f>VLOOKUP(Table1345[[#This Row],[Date]],database!A:I,9,)</f>
        <v/>
      </c>
      <c r="C517" s="74">
        <f>B517/B516-1</f>
        <v/>
      </c>
      <c r="D517" s="74">
        <f>(Table1345[[#This Row],[Index]]-B505)/B505</f>
        <v/>
      </c>
    </row>
    <row r="518">
      <c r="A518" s="19" t="n">
        <v>41852</v>
      </c>
      <c r="B518" s="61">
        <f>VLOOKUP(Table1345[[#This Row],[Date]],database!A:I,9,)</f>
        <v/>
      </c>
      <c r="C518" s="74">
        <f>B518/B517-1</f>
        <v/>
      </c>
      <c r="D518" s="74">
        <f>(Table1345[[#This Row],[Index]]-B506)/B506</f>
        <v/>
      </c>
    </row>
    <row r="519">
      <c r="A519" s="19" t="n">
        <v>41883</v>
      </c>
      <c r="B519" s="61">
        <f>VLOOKUP(Table1345[[#This Row],[Date]],database!A:I,9,)</f>
        <v/>
      </c>
      <c r="C519" s="74">
        <f>B519/B518-1</f>
        <v/>
      </c>
      <c r="D519" s="74">
        <f>(Table1345[[#This Row],[Index]]-B507)/B507</f>
        <v/>
      </c>
    </row>
    <row r="520">
      <c r="A520" s="19" t="n">
        <v>41913</v>
      </c>
      <c r="B520" s="61">
        <f>VLOOKUP(Table1345[[#This Row],[Date]],database!A:I,9,)</f>
        <v/>
      </c>
      <c r="C520" s="74">
        <f>B520/B519-1</f>
        <v/>
      </c>
      <c r="D520" s="74">
        <f>(Table1345[[#This Row],[Index]]-B508)/B508</f>
        <v/>
      </c>
    </row>
    <row r="521">
      <c r="A521" s="19" t="n">
        <v>41944</v>
      </c>
      <c r="B521" s="61">
        <f>VLOOKUP(Table1345[[#This Row],[Date]],database!A:I,9,)</f>
        <v/>
      </c>
      <c r="C521" s="75">
        <f>B521/B520-1</f>
        <v/>
      </c>
      <c r="D521" s="74">
        <f>(Table1345[[#This Row],[Index]]-B509)/B509</f>
        <v/>
      </c>
    </row>
    <row r="522">
      <c r="A522" s="19" t="n">
        <v>41974</v>
      </c>
      <c r="B522" s="61">
        <f>VLOOKUP(Table1345[[#This Row],[Date]],database!A:I,9,)</f>
        <v/>
      </c>
      <c r="C522" s="74">
        <f>B522/B521-1</f>
        <v/>
      </c>
      <c r="D522" s="74">
        <f>(Table1345[[#This Row],[Index]]-B510)/B510</f>
        <v/>
      </c>
    </row>
    <row r="523">
      <c r="A523" s="19" t="n">
        <v>42005</v>
      </c>
      <c r="B523" s="61">
        <f>VLOOKUP(Table1345[[#This Row],[Date]],database!A:I,9,)</f>
        <v/>
      </c>
      <c r="C523" s="75">
        <f>B523/B522-1</f>
        <v/>
      </c>
      <c r="D523" s="74">
        <f>(Table1345[[#This Row],[Index]]-B511)/B511</f>
        <v/>
      </c>
    </row>
    <row r="524">
      <c r="A524" s="19" t="n">
        <v>42036</v>
      </c>
      <c r="B524" s="61">
        <f>VLOOKUP(Table1345[[#This Row],[Date]],database!A:I,9,)</f>
        <v/>
      </c>
      <c r="C524" s="74">
        <f>B524/B523-1</f>
        <v/>
      </c>
      <c r="D524" s="74">
        <f>(Table1345[[#This Row],[Index]]-B512)/B512</f>
        <v/>
      </c>
    </row>
    <row r="525">
      <c r="A525" s="19" t="n">
        <v>42064</v>
      </c>
      <c r="B525" s="61">
        <f>VLOOKUP(Table1345[[#This Row],[Date]],database!A:I,9,)</f>
        <v/>
      </c>
      <c r="C525" s="75">
        <f>B525/B524-1</f>
        <v/>
      </c>
      <c r="D525" s="74">
        <f>(Table1345[[#This Row],[Index]]-B513)/B513</f>
        <v/>
      </c>
    </row>
    <row r="526">
      <c r="A526" s="19" t="n">
        <v>42095</v>
      </c>
      <c r="B526" s="61">
        <f>VLOOKUP(Table1345[[#This Row],[Date]],database!A:I,9,)</f>
        <v/>
      </c>
      <c r="C526" s="74">
        <f>B526/B525-1</f>
        <v/>
      </c>
      <c r="D526" s="74">
        <f>(Table1345[[#This Row],[Index]]-B514)/B514</f>
        <v/>
      </c>
    </row>
    <row r="527">
      <c r="A527" s="19" t="n">
        <v>42125</v>
      </c>
      <c r="B527" s="61">
        <f>VLOOKUP(Table1345[[#This Row],[Date]],database!A:I,9,)</f>
        <v/>
      </c>
      <c r="C527" s="74">
        <f>B527/B526-1</f>
        <v/>
      </c>
      <c r="D527" s="74">
        <f>(Table1345[[#This Row],[Index]]-B515)/B515</f>
        <v/>
      </c>
    </row>
    <row r="528">
      <c r="A528" s="19" t="n">
        <v>42156</v>
      </c>
      <c r="B528" s="61">
        <f>VLOOKUP(Table1345[[#This Row],[Date]],database!A:I,9,)</f>
        <v/>
      </c>
      <c r="C528" s="74">
        <f>B528/B527-1</f>
        <v/>
      </c>
      <c r="D528" s="74">
        <f>(Table1345[[#This Row],[Index]]-B516)/B516</f>
        <v/>
      </c>
    </row>
    <row r="529">
      <c r="A529" s="19" t="n">
        <v>42186</v>
      </c>
      <c r="B529" s="61">
        <f>VLOOKUP(Table1345[[#This Row],[Date]],database!A:I,9,)</f>
        <v/>
      </c>
      <c r="C529" s="74">
        <f>B529/B528-1</f>
        <v/>
      </c>
      <c r="D529" s="74">
        <f>(Table1345[[#This Row],[Index]]-B517)/B517</f>
        <v/>
      </c>
    </row>
    <row r="530">
      <c r="A530" s="19" t="n">
        <v>42217</v>
      </c>
      <c r="B530" s="61">
        <f>VLOOKUP(Table1345[[#This Row],[Date]],database!A:I,9,)</f>
        <v/>
      </c>
      <c r="C530" s="74">
        <f>B530/B529-1</f>
        <v/>
      </c>
      <c r="D530" s="74">
        <f>(Table1345[[#This Row],[Index]]-B518)/B518</f>
        <v/>
      </c>
    </row>
    <row r="531">
      <c r="A531" s="19" t="n">
        <v>42248</v>
      </c>
      <c r="B531" s="61">
        <f>VLOOKUP(Table1345[[#This Row],[Date]],database!A:I,9,)</f>
        <v/>
      </c>
      <c r="C531" s="74">
        <f>B531/B530-1</f>
        <v/>
      </c>
      <c r="D531" s="74">
        <f>(Table1345[[#This Row],[Index]]-B519)/B519</f>
        <v/>
      </c>
    </row>
    <row r="532">
      <c r="A532" s="19" t="n">
        <v>42278</v>
      </c>
      <c r="B532" s="61">
        <f>VLOOKUP(Table1345[[#This Row],[Date]],database!A:I,9,)</f>
        <v/>
      </c>
      <c r="C532" s="74">
        <f>B532/B531-1</f>
        <v/>
      </c>
      <c r="D532" s="74">
        <f>(Table1345[[#This Row],[Index]]-B520)/B520</f>
        <v/>
      </c>
    </row>
    <row r="533">
      <c r="A533" s="19" t="n">
        <v>42309</v>
      </c>
      <c r="B533" s="61">
        <f>VLOOKUP(Table1345[[#This Row],[Date]],database!A:I,9,)</f>
        <v/>
      </c>
      <c r="C533" s="74">
        <f>B533/B532-1</f>
        <v/>
      </c>
      <c r="D533" s="74">
        <f>(Table1345[[#This Row],[Index]]-B521)/B521</f>
        <v/>
      </c>
    </row>
    <row r="534">
      <c r="A534" s="19" t="n">
        <v>42339</v>
      </c>
      <c r="B534" s="61">
        <f>VLOOKUP(Table1345[[#This Row],[Date]],database!A:I,9,)</f>
        <v/>
      </c>
      <c r="C534" s="74">
        <f>B534/B533-1</f>
        <v/>
      </c>
      <c r="D534" s="74">
        <f>(Table1345[[#This Row],[Index]]-B522)/B522</f>
        <v/>
      </c>
    </row>
    <row r="535">
      <c r="A535" s="19" t="n">
        <v>42370</v>
      </c>
      <c r="B535" s="61">
        <f>VLOOKUP(Table1345[[#This Row],[Date]],database!A:I,9,)</f>
        <v/>
      </c>
      <c r="C535" s="74">
        <f>B535/B534-1</f>
        <v/>
      </c>
      <c r="D535" s="74">
        <f>(Table1345[[#This Row],[Index]]-B523)/B523</f>
        <v/>
      </c>
    </row>
    <row r="536">
      <c r="A536" s="19" t="n">
        <v>42401</v>
      </c>
      <c r="B536" s="61">
        <f>VLOOKUP(Table1345[[#This Row],[Date]],database!A:I,9,)</f>
        <v/>
      </c>
      <c r="C536" s="74">
        <f>B536/B535-1</f>
        <v/>
      </c>
      <c r="D536" s="74">
        <f>(Table1345[[#This Row],[Index]]-B524)/B524</f>
        <v/>
      </c>
    </row>
    <row r="537">
      <c r="A537" s="19" t="n">
        <v>42430</v>
      </c>
      <c r="B537" s="61">
        <f>VLOOKUP(Table1345[[#This Row],[Date]],database!A:I,9,)</f>
        <v/>
      </c>
      <c r="C537" s="74">
        <f>B537/B536-1</f>
        <v/>
      </c>
      <c r="D537" s="74">
        <f>(Table1345[[#This Row],[Index]]-B525)/B525</f>
        <v/>
      </c>
    </row>
    <row r="538">
      <c r="A538" s="19" t="n">
        <v>42461</v>
      </c>
      <c r="B538" s="61">
        <f>VLOOKUP(Table1345[[#This Row],[Date]],database!A:I,9,)</f>
        <v/>
      </c>
      <c r="C538" s="74">
        <f>B538/B537-1</f>
        <v/>
      </c>
      <c r="D538" s="74">
        <f>(Table1345[[#This Row],[Index]]-B526)/B526</f>
        <v/>
      </c>
    </row>
    <row r="539">
      <c r="A539" s="19" t="n">
        <v>42491</v>
      </c>
      <c r="B539" s="61">
        <f>VLOOKUP(Table1345[[#This Row],[Date]],database!A:I,9,)</f>
        <v/>
      </c>
      <c r="C539" s="74">
        <f>B539/B538-1</f>
        <v/>
      </c>
      <c r="D539" s="74">
        <f>(Table1345[[#This Row],[Index]]-B527)/B527</f>
        <v/>
      </c>
    </row>
    <row r="540">
      <c r="A540" s="19" t="n">
        <v>42522</v>
      </c>
      <c r="B540" s="61">
        <f>VLOOKUP(Table1345[[#This Row],[Date]],database!A:I,9,)</f>
        <v/>
      </c>
      <c r="C540" s="74">
        <f>B540/B539-1</f>
        <v/>
      </c>
      <c r="D540" s="74">
        <f>(Table1345[[#This Row],[Index]]-B528)/B528</f>
        <v/>
      </c>
    </row>
    <row r="541">
      <c r="A541" s="19" t="n">
        <v>42552</v>
      </c>
      <c r="B541" s="61">
        <f>VLOOKUP(Table1345[[#This Row],[Date]],database!A:I,9,)</f>
        <v/>
      </c>
      <c r="C541" s="74">
        <f>B541/B540-1</f>
        <v/>
      </c>
      <c r="D541" s="74">
        <f>(Table1345[[#This Row],[Index]]-B529)/B529</f>
        <v/>
      </c>
    </row>
    <row r="542">
      <c r="A542" s="19" t="n">
        <v>42583</v>
      </c>
      <c r="B542" s="61">
        <f>VLOOKUP(Table1345[[#This Row],[Date]],database!A:I,9,)</f>
        <v/>
      </c>
      <c r="C542" s="74">
        <f>B542/B541-1</f>
        <v/>
      </c>
      <c r="D542" s="74">
        <f>(Table1345[[#This Row],[Index]]-B530)/B530</f>
        <v/>
      </c>
    </row>
    <row r="543">
      <c r="A543" s="19" t="n">
        <v>42614</v>
      </c>
      <c r="B543" s="61">
        <f>VLOOKUP(Table1345[[#This Row],[Date]],database!A:I,9,)</f>
        <v/>
      </c>
      <c r="C543" s="74">
        <f>B543/B542-1</f>
        <v/>
      </c>
      <c r="D543" s="74">
        <f>(Table1345[[#This Row],[Index]]-B531)/B531</f>
        <v/>
      </c>
    </row>
    <row r="544">
      <c r="A544" s="19" t="n">
        <v>42644</v>
      </c>
      <c r="B544" s="61">
        <f>VLOOKUP(Table1345[[#This Row],[Date]],database!A:I,9,)</f>
        <v/>
      </c>
      <c r="C544" s="74">
        <f>B544/B543-1</f>
        <v/>
      </c>
      <c r="D544" s="74">
        <f>(Table1345[[#This Row],[Index]]-B532)/B532</f>
        <v/>
      </c>
    </row>
    <row r="545">
      <c r="A545" s="19" t="n">
        <v>42675</v>
      </c>
      <c r="B545" s="61">
        <f>VLOOKUP(Table1345[[#This Row],[Date]],database!A:I,9,)</f>
        <v/>
      </c>
      <c r="C545" s="74">
        <f>B545/B544-1</f>
        <v/>
      </c>
      <c r="D545" s="74">
        <f>(Table1345[[#This Row],[Index]]-B533)/B533</f>
        <v/>
      </c>
    </row>
    <row r="546">
      <c r="A546" s="19" t="n">
        <v>42705</v>
      </c>
      <c r="B546" s="61">
        <f>VLOOKUP(Table1345[[#This Row],[Date]],database!A:I,9,)</f>
        <v/>
      </c>
      <c r="C546" s="74">
        <f>B546/B545-1</f>
        <v/>
      </c>
      <c r="D546" s="74">
        <f>(Table1345[[#This Row],[Index]]-B534)/B534</f>
        <v/>
      </c>
    </row>
    <row r="547">
      <c r="A547" s="19" t="n">
        <v>42736</v>
      </c>
      <c r="B547" s="61">
        <f>VLOOKUP(Table1345[[#This Row],[Date]],database!A:I,9,)</f>
        <v/>
      </c>
      <c r="C547" s="74">
        <f>B547/B546-1</f>
        <v/>
      </c>
      <c r="D547" s="74">
        <f>(Table1345[[#This Row],[Index]]-B535)/B535</f>
        <v/>
      </c>
    </row>
    <row r="548">
      <c r="A548" s="19" t="n">
        <v>42767</v>
      </c>
      <c r="B548" s="61">
        <f>VLOOKUP(Table1345[[#This Row],[Date]],database!A:I,9,)</f>
        <v/>
      </c>
      <c r="C548" s="74">
        <f>B548/B547-1</f>
        <v/>
      </c>
      <c r="D548" s="74">
        <f>(Table1345[[#This Row],[Index]]-B536)/B536</f>
        <v/>
      </c>
    </row>
    <row r="549">
      <c r="A549" s="19" t="n">
        <v>42795</v>
      </c>
      <c r="B549" s="61">
        <f>VLOOKUP(Table1345[[#This Row],[Date]],database!A:I,9,)</f>
        <v/>
      </c>
      <c r="C549" s="74">
        <f>B549/B548-1</f>
        <v/>
      </c>
      <c r="D549" s="74">
        <f>(Table1345[[#This Row],[Index]]-B537)/B537</f>
        <v/>
      </c>
    </row>
    <row r="550">
      <c r="A550" s="19" t="n">
        <v>42826</v>
      </c>
      <c r="B550" s="61">
        <f>VLOOKUP(Table1345[[#This Row],[Date]],database!A:I,9,)</f>
        <v/>
      </c>
      <c r="C550" s="74">
        <f>B550/B549-1</f>
        <v/>
      </c>
      <c r="D550" s="74">
        <f>(Table1345[[#This Row],[Index]]-B538)/B538</f>
        <v/>
      </c>
    </row>
    <row r="551">
      <c r="A551" s="19" t="n">
        <v>42856</v>
      </c>
      <c r="B551" s="61">
        <f>VLOOKUP(Table1345[[#This Row],[Date]],database!A:I,9,)</f>
        <v/>
      </c>
      <c r="C551" s="74">
        <f>B551/B550-1</f>
        <v/>
      </c>
      <c r="D551" s="74">
        <f>(Table1345[[#This Row],[Index]]-B539)/B539</f>
        <v/>
      </c>
    </row>
    <row r="552">
      <c r="A552" s="19" t="n">
        <v>42887</v>
      </c>
      <c r="B552" s="61">
        <f>VLOOKUP(Table1345[[#This Row],[Date]],database!A:I,9,)</f>
        <v/>
      </c>
      <c r="C552" s="74">
        <f>B552/B551-1</f>
        <v/>
      </c>
      <c r="D552" s="74">
        <f>(Table1345[[#This Row],[Index]]-B540)/B540</f>
        <v/>
      </c>
    </row>
    <row r="553">
      <c r="A553" s="19" t="n">
        <v>42917</v>
      </c>
      <c r="B553" s="61">
        <f>VLOOKUP(Table1345[[#This Row],[Date]],database!A:I,9,)</f>
        <v/>
      </c>
      <c r="C553" s="74">
        <f>B553/B552-1</f>
        <v/>
      </c>
      <c r="D553" s="74">
        <f>(Table1345[[#This Row],[Index]]-B541)/B541</f>
        <v/>
      </c>
    </row>
    <row r="554">
      <c r="A554" s="19" t="n">
        <v>42948</v>
      </c>
      <c r="B554" s="61">
        <f>VLOOKUP(Table1345[[#This Row],[Date]],database!A:I,9,)</f>
        <v/>
      </c>
      <c r="C554" s="74">
        <f>B554/B553-1</f>
        <v/>
      </c>
      <c r="D554" s="74">
        <f>(Table1345[[#This Row],[Index]]-B542)/B542</f>
        <v/>
      </c>
    </row>
    <row r="555">
      <c r="A555" s="19" t="n">
        <v>42979</v>
      </c>
      <c r="B555" s="61">
        <f>VLOOKUP(Table1345[[#This Row],[Date]],database!A:I,9,)</f>
        <v/>
      </c>
      <c r="C555" s="74">
        <f>B555/B554-1</f>
        <v/>
      </c>
      <c r="D555" s="74">
        <f>(Table1345[[#This Row],[Index]]-B543)/B543</f>
        <v/>
      </c>
    </row>
    <row r="556">
      <c r="A556" s="19" t="n">
        <v>43009</v>
      </c>
      <c r="B556" s="61">
        <f>VLOOKUP(Table1345[[#This Row],[Date]],database!A:I,9,)</f>
        <v/>
      </c>
      <c r="C556" s="74">
        <f>B556/B555-1</f>
        <v/>
      </c>
      <c r="D556" s="74">
        <f>(Table1345[[#This Row],[Index]]-B544)/B544</f>
        <v/>
      </c>
    </row>
    <row r="557">
      <c r="A557" s="19" t="n">
        <v>43040</v>
      </c>
      <c r="B557" s="61">
        <f>VLOOKUP(Table1345[[#This Row],[Date]],database!A:I,9,)</f>
        <v/>
      </c>
      <c r="C557" s="74">
        <f>B557/B556-1</f>
        <v/>
      </c>
      <c r="D557" s="74">
        <f>(Table1345[[#This Row],[Index]]-B545)/B545</f>
        <v/>
      </c>
    </row>
    <row r="558">
      <c r="A558" s="19" t="n">
        <v>43070</v>
      </c>
      <c r="B558" s="61">
        <f>VLOOKUP(Table1345[[#This Row],[Date]],database!A:I,9,)</f>
        <v/>
      </c>
      <c r="C558" s="74">
        <f>B558/B557-1</f>
        <v/>
      </c>
      <c r="D558" s="74">
        <f>(Table1345[[#This Row],[Index]]-B546)/B546</f>
        <v/>
      </c>
    </row>
    <row r="559">
      <c r="A559" s="19" t="n">
        <v>43101</v>
      </c>
      <c r="B559" s="61">
        <f>VLOOKUP(Table1345[[#This Row],[Date]],database!A:I,9,)</f>
        <v/>
      </c>
      <c r="C559" s="74">
        <f>B559/B558-1</f>
        <v/>
      </c>
      <c r="D559" s="74">
        <f>(Table1345[[#This Row],[Index]]-B547)/B547</f>
        <v/>
      </c>
    </row>
    <row r="560">
      <c r="A560" s="19" t="n">
        <v>43132</v>
      </c>
      <c r="B560" s="61">
        <f>VLOOKUP(Table1345[[#This Row],[Date]],database!A:I,9,)</f>
        <v/>
      </c>
      <c r="C560" s="74">
        <f>B560/B559-1</f>
        <v/>
      </c>
      <c r="D560" s="74">
        <f>(Table1345[[#This Row],[Index]]-B548)/B548</f>
        <v/>
      </c>
    </row>
    <row r="561">
      <c r="A561" s="19" t="n">
        <v>43160</v>
      </c>
      <c r="B561" s="61">
        <f>VLOOKUP(Table1345[[#This Row],[Date]],database!A:I,9,)</f>
        <v/>
      </c>
      <c r="C561" s="74">
        <f>B561/B560-1</f>
        <v/>
      </c>
      <c r="D561" s="74">
        <f>(Table1345[[#This Row],[Index]]-B549)/B549</f>
        <v/>
      </c>
    </row>
    <row r="562">
      <c r="A562" s="19" t="n">
        <v>43191</v>
      </c>
      <c r="B562" s="61">
        <f>VLOOKUP(Table1345[[#This Row],[Date]],database!A:I,9,)</f>
        <v/>
      </c>
      <c r="C562" s="74">
        <f>B562/B561-1</f>
        <v/>
      </c>
      <c r="D562" s="74">
        <f>(Table1345[[#This Row],[Index]]-B550)/B550</f>
        <v/>
      </c>
    </row>
    <row r="563">
      <c r="A563" s="19" t="n">
        <v>43221</v>
      </c>
      <c r="B563" s="61">
        <f>VLOOKUP(Table1345[[#This Row],[Date]],database!A:I,9,)</f>
        <v/>
      </c>
      <c r="C563" s="74">
        <f>B563/B562-1</f>
        <v/>
      </c>
      <c r="D563" s="74">
        <f>(Table1345[[#This Row],[Index]]-B551)/B551</f>
        <v/>
      </c>
    </row>
    <row r="564">
      <c r="A564" s="19" t="n">
        <v>43252</v>
      </c>
      <c r="B564" s="61">
        <f>VLOOKUP(Table1345[[#This Row],[Date]],database!A:I,9,)</f>
        <v/>
      </c>
      <c r="C564" s="74">
        <f>B564/B563-1</f>
        <v/>
      </c>
      <c r="D564" s="74">
        <f>(Table1345[[#This Row],[Index]]-B552)/B552</f>
        <v/>
      </c>
    </row>
    <row r="565">
      <c r="A565" s="19" t="n">
        <v>43282</v>
      </c>
      <c r="B565" s="61">
        <f>VLOOKUP(Table1345[[#This Row],[Date]],database!A:I,9,)</f>
        <v/>
      </c>
      <c r="C565" s="74">
        <f>B565/B564-1</f>
        <v/>
      </c>
      <c r="D565" s="74">
        <f>(Table1345[[#This Row],[Index]]-B553)/B553</f>
        <v/>
      </c>
    </row>
    <row r="566">
      <c r="A566" s="19" t="n">
        <v>43313</v>
      </c>
      <c r="B566" s="61">
        <f>VLOOKUP(Table1345[[#This Row],[Date]],database!A:I,9,)</f>
        <v/>
      </c>
      <c r="C566" s="74">
        <f>B566/B565-1</f>
        <v/>
      </c>
      <c r="D566" s="74">
        <f>(Table1345[[#This Row],[Index]]-B554)/B554</f>
        <v/>
      </c>
    </row>
    <row r="567">
      <c r="A567" s="19" t="n">
        <v>43344</v>
      </c>
      <c r="B567" s="61">
        <f>VLOOKUP(Table1345[[#This Row],[Date]],database!A:I,9,)</f>
        <v/>
      </c>
      <c r="C567" s="74">
        <f>B567/B566-1</f>
        <v/>
      </c>
      <c r="D567" s="74">
        <f>(Table1345[[#This Row],[Index]]-B555)/B555</f>
        <v/>
      </c>
    </row>
    <row r="568">
      <c r="A568" s="19" t="n">
        <v>43374</v>
      </c>
      <c r="B568" s="61">
        <f>VLOOKUP(Table1345[[#This Row],[Date]],database!A:I,9,)</f>
        <v/>
      </c>
      <c r="C568" s="74">
        <f>B568/B567-1</f>
        <v/>
      </c>
      <c r="D568" s="74">
        <f>(Table1345[[#This Row],[Index]]-B556)/B556</f>
        <v/>
      </c>
    </row>
    <row r="569">
      <c r="A569" s="19" t="n">
        <v>43405</v>
      </c>
      <c r="B569" s="61">
        <f>VLOOKUP(Table1345[[#This Row],[Date]],database!A:I,9,)</f>
        <v/>
      </c>
      <c r="C569" s="74">
        <f>B569/B568-1</f>
        <v/>
      </c>
      <c r="D569" s="74">
        <f>(Table1345[[#This Row],[Index]]-B557)/B557</f>
        <v/>
      </c>
    </row>
    <row r="570">
      <c r="A570" s="19" t="n">
        <v>43435</v>
      </c>
      <c r="B570" s="61">
        <f>VLOOKUP(Table1345[[#This Row],[Date]],database!A:I,9,)</f>
        <v/>
      </c>
      <c r="C570" s="74">
        <f>B570/B569-1</f>
        <v/>
      </c>
      <c r="D570" s="74">
        <f>(Table1345[[#This Row],[Index]]-B558)/B558</f>
        <v/>
      </c>
    </row>
    <row r="571">
      <c r="A571" s="19" t="n">
        <v>43466</v>
      </c>
      <c r="B571" s="61">
        <f>VLOOKUP(Table1345[[#This Row],[Date]],database!A:I,9,)</f>
        <v/>
      </c>
      <c r="C571" s="74">
        <f>B571/B570-1</f>
        <v/>
      </c>
      <c r="D571" s="74">
        <f>(Table1345[[#This Row],[Index]]-B559)/B559</f>
        <v/>
      </c>
    </row>
    <row r="572">
      <c r="A572" s="19" t="n">
        <v>43497</v>
      </c>
      <c r="B572" s="61">
        <f>VLOOKUP(Table1345[[#This Row],[Date]],database!A:I,9,)</f>
        <v/>
      </c>
      <c r="C572" s="74">
        <f>B572/B571-1</f>
        <v/>
      </c>
      <c r="D572" s="74">
        <f>(Table1345[[#This Row],[Index]]-B560)/B560</f>
        <v/>
      </c>
    </row>
    <row r="573">
      <c r="A573" s="19" t="n">
        <v>43525</v>
      </c>
      <c r="B573" s="61">
        <f>VLOOKUP(Table1345[[#This Row],[Date]],database!A:I,9,)</f>
        <v/>
      </c>
      <c r="C573" s="74">
        <f>B573/B572-1</f>
        <v/>
      </c>
      <c r="D573" s="74">
        <f>(Table1345[[#This Row],[Index]]-B561)/B561</f>
        <v/>
      </c>
    </row>
    <row r="574">
      <c r="A574" s="19" t="n">
        <v>43556</v>
      </c>
      <c r="B574" s="61">
        <f>VLOOKUP(Table1345[[#This Row],[Date]],database!A:I,9,)</f>
        <v/>
      </c>
      <c r="C574" s="74">
        <f>B574/B573-1</f>
        <v/>
      </c>
      <c r="D574" s="74">
        <f>(Table1345[[#This Row],[Index]]-B562)/B562</f>
        <v/>
      </c>
    </row>
    <row r="575">
      <c r="A575" s="19" t="n">
        <v>43586</v>
      </c>
      <c r="B575" s="61">
        <f>VLOOKUP(Table1345[[#This Row],[Date]],database!A:I,9,)</f>
        <v/>
      </c>
      <c r="C575" s="74">
        <f>B575/B574-1</f>
        <v/>
      </c>
      <c r="D575" s="74">
        <f>(Table1345[[#This Row],[Index]]-B563)/B563</f>
        <v/>
      </c>
    </row>
    <row r="576">
      <c r="A576" s="19" t="n">
        <v>43617</v>
      </c>
      <c r="B576" s="61">
        <f>VLOOKUP(Table1345[[#This Row],[Date]],database!A:I,9,)</f>
        <v/>
      </c>
      <c r="C576" s="74">
        <f>B576/B575-1</f>
        <v/>
      </c>
      <c r="D576" s="74">
        <f>(Table1345[[#This Row],[Index]]-B564)/B564</f>
        <v/>
      </c>
    </row>
    <row r="577">
      <c r="A577" s="19" t="n">
        <v>43647</v>
      </c>
      <c r="B577" s="61">
        <f>VLOOKUP(Table1345[[#This Row],[Date]],database!A:I,9,)</f>
        <v/>
      </c>
      <c r="C577" s="74">
        <f>B577/B576-1</f>
        <v/>
      </c>
      <c r="D577" s="74">
        <f>(Table1345[[#This Row],[Index]]-B565)/B565</f>
        <v/>
      </c>
    </row>
    <row r="578">
      <c r="A578" s="19" t="n">
        <v>43678</v>
      </c>
      <c r="B578" s="61">
        <f>VLOOKUP(Table1345[[#This Row],[Date]],database!A:I,9,)</f>
        <v/>
      </c>
      <c r="C578" s="74">
        <f>B578/B577-1</f>
        <v/>
      </c>
      <c r="D578" s="74">
        <f>(Table1345[[#This Row],[Index]]-B566)/B566</f>
        <v/>
      </c>
    </row>
    <row r="579">
      <c r="A579" s="19" t="n">
        <v>43709</v>
      </c>
      <c r="B579" s="61">
        <f>VLOOKUP(Table1345[[#This Row],[Date]],database!A:I,9,)</f>
        <v/>
      </c>
      <c r="C579" s="74">
        <f>B579/B578-1</f>
        <v/>
      </c>
      <c r="D579" s="74">
        <f>(Table1345[[#This Row],[Index]]-B567)/B567</f>
        <v/>
      </c>
    </row>
    <row r="580">
      <c r="A580" s="19" t="n">
        <v>43739</v>
      </c>
      <c r="B580" s="61">
        <f>VLOOKUP(Table1345[[#This Row],[Date]],database!A:I,9,)</f>
        <v/>
      </c>
      <c r="C580" s="74">
        <f>B580/B579-1</f>
        <v/>
      </c>
      <c r="D580" s="74">
        <f>(Table1345[[#This Row],[Index]]-B568)/B568</f>
        <v/>
      </c>
    </row>
    <row r="581">
      <c r="A581" s="19" t="n">
        <v>43770</v>
      </c>
      <c r="B581" s="61">
        <f>VLOOKUP(Table1345[[#This Row],[Date]],database!A:I,9,)</f>
        <v/>
      </c>
      <c r="C581" s="74">
        <f>B581/B580-1</f>
        <v/>
      </c>
      <c r="D581" s="74">
        <f>(Table1345[[#This Row],[Index]]-B569)/B569</f>
        <v/>
      </c>
    </row>
    <row r="582">
      <c r="A582" s="19" t="n">
        <v>43800</v>
      </c>
      <c r="B582" s="61">
        <f>VLOOKUP(Table1345[[#This Row],[Date]],database!A:I,9,)</f>
        <v/>
      </c>
      <c r="C582" s="74">
        <f>B582/B581-1</f>
        <v/>
      </c>
      <c r="D582" s="74">
        <f>(Table1345[[#This Row],[Index]]-B570)/B570</f>
        <v/>
      </c>
    </row>
    <row r="583">
      <c r="A583" s="19" t="n">
        <v>43831</v>
      </c>
      <c r="B583" s="61">
        <f>VLOOKUP(Table1345[[#This Row],[Date]],database!A:I,9,)</f>
        <v/>
      </c>
      <c r="C583" s="74">
        <f>B583/B582-1</f>
        <v/>
      </c>
      <c r="D583" s="74">
        <f>(Table1345[[#This Row],[Index]]-B571)/B571</f>
        <v/>
      </c>
    </row>
    <row r="584">
      <c r="A584" s="19" t="n">
        <v>43862</v>
      </c>
      <c r="B584" s="61">
        <f>VLOOKUP(Table1345[[#This Row],[Date]],database!A:I,9,)</f>
        <v/>
      </c>
      <c r="C584" s="74">
        <f>B584/B583-1</f>
        <v/>
      </c>
      <c r="D584" s="74">
        <f>(Table1345[[#This Row],[Index]]-B572)/B572</f>
        <v/>
      </c>
    </row>
    <row r="585">
      <c r="A585" s="19" t="n">
        <v>43891</v>
      </c>
      <c r="B585" s="61">
        <f>VLOOKUP(Table1345[[#This Row],[Date]],database!A:I,9,)</f>
        <v/>
      </c>
      <c r="C585" s="74">
        <f>B585/B584-1</f>
        <v/>
      </c>
      <c r="D585" s="74">
        <f>(Table1345[[#This Row],[Index]]-B573)/B573</f>
        <v/>
      </c>
    </row>
    <row r="586">
      <c r="A586" s="19" t="n">
        <v>43922</v>
      </c>
      <c r="B586" s="61">
        <f>VLOOKUP(Table1345[[#This Row],[Date]],database!A:I,9,)</f>
        <v/>
      </c>
      <c r="C586" s="74">
        <f>B586/B585-1</f>
        <v/>
      </c>
      <c r="D586" s="74">
        <f>(Table1345[[#This Row],[Index]]-B574)/B574</f>
        <v/>
      </c>
    </row>
    <row r="587">
      <c r="A587" s="19" t="n">
        <v>43952</v>
      </c>
      <c r="B587" s="61">
        <f>VLOOKUP(Table1345[[#This Row],[Date]],database!A:I,9,)</f>
        <v/>
      </c>
      <c r="C587" s="74">
        <f>B587/B586-1</f>
        <v/>
      </c>
      <c r="D587" s="74">
        <f>(Table1345[[#This Row],[Index]]-B575)/B575</f>
        <v/>
      </c>
    </row>
    <row r="588">
      <c r="A588" s="19" t="n">
        <v>43983</v>
      </c>
      <c r="B588" s="61">
        <f>VLOOKUP(Table1345[[#This Row],[Date]],database!A:I,9,)</f>
        <v/>
      </c>
      <c r="C588" s="74">
        <f>B588/B587-1</f>
        <v/>
      </c>
      <c r="D588" s="74">
        <f>(Table1345[[#This Row],[Index]]-B576)/B576</f>
        <v/>
      </c>
    </row>
    <row r="589">
      <c r="A589" s="19" t="n">
        <v>44013</v>
      </c>
      <c r="B589" s="61">
        <f>VLOOKUP(Table1345[[#This Row],[Date]],database!A:I,9,)</f>
        <v/>
      </c>
      <c r="C589" s="74">
        <f>B589/B588-1</f>
        <v/>
      </c>
      <c r="D589" s="74">
        <f>(Table1345[[#This Row],[Index]]-B577)/B577</f>
        <v/>
      </c>
    </row>
    <row r="590">
      <c r="A590" s="19" t="n">
        <v>44044</v>
      </c>
      <c r="B590" s="61">
        <f>VLOOKUP(Table1345[[#This Row],[Date]],database!A:I,9,)</f>
        <v/>
      </c>
      <c r="C590" s="74">
        <f>B590/B589-1</f>
        <v/>
      </c>
      <c r="D590" s="74">
        <f>(Table1345[[#This Row],[Index]]-B578)/B578</f>
        <v/>
      </c>
    </row>
    <row r="591">
      <c r="A591" s="19" t="n">
        <v>44075</v>
      </c>
      <c r="B591" s="61">
        <f>VLOOKUP(Table1345[[#This Row],[Date]],database!A:I,9,)</f>
        <v/>
      </c>
      <c r="C591" s="74">
        <f>B591/B590-1</f>
        <v/>
      </c>
      <c r="D591" s="74">
        <f>(Table1345[[#This Row],[Index]]-B579)/B579</f>
        <v/>
      </c>
    </row>
    <row r="592">
      <c r="A592" s="19" t="n">
        <v>44105</v>
      </c>
      <c r="B592" s="61">
        <f>VLOOKUP(Table1345[[#This Row],[Date]],database!A:I,9,)</f>
        <v/>
      </c>
      <c r="C592" s="74">
        <f>B592/B591-1</f>
        <v/>
      </c>
      <c r="D592" s="74">
        <f>(Table1345[[#This Row],[Index]]-B580)/B580</f>
        <v/>
      </c>
    </row>
    <row r="593">
      <c r="A593" s="19" t="n">
        <v>44136</v>
      </c>
      <c r="B593" s="61">
        <f>VLOOKUP(Table1345[[#This Row],[Date]],database!A:I,9,)</f>
        <v/>
      </c>
      <c r="C593" s="74">
        <f>B593/B592-1</f>
        <v/>
      </c>
      <c r="D593" s="74">
        <f>(Table1345[[#This Row],[Index]]-B581)/B581</f>
        <v/>
      </c>
    </row>
    <row r="594">
      <c r="A594" s="19" t="n">
        <v>44166</v>
      </c>
      <c r="B594" s="61">
        <f>VLOOKUP(Table1345[[#This Row],[Date]],database!A:I,9,)</f>
        <v/>
      </c>
      <c r="C594" s="74">
        <f>B594/B593-1</f>
        <v/>
      </c>
      <c r="D594" s="74">
        <f>(Table1345[[#This Row],[Index]]-B582)/B582</f>
        <v/>
      </c>
    </row>
    <row r="595">
      <c r="A595" s="19" t="n">
        <v>44197</v>
      </c>
      <c r="B595" s="61">
        <f>VLOOKUP(Table1345[[#This Row],[Date]],database!A:I,9,)</f>
        <v/>
      </c>
      <c r="C595" s="74">
        <f>B595/B594-1</f>
        <v/>
      </c>
      <c r="D595" s="74">
        <f>(Table1345[[#This Row],[Index]]-B583)/B583</f>
        <v/>
      </c>
    </row>
    <row r="596">
      <c r="A596" s="19" t="n">
        <v>44228</v>
      </c>
      <c r="B596" s="61">
        <f>VLOOKUP(Table1345[[#This Row],[Date]],database!A:I,9,)</f>
        <v/>
      </c>
      <c r="C596" s="74">
        <f>B596/B595-1</f>
        <v/>
      </c>
      <c r="D596" s="74">
        <f>(Table1345[[#This Row],[Index]]-B584)/B584</f>
        <v/>
      </c>
    </row>
    <row r="597">
      <c r="A597" s="19" t="n">
        <v>44256</v>
      </c>
      <c r="B597" s="61">
        <f>VLOOKUP(Table1345[[#This Row],[Date]],database!A:I,9,)</f>
        <v/>
      </c>
      <c r="C597" s="74">
        <f>B597/B596-1</f>
        <v/>
      </c>
      <c r="D597" s="74">
        <f>(Table1345[[#This Row],[Index]]-B585)/B585</f>
        <v/>
      </c>
    </row>
    <row r="598">
      <c r="A598" s="19" t="n">
        <v>44287</v>
      </c>
      <c r="B598" s="61">
        <f>VLOOKUP(Table1345[[#This Row],[Date]],database!A:I,9,)</f>
        <v/>
      </c>
      <c r="C598" s="74">
        <f>B598/B597-1</f>
        <v/>
      </c>
      <c r="D598" s="74">
        <f>(Table1345[[#This Row],[Index]]-B586)/B586</f>
        <v/>
      </c>
    </row>
    <row r="599">
      <c r="A599" s="19" t="n">
        <v>44317</v>
      </c>
      <c r="B599" s="61">
        <f>VLOOKUP(Table1345[[#This Row],[Date]],database!A:I,9,)</f>
        <v/>
      </c>
      <c r="C599" s="74">
        <f>B599/B598-1</f>
        <v/>
      </c>
      <c r="D599" s="74">
        <f>(Table1345[[#This Row],[Index]]-B587)/B587</f>
        <v/>
      </c>
    </row>
    <row r="600">
      <c r="A600" s="19" t="n">
        <v>44348</v>
      </c>
      <c r="B600" s="61">
        <f>VLOOKUP(Table1345[[#This Row],[Date]],database!A:I,9,)</f>
        <v/>
      </c>
      <c r="C600" s="74">
        <f>B600/B599-1</f>
        <v/>
      </c>
      <c r="D600" s="74">
        <f>(Table1345[[#This Row],[Index]]-B588)/B588</f>
        <v/>
      </c>
    </row>
    <row r="601">
      <c r="A601" s="19" t="n">
        <v>44378</v>
      </c>
      <c r="B601" s="61">
        <f>VLOOKUP(Table1345[[#This Row],[Date]],database!A:I,9,)</f>
        <v/>
      </c>
      <c r="C601" s="74">
        <f>B601/B600-1</f>
        <v/>
      </c>
      <c r="D601" s="74">
        <f>(Table1345[[#This Row],[Index]]-B589)/B589</f>
        <v/>
      </c>
    </row>
    <row r="602">
      <c r="A602" s="19" t="n">
        <v>44409</v>
      </c>
      <c r="B602" s="61">
        <f>VLOOKUP(Table1345[[#This Row],[Date]],database!A:I,9,)</f>
        <v/>
      </c>
      <c r="C602" s="74">
        <f>B602/B601-1</f>
        <v/>
      </c>
      <c r="D602" s="74">
        <f>(Table1345[[#This Row],[Index]]-B590)/B590</f>
        <v/>
      </c>
    </row>
    <row r="603">
      <c r="A603" s="19" t="n">
        <v>44440</v>
      </c>
      <c r="B603" s="61">
        <f>VLOOKUP(Table1345[[#This Row],[Date]],database!A:I,9,)</f>
        <v/>
      </c>
      <c r="C603" s="74">
        <f>B603/B602-1</f>
        <v/>
      </c>
      <c r="D603" s="74">
        <f>(Table1345[[#This Row],[Index]]-B591)/B591</f>
        <v/>
      </c>
    </row>
    <row r="604">
      <c r="A604" s="19" t="n">
        <v>44470</v>
      </c>
      <c r="B604" s="61">
        <f>VLOOKUP(Table1345[[#This Row],[Date]],database!A:I,9,)</f>
        <v/>
      </c>
      <c r="C604" s="74">
        <f>B604/B603-1</f>
        <v/>
      </c>
      <c r="D604" s="74">
        <f>(Table1345[[#This Row],[Index]]-B592)/B592</f>
        <v/>
      </c>
    </row>
    <row r="605">
      <c r="A605" s="19" t="n">
        <v>44501</v>
      </c>
      <c r="B605" s="61">
        <f>VLOOKUP(Table1345[[#This Row],[Date]],database!A:I,9,)</f>
        <v/>
      </c>
      <c r="C605" s="74">
        <f>B605/B604-1</f>
        <v/>
      </c>
      <c r="D605" s="74">
        <f>(Table1345[[#This Row],[Index]]-B593)/B593</f>
        <v/>
      </c>
    </row>
    <row r="606">
      <c r="A606" s="19" t="n">
        <v>44531</v>
      </c>
      <c r="B606" s="61">
        <f>VLOOKUP(Table1345[[#This Row],[Date]],database!A:I,9,)</f>
        <v/>
      </c>
      <c r="C606" s="74">
        <f>B606/B605-1</f>
        <v/>
      </c>
      <c r="D606" s="74">
        <f>(Table1345[[#This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2022-02-14T05:53:32Z</dcterms:modified>
  <cp:lastModifiedBy>Mark Mukherjee</cp:lastModifiedBy>
</cp:coreProperties>
</file>