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start'!$A$1099:$A$1255</f>
              <numCache>
                <formatCode>m/d/yy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start'!$B$1099:$B$1255</f>
              <numCache>
                <formatCode>General</formatCode>
                <ptCount val="157"/>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104.0772</v>
                </pt>
                <pt idx="150">
                  <v>104.7577</v>
                </pt>
                <pt idx="151">
                  <v>104.6544</v>
                </pt>
                <pt idx="152">
                  <v>104.805</v>
                </pt>
                <pt idx="153">
                  <v>104.6894</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'IP from start'!$C$1099:$C$1257</f>
              <numCache>
                <formatCode>0.00%</formatCode>
                <ptCount val="159"/>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0.03877443675811416</v>
                </pt>
                <pt idx="150">
                  <v>0.03851697788493186</v>
                </pt>
                <pt idx="151">
                  <v>0.0378571357735751</v>
                </pt>
                <pt idx="152">
                  <v>0.04962653906167068</v>
                </pt>
                <pt idx="153">
                  <v>0.03284523905832861</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104.0772</v>
                </pt>
                <pt idx="605">
                  <v>104.7577</v>
                </pt>
                <pt idx="606">
                  <v>104.6544</v>
                </pt>
                <pt idx="607">
                  <v>104.805</v>
                </pt>
                <pt idx="608">
                  <v>104.6894</v>
                </pt>
              </numCache>
            </numRef>
          </val>
          <smooth val="0"/>
        </ser>
        <dLbls>
          <showLegendKey val="0"/>
          <showVal val="0"/>
          <showCatName val="0"/>
          <showSerName val="0"/>
          <showPercent val="0"/>
          <showBubbleSize val="0"/>
        </dLbls>
        <smooth val="0"/>
        <axId val="489545072"/>
        <axId val="489545464"/>
      </lineChart>
      <dateAx>
        <axId val="489545072"/>
        <scaling>
          <orientation val="minMax"/>
          <max val="4483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104.0772</v>
                </pt>
                <pt idx="270">
                  <v>104.7577</v>
                </pt>
                <pt idx="271">
                  <v>104.6544</v>
                </pt>
                <pt idx="272">
                  <v>104.805</v>
                </pt>
                <pt idx="273">
                  <v>104.6894</v>
                </pt>
              </numCache>
            </numRef>
          </val>
          <smooth val="0"/>
        </ser>
        <dLbls>
          <showLegendKey val="0"/>
          <showVal val="0"/>
          <showCatName val="0"/>
          <showSerName val="0"/>
          <showPercent val="0"/>
          <showBubbleSize val="0"/>
        </dLbls>
        <smooth val="0"/>
        <axId val="489546248"/>
        <axId val="489546640"/>
      </lineChart>
      <dateAx>
        <axId val="489546248"/>
        <scaling>
          <orientation val="minMax"/>
          <max val="4483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0.03877443675811416</v>
                </pt>
                <pt idx="593">
                  <v>0.03851697788493186</v>
                </pt>
                <pt idx="594">
                  <v>0.0378571357735751</v>
                </pt>
                <pt idx="595">
                  <v>0.04962653906167068</v>
                </pt>
                <pt idx="596">
                  <v>0.03284523905832861</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0.03877443675811416</v>
                </pt>
                <pt idx="270">
                  <v>0.03851697788493186</v>
                </pt>
                <pt idx="271">
                  <v>0.0378571357735751</v>
                </pt>
                <pt idx="272">
                  <v>0.04962653906167068</v>
                </pt>
                <pt idx="273">
                  <v>0.03284523905832861</v>
                </pt>
              </numCache>
            </numRef>
          </val>
        </ser>
        <dLbls>
          <showLegendKey val="0"/>
          <showVal val="0"/>
          <showCatName val="0"/>
          <showSerName val="0"/>
          <showPercent val="0"/>
          <showBubbleSize val="0"/>
        </dLbls>
        <gapWidth val="219"/>
        <axId val="489550168"/>
        <axId val="489550560"/>
      </barChart>
      <dateAx>
        <axId val="489550168"/>
        <scaling>
          <orientation val="minMax"/>
          <max val="44835"/>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104.0772</v>
                </pt>
              </numCache>
            </numRef>
          </val>
          <smooth val="0"/>
        </ser>
        <dLbls>
          <showLegendKey val="0"/>
          <showVal val="0"/>
          <showCatName val="0"/>
          <showSerName val="0"/>
          <showPercent val="0"/>
          <showBubbleSize val="0"/>
        </dLbls>
        <smooth val="0"/>
        <axId val="699395760"/>
        <axId val="699395432"/>
      </lineChart>
      <dateAx>
        <axId val="699395760"/>
        <scaling>
          <orientation val="minMax"/>
          <max val="44835"/>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Utilization'!$B$6:$B$675</f>
              <numCache>
                <formatCode>0.00</formatCode>
                <ptCount val="670"/>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79.8284</v>
                </pt>
                <pt idx="666">
                  <v>80.2321</v>
                </pt>
                <pt idx="667">
                  <v>80.04300000000001</v>
                </pt>
                <pt idx="668">
                  <v>80.05719999999999</v>
                </pt>
                <pt idx="669">
                  <v>79.8758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Utilization'!$A$6:$A$675</f>
              <numCache>
                <formatCode>mmm\-yy</formatCode>
                <ptCount val="670"/>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numCache>
            </numRef>
          </cat>
          <val>
            <numRef>
              <f>'Capacity Utilization'!$C$6:$C$675</f>
              <numCache>
                <formatCode>General</formatCode>
                <ptCount val="670"/>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0.08776300839162755</v>
                </pt>
                <pt idx="667">
                  <formatCode>0.0%</formatCode>
                  <v>0.08810984888057156</v>
                </pt>
                <pt idx="668">
                  <formatCode>0.0%</formatCode>
                  <v>0.08403744425788513</v>
                </pt>
                <pt idx="669">
                  <formatCode>0.0%</formatCode>
                  <v>0.08073870573870569</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0.08776300839162755</v>
                </pt>
                <pt idx="571">
                  <v>0.08810984888057156</v>
                </pt>
                <pt idx="572">
                  <v>0.08403744425788513</v>
                </pt>
                <pt idx="573">
                  <v>0.08073870573870569</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79.8284</v>
                </pt>
                <pt idx="570">
                  <v>80.2321</v>
                </pt>
                <pt idx="571">
                  <v>80.04300000000001</v>
                </pt>
                <pt idx="572">
                  <v>80.05719999999999</v>
                </pt>
                <pt idx="573">
                  <v>79.8758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104.5115</v>
                </pt>
                <pt idx="605">
                  <v>105.335</v>
                </pt>
                <pt idx="606">
                  <v>104.9247</v>
                </pt>
                <pt idx="607">
                  <v>105.1267</v>
                </pt>
                <pt idx="608">
                  <v>104.6614</v>
                </pt>
              </numCache>
            </numRef>
          </val>
          <smooth val="0"/>
        </ser>
        <dLbls>
          <showLegendKey val="0"/>
          <showVal val="0"/>
          <showCatName val="0"/>
          <showSerName val="0"/>
          <showPercent val="0"/>
          <showBubbleSize val="0"/>
        </dLbls>
        <smooth val="0"/>
        <axId val="494113096"/>
        <axId val="494113488"/>
      </lineChart>
      <dateAx>
        <axId val="494113096"/>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0.03608962329150767</v>
                </pt>
                <pt idx="593">
                  <v>0.04229232076896198</v>
                </pt>
                <pt idx="594">
                  <v>0.03959333627931031</v>
                </pt>
                <pt idx="595">
                  <v>0.05759139655137722</v>
                </pt>
                <pt idx="596">
                  <v>0.0299990847636771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0.03608962329150767</v>
                </pt>
                <pt idx="150">
                  <v>0.04229232076896198</v>
                </pt>
                <pt idx="151">
                  <v>0.03959333627931031</v>
                </pt>
                <pt idx="152">
                  <v>0.05759139655137722</v>
                </pt>
                <pt idx="153">
                  <v>0.0299990847636771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104.5115</v>
                </pt>
                <pt idx="150">
                  <v>105.335</v>
                </pt>
                <pt idx="151">
                  <v>104.9247</v>
                </pt>
                <pt idx="152">
                  <v>105.1267</v>
                </pt>
                <pt idx="153">
                  <v>104.6614</v>
                </pt>
              </numCache>
            </numRef>
          </val>
          <smooth val="0"/>
        </ser>
        <dLbls>
          <showLegendKey val="0"/>
          <showVal val="0"/>
          <showCatName val="0"/>
          <showSerName val="0"/>
          <showPercent val="0"/>
          <showBubbleSize val="0"/>
        </dLbls>
        <smooth val="0"/>
        <axId val="538322847"/>
        <axId val="538324495"/>
      </lineChart>
      <dateAx>
        <axId val="5383228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104.4278</v>
                </pt>
                <pt idx="593">
                  <v>104.8702</v>
                </pt>
                <pt idx="594">
                  <v>104.9043</v>
                </pt>
                <pt idx="595">
                  <v>104.841</v>
                </pt>
                <pt idx="596">
                  <v>104.9898</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104.4278</v>
                </pt>
                <pt idx="150">
                  <v>104.8702</v>
                </pt>
                <pt idx="151">
                  <v>104.9043</v>
                </pt>
                <pt idx="152">
                  <v>104.841</v>
                </pt>
                <pt idx="153">
                  <v>104.9898</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0.02247675072112426</v>
                </pt>
                <pt idx="593">
                  <v>0.02131045363354819</v>
                </pt>
                <pt idx="594">
                  <v>0.02321899890562008</v>
                </pt>
                <pt idx="595">
                  <v>0.03181429881781418</v>
                </pt>
                <pt idx="596">
                  <v>0.0256345631398017</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0.02247675072112426</v>
                </pt>
                <pt idx="150">
                  <v>0.02131045363354819</v>
                </pt>
                <pt idx="151">
                  <v>0.02321899890562008</v>
                </pt>
                <pt idx="152">
                  <v>0.03181429881781418</v>
                </pt>
                <pt idx="153">
                  <v>0.0256345631398017</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96.819</v>
                </pt>
                <pt idx="593">
                  <v>97.41719999999999</v>
                </pt>
                <pt idx="594">
                  <v>98.43859999999999</v>
                </pt>
                <pt idx="595">
                  <v>99.20999999999999</v>
                </pt>
                <pt idx="596">
                  <v>100.0155</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96.819</v>
                </pt>
                <pt idx="150">
                  <v>97.41719999999999</v>
                </pt>
                <pt idx="151">
                  <v>98.43859999999999</v>
                </pt>
                <pt idx="152">
                  <v>99.20999999999999</v>
                </pt>
                <pt idx="153">
                  <v>100.0155</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0.07388974603276713</v>
                </pt>
                <pt idx="593">
                  <v>0.05129273225258515</v>
                </pt>
                <pt idx="594">
                  <v>0.0619440195217515</v>
                </pt>
                <pt idx="595">
                  <v>0.0756395452845223</v>
                </pt>
                <pt idx="596">
                  <v>0.07652358297634164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0.07388974603276713</v>
                </pt>
                <pt idx="150">
                  <v>0.05129273225258515</v>
                </pt>
                <pt idx="151">
                  <v>0.0619440195217515</v>
                </pt>
                <pt idx="152">
                  <v>0.0756395452845223</v>
                </pt>
                <pt idx="153">
                  <v>0.07652358297634164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103.9509</v>
                </pt>
                <pt idx="593">
                  <v>104.5471</v>
                </pt>
                <pt idx="594">
                  <v>104.1892</v>
                </pt>
                <pt idx="595">
                  <v>104.7642</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103.9509</v>
                </pt>
                <pt idx="150">
                  <v>104.5471</v>
                </pt>
                <pt idx="151">
                  <v>104.1892</v>
                </pt>
                <pt idx="152">
                  <v>104.7642</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0.04926188926067809</v>
                </pt>
                <pt idx="593">
                  <v>0.04301157869743148</v>
                </pt>
                <pt idx="594">
                  <v>0.03551941352914172</v>
                </pt>
                <pt idx="595">
                  <v>0.02777510717824449</v>
                </pt>
                <pt idx="596">
                  <v>0.007501195660382098</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0.04926188926067809</v>
                </pt>
                <pt idx="150">
                  <v>0.04301157869743148</v>
                </pt>
                <pt idx="151">
                  <v>0.03551941352914172</v>
                </pt>
                <pt idx="152">
                  <v>0.02777510717824449</v>
                </pt>
                <pt idx="153">
                  <v>0.007501195660382098</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101.8695</v>
                </pt>
                <pt idx="593">
                  <v>102.4057</v>
                </pt>
                <pt idx="594">
                  <v>102.5104</v>
                </pt>
                <pt idx="595">
                  <v>102.76</v>
                </pt>
                <pt idx="596">
                  <v>102.9171</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0.03339609281640624</v>
                </pt>
                <pt idx="593">
                  <v>0.02736923842468115</v>
                </pt>
                <pt idx="594">
                  <v>0.03178272960875754</v>
                </pt>
                <pt idx="595">
                  <v>0.04241902891505647</v>
                </pt>
                <pt idx="596">
                  <v>0.02659322441349782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101.8695</v>
                </pt>
                <pt idx="150">
                  <v>102.4057</v>
                </pt>
                <pt idx="151">
                  <v>102.5104</v>
                </pt>
                <pt idx="152">
                  <v>102.76</v>
                </pt>
                <pt idx="153">
                  <v>102.9171</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0.03339609281640624</v>
                </pt>
                <pt idx="150">
                  <v>0.02736923842468115</v>
                </pt>
                <pt idx="151">
                  <v>0.03178272960875754</v>
                </pt>
                <pt idx="152">
                  <v>0.04241902891505647</v>
                </pt>
                <pt idx="153">
                  <v>0.02659322441349782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115.5741</v>
                </pt>
                <pt idx="593">
                  <v>117.234</v>
                </pt>
                <pt idx="594">
                  <v>116.9992</v>
                </pt>
                <pt idx="595">
                  <v>117.8671</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0.08126660036655299</v>
                </pt>
                <pt idx="593">
                  <v>0.08945836539426573</v>
                </pt>
                <pt idx="594">
                  <v>0.08780304122057921</v>
                </pt>
                <pt idx="595">
                  <v>0.1131856290026604</v>
                </pt>
                <pt idx="596">
                  <v>0.06920298303009992</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0.08126660036655299</v>
                </pt>
                <pt idx="150">
                  <v>0.08945836539426573</v>
                </pt>
                <pt idx="151">
                  <v>0.08780304122057921</v>
                </pt>
                <pt idx="152">
                  <v>0.1131856290026604</v>
                </pt>
                <pt idx="153">
                  <v>0.06920298303009992</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115.5741</v>
                </pt>
                <pt idx="150">
                  <v>117.234</v>
                </pt>
                <pt idx="151">
                  <v>116.9992</v>
                </pt>
                <pt idx="152">
                  <v>117.8671</v>
                </pt>
                <pt idx="153">
                  <v>117.3925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107.34</v>
                </pt>
                <pt idx="593">
                  <v>107.7737</v>
                </pt>
                <pt idx="594">
                  <v>106.3429</v>
                </pt>
                <pt idx="595">
                  <v>104.5529</v>
                </pt>
                <pt idx="596">
                  <v>102.9815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0.01400850769575211</v>
                </pt>
                <pt idx="593">
                  <v>0.04045138419595381</v>
                </pt>
                <pt idx="594">
                  <v>0.01037232829649451</v>
                </pt>
                <pt idx="595">
                  <v>0.01187602709100721</v>
                </pt>
                <pt idx="596">
                  <v>0.02540881830773168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107.34</v>
                </pt>
                <pt idx="150">
                  <v>107.7737</v>
                </pt>
                <pt idx="151">
                  <v>106.3429</v>
                </pt>
                <pt idx="152">
                  <v>104.5529</v>
                </pt>
                <pt idx="153">
                  <v>102.9815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0.01400850769575211</v>
                </pt>
                <pt idx="150">
                  <v>0.04045138419595381</v>
                </pt>
                <pt idx="151">
                  <v>0.01037232829649451</v>
                </pt>
                <pt idx="152">
                  <v>0.01187602709100721</v>
                </pt>
                <pt idx="153">
                  <v>0.02540881830773168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23</col>
      <colOff>55562</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2" headerRowCount="1" totalsRowShown="0" headerRowDxfId="70" dataDxfId="68" headerRowBorderDxfId="69">
  <autoFilter ref="A6:D1252"/>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6" headerRowCount="1" totalsRowShown="0" headerRowDxfId="63" dataDxfId="61" headerRowBorderDxfId="62" tableBorderDxfId="60">
  <autoFilter ref="A6:D616"/>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5" headerRowCount="1" totalsRowShown="0" headerRowDxfId="55" dataDxfId="53" headerRowBorderDxfId="54">
  <autoFilter ref="A5:C675"/>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6" headerRowCount="1" totalsRowShown="0" headerRowDxfId="49" dataDxfId="47" headerRowBorderDxfId="48" tableBorderDxfId="46">
  <autoFilter ref="A6:D616"/>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6" headerRowCount="1" totalsRowShown="0" headerRowBorderDxfId="41" tableBorderDxfId="40">
  <autoFilter ref="A6:D616"/>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6" headerRowCount="1" totalsRowShown="0" headerRowBorderDxfId="35" tableBorderDxfId="34">
  <autoFilter ref="A6:D616"/>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6" headerRowCount="1" totalsRowShown="0" headerRowBorderDxfId="29" tableBorderDxfId="28">
  <autoFilter ref="A6:D616"/>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6" headerRowCount="1" totalsRowShown="0" headerRowBorderDxfId="23" tableBorderDxfId="22">
  <autoFilter ref="A6:D616"/>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6" headerRowCount="1" totalsRowShown="0" headerRowDxfId="17" dataDxfId="15" headerRowBorderDxfId="16" tableBorderDxfId="14">
  <autoFilter ref="A6:D616"/>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6" headerRowCount="1" totalsRowShown="0" headerRowDxfId="9" dataDxfId="7" headerRowBorderDxfId="8" tableBorderDxfId="6">
  <autoFilter ref="A6:D616"/>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D7" zoomScale="150" zoomScaleNormal="150" workbookViewId="0">
      <selection activeCell="P15" sqref="P15"/>
    </sheetView>
  </sheetViews>
  <sheetFormatPr baseColWidth="10" defaultColWidth="9.1640625" defaultRowHeight="15"/>
  <cols>
    <col width="9.1640625" customWidth="1" style="89" min="1" max="1"/>
    <col width="12.83203125" customWidth="1" style="89" min="2" max="10"/>
    <col width="3" customWidth="1" style="89" min="11" max="13"/>
    <col width="19" customWidth="1" style="89" min="14" max="14"/>
    <col width="9.1640625" customWidth="1" style="89" min="15" max="15"/>
    <col width="12.33203125" customWidth="1" style="89" min="16" max="19"/>
    <col width="9.1640625" customWidth="1" style="89" min="20" max="35"/>
    <col width="9.1640625" customWidth="1" style="89" min="36" max="16384"/>
  </cols>
  <sheetData>
    <row r="1">
      <c r="B1" s="88" t="n"/>
    </row>
    <row r="2" ht="16" customHeight="1" s="52" thickBot="1">
      <c r="B2" s="90" t="n"/>
      <c r="C2" s="90" t="n"/>
      <c r="D2" s="90" t="n"/>
      <c r="E2" s="90" t="n"/>
      <c r="F2" s="90" t="n"/>
      <c r="G2" s="90" t="n"/>
      <c r="H2" s="90" t="n"/>
      <c r="I2" s="90" t="n"/>
      <c r="J2" s="90" t="n"/>
    </row>
    <row r="3" ht="16" customHeight="1" s="52" thickBot="1">
      <c r="B3" s="91" t="inlineStr">
        <is>
          <t>Industrial Production and Capacity Utilization</t>
        </is>
      </c>
      <c r="C3" s="92" t="n"/>
      <c r="D3" s="92" t="n"/>
      <c r="E3" s="92" t="n"/>
      <c r="F3" s="92" t="n"/>
      <c r="G3" s="92" t="n"/>
      <c r="H3" s="92" t="n"/>
      <c r="I3" s="92" t="n"/>
      <c r="J3" s="93" t="n"/>
    </row>
    <row r="5">
      <c r="B5" s="83" t="inlineStr">
        <is>
          <t>Definition</t>
        </is>
      </c>
      <c r="C5" s="84" t="n"/>
      <c r="D5" s="84" t="n"/>
      <c r="E5" s="84" t="n"/>
      <c r="F5" s="84" t="n"/>
      <c r="G5" s="84" t="n"/>
      <c r="H5" s="84" t="n"/>
      <c r="I5" s="84" t="n"/>
      <c r="J5" s="85" t="n"/>
    </row>
    <row r="7" ht="245.25" customHeight="1" s="52">
      <c r="B7" s="94"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5"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44835</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9" t="inlineStr">
        <is>
          <t>INDPRO</t>
        </is>
      </c>
    </row>
    <row r="17">
      <c r="B17" s="89" t="inlineStr">
        <is>
          <t>Manufacturing</t>
        </is>
      </c>
      <c r="D17" s="89" t="inlineStr">
        <is>
          <t>https://fred.stlouisfed.org/series/IPMAN</t>
        </is>
      </c>
      <c r="I17" s="11" t="n">
        <v>2447752</v>
      </c>
      <c r="J17" s="25" t="n">
        <v>0.725968397007331</v>
      </c>
      <c r="N17" s="79" t="inlineStr">
        <is>
          <t>Manufacturing</t>
        </is>
      </c>
      <c r="O17" s="80"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9" t="inlineStr">
        <is>
          <t>Mining</t>
        </is>
      </c>
      <c r="D18" s="89" t="inlineStr">
        <is>
          <t>https://fred.stlouisfed.org/series/IPMINE</t>
        </is>
      </c>
      <c r="G18" s="97" t="n"/>
      <c r="H18" s="97" t="n"/>
      <c r="I18" s="23" t="n">
        <v>608173</v>
      </c>
      <c r="J18" s="26" t="n">
        <v>0.1803754538503654</v>
      </c>
      <c r="N18" s="79" t="inlineStr">
        <is>
          <t>Mining</t>
        </is>
      </c>
      <c r="O18" s="80"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9" t="inlineStr">
        <is>
          <t>Utilities</t>
        </is>
      </c>
      <c r="D19" s="89" t="inlineStr">
        <is>
          <t>https://fred.stlouisfed.org/series/IPUTIL</t>
        </is>
      </c>
      <c r="G19" s="97" t="n"/>
      <c r="H19" s="97" t="n"/>
      <c r="I19" s="23" t="n">
        <v>315781</v>
      </c>
      <c r="J19" s="26" t="n">
        <v>0.09365614914230364</v>
      </c>
      <c r="N19" s="79" t="inlineStr">
        <is>
          <t>Utilities</t>
        </is>
      </c>
      <c r="O19" s="80"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9" t="inlineStr">
        <is>
          <t>Industrial Production Index</t>
        </is>
      </c>
      <c r="D20" s="89" t="inlineStr">
        <is>
          <t>https://fred.stlouisfed.org/series/INDPRO</t>
        </is>
      </c>
      <c r="G20" s="53" t="n"/>
      <c r="H20" s="53" t="n"/>
      <c r="I20" s="24" t="n">
        <v>3371706</v>
      </c>
      <c r="J20" s="27" t="n">
        <v>1</v>
      </c>
      <c r="N20" s="79" t="inlineStr">
        <is>
          <t>Materials</t>
        </is>
      </c>
      <c r="O20" s="80"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9" t="inlineStr">
        <is>
          <t>IPMAT</t>
        </is>
      </c>
    </row>
    <row r="21" ht="15.75" customHeight="1" s="52">
      <c r="G21" s="97" t="n"/>
      <c r="N21" s="79" t="inlineStr">
        <is>
          <t>Consumer Goods</t>
        </is>
      </c>
      <c r="O21" s="80"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9" t="inlineStr">
        <is>
          <t>IPCONGD</t>
        </is>
      </c>
    </row>
    <row r="22" ht="15.75" customHeight="1" s="52">
      <c r="B22" s="1" t="inlineStr">
        <is>
          <t>Major Market Groups</t>
        </is>
      </c>
      <c r="I22" s="11" t="n"/>
      <c r="J22" s="12" t="inlineStr">
        <is>
          <t>Weight</t>
        </is>
      </c>
      <c r="N22" s="79" t="inlineStr">
        <is>
          <t>Business Equipment</t>
        </is>
      </c>
      <c r="O22" s="80"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9" t="inlineStr">
        <is>
          <t>IPBUSEQ</t>
        </is>
      </c>
    </row>
    <row r="23" ht="17.25" customHeight="1" s="52" thickBot="1">
      <c r="B23" s="89" t="inlineStr">
        <is>
          <t>Industrial Production Index</t>
        </is>
      </c>
      <c r="D23" s="89" t="inlineStr">
        <is>
          <t>https://fred.stlouisfed.org/series/INDPRO</t>
        </is>
      </c>
      <c r="I23" s="11" t="n">
        <v>3371706</v>
      </c>
      <c r="J23" s="25" t="n">
        <v>1</v>
      </c>
      <c r="N23" s="81" t="inlineStr">
        <is>
          <t>Construction supplies</t>
        </is>
      </c>
      <c r="O23" s="82"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9" t="inlineStr">
        <is>
          <t>IPB54100S</t>
        </is>
      </c>
    </row>
    <row r="24" ht="15.75" customHeight="1" s="52">
      <c r="B24" s="89" t="inlineStr">
        <is>
          <t>Materials</t>
        </is>
      </c>
      <c r="D24" s="89" t="inlineStr">
        <is>
          <t>https://fred.stlouisfed.org/series/IPMAT</t>
        </is>
      </c>
      <c r="G24" s="97" t="n"/>
      <c r="H24" s="97" t="n"/>
      <c r="I24" s="23" t="n">
        <v>1624304</v>
      </c>
      <c r="J24" s="26" t="n">
        <v>0.4817</v>
      </c>
    </row>
    <row r="25" ht="15.75" customHeight="1" s="52">
      <c r="B25" s="89" t="inlineStr">
        <is>
          <t>Consumer Goods</t>
        </is>
      </c>
      <c r="D25" s="89" t="inlineStr">
        <is>
          <t>https://fred.stlouisfed.org/series/IPCONGD</t>
        </is>
      </c>
      <c r="G25" s="97" t="n"/>
      <c r="H25" s="97" t="n"/>
      <c r="I25" s="23" t="n">
        <v>850761</v>
      </c>
      <c r="J25" s="26" t="n">
        <v>0.2523</v>
      </c>
    </row>
    <row r="26" ht="15.75" customHeight="1" s="52">
      <c r="B26" s="89" t="inlineStr">
        <is>
          <t>Others</t>
        </is>
      </c>
      <c r="G26" s="53" t="n"/>
      <c r="H26" s="53" t="n"/>
      <c r="I26" s="24" t="n">
        <v>423708</v>
      </c>
      <c r="J26" s="27" t="n">
        <v>0.1258</v>
      </c>
    </row>
    <row r="27" ht="15.75" customHeight="1" s="52" thickBot="1">
      <c r="B27" s="89" t="inlineStr">
        <is>
          <t>Business Equipment</t>
        </is>
      </c>
      <c r="D27" s="89" t="inlineStr">
        <is>
          <t>https://fred.stlouisfed.org/series/IPBUSEQ</t>
        </is>
      </c>
      <c r="G27" s="54" t="n"/>
      <c r="H27" s="54" t="n"/>
      <c r="I27" s="24" t="n">
        <v>333915</v>
      </c>
      <c r="J27" s="27" t="n">
        <v>0.099</v>
      </c>
    </row>
    <row r="28" ht="15.75" customHeight="1" s="52" thickBot="1">
      <c r="B28" s="89" t="inlineStr">
        <is>
          <t>Construction supplies</t>
        </is>
      </c>
      <c r="D28" s="89" t="inlineStr">
        <is>
          <t>https://fred.stlouisfed.org/series/IPB54100S</t>
        </is>
      </c>
      <c r="G28" s="54" t="n"/>
      <c r="H28" s="54" t="n"/>
      <c r="I28" s="24" t="n">
        <v>139018</v>
      </c>
      <c r="J28" s="27" t="n">
        <v>0.0412</v>
      </c>
      <c r="N28" s="42">
        <f>DATE(YEAR($P$14),MONTH($P$14)-1,DAY($P$14))</f>
        <v/>
      </c>
    </row>
    <row r="29" ht="15.75" customHeight="1" s="52" thickBot="1">
      <c r="B29" s="89" t="n"/>
      <c r="G29" s="97" t="inlineStr">
        <is>
          <t xml:space="preserve"> = Final Products + Materials</t>
        </is>
      </c>
      <c r="N29" s="50">
        <f>DATE(YEAR($P$14)-1,MONTH($P$14),DAY($P$14))</f>
        <v/>
      </c>
    </row>
    <row r="30">
      <c r="G30" s="97" t="inlineStr">
        <is>
          <t>Materials = Materials ex. Energy Materials + Energy Materials</t>
        </is>
      </c>
    </row>
    <row r="32">
      <c r="B32" s="1" t="inlineStr">
        <is>
          <t>Capacity Utilization</t>
        </is>
      </c>
      <c r="D32" s="95" t="inlineStr">
        <is>
          <t>https://fred.stlouisfed.org/series/TCU</t>
        </is>
      </c>
    </row>
    <row r="34">
      <c r="B34" s="1" t="n"/>
    </row>
    <row r="35" ht="33.75" customHeight="1" s="52">
      <c r="B35" s="96"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7"/>
  <sheetViews>
    <sheetView workbookViewId="0">
      <pane ySplit="1" topLeftCell="A1216" activePane="bottomLeft" state="frozen"/>
      <selection activeCell="E1215" sqref="E1215"/>
      <selection pane="bottomLeft" activeCell="N1259" sqref="N1259"/>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9" t="n">
        <v>44621</v>
      </c>
      <c r="B1240" t="n">
        <v>103.5717</v>
      </c>
      <c r="C1240" t="n">
        <v>105.2346</v>
      </c>
      <c r="D1240" t="n">
        <v>96.3921</v>
      </c>
      <c r="E1240" t="n">
        <v>104.6884</v>
      </c>
      <c r="F1240" t="n">
        <v>102.4339</v>
      </c>
      <c r="G1240" t="n">
        <v>103.3555</v>
      </c>
      <c r="H1240" t="n">
        <v>111.91</v>
      </c>
      <c r="I1240" t="n">
        <v>103.1042</v>
      </c>
      <c r="J1240" t="n">
        <v>79.8154</v>
      </c>
      <c r="K1240" t="n">
        <v>231.101</v>
      </c>
    </row>
    <row r="1241">
      <c r="A1241" s="99"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9" t="n">
        <v>44682</v>
      </c>
      <c r="B1242" t="n">
        <v>104.1646</v>
      </c>
      <c r="C1242" t="n">
        <v>105.1437</v>
      </c>
      <c r="D1242" t="n">
        <v>97.0181</v>
      </c>
      <c r="E1242" t="n">
        <v>105.2305</v>
      </c>
      <c r="F1242" t="n">
        <v>102.4763</v>
      </c>
      <c r="G1242" t="n">
        <v>104.0153</v>
      </c>
      <c r="H1242" t="n">
        <v>113.6204</v>
      </c>
      <c r="I1242" t="n">
        <v>107.0307</v>
      </c>
      <c r="J1242" t="n">
        <v>80.0198</v>
      </c>
      <c r="K1242" t="n">
        <v>235.448</v>
      </c>
    </row>
    <row r="1243">
      <c r="A1243" s="99" t="n">
        <v>44713</v>
      </c>
      <c r="B1243" t="n">
        <v>104.0772</v>
      </c>
      <c r="C1243" t="n">
        <v>103.9509</v>
      </c>
      <c r="D1243" t="n">
        <v>96.819</v>
      </c>
      <c r="E1243" t="n">
        <v>104.4278</v>
      </c>
      <c r="F1243" t="n">
        <v>101.8695</v>
      </c>
      <c r="G1243" t="n">
        <v>104.5115</v>
      </c>
      <c r="H1243" t="n">
        <v>115.5741</v>
      </c>
      <c r="I1243" t="n">
        <v>107.34</v>
      </c>
      <c r="J1243" t="n">
        <v>79.8284</v>
      </c>
      <c r="K1243" t="n">
        <v>237.1</v>
      </c>
    </row>
    <row r="1244">
      <c r="A1244" s="99" t="n">
        <v>44743</v>
      </c>
      <c r="B1244" t="n">
        <v>104.7577</v>
      </c>
      <c r="C1244" t="n">
        <v>104.5471</v>
      </c>
      <c r="D1244" t="n">
        <v>97.41719999999999</v>
      </c>
      <c r="E1244" t="n">
        <v>104.8702</v>
      </c>
      <c r="F1244" t="n">
        <v>102.4057</v>
      </c>
      <c r="G1244" t="n">
        <v>105.335</v>
      </c>
      <c r="H1244" t="n">
        <v>117.234</v>
      </c>
      <c r="I1244" t="n">
        <v>107.7737</v>
      </c>
      <c r="J1244" t="n">
        <v>80.2321</v>
      </c>
      <c r="K1244" t="n">
        <v>238.38</v>
      </c>
    </row>
    <row r="1245">
      <c r="A1245" s="99" t="n">
        <v>44774</v>
      </c>
      <c r="B1245" t="n">
        <v>104.6544</v>
      </c>
      <c r="C1245" t="n">
        <v>104.1892</v>
      </c>
      <c r="D1245" t="n">
        <v>98.43859999999999</v>
      </c>
      <c r="E1245" t="n">
        <v>104.9043</v>
      </c>
      <c r="F1245" t="n">
        <v>102.5104</v>
      </c>
      <c r="G1245" t="n">
        <v>104.9247</v>
      </c>
      <c r="H1245" t="n">
        <v>116.9992</v>
      </c>
      <c r="I1245" t="n">
        <v>106.3429</v>
      </c>
      <c r="J1245" t="n">
        <v>80.04300000000001</v>
      </c>
      <c r="K1245" t="n">
        <v>239.555</v>
      </c>
    </row>
    <row r="1246">
      <c r="A1246" s="99" t="n">
        <v>44805</v>
      </c>
      <c r="B1246" t="n">
        <v>104.805</v>
      </c>
      <c r="C1246" t="n">
        <v>104.7642</v>
      </c>
      <c r="D1246" t="n">
        <v>99.20999999999999</v>
      </c>
      <c r="E1246" t="n">
        <v>104.841</v>
      </c>
      <c r="F1246" t="n">
        <v>102.76</v>
      </c>
      <c r="G1246" t="n">
        <v>105.1267</v>
      </c>
      <c r="H1246" t="n">
        <v>117.8671</v>
      </c>
      <c r="I1246" t="n">
        <v>104.5529</v>
      </c>
      <c r="J1246" t="n">
        <v>80.05719999999999</v>
      </c>
      <c r="K1246" t="n">
        <v>240.175</v>
      </c>
    </row>
    <row r="1247">
      <c r="A1247" s="99" t="n">
        <v>44835</v>
      </c>
      <c r="B1247" t="n">
        <v>104.6894</v>
      </c>
      <c r="C1247" t="n">
        <v>104.065</v>
      </c>
      <c r="D1247" t="n">
        <v>100.0155</v>
      </c>
      <c r="E1247" t="n">
        <v>104.9898</v>
      </c>
      <c r="F1247" t="n">
        <v>102.9171</v>
      </c>
      <c r="G1247" t="n">
        <v>104.6614</v>
      </c>
      <c r="H1247" t="n">
        <v>117.3925</v>
      </c>
      <c r="I1247" t="n">
        <v>102.9815</v>
      </c>
      <c r="J1247" t="n">
        <v>79.8758</v>
      </c>
      <c r="K1247" t="n">
        <v>240.754</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2"/>
  <sheetViews>
    <sheetView zoomScale="130" zoomScaleNormal="130" workbookViewId="0">
      <pane ySplit="6" topLeftCell="A1231" activePane="bottomLeft" state="frozen"/>
      <selection pane="bottomLeft" activeCell="A1243" sqref="A1243:D1252"/>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9" min="5" max="6"/>
    <col width="10.6640625" bestFit="1" customWidth="1" style="89" min="7" max="7"/>
    <col width="10.6640625" customWidth="1" style="89" min="8" max="8"/>
    <col width="9.1640625" customWidth="1" style="89" min="9" max="15"/>
    <col width="25" customWidth="1" style="89" min="16" max="16"/>
    <col width="9.1640625" customWidth="1" style="89" min="17" max="26"/>
    <col width="18" bestFit="1" customWidth="1" style="89" min="27" max="27"/>
    <col width="9.1640625" customWidth="1" style="89" min="28" max="35"/>
    <col width="9.1640625" customWidth="1" style="89" min="36"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9">
        <f>YEAR(R1188)</f>
        <v/>
      </c>
      <c r="V1188" s="89">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9">
        <f>YEAR(R1189)</f>
        <v/>
      </c>
      <c r="U1189" s="89">
        <f>T1189-T1188</f>
        <v/>
      </c>
      <c r="V1189" s="89">
        <f>VLOOKUP(R1189,A:B,2,)</f>
        <v/>
      </c>
      <c r="W1189" s="89">
        <f>(V1189-V1188)/V1188</f>
        <v/>
      </c>
      <c r="X1189" s="89">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9">
        <f>YEAR(R1192)</f>
        <v/>
      </c>
      <c r="V1192" s="8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9">
        <f>YEAR(R1193)</f>
        <v/>
      </c>
      <c r="U1193" s="89">
        <f>T1193-T1192</f>
        <v/>
      </c>
      <c r="V1193" s="89">
        <f>VLOOKUP(R1193,A:B,2,)</f>
        <v/>
      </c>
      <c r="W1193" s="89">
        <f>(V1193-V1192)/V1192</f>
        <v/>
      </c>
      <c r="X1193" s="89">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9">
        <f>YEAR(R1196)</f>
        <v/>
      </c>
      <c r="V1196" s="8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9">
        <f>YEAR(R1197)</f>
        <v/>
      </c>
      <c r="U1197" s="89">
        <f>T1197-T1196</f>
        <v/>
      </c>
      <c r="V1197" s="89">
        <f>VLOOKUP(R1197,A:B,2,)</f>
        <v/>
      </c>
      <c r="W1197" s="89">
        <f>(V1197-V1196)/V1196</f>
        <v/>
      </c>
      <c r="X1197" s="89">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9">
        <f>YEAR(R1200)</f>
        <v/>
      </c>
      <c r="V1200" s="8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9">
        <f>YEAR(R1201)</f>
        <v/>
      </c>
      <c r="U1201" s="89">
        <f>T1201-T1200</f>
        <v/>
      </c>
      <c r="V1201" s="89">
        <f>VLOOKUP(R1201,A:B,2,)</f>
        <v/>
      </c>
      <c r="W1201" s="89">
        <f>(V1201-V1200)/V1200</f>
        <v/>
      </c>
      <c r="X1201" s="89">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9">
        <f>YEAR(R1204)</f>
        <v/>
      </c>
      <c r="V1204" s="8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9">
        <f>YEAR(R1205)</f>
        <v/>
      </c>
      <c r="U1205" s="89">
        <f>T1205-T1204</f>
        <v/>
      </c>
      <c r="V1205" s="89">
        <f>VLOOKUP(R1205,A:B,2,)</f>
        <v/>
      </c>
      <c r="W1205" s="89">
        <f>(V1205-V1204)/V1204</f>
        <v/>
      </c>
      <c r="X1205" s="89">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9">
        <f>YEAR(R1208)</f>
        <v/>
      </c>
      <c r="V1208" s="8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9">
        <f>YEAR(R1209)</f>
        <v/>
      </c>
      <c r="U1209" s="89">
        <f>T1209-T1208</f>
        <v/>
      </c>
      <c r="V1209" s="89">
        <f>VLOOKUP(R1209,A:B,2,)</f>
        <v/>
      </c>
      <c r="W1209" s="89">
        <f>(V1209-V1208)/V1208</f>
        <v/>
      </c>
      <c r="X1209" s="89">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9">
        <f>YEAR(R1212)</f>
        <v/>
      </c>
      <c r="V1212" s="8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9">
        <f>YEAR(R1213)</f>
        <v/>
      </c>
      <c r="U1213" s="89">
        <f>T1213-T1212</f>
        <v/>
      </c>
      <c r="V1213" s="89">
        <f>VLOOKUP(R1213,A:B,2,)</f>
        <v/>
      </c>
      <c r="W1213" s="89">
        <f>(V1213-V1212)/V1212</f>
        <v/>
      </c>
      <c r="X1213" s="89">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AVERAGE(D20:D1253)</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6"/>
  <sheetViews>
    <sheetView zoomScale="150" zoomScaleNormal="150" workbookViewId="0">
      <pane ySplit="6" topLeftCell="A580" activePane="bottomLeft" state="frozen"/>
      <selection pane="bottomLeft" activeCell="T550" sqref="T550"/>
    </sheetView>
  </sheetViews>
  <sheetFormatPr baseColWidth="10" defaultColWidth="9.1640625" defaultRowHeight="15"/>
  <cols>
    <col width="20.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INDPRO</t>
        </is>
      </c>
      <c r="B1" s="89" t="n"/>
      <c r="C1" s="89" t="n"/>
      <c r="V1" s="55" t="inlineStr">
        <is>
          <t xml:space="preserve">Industrial Production Index </t>
        </is>
      </c>
      <c r="X1" s="89">
        <f>V1&amp;V2</f>
        <v/>
      </c>
      <c r="AB1" s="61">
        <f>X2&amp; V2</f>
        <v/>
      </c>
    </row>
    <row r="2">
      <c r="A2" s="16" t="n"/>
      <c r="B2" s="89" t="n"/>
      <c r="C2" s="63" t="n"/>
      <c r="K2" s="95" t="inlineStr">
        <is>
          <t>https://www.federalreserve.gov/releases/g17/current/default.htm</t>
        </is>
      </c>
      <c r="V2" s="63" t="inlineStr">
        <is>
          <t xml:space="preserve"> since 2000 - </t>
        </is>
      </c>
      <c r="X2" s="89">
        <f>V1&amp;Table1[[#Headers],[yoy]]</f>
        <v/>
      </c>
    </row>
    <row r="3">
      <c r="A3" s="16" t="n"/>
      <c r="B3" s="56" t="n"/>
      <c r="C3" s="63" t="n"/>
      <c r="K3" s="95" t="n"/>
    </row>
    <row r="4">
      <c r="A4" s="16" t="n"/>
      <c r="B4" s="56" t="n"/>
      <c r="C4" s="63" t="n"/>
      <c r="K4" s="95"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row r="615">
      <c r="A615" s="17" t="n">
        <v>44805</v>
      </c>
      <c r="B615" s="59">
        <f>VLOOKUP(Table1[[#This Row],[Date]],database!A:B,2,)</f>
        <v/>
      </c>
      <c r="C615" s="67">
        <f>B615/B614-1</f>
        <v/>
      </c>
      <c r="D615" s="67">
        <f>(Table1[[#This Row],[Index]]-B603)/B603</f>
        <v/>
      </c>
    </row>
    <row r="616">
      <c r="A616" s="17" t="n">
        <v>44835</v>
      </c>
      <c r="B616" s="59">
        <f>VLOOKUP(Table1[[#This Row],[Date]],database!A:B,2,)</f>
        <v/>
      </c>
      <c r="C616" s="67">
        <f>B616/B615-1</f>
        <v/>
      </c>
      <c r="D616" s="67">
        <f>(Table1[[#This Row],[Index]]-B604)/B604</f>
        <v/>
      </c>
    </row>
  </sheetData>
  <conditionalFormatting sqref="D463:D616">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5"/>
  <sheetViews>
    <sheetView zoomScale="120" zoomScaleNormal="120" workbookViewId="0">
      <pane ySplit="5" topLeftCell="A662" activePane="bottomLeft" state="frozen"/>
      <selection activeCell="N1259" sqref="N1259"/>
      <selection pane="bottomLeft" activeCell="B682" sqref="B682"/>
    </sheetView>
  </sheetViews>
  <sheetFormatPr baseColWidth="10" defaultColWidth="9.1640625" defaultRowHeight="15"/>
  <cols>
    <col width="9.1640625" customWidth="1" style="89" min="1" max="1"/>
    <col width="18.33203125" customWidth="1" style="12" min="2" max="2"/>
    <col width="13.6640625" customWidth="1" style="12" min="3" max="3"/>
    <col width="9.1640625" customWidth="1" style="89" min="4" max="18"/>
    <col width="9.1640625" customWidth="1" style="89" min="19" max="16384"/>
  </cols>
  <sheetData>
    <row r="1">
      <c r="A1" s="89"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row r="675">
      <c r="A675" s="38" t="n">
        <v>44835</v>
      </c>
      <c r="B675" s="39">
        <f>VLOOKUP(Table8[[#This Row],[Month]],database!A:J,MATCH('Capacity Utilization'!$A$1,database!$A$1:$J$1,),)</f>
        <v/>
      </c>
      <c r="C675" s="69">
        <f>(VLOOKUP(A675,database!A:K,11,) - VLOOKUP(A663,database!A:K,11,))/VLOOKUP(A663,database!A:K,11,)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6"/>
  <sheetViews>
    <sheetView zoomScale="160" zoomScaleNormal="160" workbookViewId="0">
      <pane ySplit="6" topLeftCell="A605" activePane="bottomLeft" state="frozen"/>
      <selection activeCell="A572" sqref="A572:D575"/>
      <selection pane="bottomLeft" activeCell="A607" sqref="A607: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IPMAT</t>
        </is>
      </c>
      <c r="B1" s="89" t="n"/>
      <c r="C1" s="89" t="n"/>
      <c r="S1" s="55" t="inlineStr">
        <is>
          <t>Industrial Production: Materials</t>
        </is>
      </c>
      <c r="T1" s="63" t="inlineStr">
        <is>
          <t xml:space="preserve"> since 2010</t>
        </is>
      </c>
      <c r="U1" s="89">
        <f>S1&amp;T1</f>
        <v/>
      </c>
      <c r="Y1" s="61">
        <f>U2&amp; T1</f>
        <v/>
      </c>
    </row>
    <row r="2">
      <c r="A2" s="16" t="n"/>
      <c r="B2" s="89" t="n"/>
      <c r="C2" s="89" t="n"/>
      <c r="S2" s="56" t="n"/>
      <c r="T2" s="63" t="n"/>
      <c r="U2" s="89">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row r="616">
      <c r="A616" s="17" t="n">
        <v>44835</v>
      </c>
      <c r="B616" s="59">
        <f>VLOOKUP(Table17[[#This Row],[Date]],database!A:H,7,)</f>
        <v/>
      </c>
      <c r="C616" s="67">
        <f>B616/B615-1</f>
        <v/>
      </c>
      <c r="D616" s="67">
        <f>(Table17[[#This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6"/>
  <sheetViews>
    <sheetView zoomScale="110" zoomScaleNormal="110" workbookViewId="0">
      <pane ySplit="6" topLeftCell="A594" activePane="bottomLeft" state="frozen"/>
      <selection activeCell="J582" sqref="J582"/>
      <selection pane="bottomLeft" activeCell="C620" sqref="C620"/>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2"/>
    <col width="15.33203125" customWidth="1" style="89" min="23" max="23"/>
    <col width="9.1640625" customWidth="1" style="89" min="24" max="30"/>
    <col width="9.1640625" customWidth="1" style="89" min="31" max="16384"/>
  </cols>
  <sheetData>
    <row r="1">
      <c r="A1" s="15" t="inlineStr">
        <is>
          <t>IPCONGD</t>
        </is>
      </c>
      <c r="B1" s="89" t="n"/>
      <c r="C1" s="89" t="n"/>
      <c r="S1" s="89" t="inlineStr">
        <is>
          <t>Industrial Production: Consumer Goods</t>
        </is>
      </c>
      <c r="T1" s="89" t="inlineStr">
        <is>
          <t xml:space="preserve"> since 2010 </t>
        </is>
      </c>
      <c r="U1" s="89">
        <f>S1&amp;T1</f>
        <v/>
      </c>
      <c r="Y1" s="89">
        <f>U2&amp; T1</f>
        <v/>
      </c>
    </row>
    <row r="2">
      <c r="A2" s="16" t="n"/>
      <c r="B2" s="89" t="n"/>
      <c r="C2" s="89" t="n"/>
      <c r="U2" s="89">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row r="616">
      <c r="A616" s="17" t="n">
        <v>44835</v>
      </c>
      <c r="B616" s="59">
        <f>VLOOKUP(Table18[[#This Row],[Date]],database!A:G,5,)</f>
        <v/>
      </c>
      <c r="C616" s="67">
        <f>B616/B615-1</f>
        <v/>
      </c>
      <c r="D616" s="67">
        <f>(Table18[[#This Row],[Index]]-B604)/B604</f>
        <v/>
      </c>
    </row>
  </sheetData>
  <conditionalFormatting sqref="D463:D616">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6"/>
  <sheetViews>
    <sheetView zoomScale="190" zoomScaleNormal="190" workbookViewId="0">
      <pane ySplit="6" topLeftCell="A608" activePane="bottomLeft" state="frozen"/>
      <selection activeCell="J582" sqref="J582"/>
      <selection pane="bottomLeft" activeCell="A608" sqref="A608: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IPBUSEQ</t>
        </is>
      </c>
      <c r="B1" s="89" t="n"/>
      <c r="C1" s="89" t="n"/>
      <c r="S1" s="89" t="inlineStr">
        <is>
          <t>Industrial Production: Business Equipment</t>
        </is>
      </c>
      <c r="T1" s="89" t="inlineStr">
        <is>
          <t xml:space="preserve"> since 2010</t>
        </is>
      </c>
      <c r="U1" s="89">
        <f>S1&amp;T1</f>
        <v/>
      </c>
      <c r="Y1" s="89">
        <f>U2&amp; T1</f>
        <v/>
      </c>
    </row>
    <row r="2">
      <c r="A2" s="16" t="n"/>
      <c r="B2" s="89" t="n"/>
      <c r="C2" s="89" t="n"/>
      <c r="U2" s="89">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row r="616">
      <c r="A616" s="17" t="n">
        <v>44835</v>
      </c>
      <c r="B616" s="59">
        <f>VLOOKUP(Table16[[#This Row],[Date]],database!A:H,4,)</f>
        <v/>
      </c>
      <c r="C616" s="67">
        <f>B616/B615-1</f>
        <v/>
      </c>
      <c r="D616" s="67">
        <f>(Table16[[#This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6"/>
  <sheetViews>
    <sheetView zoomScale="150" zoomScaleNormal="150" workbookViewId="0">
      <pane ySplit="6" topLeftCell="A602" activePane="bottomLeft" state="frozen"/>
      <selection pane="bottomLeft" activeCell="A611" sqref="A611: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INDPRO</t>
        </is>
      </c>
      <c r="B1" s="89" t="n"/>
      <c r="C1" s="89" t="n"/>
      <c r="U1" s="89" t="inlineStr">
        <is>
          <t>Industrial Production: Construction supplies</t>
        </is>
      </c>
      <c r="V1" s="89" t="inlineStr">
        <is>
          <t xml:space="preserve"> since 2010 </t>
        </is>
      </c>
      <c r="W1" s="89">
        <f>U1&amp;V1</f>
        <v/>
      </c>
      <c r="AA1" s="89">
        <f>W2&amp; V1</f>
        <v/>
      </c>
    </row>
    <row r="2">
      <c r="A2" s="16" t="n"/>
      <c r="B2" s="89" t="n"/>
      <c r="C2" s="89" t="n"/>
      <c r="W2" s="89">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row r="616">
      <c r="A616" s="17" t="n">
        <v>44835</v>
      </c>
      <c r="B616" s="59">
        <f>VLOOKUP(Table110[[#This Row],[Date]],database!A:H,3,)</f>
        <v/>
      </c>
      <c r="C616" s="67">
        <f>B616/B615-1</f>
        <v/>
      </c>
      <c r="D616" s="67">
        <f>(Table110[[#This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6"/>
  <sheetViews>
    <sheetView zoomScale="160" zoomScaleNormal="160" workbookViewId="0">
      <pane ySplit="6" topLeftCell="A600" activePane="bottomLeft" state="frozen"/>
      <selection activeCell="J582" sqref="J582"/>
      <selection pane="bottomLeft" activeCell="A608" sqref="A608: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IPMAN</t>
        </is>
      </c>
      <c r="B1" s="89" t="n"/>
      <c r="C1" s="89" t="n"/>
      <c r="S1" s="89" t="inlineStr">
        <is>
          <t>Industrial Production: Manufacturing (NAICS)</t>
        </is>
      </c>
      <c r="T1" s="89" t="inlineStr">
        <is>
          <t xml:space="preserve"> since 2010</t>
        </is>
      </c>
      <c r="U1" s="89">
        <f>S1&amp;T1</f>
        <v/>
      </c>
      <c r="Y1" s="89">
        <f>U2&amp; T1</f>
        <v/>
      </c>
    </row>
    <row r="2">
      <c r="A2" s="16" t="n"/>
      <c r="B2" s="89" t="n"/>
      <c r="C2" s="89" t="n"/>
      <c r="U2" s="89">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row r="616">
      <c r="A616" s="17" t="n">
        <v>44835</v>
      </c>
      <c r="B616" s="59">
        <f>VLOOKUP(Table13[[#This Row],[Date]],database!A:F,6,)</f>
        <v/>
      </c>
      <c r="C616" s="67">
        <f>B616/B615-1</f>
        <v/>
      </c>
      <c r="D616" s="67">
        <f>(Table13[[#This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6"/>
  <sheetViews>
    <sheetView zoomScale="160" zoomScaleNormal="160" workbookViewId="0">
      <pane ySplit="6" topLeftCell="A606" activePane="bottomLeft" state="frozen"/>
      <selection activeCell="J582" sqref="J582"/>
      <selection pane="bottomLeft" activeCell="H620" sqref="H620"/>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15" t="inlineStr">
        <is>
          <t>IPMINE</t>
        </is>
      </c>
      <c r="B1" s="89" t="n"/>
      <c r="C1" s="89" t="n"/>
      <c r="S1" s="20" t="inlineStr">
        <is>
          <t>Industrial Production: Mining</t>
        </is>
      </c>
      <c r="T1" s="63" t="inlineStr">
        <is>
          <t xml:space="preserve"> since 2010 </t>
        </is>
      </c>
      <c r="U1" s="89">
        <f>S1&amp;T1</f>
        <v/>
      </c>
      <c r="Y1" s="61">
        <f>U4&amp; T1</f>
        <v/>
      </c>
    </row>
    <row r="2">
      <c r="A2" s="15" t="n"/>
      <c r="B2" s="89" t="n"/>
      <c r="C2" s="89" t="n"/>
      <c r="S2" s="20" t="n"/>
      <c r="T2" s="63" t="n"/>
      <c r="Y2" s="61" t="n"/>
    </row>
    <row r="3">
      <c r="A3" s="15" t="n"/>
      <c r="B3" s="89" t="n"/>
      <c r="C3" s="89" t="n"/>
      <c r="S3" s="20" t="n"/>
      <c r="T3" s="63" t="n"/>
      <c r="Y3" s="61" t="n"/>
    </row>
    <row r="4">
      <c r="A4" s="16" t="n"/>
      <c r="B4" s="89" t="n"/>
      <c r="C4" s="89" t="n"/>
      <c r="S4" s="56" t="n"/>
      <c r="T4" s="63" t="n"/>
      <c r="U4" s="89">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row r="616">
      <c r="A616" s="17" t="n">
        <v>44835</v>
      </c>
      <c r="B616" s="59">
        <f>VLOOKUP(Table134[[#This Row],[Date]],database!A:I,8,)</f>
        <v/>
      </c>
      <c r="C616" s="67">
        <f>B616/B615-1</f>
        <v/>
      </c>
      <c r="D616" s="67">
        <f>(Table134[[#This Row],[Index]]-B604)/B604</f>
        <v/>
      </c>
    </row>
  </sheetData>
  <conditionalFormatting sqref="D463:D616">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6"/>
  <sheetViews>
    <sheetView zoomScale="160" zoomScaleNormal="160" workbookViewId="0">
      <pane ySplit="6" topLeftCell="A600" activePane="bottomLeft" state="frozen"/>
      <selection activeCell="E1216" sqref="E1216"/>
      <selection pane="bottomLeft" activeCell="A607" sqref="A607:D616"/>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0"/>
    <col width="9.1640625" customWidth="1" style="89" min="21" max="16384"/>
  </cols>
  <sheetData>
    <row r="1">
      <c r="A1" s="89" t="inlineStr">
        <is>
          <t>IPUTIL</t>
        </is>
      </c>
      <c r="B1" s="89" t="n"/>
      <c r="C1" s="89" t="n"/>
      <c r="S1" s="20" t="inlineStr">
        <is>
          <t>Industrial Production: Electric and gas utilities</t>
        </is>
      </c>
      <c r="T1" s="63" t="inlineStr">
        <is>
          <t xml:space="preserve"> since 2010</t>
        </is>
      </c>
      <c r="U1" s="89">
        <f>S1&amp;T1</f>
        <v/>
      </c>
      <c r="Y1" s="61">
        <f>U2&amp; T1</f>
        <v/>
      </c>
    </row>
    <row r="2">
      <c r="A2" s="16" t="n"/>
      <c r="B2" s="89" t="n"/>
      <c r="C2" s="89" t="n"/>
      <c r="S2" s="56" t="n"/>
      <c r="T2" s="63" t="n"/>
      <c r="U2" s="89">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row r="616">
      <c r="A616" s="17" t="n">
        <v>44835</v>
      </c>
      <c r="B616" s="59">
        <f>VLOOKUP(Table1345[[#This Row],[Date]],database!A:I,9,)</f>
        <v/>
      </c>
      <c r="C616" s="67">
        <f>B616/B615-1</f>
        <v/>
      </c>
      <c r="D616" s="67">
        <f>(Table1345[[#This Row],[Index]]-B604)/B604</f>
        <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2022-11-23T15:14:50Z</dcterms:modified>
  <cp:lastModifiedBy>Mark Mukherjee</cp:lastModifiedBy>
</cp:coreProperties>
</file>